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805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SwapsFromBasis!$P$9:$R$13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M23" i="6"/>
  <c r="D18" i="6" l="1"/>
  <c r="C30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L3" i="11"/>
  <c r="L41" i="11"/>
  <c r="L33" i="11"/>
  <c r="L25" i="11"/>
  <c r="L17" i="11"/>
  <c r="L9" i="11"/>
  <c r="L21" i="11"/>
  <c r="L19" i="11"/>
  <c r="L40" i="11"/>
  <c r="L32" i="11"/>
  <c r="L24" i="11"/>
  <c r="L16" i="11"/>
  <c r="L8" i="11"/>
  <c r="L14" i="11"/>
  <c r="L27" i="11"/>
  <c r="L39" i="11"/>
  <c r="L31" i="11"/>
  <c r="L23" i="11"/>
  <c r="L15" i="11"/>
  <c r="L7" i="11"/>
  <c r="L6" i="11"/>
  <c r="L35" i="11"/>
  <c r="L38" i="11"/>
  <c r="L30" i="11"/>
  <c r="L22" i="11"/>
  <c r="L37" i="11"/>
  <c r="L29" i="11"/>
  <c r="L13" i="11"/>
  <c r="L36" i="11"/>
  <c r="L28" i="11"/>
  <c r="L20" i="11"/>
  <c r="L12" i="11"/>
  <c r="L34" i="11"/>
  <c r="L26" i="11"/>
  <c r="L18" i="11"/>
  <c r="L10" i="11"/>
  <c r="L11" i="11"/>
  <c r="L5" i="11"/>
  <c r="E22" i="6" l="1"/>
  <c r="D22" i="6"/>
  <c r="M15" i="6"/>
  <c r="M14" i="6"/>
  <c r="C3" i="7"/>
  <c r="C4" i="7"/>
  <c r="J1" i="11" l="1"/>
  <c r="K1" i="11" s="1"/>
  <c r="E5" i="11"/>
  <c r="E6" i="11" s="1"/>
  <c r="F5" i="11"/>
  <c r="J5" i="11" s="1"/>
  <c r="C6" i="11"/>
  <c r="C7" i="1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J1" i="9"/>
  <c r="K1" i="9" s="1"/>
  <c r="I5" i="9"/>
  <c r="K5" i="9"/>
  <c r="I6" i="9"/>
  <c r="K6" i="9"/>
  <c r="I7" i="9"/>
  <c r="K7" i="9"/>
  <c r="I8" i="9"/>
  <c r="K8" i="9"/>
  <c r="I9" i="9"/>
  <c r="K9" i="9"/>
  <c r="I10" i="9"/>
  <c r="K10" i="9"/>
  <c r="I11" i="9"/>
  <c r="K11" i="9"/>
  <c r="I12" i="9"/>
  <c r="K12" i="9"/>
  <c r="I13" i="9"/>
  <c r="K13" i="9"/>
  <c r="I14" i="9"/>
  <c r="K14" i="9"/>
  <c r="I15" i="9"/>
  <c r="K15" i="9"/>
  <c r="D1" i="7"/>
  <c r="E1" i="7" s="1"/>
  <c r="D3" i="7"/>
  <c r="D4" i="7"/>
  <c r="I5" i="11" l="1"/>
  <c r="K6" i="11"/>
  <c r="F6" i="11"/>
  <c r="E7" i="11"/>
  <c r="I6" i="11"/>
  <c r="K5" i="11"/>
  <c r="F7" i="11" l="1"/>
  <c r="J6" i="11"/>
  <c r="E8" i="11"/>
  <c r="K7" i="11"/>
  <c r="I7" i="11"/>
  <c r="B15" i="4" l="1"/>
  <c r="B16" i="4"/>
  <c r="F8" i="11"/>
  <c r="J7" i="11"/>
  <c r="E9" i="11"/>
  <c r="I8" i="11"/>
  <c r="K8" i="11"/>
  <c r="B17" i="4" l="1"/>
  <c r="F9" i="11"/>
  <c r="J8" i="11"/>
  <c r="K9" i="11"/>
  <c r="I9" i="11"/>
  <c r="E10" i="11"/>
  <c r="B18" i="4" l="1"/>
  <c r="F10" i="11"/>
  <c r="J9" i="11"/>
  <c r="E11" i="11"/>
  <c r="I10" i="11"/>
  <c r="K10" i="11"/>
  <c r="E4" i="7"/>
  <c r="M6" i="11"/>
  <c r="C3" i="12"/>
  <c r="M3" i="11"/>
  <c r="M5" i="11"/>
  <c r="M7" i="11"/>
  <c r="C5" i="12"/>
  <c r="C17" i="4"/>
  <c r="E3" i="7"/>
  <c r="C15" i="4"/>
  <c r="C18" i="4"/>
  <c r="C16" i="4"/>
  <c r="M8" i="11"/>
  <c r="L3" i="9"/>
  <c r="C4" i="12"/>
  <c r="X19" i="12"/>
  <c r="M3" i="9"/>
  <c r="L15" i="9"/>
  <c r="L7" i="9"/>
  <c r="L14" i="9"/>
  <c r="L6" i="9"/>
  <c r="L13" i="9"/>
  <c r="L12" i="9"/>
  <c r="L11" i="9"/>
  <c r="L10" i="9"/>
  <c r="L9" i="9"/>
  <c r="L8" i="9"/>
  <c r="L5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F11" i="11"/>
  <c r="J10" i="11"/>
  <c r="E12" i="11"/>
  <c r="I11" i="11"/>
  <c r="K11" i="11"/>
  <c r="C9" i="4"/>
  <c r="M12" i="9"/>
  <c r="C10" i="4"/>
  <c r="M8" i="9"/>
  <c r="C4" i="4"/>
  <c r="C8" i="4"/>
  <c r="C6" i="4"/>
  <c r="M9" i="9"/>
  <c r="C5" i="4"/>
  <c r="C11" i="4"/>
  <c r="M15" i="9"/>
  <c r="M13" i="9"/>
  <c r="M14" i="9"/>
  <c r="F3" i="7"/>
  <c r="M9" i="11"/>
  <c r="M6" i="9"/>
  <c r="C7" i="4"/>
  <c r="C3" i="4"/>
  <c r="C12" i="4"/>
  <c r="C13" i="4"/>
  <c r="C19" i="4"/>
  <c r="C2" i="4"/>
  <c r="C14" i="4"/>
  <c r="M7" i="9"/>
  <c r="M11" i="9"/>
  <c r="X20" i="12"/>
  <c r="M10" i="9"/>
  <c r="F4" i="7"/>
  <c r="M5" i="9"/>
  <c r="C13" i="12" l="1"/>
  <c r="B20" i="4"/>
  <c r="J11" i="11"/>
  <c r="F12" i="11"/>
  <c r="E13" i="11"/>
  <c r="I12" i="11"/>
  <c r="K12" i="11"/>
  <c r="X21" i="12"/>
  <c r="B21" i="4" l="1"/>
  <c r="F13" i="11"/>
  <c r="J12" i="11"/>
  <c r="K13" i="11"/>
  <c r="I13" i="11"/>
  <c r="E14" i="11"/>
  <c r="C7" i="12"/>
  <c r="C21" i="4"/>
  <c r="C20" i="4"/>
  <c r="M11" i="11"/>
  <c r="X22" i="12"/>
  <c r="M10" i="11"/>
  <c r="C14" i="12" l="1"/>
  <c r="C8" i="12"/>
  <c r="C15" i="12"/>
  <c r="C9" i="12"/>
  <c r="C16" i="12" s="1"/>
  <c r="B22" i="4"/>
  <c r="J13" i="11"/>
  <c r="F14" i="11"/>
  <c r="E15" i="11"/>
  <c r="I14" i="11"/>
  <c r="K14" i="11"/>
  <c r="C22" i="4"/>
  <c r="M12" i="11"/>
  <c r="X23" i="12"/>
  <c r="B23" i="4" l="1"/>
  <c r="J14" i="11"/>
  <c r="F15" i="11"/>
  <c r="K15" i="11"/>
  <c r="E16" i="11"/>
  <c r="I15" i="11"/>
  <c r="M13" i="11"/>
  <c r="C23" i="4"/>
  <c r="X24" i="12"/>
  <c r="B24" i="4" l="1"/>
  <c r="F16" i="11"/>
  <c r="J15" i="11"/>
  <c r="K16" i="11"/>
  <c r="I16" i="11"/>
  <c r="E17" i="11"/>
  <c r="M14" i="11"/>
  <c r="C24" i="4"/>
  <c r="X25" i="12"/>
  <c r="B25" i="4" l="1"/>
  <c r="J16" i="11"/>
  <c r="F17" i="11"/>
  <c r="K17" i="11"/>
  <c r="E18" i="11"/>
  <c r="I17" i="11"/>
  <c r="C25" i="4"/>
  <c r="M15" i="11"/>
  <c r="X26" i="12"/>
  <c r="B26" i="4" l="1"/>
  <c r="J17" i="11"/>
  <c r="F18" i="11"/>
  <c r="E19" i="11"/>
  <c r="I18" i="11"/>
  <c r="K18" i="11"/>
  <c r="C26" i="4"/>
  <c r="X27" i="12"/>
  <c r="M16" i="11"/>
  <c r="B27" i="4" l="1"/>
  <c r="F19" i="11"/>
  <c r="J18" i="11"/>
  <c r="I19" i="11"/>
  <c r="E20" i="11"/>
  <c r="K19" i="11"/>
  <c r="C27" i="4"/>
  <c r="X28" i="12"/>
  <c r="M17" i="11"/>
  <c r="B28" i="4" l="1"/>
  <c r="F20" i="11"/>
  <c r="J19" i="11"/>
  <c r="I20" i="11"/>
  <c r="E21" i="11"/>
  <c r="K20" i="11"/>
  <c r="X29" i="12"/>
  <c r="C28" i="4"/>
  <c r="M18" i="11"/>
  <c r="B29" i="4" l="1"/>
  <c r="J20" i="11"/>
  <c r="F21" i="11"/>
  <c r="K21" i="11"/>
  <c r="E22" i="11"/>
  <c r="I21" i="11"/>
  <c r="C29" i="4"/>
  <c r="M19" i="11"/>
  <c r="X30" i="12"/>
  <c r="B30" i="4" l="1"/>
  <c r="J21" i="11"/>
  <c r="F22" i="11"/>
  <c r="E23" i="11"/>
  <c r="I22" i="11"/>
  <c r="K22" i="11"/>
  <c r="C30" i="4"/>
  <c r="X31" i="12"/>
  <c r="M20" i="11"/>
  <c r="B31" i="4" l="1"/>
  <c r="F23" i="11"/>
  <c r="J22" i="11"/>
  <c r="E24" i="11"/>
  <c r="K23" i="11"/>
  <c r="I23" i="11"/>
  <c r="C31" i="4"/>
  <c r="X32" i="12"/>
  <c r="M21" i="11"/>
  <c r="B32" i="4" l="1"/>
  <c r="F24" i="11"/>
  <c r="J23" i="11"/>
  <c r="K24" i="11"/>
  <c r="I24" i="11"/>
  <c r="E25" i="11"/>
  <c r="M22" i="11"/>
  <c r="X33" i="12"/>
  <c r="C32" i="4"/>
  <c r="B33" i="4" l="1"/>
  <c r="F25" i="11"/>
  <c r="J24" i="11"/>
  <c r="K25" i="11"/>
  <c r="E26" i="11"/>
  <c r="I25" i="11"/>
  <c r="X34" i="12"/>
  <c r="M23" i="11"/>
  <c r="C33" i="4"/>
  <c r="B34" i="4" l="1"/>
  <c r="J25" i="11"/>
  <c r="F26" i="11"/>
  <c r="E27" i="11"/>
  <c r="I26" i="11"/>
  <c r="K26" i="11"/>
  <c r="C34" i="4"/>
  <c r="X35" i="12"/>
  <c r="M24" i="11"/>
  <c r="B35" i="4" l="1"/>
  <c r="F27" i="11"/>
  <c r="J26" i="11"/>
  <c r="I27" i="11"/>
  <c r="K27" i="11"/>
  <c r="E28" i="11"/>
  <c r="C35" i="4"/>
  <c r="M25" i="11"/>
  <c r="X36" i="12"/>
  <c r="B36" i="4" l="1"/>
  <c r="J27" i="11"/>
  <c r="F28" i="11"/>
  <c r="E29" i="11"/>
  <c r="I28" i="11"/>
  <c r="K28" i="11"/>
  <c r="M26" i="11"/>
  <c r="C36" i="4"/>
  <c r="X37" i="12"/>
  <c r="B37" i="4" l="1"/>
  <c r="J28" i="11"/>
  <c r="F29" i="11"/>
  <c r="K29" i="11"/>
  <c r="I29" i="11"/>
  <c r="E30" i="11"/>
  <c r="X38" i="12"/>
  <c r="C37" i="4"/>
  <c r="M27" i="11"/>
  <c r="B38" i="4" l="1"/>
  <c r="J29" i="11"/>
  <c r="F30" i="11"/>
  <c r="E31" i="11"/>
  <c r="I30" i="11"/>
  <c r="K30" i="11"/>
  <c r="M28" i="11"/>
  <c r="C38" i="4"/>
  <c r="X39" i="12"/>
  <c r="B39" i="4" l="1"/>
  <c r="F31" i="11"/>
  <c r="J30" i="11"/>
  <c r="K31" i="11"/>
  <c r="E32" i="11"/>
  <c r="I31" i="11"/>
  <c r="C39" i="4"/>
  <c r="M29" i="11"/>
  <c r="X40" i="12"/>
  <c r="B40" i="4" l="1"/>
  <c r="J31" i="11"/>
  <c r="F32" i="11"/>
  <c r="K32" i="11"/>
  <c r="I32" i="11"/>
  <c r="E33" i="11"/>
  <c r="M30" i="11"/>
  <c r="C40" i="4"/>
  <c r="X41" i="12"/>
  <c r="B41" i="4" l="1"/>
  <c r="F33" i="11"/>
  <c r="J32" i="11"/>
  <c r="K33" i="11"/>
  <c r="E34" i="11"/>
  <c r="I33" i="11"/>
  <c r="C41" i="4"/>
  <c r="M31" i="11"/>
  <c r="X42" i="12"/>
  <c r="B42" i="4" l="1"/>
  <c r="J33" i="11"/>
  <c r="F34" i="11"/>
  <c r="E35" i="11"/>
  <c r="I34" i="11"/>
  <c r="K34" i="11"/>
  <c r="M32" i="11"/>
  <c r="C42" i="4"/>
  <c r="X43" i="12"/>
  <c r="B43" i="4" l="1"/>
  <c r="F35" i="11"/>
  <c r="J34" i="11"/>
  <c r="E36" i="11"/>
  <c r="I35" i="11"/>
  <c r="K35" i="11"/>
  <c r="M33" i="11"/>
  <c r="X44" i="12"/>
  <c r="C43" i="4"/>
  <c r="B44" i="4" l="1"/>
  <c r="F36" i="11"/>
  <c r="J35" i="11"/>
  <c r="E37" i="11"/>
  <c r="I36" i="11"/>
  <c r="K36" i="11"/>
  <c r="C44" i="4"/>
  <c r="M34" i="11"/>
  <c r="X45" i="12"/>
  <c r="B45" i="4" l="1"/>
  <c r="F37" i="11"/>
  <c r="J36" i="11"/>
  <c r="K37" i="11"/>
  <c r="I37" i="11"/>
  <c r="E38" i="11"/>
  <c r="C45" i="4"/>
  <c r="M35" i="11"/>
  <c r="X46" i="12"/>
  <c r="B46" i="4" l="1"/>
  <c r="J37" i="11"/>
  <c r="F38" i="11"/>
  <c r="E39" i="11"/>
  <c r="I38" i="11"/>
  <c r="K38" i="11"/>
  <c r="C46" i="4"/>
  <c r="M36" i="11"/>
  <c r="X47" i="12"/>
  <c r="B47" i="4" l="1"/>
  <c r="F39" i="11"/>
  <c r="J38" i="11"/>
  <c r="E40" i="11"/>
  <c r="I39" i="11"/>
  <c r="K39" i="11"/>
  <c r="M37" i="11"/>
  <c r="C47" i="4"/>
  <c r="X48" i="12"/>
  <c r="B48" i="4" l="1"/>
  <c r="F40" i="11"/>
  <c r="J39" i="11"/>
  <c r="I40" i="11"/>
  <c r="E41" i="11"/>
  <c r="K40" i="11"/>
  <c r="C48" i="4"/>
  <c r="M38" i="11"/>
  <c r="X49" i="12"/>
  <c r="B49" i="4" l="1"/>
  <c r="F41" i="11"/>
  <c r="J41" i="11" s="1"/>
  <c r="J40" i="11"/>
  <c r="I41" i="11"/>
  <c r="K41" i="11"/>
  <c r="E2" i="7"/>
  <c r="L2" i="9"/>
  <c r="M39" i="11"/>
  <c r="C49" i="4"/>
  <c r="X50" i="12"/>
  <c r="B50" i="4" l="1"/>
  <c r="D7" i="6"/>
  <c r="D8" i="6"/>
  <c r="L2" i="11"/>
  <c r="D6" i="6"/>
  <c r="F2" i="7"/>
  <c r="M2" i="9"/>
  <c r="M40" i="11"/>
  <c r="X51" i="12"/>
  <c r="B1" i="6"/>
  <c r="C50" i="4"/>
  <c r="B51" i="4" l="1"/>
  <c r="D9" i="6"/>
  <c r="D16" i="6"/>
  <c r="D20" i="6"/>
  <c r="E20" i="6"/>
  <c r="D21" i="6"/>
  <c r="C51" i="4"/>
  <c r="M2" i="11"/>
  <c r="M41" i="11"/>
  <c r="X52" i="12"/>
  <c r="E21" i="6" l="1"/>
  <c r="D36" i="4"/>
  <c r="D8" i="4"/>
  <c r="I13" i="4"/>
  <c r="J31" i="4"/>
  <c r="J29" i="4"/>
  <c r="J51" i="4"/>
  <c r="E31" i="4"/>
  <c r="I30" i="4"/>
  <c r="I46" i="4"/>
  <c r="I48" i="4"/>
  <c r="J40" i="4"/>
  <c r="J13" i="4"/>
  <c r="J5" i="4"/>
  <c r="J27" i="4"/>
  <c r="I9" i="4"/>
  <c r="D26" i="4"/>
  <c r="J15" i="4"/>
  <c r="J6" i="4"/>
  <c r="E51" i="4"/>
  <c r="E38" i="4"/>
  <c r="J30" i="4"/>
  <c r="E4" i="4"/>
  <c r="D10" i="4"/>
  <c r="I19" i="4"/>
  <c r="I12" i="4"/>
  <c r="D49" i="4"/>
  <c r="I3" i="4"/>
  <c r="J12" i="4"/>
  <c r="I25" i="4"/>
  <c r="D20" i="4"/>
  <c r="E24" i="4"/>
  <c r="X53" i="12"/>
  <c r="I23" i="4"/>
  <c r="I20" i="4"/>
  <c r="D25" i="4"/>
  <c r="D51" i="4"/>
  <c r="D41" i="4"/>
  <c r="E50" i="4"/>
  <c r="I50" i="4"/>
  <c r="E25" i="4"/>
  <c r="D30" i="4"/>
  <c r="I31" i="4"/>
  <c r="D2" i="4"/>
  <c r="J34" i="4"/>
  <c r="D16" i="4"/>
  <c r="J47" i="4"/>
  <c r="I41" i="4"/>
  <c r="D17" i="4"/>
  <c r="I10" i="4"/>
  <c r="D12" i="4"/>
  <c r="E17" i="4"/>
  <c r="I39" i="4"/>
  <c r="J24" i="4"/>
  <c r="J4" i="4"/>
  <c r="I2" i="4"/>
  <c r="J48" i="4"/>
  <c r="I8" i="4"/>
  <c r="D42" i="4"/>
  <c r="J18" i="4"/>
  <c r="D33" i="4"/>
  <c r="D31" i="4"/>
  <c r="I7" i="4"/>
  <c r="E48" i="4"/>
  <c r="J32" i="4"/>
  <c r="D19" i="4"/>
  <c r="D35" i="4"/>
  <c r="D14" i="4"/>
  <c r="D43" i="4"/>
  <c r="J8" i="4"/>
  <c r="E14" i="4"/>
  <c r="I6" i="4"/>
  <c r="E46" i="4"/>
  <c r="J43" i="4"/>
  <c r="D44" i="4"/>
  <c r="J28" i="4"/>
  <c r="D11" i="4"/>
  <c r="I4" i="4"/>
  <c r="D18" i="4"/>
  <c r="I22" i="4"/>
  <c r="E37" i="4"/>
  <c r="D13" i="4"/>
  <c r="E34" i="4"/>
  <c r="I18" i="4"/>
  <c r="E28" i="4"/>
  <c r="J2" i="4"/>
  <c r="J38" i="4"/>
  <c r="J20" i="4"/>
  <c r="I11" i="4"/>
  <c r="D46" i="4"/>
  <c r="J21" i="4"/>
  <c r="J19" i="4"/>
  <c r="I45" i="4"/>
  <c r="E20" i="4"/>
  <c r="D45" i="4"/>
  <c r="E42" i="4"/>
  <c r="E22" i="4"/>
  <c r="I17" i="4"/>
  <c r="I28" i="4"/>
  <c r="I29" i="4"/>
  <c r="D6" i="4"/>
  <c r="D32" i="4"/>
  <c r="E27" i="4"/>
  <c r="J23" i="4"/>
  <c r="E23" i="4"/>
  <c r="E32" i="4"/>
  <c r="E41" i="4"/>
  <c r="E9" i="4"/>
  <c r="I34" i="4"/>
  <c r="D37" i="4"/>
  <c r="E45" i="4"/>
  <c r="D29" i="4"/>
  <c r="J10" i="4"/>
  <c r="J7" i="4"/>
  <c r="J36" i="4"/>
  <c r="E5" i="4"/>
  <c r="E10" i="4"/>
  <c r="E13" i="4"/>
  <c r="D23" i="4"/>
  <c r="D28" i="4"/>
  <c r="J50" i="4"/>
  <c r="E18" i="4"/>
  <c r="I49" i="4"/>
  <c r="I51" i="4"/>
  <c r="E39" i="4"/>
  <c r="J16" i="4"/>
  <c r="J39" i="4"/>
  <c r="J35" i="4"/>
  <c r="E47" i="4"/>
  <c r="D39" i="4"/>
  <c r="J45" i="4"/>
  <c r="E16" i="4"/>
  <c r="J11" i="4"/>
  <c r="E29" i="4"/>
  <c r="E44" i="4"/>
  <c r="D3" i="4"/>
  <c r="D50" i="4"/>
  <c r="J3" i="4"/>
  <c r="E40" i="4"/>
  <c r="E11" i="4"/>
  <c r="J22" i="4"/>
  <c r="J41" i="4"/>
  <c r="I32" i="4"/>
  <c r="D4" i="4"/>
  <c r="E19" i="4"/>
  <c r="D47" i="4"/>
  <c r="I43" i="4"/>
  <c r="E15" i="4"/>
  <c r="J42" i="4"/>
  <c r="D7" i="4"/>
  <c r="I33" i="4"/>
  <c r="D40" i="4"/>
  <c r="I38" i="4"/>
  <c r="J44" i="4"/>
  <c r="D15" i="4"/>
  <c r="D21" i="4"/>
  <c r="I36" i="4"/>
  <c r="I24" i="4"/>
  <c r="D38" i="4"/>
  <c r="J17" i="4"/>
  <c r="J26" i="4"/>
  <c r="I16" i="4"/>
  <c r="E36" i="4"/>
  <c r="J37" i="4"/>
  <c r="J46" i="4"/>
  <c r="D22" i="4"/>
  <c r="J33" i="4"/>
  <c r="I37" i="4"/>
  <c r="D9" i="4"/>
  <c r="E43" i="4"/>
  <c r="I44" i="4"/>
  <c r="I14" i="4"/>
  <c r="I42" i="4"/>
  <c r="E12" i="4"/>
  <c r="E21" i="4"/>
  <c r="I47" i="4"/>
  <c r="D5" i="4"/>
  <c r="I15" i="4"/>
  <c r="J9" i="4"/>
  <c r="J49" i="4"/>
  <c r="J14" i="4"/>
  <c r="E26" i="4"/>
  <c r="E33" i="4"/>
  <c r="I27" i="4"/>
  <c r="D48" i="4"/>
  <c r="J25" i="4"/>
  <c r="I5" i="4"/>
  <c r="E6" i="4"/>
  <c r="D24" i="4"/>
  <c r="D27" i="4"/>
  <c r="I35" i="4"/>
  <c r="E30" i="4"/>
  <c r="E7" i="4"/>
  <c r="E35" i="4"/>
  <c r="I40" i="4"/>
  <c r="E49" i="4"/>
  <c r="E8" i="4"/>
  <c r="I21" i="4"/>
  <c r="D34" i="4"/>
  <c r="I26" i="4"/>
  <c r="X54" i="12"/>
  <c r="X55" i="12"/>
  <c r="X56" i="12"/>
  <c r="X57" i="12"/>
  <c r="X58" i="12"/>
  <c r="X59" i="12" s="1"/>
  <c r="F50" i="4" l="1"/>
  <c r="F49" i="4"/>
  <c r="M19" i="12" a="1"/>
  <c r="D2" i="5" a="1"/>
  <c r="X60" i="12"/>
  <c r="X61" i="12"/>
  <c r="X62" i="12" s="1"/>
  <c r="X63" i="12" s="1"/>
  <c r="X64" i="12" s="1"/>
  <c r="X65" i="12"/>
  <c r="X66" i="12" s="1"/>
  <c r="X67" i="12" s="1"/>
  <c r="X68" i="12" s="1"/>
  <c r="X69" i="12"/>
  <c r="X70" i="12" s="1"/>
  <c r="X71" i="12" s="1"/>
  <c r="X72" i="12" s="1"/>
  <c r="X73" i="12"/>
  <c r="X74" i="12" s="1"/>
  <c r="X75" i="12" s="1"/>
  <c r="X76" i="12" s="1"/>
  <c r="X77" i="12"/>
  <c r="X78" i="12" s="1"/>
  <c r="X79" i="12" s="1"/>
  <c r="X80" i="12" s="1"/>
  <c r="X81" i="12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/>
  <c r="X114" i="12" s="1"/>
  <c r="X115" i="12" s="1"/>
  <c r="X116" i="12" s="1"/>
  <c r="X117" i="12" s="1"/>
  <c r="X118" i="12" s="1"/>
  <c r="X119" i="12" s="1"/>
  <c r="X120" i="12" s="1"/>
  <c r="X121" i="12" s="1"/>
  <c r="D34" i="5" l="1"/>
  <c r="D103" i="5"/>
  <c r="D7" i="5"/>
  <c r="D65" i="5"/>
  <c r="D126" i="5"/>
  <c r="D95" i="5"/>
  <c r="D60" i="5"/>
  <c r="D45" i="5"/>
  <c r="D28" i="5"/>
  <c r="D78" i="5"/>
  <c r="D83" i="5"/>
  <c r="D57" i="5"/>
  <c r="D64" i="5"/>
  <c r="D21" i="5"/>
  <c r="D92" i="5"/>
  <c r="D55" i="5"/>
  <c r="D61" i="5"/>
  <c r="D22" i="5"/>
  <c r="D123" i="5"/>
  <c r="D49" i="5"/>
  <c r="D48" i="5"/>
  <c r="D119" i="5"/>
  <c r="D99" i="5"/>
  <c r="D70" i="5"/>
  <c r="D89" i="5"/>
  <c r="D58" i="5"/>
  <c r="D39" i="5"/>
  <c r="D69" i="5"/>
  <c r="D31" i="5"/>
  <c r="D24" i="5"/>
  <c r="D4" i="5"/>
  <c r="D80" i="5"/>
  <c r="D13" i="5"/>
  <c r="D124" i="5"/>
  <c r="D113" i="5"/>
  <c r="D72" i="5"/>
  <c r="D87" i="5"/>
  <c r="D94" i="5"/>
  <c r="D109" i="5"/>
  <c r="D38" i="5"/>
  <c r="D100" i="5"/>
  <c r="D54" i="5"/>
  <c r="D110" i="5"/>
  <c r="D90" i="5"/>
  <c r="D118" i="5"/>
  <c r="D35" i="5"/>
  <c r="D116" i="5"/>
  <c r="D62" i="5"/>
  <c r="D36" i="5"/>
  <c r="D50" i="5"/>
  <c r="D117" i="5"/>
  <c r="D17" i="5"/>
  <c r="D37" i="5"/>
  <c r="D122" i="5"/>
  <c r="D102" i="5"/>
  <c r="D96" i="5"/>
  <c r="D77" i="5"/>
  <c r="D44" i="5"/>
  <c r="D32" i="5"/>
  <c r="D79" i="5"/>
  <c r="D53" i="5"/>
  <c r="D51" i="5"/>
  <c r="D3" i="5"/>
  <c r="D111" i="5"/>
  <c r="D16" i="5"/>
  <c r="D85" i="5"/>
  <c r="D63" i="5"/>
  <c r="D25" i="5"/>
  <c r="D41" i="5"/>
  <c r="D5" i="5"/>
  <c r="D9" i="5"/>
  <c r="D10" i="5"/>
  <c r="D76" i="5"/>
  <c r="D2" i="5"/>
  <c r="D11" i="5"/>
  <c r="D26" i="5"/>
  <c r="D115" i="5"/>
  <c r="D105" i="5"/>
  <c r="D40" i="5"/>
  <c r="D97" i="5"/>
  <c r="D101" i="5"/>
  <c r="D86" i="5"/>
  <c r="D91" i="5"/>
  <c r="D18" i="5"/>
  <c r="D73" i="5"/>
  <c r="D71" i="5"/>
  <c r="D98" i="5"/>
  <c r="D114" i="5"/>
  <c r="D47" i="5"/>
  <c r="D75" i="5"/>
  <c r="D46" i="5"/>
  <c r="D15" i="5"/>
  <c r="D8" i="5"/>
  <c r="D106" i="5"/>
  <c r="D88" i="5"/>
  <c r="D112" i="5"/>
  <c r="D107" i="5"/>
  <c r="D6" i="5"/>
  <c r="D74" i="5"/>
  <c r="D121" i="5"/>
  <c r="D23" i="5"/>
  <c r="D82" i="5"/>
  <c r="D43" i="5"/>
  <c r="D12" i="5"/>
  <c r="D104" i="5"/>
  <c r="D33" i="5"/>
  <c r="D81" i="5"/>
  <c r="D20" i="5"/>
  <c r="D14" i="5"/>
  <c r="D19" i="5"/>
  <c r="D125" i="5"/>
  <c r="D66" i="5"/>
  <c r="D30" i="5"/>
  <c r="D29" i="5"/>
  <c r="D59" i="5"/>
  <c r="D84" i="5"/>
  <c r="D27" i="5"/>
  <c r="D93" i="5"/>
  <c r="D67" i="5"/>
  <c r="D108" i="5"/>
  <c r="D42" i="5"/>
  <c r="D52" i="5"/>
  <c r="D56" i="5"/>
  <c r="D68" i="5"/>
  <c r="D120" i="5"/>
  <c r="M19" i="12"/>
  <c r="M23" i="12"/>
  <c r="M22" i="12"/>
  <c r="M24" i="12"/>
  <c r="M29" i="12"/>
  <c r="M21" i="12"/>
  <c r="M28" i="12"/>
  <c r="M25" i="12"/>
  <c r="M27" i="12"/>
  <c r="M30" i="12"/>
  <c r="M20" i="12"/>
  <c r="M26" i="12"/>
  <c r="G34" i="5"/>
  <c r="I34" i="5"/>
  <c r="E34" i="5"/>
  <c r="F34" i="5"/>
  <c r="H34" i="5"/>
  <c r="E28" i="5"/>
  <c r="F28" i="5"/>
  <c r="H28" i="5"/>
  <c r="G28" i="5"/>
  <c r="I28" i="5"/>
  <c r="F61" i="5"/>
  <c r="H61" i="5"/>
  <c r="G61" i="5"/>
  <c r="I61" i="5"/>
  <c r="E61" i="5"/>
  <c r="E89" i="5"/>
  <c r="H89" i="5"/>
  <c r="F89" i="5"/>
  <c r="G89" i="5"/>
  <c r="I89" i="5"/>
  <c r="I13" i="5"/>
  <c r="G13" i="5"/>
  <c r="F13" i="5"/>
  <c r="E13" i="5"/>
  <c r="H13" i="5"/>
  <c r="I100" i="5"/>
  <c r="H100" i="5"/>
  <c r="G100" i="5"/>
  <c r="F100" i="5"/>
  <c r="E100" i="5"/>
  <c r="E36" i="5"/>
  <c r="F36" i="5"/>
  <c r="I36" i="5"/>
  <c r="H36" i="5"/>
  <c r="G36" i="5"/>
  <c r="I77" i="5"/>
  <c r="H77" i="5"/>
  <c r="G77" i="5"/>
  <c r="E77" i="5"/>
  <c r="F77" i="5"/>
  <c r="H16" i="5"/>
  <c r="G16" i="5"/>
  <c r="I16" i="5"/>
  <c r="F16" i="5"/>
  <c r="E16" i="5"/>
  <c r="G76" i="5"/>
  <c r="H76" i="5"/>
  <c r="E76" i="5"/>
  <c r="I76" i="5"/>
  <c r="F76" i="5"/>
  <c r="E101" i="5"/>
  <c r="F101" i="5"/>
  <c r="H101" i="5"/>
  <c r="I101" i="5"/>
  <c r="G101" i="5"/>
  <c r="G47" i="5"/>
  <c r="F47" i="5"/>
  <c r="I47" i="5"/>
  <c r="H47" i="5"/>
  <c r="E47" i="5"/>
  <c r="G107" i="5"/>
  <c r="H107" i="5"/>
  <c r="I107" i="5"/>
  <c r="E107" i="5"/>
  <c r="F107" i="5"/>
  <c r="H104" i="5"/>
  <c r="G104" i="5"/>
  <c r="I104" i="5"/>
  <c r="E104" i="5"/>
  <c r="F104" i="5"/>
  <c r="F30" i="5"/>
  <c r="I30" i="5"/>
  <c r="E30" i="5"/>
  <c r="G30" i="5"/>
  <c r="H30" i="5"/>
  <c r="I42" i="5"/>
  <c r="E42" i="5"/>
  <c r="H42" i="5"/>
  <c r="F42" i="5"/>
  <c r="G42" i="5"/>
  <c r="N19" i="12"/>
  <c r="O19" i="12"/>
  <c r="N23" i="12"/>
  <c r="O23" i="12"/>
  <c r="H103" i="5"/>
  <c r="F103" i="5"/>
  <c r="G103" i="5"/>
  <c r="E103" i="5"/>
  <c r="I103" i="5"/>
  <c r="F78" i="5"/>
  <c r="H78" i="5"/>
  <c r="G78" i="5"/>
  <c r="E78" i="5"/>
  <c r="I78" i="5"/>
  <c r="G22" i="5"/>
  <c r="F22" i="5"/>
  <c r="I22" i="5"/>
  <c r="H22" i="5"/>
  <c r="E22" i="5"/>
  <c r="E58" i="5"/>
  <c r="G58" i="5"/>
  <c r="F58" i="5"/>
  <c r="H58" i="5"/>
  <c r="I58" i="5"/>
  <c r="I124" i="5"/>
  <c r="G124" i="5"/>
  <c r="F124" i="5"/>
  <c r="E124" i="5"/>
  <c r="H124" i="5"/>
  <c r="F54" i="5"/>
  <c r="I54" i="5"/>
  <c r="H54" i="5"/>
  <c r="E54" i="5"/>
  <c r="G54" i="5"/>
  <c r="F50" i="5"/>
  <c r="H50" i="5"/>
  <c r="E50" i="5"/>
  <c r="G50" i="5"/>
  <c r="I50" i="5"/>
  <c r="I44" i="5"/>
  <c r="F44" i="5"/>
  <c r="G44" i="5"/>
  <c r="H44" i="5"/>
  <c r="E44" i="5"/>
  <c r="G85" i="5"/>
  <c r="H85" i="5"/>
  <c r="I85" i="5"/>
  <c r="E85" i="5"/>
  <c r="F85" i="5"/>
  <c r="E2" i="5"/>
  <c r="I2" i="5"/>
  <c r="G2" i="5"/>
  <c r="B6" i="5"/>
  <c r="H2" i="5"/>
  <c r="F2" i="5"/>
  <c r="F86" i="5"/>
  <c r="E86" i="5"/>
  <c r="I86" i="5"/>
  <c r="G86" i="5"/>
  <c r="H86" i="5"/>
  <c r="E75" i="5"/>
  <c r="I75" i="5"/>
  <c r="G75" i="5"/>
  <c r="H75" i="5"/>
  <c r="F75" i="5"/>
  <c r="I6" i="5"/>
  <c r="G6" i="5"/>
  <c r="E6" i="5"/>
  <c r="H6" i="5"/>
  <c r="F6" i="5"/>
  <c r="F33" i="5"/>
  <c r="E33" i="5"/>
  <c r="H33" i="5"/>
  <c r="G33" i="5"/>
  <c r="I33" i="5"/>
  <c r="I29" i="5"/>
  <c r="H29" i="5"/>
  <c r="F29" i="5"/>
  <c r="G29" i="5"/>
  <c r="E29" i="5"/>
  <c r="H52" i="5"/>
  <c r="G52" i="5"/>
  <c r="F52" i="5"/>
  <c r="I52" i="5"/>
  <c r="E52" i="5"/>
  <c r="N22" i="12"/>
  <c r="O22" i="12"/>
  <c r="F7" i="5"/>
  <c r="G7" i="5"/>
  <c r="I7" i="5"/>
  <c r="E7" i="5"/>
  <c r="H7" i="5"/>
  <c r="H83" i="5"/>
  <c r="G83" i="5"/>
  <c r="E83" i="5"/>
  <c r="F83" i="5"/>
  <c r="I83" i="5"/>
  <c r="F123" i="5"/>
  <c r="G123" i="5"/>
  <c r="I123" i="5"/>
  <c r="E123" i="5"/>
  <c r="H123" i="5"/>
  <c r="G39" i="5"/>
  <c r="E39" i="5"/>
  <c r="F39" i="5"/>
  <c r="H39" i="5"/>
  <c r="I39" i="5"/>
  <c r="E113" i="5"/>
  <c r="I113" i="5"/>
  <c r="G113" i="5"/>
  <c r="H113" i="5"/>
  <c r="F113" i="5"/>
  <c r="I110" i="5"/>
  <c r="E110" i="5"/>
  <c r="G110" i="5"/>
  <c r="F110" i="5"/>
  <c r="H110" i="5"/>
  <c r="I117" i="5"/>
  <c r="G117" i="5"/>
  <c r="E117" i="5"/>
  <c r="H117" i="5"/>
  <c r="F117" i="5"/>
  <c r="E32" i="5"/>
  <c r="G32" i="5"/>
  <c r="H32" i="5"/>
  <c r="I32" i="5"/>
  <c r="F32" i="5"/>
  <c r="G63" i="5"/>
  <c r="I63" i="5"/>
  <c r="F63" i="5"/>
  <c r="E63" i="5"/>
  <c r="H63" i="5"/>
  <c r="H11" i="5"/>
  <c r="E11" i="5"/>
  <c r="I11" i="5"/>
  <c r="G11" i="5"/>
  <c r="F11" i="5"/>
  <c r="F91" i="5"/>
  <c r="H91" i="5"/>
  <c r="E91" i="5"/>
  <c r="I91" i="5"/>
  <c r="G91" i="5"/>
  <c r="G46" i="5"/>
  <c r="I46" i="5"/>
  <c r="E46" i="5"/>
  <c r="F46" i="5"/>
  <c r="H46" i="5"/>
  <c r="G74" i="5"/>
  <c r="F74" i="5"/>
  <c r="H74" i="5"/>
  <c r="E74" i="5"/>
  <c r="I74" i="5"/>
  <c r="G81" i="5"/>
  <c r="F81" i="5"/>
  <c r="H81" i="5"/>
  <c r="E81" i="5"/>
  <c r="I81" i="5"/>
  <c r="G59" i="5"/>
  <c r="F59" i="5"/>
  <c r="E59" i="5"/>
  <c r="I59" i="5"/>
  <c r="H59" i="5"/>
  <c r="F56" i="5"/>
  <c r="I56" i="5"/>
  <c r="G56" i="5"/>
  <c r="H56" i="5"/>
  <c r="E56" i="5"/>
  <c r="O24" i="12"/>
  <c r="N24" i="12"/>
  <c r="X122" i="12"/>
  <c r="G65" i="5"/>
  <c r="F65" i="5"/>
  <c r="H65" i="5"/>
  <c r="I65" i="5"/>
  <c r="E65" i="5"/>
  <c r="I57" i="5"/>
  <c r="E57" i="5"/>
  <c r="G57" i="5"/>
  <c r="F57" i="5"/>
  <c r="H57" i="5"/>
  <c r="I49" i="5"/>
  <c r="E49" i="5"/>
  <c r="G49" i="5"/>
  <c r="F49" i="5"/>
  <c r="H49" i="5"/>
  <c r="H69" i="5"/>
  <c r="G69" i="5"/>
  <c r="E69" i="5"/>
  <c r="I69" i="5"/>
  <c r="F69" i="5"/>
  <c r="G72" i="5"/>
  <c r="F72" i="5"/>
  <c r="I72" i="5"/>
  <c r="E72" i="5"/>
  <c r="H72" i="5"/>
  <c r="F90" i="5"/>
  <c r="I90" i="5"/>
  <c r="E90" i="5"/>
  <c r="G90" i="5"/>
  <c r="H90" i="5"/>
  <c r="E17" i="5"/>
  <c r="F17" i="5"/>
  <c r="I17" i="5"/>
  <c r="G17" i="5"/>
  <c r="H17" i="5"/>
  <c r="H79" i="5"/>
  <c r="G79" i="5"/>
  <c r="E79" i="5"/>
  <c r="F79" i="5"/>
  <c r="I79" i="5"/>
  <c r="H25" i="5"/>
  <c r="E25" i="5"/>
  <c r="G25" i="5"/>
  <c r="F25" i="5"/>
  <c r="I25" i="5"/>
  <c r="E26" i="5"/>
  <c r="I26" i="5"/>
  <c r="F26" i="5"/>
  <c r="H26" i="5"/>
  <c r="G26" i="5"/>
  <c r="F18" i="5"/>
  <c r="I18" i="5"/>
  <c r="E18" i="5"/>
  <c r="G18" i="5"/>
  <c r="H18" i="5"/>
  <c r="G15" i="5"/>
  <c r="H15" i="5"/>
  <c r="I15" i="5"/>
  <c r="F15" i="5"/>
  <c r="E15" i="5"/>
  <c r="F121" i="5"/>
  <c r="H121" i="5"/>
  <c r="I121" i="5"/>
  <c r="E121" i="5"/>
  <c r="G121" i="5"/>
  <c r="F20" i="5"/>
  <c r="H20" i="5"/>
  <c r="I20" i="5"/>
  <c r="G20" i="5"/>
  <c r="E20" i="5"/>
  <c r="G84" i="5"/>
  <c r="E84" i="5"/>
  <c r="H84" i="5"/>
  <c r="I84" i="5"/>
  <c r="F84" i="5"/>
  <c r="I68" i="5"/>
  <c r="F68" i="5"/>
  <c r="H68" i="5"/>
  <c r="E68" i="5"/>
  <c r="G68" i="5"/>
  <c r="N29" i="12"/>
  <c r="O29" i="12"/>
  <c r="G126" i="5"/>
  <c r="H126" i="5"/>
  <c r="I126" i="5"/>
  <c r="F126" i="5"/>
  <c r="E126" i="5"/>
  <c r="G64" i="5"/>
  <c r="E64" i="5"/>
  <c r="I64" i="5"/>
  <c r="F64" i="5"/>
  <c r="H64" i="5"/>
  <c r="H48" i="5"/>
  <c r="G48" i="5"/>
  <c r="I48" i="5"/>
  <c r="F48" i="5"/>
  <c r="E48" i="5"/>
  <c r="I31" i="5"/>
  <c r="E31" i="5"/>
  <c r="H31" i="5"/>
  <c r="G31" i="5"/>
  <c r="F31" i="5"/>
  <c r="I87" i="5"/>
  <c r="E87" i="5"/>
  <c r="F87" i="5"/>
  <c r="H87" i="5"/>
  <c r="G87" i="5"/>
  <c r="E118" i="5"/>
  <c r="H118" i="5"/>
  <c r="I118" i="5"/>
  <c r="G118" i="5"/>
  <c r="F118" i="5"/>
  <c r="E37" i="5"/>
  <c r="F37" i="5"/>
  <c r="I37" i="5"/>
  <c r="G37" i="5"/>
  <c r="H37" i="5"/>
  <c r="F53" i="5"/>
  <c r="H53" i="5"/>
  <c r="I53" i="5"/>
  <c r="G53" i="5"/>
  <c r="E53" i="5"/>
  <c r="E41" i="5"/>
  <c r="I41" i="5"/>
  <c r="F41" i="5"/>
  <c r="G41" i="5"/>
  <c r="H41" i="5"/>
  <c r="I115" i="5"/>
  <c r="E115" i="5"/>
  <c r="G115" i="5"/>
  <c r="F115" i="5"/>
  <c r="H115" i="5"/>
  <c r="G73" i="5"/>
  <c r="I73" i="5"/>
  <c r="H73" i="5"/>
  <c r="F73" i="5"/>
  <c r="E73" i="5"/>
  <c r="F8" i="5"/>
  <c r="I8" i="5"/>
  <c r="G8" i="5"/>
  <c r="H8" i="5"/>
  <c r="E8" i="5"/>
  <c r="H23" i="5"/>
  <c r="I23" i="5"/>
  <c r="G23" i="5"/>
  <c r="F23" i="5"/>
  <c r="E23" i="5"/>
  <c r="H14" i="5"/>
  <c r="F14" i="5"/>
  <c r="G14" i="5"/>
  <c r="E14" i="5"/>
  <c r="I14" i="5"/>
  <c r="H27" i="5"/>
  <c r="E27" i="5"/>
  <c r="I27" i="5"/>
  <c r="G27" i="5"/>
  <c r="F27" i="5"/>
  <c r="I120" i="5"/>
  <c r="G120" i="5"/>
  <c r="E120" i="5"/>
  <c r="H120" i="5"/>
  <c r="F120" i="5"/>
  <c r="N21" i="12"/>
  <c r="O21" i="12"/>
  <c r="X123" i="12"/>
  <c r="E95" i="5"/>
  <c r="I95" i="5"/>
  <c r="G95" i="5"/>
  <c r="H95" i="5"/>
  <c r="F95" i="5"/>
  <c r="I21" i="5"/>
  <c r="F21" i="5"/>
  <c r="H21" i="5"/>
  <c r="G21" i="5"/>
  <c r="E21" i="5"/>
  <c r="F119" i="5"/>
  <c r="G119" i="5"/>
  <c r="H119" i="5"/>
  <c r="E119" i="5"/>
  <c r="I119" i="5"/>
  <c r="H24" i="5"/>
  <c r="G24" i="5"/>
  <c r="F24" i="5"/>
  <c r="E24" i="5"/>
  <c r="I24" i="5"/>
  <c r="E94" i="5"/>
  <c r="F94" i="5"/>
  <c r="I94" i="5"/>
  <c r="G94" i="5"/>
  <c r="H94" i="5"/>
  <c r="E35" i="5"/>
  <c r="G35" i="5"/>
  <c r="I35" i="5"/>
  <c r="H35" i="5"/>
  <c r="F35" i="5"/>
  <c r="F122" i="5"/>
  <c r="G122" i="5"/>
  <c r="I122" i="5"/>
  <c r="E122" i="5"/>
  <c r="H122" i="5"/>
  <c r="I51" i="5"/>
  <c r="G51" i="5"/>
  <c r="E51" i="5"/>
  <c r="H51" i="5"/>
  <c r="F51" i="5"/>
  <c r="E5" i="5"/>
  <c r="H5" i="5"/>
  <c r="G5" i="5"/>
  <c r="F5" i="5"/>
  <c r="I5" i="5"/>
  <c r="G105" i="5"/>
  <c r="E105" i="5"/>
  <c r="I105" i="5"/>
  <c r="F105" i="5"/>
  <c r="H105" i="5"/>
  <c r="I71" i="5"/>
  <c r="H71" i="5"/>
  <c r="G71" i="5"/>
  <c r="E71" i="5"/>
  <c r="F71" i="5"/>
  <c r="E106" i="5"/>
  <c r="H106" i="5"/>
  <c r="G106" i="5"/>
  <c r="I106" i="5"/>
  <c r="F106" i="5"/>
  <c r="G82" i="5"/>
  <c r="I82" i="5"/>
  <c r="E82" i="5"/>
  <c r="F82" i="5"/>
  <c r="H82" i="5"/>
  <c r="F19" i="5"/>
  <c r="G19" i="5"/>
  <c r="H19" i="5"/>
  <c r="E19" i="5"/>
  <c r="I19" i="5"/>
  <c r="F93" i="5"/>
  <c r="G93" i="5"/>
  <c r="I93" i="5"/>
  <c r="H93" i="5"/>
  <c r="E93" i="5"/>
  <c r="N28" i="12"/>
  <c r="O28" i="12"/>
  <c r="N25" i="12"/>
  <c r="O25" i="12"/>
  <c r="H60" i="5"/>
  <c r="G60" i="5"/>
  <c r="F60" i="5"/>
  <c r="I60" i="5"/>
  <c r="E60" i="5"/>
  <c r="F92" i="5"/>
  <c r="H92" i="5"/>
  <c r="I92" i="5"/>
  <c r="E92" i="5"/>
  <c r="G92" i="5"/>
  <c r="I99" i="5"/>
  <c r="G99" i="5"/>
  <c r="H99" i="5"/>
  <c r="F99" i="5"/>
  <c r="E99" i="5"/>
  <c r="F4" i="5"/>
  <c r="H4" i="5"/>
  <c r="G4" i="5"/>
  <c r="E4" i="5"/>
  <c r="I4" i="5"/>
  <c r="G109" i="5"/>
  <c r="E109" i="5"/>
  <c r="I109" i="5"/>
  <c r="H109" i="5"/>
  <c r="F109" i="5"/>
  <c r="F116" i="5"/>
  <c r="I116" i="5"/>
  <c r="H116" i="5"/>
  <c r="E116" i="5"/>
  <c r="G116" i="5"/>
  <c r="G102" i="5"/>
  <c r="F102" i="5"/>
  <c r="E102" i="5"/>
  <c r="I102" i="5"/>
  <c r="H102" i="5"/>
  <c r="G3" i="5"/>
  <c r="H3" i="5"/>
  <c r="F3" i="5"/>
  <c r="E3" i="5"/>
  <c r="I3" i="5"/>
  <c r="H9" i="5"/>
  <c r="I9" i="5"/>
  <c r="F9" i="5"/>
  <c r="E9" i="5"/>
  <c r="G9" i="5"/>
  <c r="G40" i="5"/>
  <c r="E40" i="5"/>
  <c r="F40" i="5"/>
  <c r="I40" i="5"/>
  <c r="H40" i="5"/>
  <c r="I98" i="5"/>
  <c r="F98" i="5"/>
  <c r="H98" i="5"/>
  <c r="G98" i="5"/>
  <c r="E98" i="5"/>
  <c r="F88" i="5"/>
  <c r="H88" i="5"/>
  <c r="E88" i="5"/>
  <c r="I88" i="5"/>
  <c r="G88" i="5"/>
  <c r="I43" i="5"/>
  <c r="H43" i="5"/>
  <c r="E43" i="5"/>
  <c r="F43" i="5"/>
  <c r="G43" i="5"/>
  <c r="H125" i="5"/>
  <c r="I125" i="5"/>
  <c r="F125" i="5"/>
  <c r="E125" i="5"/>
  <c r="G125" i="5"/>
  <c r="G67" i="5"/>
  <c r="E67" i="5"/>
  <c r="H67" i="5"/>
  <c r="F67" i="5"/>
  <c r="I67" i="5"/>
  <c r="N27" i="12"/>
  <c r="O27" i="12"/>
  <c r="N30" i="12"/>
  <c r="O30" i="12"/>
  <c r="G45" i="5"/>
  <c r="I45" i="5"/>
  <c r="E45" i="5"/>
  <c r="F45" i="5"/>
  <c r="H45" i="5"/>
  <c r="I55" i="5"/>
  <c r="F55" i="5"/>
  <c r="G55" i="5"/>
  <c r="E55" i="5"/>
  <c r="H55" i="5"/>
  <c r="G70" i="5"/>
  <c r="H70" i="5"/>
  <c r="F70" i="5"/>
  <c r="E70" i="5"/>
  <c r="I70" i="5"/>
  <c r="F80" i="5"/>
  <c r="E80" i="5"/>
  <c r="H80" i="5"/>
  <c r="G80" i="5"/>
  <c r="I80" i="5"/>
  <c r="E38" i="5"/>
  <c r="I38" i="5"/>
  <c r="H38" i="5"/>
  <c r="F38" i="5"/>
  <c r="G38" i="5"/>
  <c r="I62" i="5"/>
  <c r="G62" i="5"/>
  <c r="F62" i="5"/>
  <c r="H62" i="5"/>
  <c r="E62" i="5"/>
  <c r="H96" i="5"/>
  <c r="E96" i="5"/>
  <c r="G96" i="5"/>
  <c r="F96" i="5"/>
  <c r="I96" i="5"/>
  <c r="I111" i="5"/>
  <c r="H111" i="5"/>
  <c r="E111" i="5"/>
  <c r="F111" i="5"/>
  <c r="G111" i="5"/>
  <c r="E10" i="5"/>
  <c r="G10" i="5"/>
  <c r="F10" i="5"/>
  <c r="I10" i="5"/>
  <c r="H10" i="5"/>
  <c r="I97" i="5"/>
  <c r="G97" i="5"/>
  <c r="F97" i="5"/>
  <c r="E97" i="5"/>
  <c r="H97" i="5"/>
  <c r="I114" i="5"/>
  <c r="H114" i="5"/>
  <c r="E114" i="5"/>
  <c r="F114" i="5"/>
  <c r="G114" i="5"/>
  <c r="E112" i="5"/>
  <c r="H112" i="5"/>
  <c r="I112" i="5"/>
  <c r="G112" i="5"/>
  <c r="F112" i="5"/>
  <c r="H12" i="5"/>
  <c r="I12" i="5"/>
  <c r="F12" i="5"/>
  <c r="G12" i="5"/>
  <c r="E12" i="5"/>
  <c r="H66" i="5"/>
  <c r="F66" i="5"/>
  <c r="E66" i="5"/>
  <c r="G66" i="5"/>
  <c r="I66" i="5"/>
  <c r="E108" i="5"/>
  <c r="F108" i="5"/>
  <c r="G108" i="5"/>
  <c r="I108" i="5"/>
  <c r="H108" i="5"/>
  <c r="O26" i="12"/>
  <c r="N26" i="12"/>
  <c r="O20" i="12"/>
  <c r="N20" i="12"/>
  <c r="Q20" i="12" l="1"/>
  <c r="Q26" i="12"/>
  <c r="Q30" i="12"/>
  <c r="Q27" i="12"/>
  <c r="Q25" i="12"/>
  <c r="Q28" i="12"/>
  <c r="Q21" i="12"/>
  <c r="Q29" i="12"/>
  <c r="Q24" i="12"/>
  <c r="Q22" i="12"/>
  <c r="Q23" i="12"/>
  <c r="Q19" i="12"/>
  <c r="X124" i="12"/>
  <c r="X125" i="12"/>
  <c r="X126" i="12"/>
  <c r="X127" i="12"/>
  <c r="X128" i="12"/>
  <c r="X129" i="12"/>
  <c r="X130" i="12"/>
  <c r="X131" i="12"/>
  <c r="X132" i="12"/>
  <c r="X133" i="12"/>
  <c r="X134" i="12" s="1"/>
  <c r="X135" i="12" s="1"/>
  <c r="X136" i="12" s="1"/>
  <c r="X137" i="12" s="1"/>
  <c r="X138" i="12" s="1"/>
  <c r="X139" i="12" s="1"/>
  <c r="X140" i="12" s="1"/>
  <c r="X141" i="12" s="1"/>
  <c r="X142" i="12"/>
  <c r="X143" i="12" s="1"/>
  <c r="X144" i="12" s="1"/>
  <c r="X145" i="12"/>
  <c r="X146" i="12"/>
  <c r="X147" i="12" s="1"/>
  <c r="X148" i="12" s="1"/>
  <c r="X149" i="12" s="1"/>
  <c r="X150" i="12" s="1"/>
  <c r="X151" i="12" s="1"/>
  <c r="X152" i="12" s="1"/>
  <c r="X153" i="12" s="1"/>
  <c r="X154" i="12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/>
  <c r="X638" i="12"/>
  <c r="X639" i="12"/>
  <c r="X640" i="12"/>
  <c r="X641" i="12"/>
  <c r="X642" i="12"/>
  <c r="X643" i="12"/>
  <c r="X644" i="12"/>
  <c r="X645" i="12"/>
  <c r="X646" i="12"/>
  <c r="X647" i="12"/>
  <c r="X648" i="12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 s="1"/>
  <c r="X699" i="12" s="1"/>
  <c r="X700" i="12" s="1"/>
  <c r="X701" i="12" s="1"/>
  <c r="X702" i="12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 s="1"/>
  <c r="X1207" i="12" s="1"/>
  <c r="X1208" i="12" s="1"/>
  <c r="X1209" i="12"/>
  <c r="X1210" i="12" s="1"/>
  <c r="X1211" i="12" s="1"/>
  <c r="X1212" i="12" s="1"/>
  <c r="X1213" i="12"/>
  <c r="X1214" i="12" s="1"/>
  <c r="X1215" i="12" s="1"/>
  <c r="X1216" i="12" s="1"/>
  <c r="X1217" i="12"/>
  <c r="X1218" i="12" s="1"/>
  <c r="X1219" i="12" s="1"/>
  <c r="X1220" i="12" s="1"/>
  <c r="X1221" i="12"/>
  <c r="X1222" i="12" s="1"/>
  <c r="X1223" i="12" s="1"/>
  <c r="X1224" i="12" s="1"/>
  <c r="X1225" i="12"/>
  <c r="X1226" i="12" s="1"/>
  <c r="X1227" i="12" s="1"/>
  <c r="X1228" i="12" s="1"/>
  <c r="X1229" i="12"/>
  <c r="X1230" i="12" s="1"/>
  <c r="X1231" i="12" s="1"/>
  <c r="X1232" i="12" s="1"/>
  <c r="X1233" i="12"/>
  <c r="X1234" i="12" s="1"/>
  <c r="X1235" i="12" s="1"/>
  <c r="X1236" i="12" s="1"/>
  <c r="X1237" i="12"/>
  <c r="X1238" i="12" s="1"/>
  <c r="X1239" i="12" s="1"/>
  <c r="X1240" i="12" s="1"/>
  <c r="X1241" i="12"/>
  <c r="X1242" i="12" s="1"/>
  <c r="X1243" i="12" s="1"/>
  <c r="X1244" i="12" s="1"/>
  <c r="X1245" i="12"/>
  <c r="X1246" i="12" s="1"/>
  <c r="X1247" i="12" s="1"/>
  <c r="X1248" i="12" s="1"/>
  <c r="X1249" i="12"/>
  <c r="X1250" i="12" s="1"/>
  <c r="X1251" i="12" s="1"/>
  <c r="X1252" i="12" s="1"/>
  <c r="X1253" i="12"/>
  <c r="X1254" i="12" s="1"/>
  <c r="X1255" i="12" s="1"/>
  <c r="X1256" i="12" s="1"/>
  <c r="X1257" i="12"/>
  <c r="X1258" i="12" s="1"/>
  <c r="X1259" i="12" s="1"/>
  <c r="X1260" i="12" s="1"/>
  <c r="X1261" i="12"/>
  <c r="X1262" i="12" s="1"/>
  <c r="X1263" i="12" s="1"/>
  <c r="X1264" i="12" s="1"/>
  <c r="X1265" i="12"/>
  <c r="X1266" i="12" s="1"/>
  <c r="X1267" i="12" s="1"/>
  <c r="X1268" i="12" s="1"/>
  <c r="X1269" i="12"/>
  <c r="X1270" i="12" s="1"/>
  <c r="X1271" i="12" s="1"/>
  <c r="X1272" i="12" s="1"/>
  <c r="X1273" i="12"/>
  <c r="X1274" i="12" s="1"/>
  <c r="X1275" i="12" s="1"/>
  <c r="X1276" i="12" s="1"/>
  <c r="X1277" i="12"/>
  <c r="X1278" i="12" s="1"/>
  <c r="X1279" i="12" s="1"/>
  <c r="X1280" i="12" s="1"/>
  <c r="X1281" i="12"/>
  <c r="X1282" i="12" s="1"/>
  <c r="X1283" i="12" s="1"/>
  <c r="X1284" i="12" s="1"/>
  <c r="X1285" i="12"/>
  <c r="X1286" i="12" s="1"/>
  <c r="X1287" i="12" s="1"/>
  <c r="X1288" i="12" s="1"/>
  <c r="X1289" i="12"/>
  <c r="X1290" i="12" s="1"/>
  <c r="X1291" i="12" s="1"/>
  <c r="X1292" i="12" s="1"/>
  <c r="X1293" i="12"/>
  <c r="X1294" i="12" s="1"/>
  <c r="X1295" i="12" s="1"/>
  <c r="X1296" i="12" s="1"/>
  <c r="X1297" i="12"/>
  <c r="X1298" i="12" s="1"/>
  <c r="X1299" i="12" s="1"/>
  <c r="X1300" i="12" s="1"/>
  <c r="X1301" i="12"/>
  <c r="X1302" i="12" s="1"/>
  <c r="X1303" i="12" s="1"/>
  <c r="X1304" i="12" s="1"/>
  <c r="X1305" i="12"/>
  <c r="X1306" i="12" s="1"/>
  <c r="X1307" i="12" s="1"/>
  <c r="X1308" i="12" s="1"/>
  <c r="X1309" i="12"/>
  <c r="X1310" i="12" s="1"/>
  <c r="X1311" i="12" s="1"/>
  <c r="X1312" i="12" s="1"/>
  <c r="X1313" i="12"/>
  <c r="X1314" i="12" s="1"/>
  <c r="X1315" i="12" s="1"/>
  <c r="X1316" i="12" s="1"/>
  <c r="X1317" i="12"/>
  <c r="X1318" i="12" s="1"/>
  <c r="X1319" i="12" s="1"/>
  <c r="X1320" i="12" s="1"/>
  <c r="X1321" i="12"/>
  <c r="X1322" i="12" s="1"/>
  <c r="X1323" i="12" s="1"/>
  <c r="X1324" i="12" s="1"/>
  <c r="X1325" i="12"/>
  <c r="X1326" i="12" s="1"/>
  <c r="X1327" i="12" s="1"/>
  <c r="X1328" i="12" s="1"/>
  <c r="X1329" i="12"/>
  <c r="X1330" i="12" s="1"/>
  <c r="X1331" i="12" s="1"/>
  <c r="X1332" i="12" s="1"/>
  <c r="X1333" i="12"/>
  <c r="X1334" i="12" s="1"/>
  <c r="X1335" i="12" s="1"/>
  <c r="X1336" i="12" s="1"/>
  <c r="X1337" i="12"/>
  <c r="X1338" i="12" s="1"/>
  <c r="X1339" i="12" s="1"/>
  <c r="X1340" i="12" s="1"/>
  <c r="X1341" i="12"/>
  <c r="X1342" i="12" s="1"/>
  <c r="X1343" i="12" s="1"/>
  <c r="X1344" i="12" s="1"/>
  <c r="X1345" i="12"/>
  <c r="X1346" i="12" s="1"/>
  <c r="X1347" i="12" s="1"/>
  <c r="X1348" i="12" s="1"/>
  <c r="X1349" i="12"/>
  <c r="X1350" i="12" s="1"/>
  <c r="X1351" i="12" s="1"/>
  <c r="X1352" i="12" s="1"/>
  <c r="X1353" i="12"/>
  <c r="X1354" i="12" s="1"/>
  <c r="X1355" i="12" s="1"/>
  <c r="X1356" i="12" s="1"/>
  <c r="X1357" i="12"/>
  <c r="X1358" i="12" s="1"/>
  <c r="X1359" i="12" s="1"/>
  <c r="X1360" i="12" s="1"/>
  <c r="X1361" i="12"/>
  <c r="X1362" i="12" s="1"/>
  <c r="X1363" i="12" s="1"/>
  <c r="X1364" i="12" s="1"/>
  <c r="X1365" i="12"/>
  <c r="X1366" i="12" s="1"/>
  <c r="X1367" i="12" s="1"/>
  <c r="X1368" i="12" s="1"/>
  <c r="X1369" i="12"/>
  <c r="X1370" i="12" s="1"/>
  <c r="X1371" i="12" s="1"/>
  <c r="X1372" i="12" s="1"/>
  <c r="X1373" i="12"/>
  <c r="X1374" i="12" s="1"/>
  <c r="X1375" i="12" s="1"/>
  <c r="X1376" i="12" s="1"/>
  <c r="X1377" i="12"/>
  <c r="X1378" i="12" s="1"/>
  <c r="X1379" i="12" s="1"/>
  <c r="X1380" i="12" s="1"/>
  <c r="X1381" i="12"/>
  <c r="X1382" i="12" s="1"/>
  <c r="X1383" i="12" s="1"/>
  <c r="X1384" i="12" s="1"/>
  <c r="X1385" i="12"/>
  <c r="X1386" i="12" s="1"/>
  <c r="X1387" i="12" s="1"/>
  <c r="X1388" i="12" s="1"/>
  <c r="X1389" i="12"/>
  <c r="X1390" i="12" s="1"/>
  <c r="X1391" i="12" s="1"/>
  <c r="X1392" i="12" s="1"/>
  <c r="X1393" i="12"/>
  <c r="X1394" i="12" s="1"/>
  <c r="X1395" i="12" s="1"/>
  <c r="X1396" i="12" s="1"/>
  <c r="X1397" i="12"/>
  <c r="X1398" i="12" s="1"/>
  <c r="X1399" i="12" s="1"/>
  <c r="X1400" i="12" s="1"/>
  <c r="X1401" i="12"/>
  <c r="X1402" i="12" s="1"/>
  <c r="X1403" i="12" s="1"/>
  <c r="X1404" i="12" s="1"/>
  <c r="X1405" i="12"/>
  <c r="X1406" i="12" s="1"/>
  <c r="X1407" i="12" s="1"/>
  <c r="X1408" i="12" s="1"/>
  <c r="X1409" i="12"/>
  <c r="X1410" i="12" s="1"/>
  <c r="X1411" i="12" s="1"/>
  <c r="X1412" i="12" s="1"/>
  <c r="X1413" i="12"/>
  <c r="X1414" i="12" s="1"/>
  <c r="X1415" i="12" s="1"/>
  <c r="X1416" i="12" s="1"/>
  <c r="X1417" i="12"/>
  <c r="X1418" i="12" s="1"/>
  <c r="X1419" i="12" s="1"/>
  <c r="X1420" i="12" s="1"/>
  <c r="X1421" i="12"/>
  <c r="X1422" i="12" s="1"/>
  <c r="X1423" i="12" s="1"/>
  <c r="X1424" i="12" s="1"/>
  <c r="X1425" i="12"/>
  <c r="X1426" i="12" s="1"/>
  <c r="X1427" i="12" s="1"/>
  <c r="X1428" i="12" s="1"/>
  <c r="X1429" i="12"/>
  <c r="X1430" i="12" s="1"/>
  <c r="X1431" i="12" s="1"/>
  <c r="X1432" i="12" s="1"/>
  <c r="X1433" i="12"/>
  <c r="X1434" i="12" s="1"/>
  <c r="X1435" i="12" s="1"/>
  <c r="X1436" i="12" s="1"/>
  <c r="X1437" i="12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/>
  <c r="X1625" i="12" s="1"/>
  <c r="X1626" i="12" s="1"/>
  <c r="X1627" i="12" s="1"/>
  <c r="X1628" i="12" s="1"/>
  <c r="X1629" i="12" s="1"/>
  <c r="X1630" i="12" s="1"/>
  <c r="X1631" i="12" s="1"/>
  <c r="X1632" i="12" s="1"/>
  <c r="X1633" i="12"/>
  <c r="X1634" i="12" s="1"/>
  <c r="X1635" i="12" s="1"/>
  <c r="X1636" i="12" s="1"/>
  <c r="X1637" i="12" s="1"/>
  <c r="X1638" i="12" s="1"/>
  <c r="X1639" i="12" s="1"/>
  <c r="X1640" i="12" s="1"/>
  <c r="X1641" i="12"/>
  <c r="X1642" i="12" s="1"/>
  <c r="X1643" i="12" s="1"/>
  <c r="X1644" i="12" s="1"/>
  <c r="X1645" i="12" s="1"/>
  <c r="X1646" i="12" s="1"/>
  <c r="X1647" i="12" s="1"/>
  <c r="X1648" i="12" s="1"/>
  <c r="X1649" i="12"/>
  <c r="X1650" i="12" s="1"/>
  <c r="X1651" i="12" s="1"/>
  <c r="X1652" i="12" s="1"/>
  <c r="X1653" i="12" s="1"/>
  <c r="X1654" i="12" s="1"/>
  <c r="X1655" i="12" s="1"/>
  <c r="X1656" i="12" s="1"/>
  <c r="X1657" i="12"/>
  <c r="X1658" i="12" s="1"/>
  <c r="X1659" i="12" s="1"/>
  <c r="X1660" i="12" s="1"/>
  <c r="X1661" i="12" s="1"/>
  <c r="X1662" i="12" s="1"/>
  <c r="X1663" i="12" s="1"/>
  <c r="X1664" i="12" s="1"/>
  <c r="X1665" i="12"/>
  <c r="X1666" i="12" s="1"/>
  <c r="X1667" i="12" s="1"/>
  <c r="X1668" i="12" s="1"/>
  <c r="X1669" i="12" s="1"/>
  <c r="X1670" i="12" s="1"/>
  <c r="X1671" i="12" s="1"/>
  <c r="X1672" i="12" s="1"/>
  <c r="X1673" i="12"/>
  <c r="X1674" i="12" s="1"/>
  <c r="X1675" i="12" s="1"/>
  <c r="X1676" i="12" s="1"/>
  <c r="X1677" i="12" s="1"/>
  <c r="X1678" i="12" s="1"/>
  <c r="X1679" i="12" s="1"/>
  <c r="X1680" i="12" s="1"/>
  <c r="X1681" i="12"/>
  <c r="X1682" i="12" s="1"/>
  <c r="X1683" i="12" s="1"/>
  <c r="X1684" i="12" s="1"/>
  <c r="X1685" i="12" s="1"/>
  <c r="X1686" i="12" s="1"/>
  <c r="X1687" i="12" s="1"/>
  <c r="X1688" i="12" s="1"/>
  <c r="X1689" i="12"/>
  <c r="X1690" i="12" s="1"/>
  <c r="X1691" i="12" s="1"/>
  <c r="X1692" i="12" s="1"/>
  <c r="X1693" i="12" s="1"/>
  <c r="X1694" i="12" s="1"/>
  <c r="X1695" i="12" s="1"/>
  <c r="X1696" i="12" s="1"/>
  <c r="X1697" i="12"/>
  <c r="X1698" i="12" s="1"/>
  <c r="X1699" i="12" s="1"/>
  <c r="X1700" i="12" s="1"/>
  <c r="X1701" i="12" s="1"/>
  <c r="X1702" i="12" s="1"/>
  <c r="X1703" i="12" s="1"/>
  <c r="X1704" i="12" s="1"/>
  <c r="X1705" i="12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/>
  <c r="X1726" i="12" s="1"/>
  <c r="X1727" i="12" s="1"/>
  <c r="X1728" i="12" s="1"/>
  <c r="X1729" i="12" s="1"/>
  <c r="X1730" i="12" s="1"/>
  <c r="X1731" i="12" s="1"/>
  <c r="X1732" i="12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/>
  <c r="X1758" i="12" s="1"/>
  <c r="X1759" i="12" s="1"/>
  <c r="X1760" i="12" s="1"/>
  <c r="X1761" i="12" s="1"/>
  <c r="X1762" i="12" s="1"/>
  <c r="X1763" i="12" s="1"/>
  <c r="X1764" i="12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/>
  <c r="X1790" i="12" s="1"/>
  <c r="X1791" i="12" s="1"/>
  <c r="X1792" i="12" s="1"/>
  <c r="X1793" i="12" s="1"/>
  <c r="X1794" i="12" s="1"/>
  <c r="X1795" i="12" s="1"/>
  <c r="X1796" i="12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/>
  <c r="X1822" i="12" s="1"/>
  <c r="X1823" i="12" s="1"/>
  <c r="X1824" i="12" s="1"/>
  <c r="X1825" i="12" s="1"/>
  <c r="X1826" i="12" s="1"/>
  <c r="X1827" i="12" s="1"/>
  <c r="X1828" i="12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/>
  <c r="X1854" i="12" s="1"/>
  <c r="X1855" i="12" s="1"/>
  <c r="X1856" i="12" s="1"/>
  <c r="X1857" i="12" s="1"/>
  <c r="X1858" i="12" s="1"/>
  <c r="X1859" i="12" s="1"/>
  <c r="X1860" i="12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/>
  <c r="X1886" i="12" s="1"/>
  <c r="X1887" i="12" s="1"/>
  <c r="X1888" i="12" s="1"/>
  <c r="X1889" i="12" s="1"/>
  <c r="X1890" i="12" s="1"/>
  <c r="X1891" i="12" s="1"/>
  <c r="X1892" i="12"/>
  <c r="X1893" i="12" s="1"/>
  <c r="X1894" i="12" s="1"/>
  <c r="X1895" i="12" s="1"/>
  <c r="X1896" i="12" s="1"/>
  <c r="X1897" i="12"/>
  <c r="X1898" i="12" s="1"/>
  <c r="X1899" i="12" s="1"/>
  <c r="X1900" i="12" s="1"/>
  <c r="X1901" i="12" s="1"/>
  <c r="X1902" i="12" s="1"/>
  <c r="X1903" i="12" s="1"/>
  <c r="X1904" i="12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/>
  <c r="X2156" i="12" s="1"/>
  <c r="X2157" i="12" s="1"/>
  <c r="X2158" i="12" s="1"/>
  <c r="X2159" i="12" s="1"/>
  <c r="X2160" i="12" s="1"/>
  <c r="X2161" i="12" s="1"/>
  <c r="X2162" i="12" s="1"/>
  <c r="X2163" i="12"/>
  <c r="X2164" i="12" s="1"/>
  <c r="X2165" i="12" s="1"/>
  <c r="X2166" i="12" s="1"/>
  <c r="X2167" i="12" s="1"/>
  <c r="X2168" i="12" s="1"/>
  <c r="X2169" i="12" s="1"/>
  <c r="X2170" i="12" s="1"/>
  <c r="X2171" i="12"/>
  <c r="X2172" i="12" s="1"/>
  <c r="X2173" i="12" s="1"/>
  <c r="X2174" i="12" s="1"/>
  <c r="X2175" i="12" s="1"/>
  <c r="X2176" i="12" s="1"/>
  <c r="X2177" i="12" s="1"/>
  <c r="X2178" i="12" s="1"/>
  <c r="X2179" i="12"/>
  <c r="X2180" i="12" s="1"/>
  <c r="X2181" i="12" s="1"/>
  <c r="X2182" i="12" s="1"/>
  <c r="X2183" i="12" s="1"/>
  <c r="X2184" i="12" s="1"/>
  <c r="X2185" i="12" s="1"/>
  <c r="X2186" i="12" s="1"/>
  <c r="X2187" i="12"/>
  <c r="X2188" i="12" s="1"/>
  <c r="X2189" i="12" s="1"/>
  <c r="X2190" i="12" s="1"/>
  <c r="X2191" i="12" s="1"/>
  <c r="X2192" i="12" s="1"/>
  <c r="X2193" i="12" s="1"/>
  <c r="X2194" i="12" s="1"/>
  <c r="X2195" i="12"/>
  <c r="X2196" i="12" s="1"/>
  <c r="X2197" i="12" s="1"/>
  <c r="X2198" i="12" s="1"/>
  <c r="X2199" i="12" s="1"/>
  <c r="X2200" i="12" s="1"/>
  <c r="X2201" i="12" s="1"/>
  <c r="X2202" i="12" s="1"/>
  <c r="X2203" i="12"/>
  <c r="X2204" i="12" s="1"/>
  <c r="X2205" i="12" s="1"/>
  <c r="X2206" i="12" s="1"/>
  <c r="X2207" i="12" s="1"/>
  <c r="X2208" i="12" s="1"/>
  <c r="X2209" i="12" s="1"/>
  <c r="X2210" i="12" s="1"/>
  <c r="X2211" i="12"/>
  <c r="X2212" i="12" s="1"/>
  <c r="X2213" i="12" s="1"/>
  <c r="X2214" i="12" s="1"/>
  <c r="X2215" i="12" s="1"/>
  <c r="X2216" i="12" s="1"/>
  <c r="X2217" i="12" s="1"/>
  <c r="X2218" i="12" s="1"/>
  <c r="X2219" i="12"/>
  <c r="X2220" i="12" s="1"/>
  <c r="X2221" i="12" s="1"/>
  <c r="X2222" i="12" s="1"/>
  <c r="X2223" i="12" s="1"/>
  <c r="X2224" i="12" s="1"/>
  <c r="X2225" i="12" s="1"/>
  <c r="X2226" i="12" s="1"/>
  <c r="X2227" i="12"/>
  <c r="X2228" i="12" s="1"/>
  <c r="X2229" i="12" s="1"/>
  <c r="X2230" i="12" s="1"/>
  <c r="X2231" i="12" s="1"/>
  <c r="X2232" i="12" s="1"/>
  <c r="X2233" i="12" s="1"/>
  <c r="X2234" i="12" s="1"/>
  <c r="X2235" i="12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/>
  <c r="X2256" i="12" s="1"/>
  <c r="X2257" i="12" s="1"/>
  <c r="X2258" i="12" s="1"/>
  <c r="X2259" i="12" s="1"/>
  <c r="X2260" i="12" s="1"/>
  <c r="X2261" i="12" s="1"/>
  <c r="X2262" i="12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/>
  <c r="X2288" i="12" s="1"/>
  <c r="X2289" i="12" s="1"/>
  <c r="X2290" i="12" s="1"/>
  <c r="X2291" i="12" s="1"/>
  <c r="X2292" i="12" s="1"/>
  <c r="X2293" i="12" s="1"/>
  <c r="X2294" i="12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/>
  <c r="X2320" i="12" s="1"/>
  <c r="X2321" i="12" s="1"/>
  <c r="X2322" i="12" s="1"/>
  <c r="X2323" i="12" s="1"/>
  <c r="X2324" i="12" s="1"/>
  <c r="X2325" i="12" s="1"/>
  <c r="X2326" i="12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/>
  <c r="X2352" i="12" s="1"/>
  <c r="X2353" i="12" s="1"/>
  <c r="X2354" i="12" s="1"/>
  <c r="X2355" i="12" s="1"/>
  <c r="X2356" i="12" s="1"/>
  <c r="X2357" i="12" s="1"/>
  <c r="X2358" i="12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/>
  <c r="X2384" i="12" s="1"/>
  <c r="X2385" i="12" s="1"/>
  <c r="X2386" i="12" s="1"/>
  <c r="X2387" i="12" s="1"/>
  <c r="X2388" i="12" s="1"/>
  <c r="X2389" i="12" s="1"/>
  <c r="X2390" i="12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/>
  <c r="X2416" i="12" s="1"/>
  <c r="X2417" i="12" s="1"/>
  <c r="X2418" i="12" s="1"/>
  <c r="X2419" i="12" s="1"/>
  <c r="X2420" i="12" s="1"/>
  <c r="X2421" i="12" s="1"/>
  <c r="X2422" i="12"/>
  <c r="X2423" i="12" s="1"/>
  <c r="X2424" i="12" s="1"/>
  <c r="X2425" i="12" s="1"/>
  <c r="X2426" i="12" s="1"/>
  <c r="X2427" i="12"/>
  <c r="X2428" i="12" s="1"/>
  <c r="X2429" i="12" s="1"/>
  <c r="X2430" i="12" s="1"/>
  <c r="X2431" i="12" s="1"/>
  <c r="X2432" i="12" s="1"/>
  <c r="X2433" i="12" s="1"/>
  <c r="X2434" i="12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/>
  <c r="X2448" i="12" s="1"/>
  <c r="X2449" i="12" s="1"/>
  <c r="X2450" i="12" s="1"/>
  <c r="X2451" i="12" s="1"/>
  <c r="X2452" i="12" s="1"/>
  <c r="X2453" i="12" s="1"/>
  <c r="X2454" i="12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 s="1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 s="1"/>
  <c r="X2606" i="12" s="1"/>
  <c r="X2607" i="12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/>
  <c r="X2786" i="12" s="1"/>
  <c r="X2787" i="12" s="1"/>
  <c r="X2788" i="12" s="1"/>
  <c r="X2789" i="12" s="1"/>
  <c r="X2790" i="12" s="1"/>
  <c r="X2791" i="12" s="1"/>
  <c r="X2792" i="12" s="1"/>
  <c r="X2793" i="12"/>
  <c r="X2794" i="12" s="1"/>
  <c r="X2795" i="12" s="1"/>
  <c r="X2796" i="12" s="1"/>
  <c r="X2797" i="12" s="1"/>
  <c r="X2798" i="12" s="1"/>
  <c r="X2799" i="12" s="1"/>
  <c r="X2800" i="12" s="1"/>
  <c r="X2801" i="12"/>
  <c r="X2802" i="12" s="1"/>
  <c r="X2803" i="12" s="1"/>
  <c r="X2804" i="12" s="1"/>
  <c r="X2805" i="12" s="1"/>
  <c r="X2806" i="12" s="1"/>
  <c r="X2807" i="12" s="1"/>
  <c r="X2808" i="12" s="1"/>
  <c r="X2809" i="12"/>
  <c r="X2810" i="12" s="1"/>
  <c r="X2811" i="12" s="1"/>
  <c r="X2812" i="12" s="1"/>
  <c r="X2813" i="12" s="1"/>
  <c r="X2814" i="12" s="1"/>
  <c r="X2815" i="12" s="1"/>
  <c r="X2816" i="12" s="1"/>
  <c r="X2817" i="12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/>
  <c r="X2843" i="12" s="1"/>
  <c r="X2844" i="12" s="1"/>
  <c r="X2845" i="12" s="1"/>
  <c r="X2846" i="12" s="1"/>
  <c r="X2847" i="12" s="1"/>
  <c r="X2848" i="12" s="1"/>
  <c r="X2849" i="12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/>
  <c r="X2875" i="12" s="1"/>
  <c r="X2876" i="12" s="1"/>
  <c r="X2877" i="12" s="1"/>
  <c r="X2878" i="12" s="1"/>
  <c r="X2879" i="12" s="1"/>
  <c r="X2880" i="12" s="1"/>
  <c r="X2881" i="12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/>
  <c r="X2907" i="12" s="1"/>
  <c r="X2908" i="12" s="1"/>
  <c r="X2909" i="12" s="1"/>
  <c r="X2910" i="12" s="1"/>
  <c r="X2911" i="12" s="1"/>
  <c r="X2912" i="12" s="1"/>
  <c r="X2913" i="12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/>
  <c r="X2939" i="12" s="1"/>
  <c r="X2940" i="12" s="1"/>
  <c r="X2941" i="12" s="1"/>
  <c r="X2942" i="12" s="1"/>
  <c r="X2943" i="12" s="1"/>
  <c r="X2944" i="12" s="1"/>
  <c r="X2945" i="12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/>
  <c r="X2971" i="12" s="1"/>
  <c r="X2972" i="12" s="1"/>
  <c r="X2973" i="12" s="1"/>
  <c r="X2974" i="12" s="1"/>
  <c r="X2975" i="12" s="1"/>
  <c r="X2976" i="12" s="1"/>
  <c r="X2977" i="12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/>
  <c r="X3003" i="12" s="1"/>
  <c r="X3004" i="12" s="1"/>
  <c r="X3005" i="12" s="1"/>
  <c r="X3006" i="12" s="1"/>
  <c r="X3007" i="12" s="1"/>
  <c r="X3008" i="12" s="1"/>
  <c r="X3009" i="12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/>
  <c r="X3035" i="12" s="1"/>
  <c r="X3036" i="12" s="1"/>
  <c r="X3037" i="12" s="1"/>
  <c r="X3038" i="12" s="1"/>
  <c r="X3039" i="12" s="1"/>
  <c r="X3040" i="12" s="1"/>
  <c r="X3041" i="12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/>
  <c r="X3067" i="12" s="1"/>
  <c r="X3068" i="12" s="1"/>
  <c r="X3069" i="12" s="1"/>
  <c r="X3070" i="12" s="1"/>
  <c r="X3071" i="12" s="1"/>
  <c r="X3072" i="12" s="1"/>
  <c r="X3073" i="12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/>
  <c r="X3099" i="12" s="1"/>
  <c r="X3100" i="12" s="1"/>
  <c r="X3101" i="12" s="1"/>
  <c r="X3102" i="12" s="1"/>
  <c r="X3103" i="12" s="1"/>
  <c r="X3104" i="12" s="1"/>
  <c r="X3105" i="12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/>
  <c r="X3131" i="12" s="1"/>
  <c r="X3132" i="12" s="1"/>
  <c r="X3133" i="12" s="1"/>
  <c r="X3134" i="12" s="1"/>
  <c r="X3135" i="12" s="1"/>
  <c r="X3136" i="12" s="1"/>
  <c r="X3137" i="12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/>
  <c r="X3163" i="12" s="1"/>
  <c r="X3164" i="12" s="1"/>
  <c r="X3165" i="12" s="1"/>
  <c r="X3166" i="12" s="1"/>
  <c r="X3167" i="12" s="1"/>
  <c r="X3168" i="12" s="1"/>
  <c r="X3169" i="12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/>
  <c r="X3195" i="12" s="1"/>
  <c r="X3196" i="12" s="1"/>
  <c r="X3197" i="12" s="1"/>
  <c r="X3198" i="12" s="1"/>
  <c r="X3199" i="12" s="1"/>
  <c r="X3200" i="12" s="1"/>
  <c r="X3201" i="12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/>
  <c r="X3291" i="12" s="1"/>
  <c r="X3292" i="12" s="1"/>
  <c r="X3293" i="12" s="1"/>
  <c r="X3294" i="12" s="1"/>
  <c r="X3295" i="12" s="1"/>
  <c r="X3296" i="12" s="1"/>
  <c r="X3297" i="12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D14" i="6" l="1"/>
  <c r="P29" i="12"/>
  <c r="J1" i="5" a="1"/>
  <c r="C27" i="6"/>
  <c r="P23" i="12"/>
  <c r="AA17" i="12"/>
  <c r="P22" i="12"/>
  <c r="P26" i="12"/>
  <c r="P21" i="12"/>
  <c r="D31" i="6"/>
  <c r="P20" i="12"/>
  <c r="P27" i="12"/>
  <c r="P19" i="12"/>
  <c r="J23" i="12"/>
  <c r="D15" i="6"/>
  <c r="P28" i="12"/>
  <c r="P30" i="12"/>
  <c r="P24" i="12"/>
  <c r="Z17" i="12"/>
  <c r="Y51" i="12"/>
  <c r="Y21" i="12"/>
  <c r="Y47" i="12"/>
  <c r="Y24" i="12"/>
  <c r="Y32" i="12"/>
  <c r="Y55" i="12"/>
  <c r="Y48" i="12"/>
  <c r="Y54" i="12"/>
  <c r="Y26" i="12"/>
  <c r="Y28" i="12"/>
  <c r="Y34" i="12"/>
  <c r="Y29" i="12"/>
  <c r="Y50" i="12"/>
  <c r="Y44" i="12"/>
  <c r="Y41" i="12"/>
  <c r="Y31" i="12"/>
  <c r="Y56" i="12"/>
  <c r="Y52" i="12"/>
  <c r="Y57" i="12"/>
  <c r="Y58" i="12"/>
  <c r="Y43" i="12"/>
  <c r="Y25" i="12"/>
  <c r="Y27" i="12"/>
  <c r="Y20" i="12"/>
  <c r="Y39" i="12"/>
  <c r="Y23" i="12"/>
  <c r="Y33" i="12"/>
  <c r="Y30" i="12"/>
  <c r="Y35" i="12"/>
  <c r="Y49" i="12"/>
  <c r="Y36" i="12"/>
  <c r="Y53" i="12"/>
  <c r="Y42" i="12"/>
  <c r="Y59" i="12"/>
  <c r="Y40" i="12"/>
  <c r="Y38" i="12"/>
  <c r="Y46" i="12"/>
  <c r="Y45" i="12"/>
  <c r="C28" i="6"/>
  <c r="P25" i="12"/>
  <c r="Y19" i="12"/>
  <c r="Y22" i="12"/>
  <c r="Y37" i="12"/>
  <c r="D30" i="6"/>
  <c r="R29" i="12"/>
  <c r="S29" i="12" s="1"/>
  <c r="R21" i="12"/>
  <c r="S21" i="12" s="1"/>
  <c r="R28" i="12"/>
  <c r="S28" i="12" s="1"/>
  <c r="R25" i="12"/>
  <c r="S25" i="12" s="1"/>
  <c r="R19" i="12"/>
  <c r="S19" i="12" s="1"/>
  <c r="R27" i="12"/>
  <c r="S27" i="12" s="1"/>
  <c r="R23" i="12"/>
  <c r="S23" i="12" s="1"/>
  <c r="R30" i="12"/>
  <c r="S30" i="12" s="1"/>
  <c r="R22" i="12"/>
  <c r="S22" i="12" s="1"/>
  <c r="R26" i="12"/>
  <c r="S26" i="12" s="1"/>
  <c r="R24" i="12"/>
  <c r="S24" i="12" s="1"/>
  <c r="R20" i="12"/>
  <c r="S20" i="12" s="1"/>
  <c r="E14" i="12"/>
  <c r="E8" i="12"/>
  <c r="J56" i="5"/>
  <c r="J94" i="5"/>
  <c r="J116" i="5"/>
  <c r="J96" i="5"/>
  <c r="J61" i="5"/>
  <c r="J120" i="5"/>
  <c r="J107" i="5"/>
  <c r="J29" i="5"/>
  <c r="J70" i="5"/>
  <c r="J14" i="5"/>
  <c r="J59" i="5"/>
  <c r="J110" i="5"/>
  <c r="J47" i="5"/>
  <c r="J126" i="5"/>
  <c r="J30" i="5"/>
  <c r="E12" i="12"/>
  <c r="E7" i="12"/>
  <c r="J68" i="5"/>
  <c r="J48" i="5"/>
  <c r="J69" i="5"/>
  <c r="J88" i="5"/>
  <c r="J114" i="5"/>
  <c r="J86" i="5"/>
  <c r="J39" i="5"/>
  <c r="J119" i="5"/>
  <c r="J6" i="5"/>
  <c r="J31" i="5"/>
  <c r="J2" i="5"/>
  <c r="J123" i="5"/>
  <c r="J113" i="5"/>
  <c r="J82" i="5"/>
  <c r="J121" i="5"/>
  <c r="E11" i="12"/>
  <c r="J25" i="5"/>
  <c r="J23" i="5"/>
  <c r="J109" i="5"/>
  <c r="J125" i="5"/>
  <c r="J20" i="5"/>
  <c r="J26" i="5"/>
  <c r="J76" i="5"/>
  <c r="J73" i="5"/>
  <c r="J58" i="5"/>
  <c r="J92" i="5"/>
  <c r="J32" i="5"/>
  <c r="J124" i="5"/>
  <c r="J55" i="5"/>
  <c r="J50" i="5"/>
  <c r="J117" i="5"/>
  <c r="J103" i="5"/>
  <c r="J95" i="5"/>
  <c r="E5" i="12"/>
  <c r="E6" i="12"/>
  <c r="E16" i="12"/>
  <c r="J112" i="5"/>
  <c r="J83" i="5"/>
  <c r="J33" i="5"/>
  <c r="J35" i="5"/>
  <c r="J115" i="5"/>
  <c r="J49" i="5"/>
  <c r="J34" i="5"/>
  <c r="J52" i="5"/>
  <c r="J41" i="5"/>
  <c r="J51" i="5"/>
  <c r="J16" i="5"/>
  <c r="J78" i="5"/>
  <c r="J28" i="5"/>
  <c r="J42" i="5"/>
  <c r="J74" i="5"/>
  <c r="E4" i="12"/>
  <c r="J22" i="5"/>
  <c r="J21" i="5"/>
  <c r="J106" i="5"/>
  <c r="J10" i="5"/>
  <c r="J24" i="5"/>
  <c r="J12" i="5"/>
  <c r="J99" i="5"/>
  <c r="J13" i="5"/>
  <c r="J122" i="5"/>
  <c r="J17" i="5"/>
  <c r="J104" i="5"/>
  <c r="J7" i="5"/>
  <c r="J9" i="5"/>
  <c r="J1" i="5"/>
  <c r="J80" i="5"/>
  <c r="E3" i="12"/>
  <c r="E15" i="12"/>
  <c r="J105" i="5"/>
  <c r="J97" i="5"/>
  <c r="J77" i="5"/>
  <c r="J5" i="5"/>
  <c r="J53" i="5"/>
  <c r="J81" i="5"/>
  <c r="J60" i="5"/>
  <c r="E13" i="12"/>
  <c r="J43" i="5"/>
  <c r="J64" i="5"/>
  <c r="J100" i="5"/>
  <c r="J65" i="5"/>
  <c r="J71" i="5"/>
  <c r="J38" i="5"/>
  <c r="J3" i="5"/>
  <c r="J72" i="5"/>
  <c r="J111" i="5"/>
  <c r="E10" i="12"/>
  <c r="J67" i="5"/>
  <c r="J15" i="5"/>
  <c r="J37" i="5"/>
  <c r="J11" i="5"/>
  <c r="J89" i="5"/>
  <c r="J75" i="5"/>
  <c r="J101" i="5"/>
  <c r="J19" i="5"/>
  <c r="J36" i="5"/>
  <c r="E9" i="12"/>
  <c r="J98" i="5"/>
  <c r="J91" i="5"/>
  <c r="J44" i="5"/>
  <c r="J87" i="5"/>
  <c r="J18" i="5"/>
  <c r="J63" i="5"/>
  <c r="J90" i="5"/>
  <c r="J85" i="5"/>
  <c r="J102" i="5"/>
  <c r="J62" i="5"/>
  <c r="J40" i="5"/>
  <c r="J118" i="5"/>
  <c r="J54" i="5"/>
  <c r="J84" i="5"/>
  <c r="J27" i="5"/>
  <c r="J66" i="5"/>
  <c r="J46" i="5"/>
  <c r="J93" i="5"/>
  <c r="J4" i="5"/>
  <c r="J79" i="5"/>
  <c r="J108" i="5"/>
  <c r="J57" i="5"/>
  <c r="J45" i="5"/>
  <c r="J8" i="5"/>
  <c r="Y61" i="12"/>
  <c r="Y65" i="12"/>
  <c r="Y69" i="12"/>
  <c r="Y73" i="12"/>
  <c r="Y77" i="12"/>
  <c r="Y81" i="12"/>
  <c r="Y85" i="12"/>
  <c r="Y89" i="12"/>
  <c r="Y93" i="12"/>
  <c r="Y97" i="12"/>
  <c r="Y101" i="12"/>
  <c r="Y105" i="12"/>
  <c r="Y109" i="12"/>
  <c r="Y113" i="12"/>
  <c r="Y117" i="12"/>
  <c r="Y121" i="12"/>
  <c r="Y62" i="12"/>
  <c r="Y66" i="12"/>
  <c r="Y70" i="12"/>
  <c r="Y74" i="12"/>
  <c r="Y78" i="12"/>
  <c r="Y82" i="12"/>
  <c r="Y86" i="12"/>
  <c r="Y90" i="12"/>
  <c r="Y94" i="12"/>
  <c r="Y98" i="12"/>
  <c r="Y102" i="12"/>
  <c r="Y110" i="12"/>
  <c r="Y114" i="12"/>
  <c r="Y118" i="12"/>
  <c r="D29" i="6"/>
  <c r="Y63" i="12"/>
  <c r="Y71" i="12"/>
  <c r="Y75" i="12"/>
  <c r="Y83" i="12"/>
  <c r="Y91" i="12"/>
  <c r="Y99" i="12"/>
  <c r="Y107" i="12"/>
  <c r="Y115" i="12"/>
  <c r="Y60" i="12"/>
  <c r="Y68" i="12"/>
  <c r="Y76" i="12"/>
  <c r="Y84" i="12"/>
  <c r="Y88" i="12"/>
  <c r="Y96" i="12"/>
  <c r="Y104" i="12"/>
  <c r="Y112" i="12"/>
  <c r="Y116" i="12"/>
  <c r="Y106" i="12"/>
  <c r="Y67" i="12"/>
  <c r="Y79" i="12"/>
  <c r="Y87" i="12"/>
  <c r="Y95" i="12"/>
  <c r="Y103" i="12"/>
  <c r="Y111" i="12"/>
  <c r="Y119" i="12"/>
  <c r="Y64" i="12"/>
  <c r="Y72" i="12"/>
  <c r="Y80" i="12"/>
  <c r="Y92" i="12"/>
  <c r="Y100" i="12"/>
  <c r="Y108" i="12"/>
  <c r="Y120" i="12"/>
  <c r="Y122" i="12"/>
  <c r="Y123" i="12"/>
  <c r="D28" i="6"/>
  <c r="D27" i="6"/>
  <c r="Y124" i="12"/>
  <c r="T30" i="12"/>
  <c r="Y125" i="12"/>
  <c r="Y126" i="12"/>
  <c r="Y127" i="12"/>
  <c r="Y128" i="12"/>
  <c r="Y129" i="12"/>
  <c r="Y130" i="12"/>
  <c r="Y579" i="12"/>
  <c r="Y140" i="12"/>
  <c r="Y196" i="12"/>
  <c r="Y212" i="12"/>
  <c r="Y224" i="12"/>
  <c r="Y236" i="12"/>
  <c r="Y248" i="12"/>
  <c r="Y260" i="12"/>
  <c r="Y276" i="12"/>
  <c r="Y288" i="12"/>
  <c r="Y300" i="12"/>
  <c r="Y312" i="12"/>
  <c r="Y324" i="12"/>
  <c r="Y340" i="12"/>
  <c r="Y352" i="12"/>
  <c r="Y364" i="12"/>
  <c r="Y376" i="12"/>
  <c r="Y388" i="12"/>
  <c r="Y404" i="12"/>
  <c r="Y416" i="12"/>
  <c r="Y428" i="12"/>
  <c r="Y440" i="12"/>
  <c r="Y452" i="12"/>
  <c r="Y464" i="12"/>
  <c r="Y480" i="12"/>
  <c r="Y492" i="12"/>
  <c r="Y504" i="12"/>
  <c r="Y516" i="12"/>
  <c r="Y528" i="12"/>
  <c r="Y540" i="12"/>
  <c r="Y556" i="12"/>
  <c r="Y568" i="12"/>
  <c r="Y576" i="12"/>
  <c r="Y137" i="12"/>
  <c r="Y165" i="12"/>
  <c r="Y185" i="12"/>
  <c r="Y197" i="12"/>
  <c r="Y205" i="12"/>
  <c r="Y225" i="12"/>
  <c r="Y245" i="12"/>
  <c r="Y261" i="12"/>
  <c r="Y277" i="12"/>
  <c r="Y289" i="12"/>
  <c r="Y301" i="12"/>
  <c r="Y317" i="12"/>
  <c r="Y337" i="12"/>
  <c r="Y353" i="12"/>
  <c r="Y369" i="12"/>
  <c r="Y397" i="12"/>
  <c r="Y413" i="12"/>
  <c r="Y429" i="12"/>
  <c r="Y445" i="12"/>
  <c r="Y465" i="12"/>
  <c r="Y477" i="12"/>
  <c r="Y493" i="12"/>
  <c r="Y513" i="12"/>
  <c r="Y529" i="12"/>
  <c r="Y549" i="12"/>
  <c r="Y569" i="12"/>
  <c r="Y290" i="12"/>
  <c r="Y362" i="12"/>
  <c r="Y382" i="12"/>
  <c r="Y402" i="12"/>
  <c r="Y422" i="12"/>
  <c r="Y438" i="12"/>
  <c r="Y474" i="12"/>
  <c r="Y494" i="12"/>
  <c r="Y506" i="12"/>
  <c r="Y522" i="12"/>
  <c r="Y538" i="12"/>
  <c r="Y550" i="12"/>
  <c r="Y578" i="12"/>
  <c r="Y131" i="12"/>
  <c r="Y135" i="12"/>
  <c r="Y139" i="12"/>
  <c r="Y143" i="12"/>
  <c r="Y147" i="12"/>
  <c r="Y151" i="12"/>
  <c r="Y155" i="12"/>
  <c r="Y159" i="12"/>
  <c r="Y163" i="12"/>
  <c r="Y167" i="12"/>
  <c r="Y171" i="12"/>
  <c r="Y175" i="12"/>
  <c r="Y179" i="12"/>
  <c r="Y183" i="12"/>
  <c r="Y187" i="12"/>
  <c r="Y191" i="12"/>
  <c r="Y195" i="12"/>
  <c r="Y199" i="12"/>
  <c r="Y203" i="12"/>
  <c r="Y207" i="12"/>
  <c r="Y211" i="12"/>
  <c r="Y215" i="12"/>
  <c r="Y219" i="12"/>
  <c r="Y223" i="12"/>
  <c r="Y227" i="12"/>
  <c r="Y231" i="12"/>
  <c r="Y235" i="12"/>
  <c r="Y239" i="12"/>
  <c r="Y243" i="12"/>
  <c r="Y247" i="12"/>
  <c r="Y251" i="12"/>
  <c r="Y255" i="12"/>
  <c r="Y259" i="12"/>
  <c r="Y263" i="12"/>
  <c r="Y267" i="12"/>
  <c r="Y271" i="12"/>
  <c r="Y275" i="12"/>
  <c r="Y279" i="12"/>
  <c r="Y283" i="12"/>
  <c r="Y287" i="12"/>
  <c r="Y291" i="12"/>
  <c r="Y295" i="12"/>
  <c r="Y299" i="12"/>
  <c r="Y303" i="12"/>
  <c r="Y307" i="12"/>
  <c r="Y311" i="12"/>
  <c r="Y315" i="12"/>
  <c r="Y319" i="12"/>
  <c r="Y323" i="12"/>
  <c r="Y327" i="12"/>
  <c r="Y331" i="12"/>
  <c r="Y335" i="12"/>
  <c r="Y339" i="12"/>
  <c r="Y343" i="12"/>
  <c r="Y347" i="12"/>
  <c r="Y351" i="12"/>
  <c r="Y355" i="12"/>
  <c r="Y359" i="12"/>
  <c r="Y363" i="12"/>
  <c r="Y367" i="12"/>
  <c r="Y371" i="12"/>
  <c r="Y375" i="12"/>
  <c r="Y379" i="12"/>
  <c r="Y383" i="12"/>
  <c r="Y387" i="12"/>
  <c r="Y391" i="12"/>
  <c r="Y395" i="12"/>
  <c r="Y399" i="12"/>
  <c r="Y403" i="12"/>
  <c r="Y407" i="12"/>
  <c r="Y411" i="12"/>
  <c r="Y415" i="12"/>
  <c r="Y419" i="12"/>
  <c r="Y423" i="12"/>
  <c r="Y427" i="12"/>
  <c r="Y431" i="12"/>
  <c r="Y435" i="12"/>
  <c r="Y439" i="12"/>
  <c r="Y443" i="12"/>
  <c r="Y447" i="12"/>
  <c r="Y451" i="12"/>
  <c r="Y455" i="12"/>
  <c r="Y459" i="12"/>
  <c r="Y463" i="12"/>
  <c r="Y467" i="12"/>
  <c r="Y471" i="12"/>
  <c r="Y475" i="12"/>
  <c r="Y479" i="12"/>
  <c r="Y483" i="12"/>
  <c r="Y487" i="12"/>
  <c r="Y491" i="12"/>
  <c r="Y495" i="12"/>
  <c r="Y499" i="12"/>
  <c r="Y503" i="12"/>
  <c r="Y507" i="12"/>
  <c r="Y511" i="12"/>
  <c r="Y515" i="12"/>
  <c r="Y519" i="12"/>
  <c r="Y523" i="12"/>
  <c r="Y527" i="12"/>
  <c r="Y531" i="12"/>
  <c r="Y535" i="12"/>
  <c r="Y539" i="12"/>
  <c r="Y543" i="12"/>
  <c r="Y547" i="12"/>
  <c r="Y551" i="12"/>
  <c r="Y555" i="12"/>
  <c r="Y559" i="12"/>
  <c r="Y563" i="12"/>
  <c r="Y567" i="12"/>
  <c r="Y571" i="12"/>
  <c r="Y575" i="12"/>
  <c r="Y144" i="12"/>
  <c r="Y192" i="12"/>
  <c r="Y208" i="12"/>
  <c r="Y220" i="12"/>
  <c r="Y240" i="12"/>
  <c r="Y256" i="12"/>
  <c r="Y268" i="12"/>
  <c r="Y284" i="12"/>
  <c r="Y296" i="12"/>
  <c r="Y308" i="12"/>
  <c r="Y320" i="12"/>
  <c r="Y336" i="12"/>
  <c r="Y348" i="12"/>
  <c r="Y360" i="12"/>
  <c r="Y372" i="12"/>
  <c r="Y384" i="12"/>
  <c r="Y400" i="12"/>
  <c r="Y412" i="12"/>
  <c r="Y424" i="12"/>
  <c r="Y436" i="12"/>
  <c r="Y448" i="12"/>
  <c r="Y460" i="12"/>
  <c r="Y476" i="12"/>
  <c r="Y488" i="12"/>
  <c r="Y500" i="12"/>
  <c r="Y512" i="12"/>
  <c r="Y524" i="12"/>
  <c r="Y536" i="12"/>
  <c r="Y552" i="12"/>
  <c r="Y564" i="12"/>
  <c r="Y580" i="12"/>
  <c r="Y133" i="12"/>
  <c r="Y169" i="12"/>
  <c r="Y201" i="12"/>
  <c r="Y221" i="12"/>
  <c r="Y241" i="12"/>
  <c r="Y253" i="12"/>
  <c r="Y285" i="12"/>
  <c r="Y297" i="12"/>
  <c r="Y313" i="12"/>
  <c r="Y329" i="12"/>
  <c r="Y345" i="12"/>
  <c r="Y361" i="12"/>
  <c r="Y377" i="12"/>
  <c r="Y393" i="12"/>
  <c r="Y409" i="12"/>
  <c r="Y433" i="12"/>
  <c r="Y457" i="12"/>
  <c r="Y485" i="12"/>
  <c r="Y501" i="12"/>
  <c r="Y521" i="12"/>
  <c r="Y537" i="12"/>
  <c r="Y557" i="12"/>
  <c r="Y573" i="12"/>
  <c r="Y286" i="12"/>
  <c r="Y366" i="12"/>
  <c r="Y386" i="12"/>
  <c r="Y398" i="12"/>
  <c r="Y414" i="12"/>
  <c r="Y426" i="12"/>
  <c r="Y442" i="12"/>
  <c r="Y454" i="12"/>
  <c r="Y486" i="12"/>
  <c r="Y510" i="12"/>
  <c r="Y526" i="12"/>
  <c r="Y542" i="12"/>
  <c r="Y554" i="12"/>
  <c r="Y148" i="12"/>
  <c r="Y200" i="12"/>
  <c r="Y216" i="12"/>
  <c r="Y228" i="12"/>
  <c r="Y244" i="12"/>
  <c r="Y252" i="12"/>
  <c r="Y264" i="12"/>
  <c r="Y280" i="12"/>
  <c r="Y292" i="12"/>
  <c r="Y304" i="12"/>
  <c r="Y316" i="12"/>
  <c r="Y328" i="12"/>
  <c r="Y344" i="12"/>
  <c r="Y356" i="12"/>
  <c r="Y368" i="12"/>
  <c r="Y380" i="12"/>
  <c r="Y392" i="12"/>
  <c r="Y408" i="12"/>
  <c r="Y420" i="12"/>
  <c r="Y432" i="12"/>
  <c r="Y444" i="12"/>
  <c r="Y456" i="12"/>
  <c r="Y468" i="12"/>
  <c r="Y484" i="12"/>
  <c r="Y496" i="12"/>
  <c r="Y508" i="12"/>
  <c r="Y520" i="12"/>
  <c r="Y532" i="12"/>
  <c r="Y548" i="12"/>
  <c r="Y560" i="12"/>
  <c r="Y572" i="12"/>
  <c r="Y141" i="12"/>
  <c r="Y161" i="12"/>
  <c r="Y181" i="12"/>
  <c r="Y193" i="12"/>
  <c r="Y209" i="12"/>
  <c r="Y233" i="12"/>
  <c r="Y237" i="12"/>
  <c r="Y249" i="12"/>
  <c r="Y265" i="12"/>
  <c r="Y281" i="12"/>
  <c r="Y293" i="12"/>
  <c r="Y309" i="12"/>
  <c r="Y325" i="12"/>
  <c r="Y341" i="12"/>
  <c r="Y357" i="12"/>
  <c r="Y373" i="12"/>
  <c r="Y389" i="12"/>
  <c r="Y401" i="12"/>
  <c r="Y417" i="12"/>
  <c r="Y437" i="12"/>
  <c r="Y449" i="12"/>
  <c r="Y461" i="12"/>
  <c r="Y481" i="12"/>
  <c r="Y497" i="12"/>
  <c r="Y517" i="12"/>
  <c r="Y533" i="12"/>
  <c r="Y553" i="12"/>
  <c r="Y565" i="12"/>
  <c r="Y298" i="12"/>
  <c r="Y358" i="12"/>
  <c r="Y378" i="12"/>
  <c r="Y394" i="12"/>
  <c r="Y410" i="12"/>
  <c r="Y430" i="12"/>
  <c r="Y446" i="12"/>
  <c r="Y466" i="12"/>
  <c r="Y490" i="12"/>
  <c r="Y502" i="12"/>
  <c r="Y518" i="12"/>
  <c r="Y534" i="12"/>
  <c r="Y546" i="12"/>
  <c r="Y566" i="12"/>
  <c r="Y132" i="12"/>
  <c r="Y136" i="12"/>
  <c r="Y152" i="12"/>
  <c r="Y156" i="12"/>
  <c r="Y160" i="12"/>
  <c r="Y164" i="12"/>
  <c r="Y168" i="12"/>
  <c r="Y172" i="12"/>
  <c r="Y176" i="12"/>
  <c r="Y180" i="12"/>
  <c r="Y184" i="12"/>
  <c r="Y188" i="12"/>
  <c r="Y204" i="12"/>
  <c r="Y232" i="12"/>
  <c r="Y272" i="12"/>
  <c r="Y332" i="12"/>
  <c r="Y396" i="12"/>
  <c r="Y472" i="12"/>
  <c r="Y544" i="12"/>
  <c r="Y145" i="12"/>
  <c r="Y157" i="12"/>
  <c r="Y189" i="12"/>
  <c r="Y213" i="12"/>
  <c r="Y257" i="12"/>
  <c r="Y305" i="12"/>
  <c r="Y349" i="12"/>
  <c r="Y385" i="12"/>
  <c r="Y421" i="12"/>
  <c r="Y453" i="12"/>
  <c r="Y489" i="12"/>
  <c r="Y525" i="12"/>
  <c r="Y561" i="12"/>
  <c r="Y314" i="12"/>
  <c r="Y470" i="12"/>
  <c r="Y570" i="12"/>
  <c r="Y149" i="12"/>
  <c r="Y173" i="12"/>
  <c r="Y229" i="12"/>
  <c r="Y273" i="12"/>
  <c r="Y321" i="12"/>
  <c r="Y365" i="12"/>
  <c r="Y405" i="12"/>
  <c r="Y441" i="12"/>
  <c r="Y473" i="12"/>
  <c r="Y509" i="12"/>
  <c r="Y545" i="12"/>
  <c r="Y322" i="12"/>
  <c r="Y462" i="12"/>
  <c r="Y153" i="12"/>
  <c r="Y177" i="12"/>
  <c r="Y217" i="12"/>
  <c r="Y269" i="12"/>
  <c r="Y333" i="12"/>
  <c r="Y381" i="12"/>
  <c r="Y425" i="12"/>
  <c r="Y469" i="12"/>
  <c r="Y505" i="12"/>
  <c r="Y541" i="12"/>
  <c r="Y577" i="12"/>
  <c r="Y318" i="12"/>
  <c r="Y458" i="12"/>
  <c r="Y558" i="12"/>
  <c r="Y326" i="12"/>
  <c r="Y478" i="12"/>
  <c r="Y574" i="12"/>
  <c r="Y134" i="12"/>
  <c r="Y138" i="12"/>
  <c r="Y142" i="12"/>
  <c r="Y146" i="12"/>
  <c r="Y150" i="12"/>
  <c r="Y154" i="12"/>
  <c r="Y158" i="12"/>
  <c r="Y162" i="12"/>
  <c r="Y166" i="12"/>
  <c r="Y170" i="12"/>
  <c r="Y174" i="12"/>
  <c r="Y178" i="12"/>
  <c r="Y182" i="12"/>
  <c r="Y186" i="12"/>
  <c r="Y190" i="12"/>
  <c r="Y194" i="12"/>
  <c r="Y198" i="12"/>
  <c r="Y202" i="12"/>
  <c r="Y206" i="12"/>
  <c r="Y210" i="12"/>
  <c r="Y214" i="12"/>
  <c r="Y218" i="12"/>
  <c r="Y222" i="12"/>
  <c r="Y226" i="12"/>
  <c r="Y230" i="12"/>
  <c r="Y234" i="12"/>
  <c r="Y238" i="12"/>
  <c r="Y242" i="12"/>
  <c r="Y246" i="12"/>
  <c r="Y250" i="12"/>
  <c r="Y254" i="12"/>
  <c r="Y258" i="12"/>
  <c r="Y262" i="12"/>
  <c r="Y266" i="12"/>
  <c r="Y270" i="12"/>
  <c r="Y274" i="12"/>
  <c r="Y278" i="12"/>
  <c r="Y282" i="12"/>
  <c r="Y294" i="12"/>
  <c r="Y302" i="12"/>
  <c r="Y306" i="12"/>
  <c r="Y310" i="12"/>
  <c r="Y330" i="12"/>
  <c r="Y334" i="12"/>
  <c r="Y338" i="12"/>
  <c r="Y342" i="12"/>
  <c r="Y346" i="12"/>
  <c r="Y350" i="12"/>
  <c r="Y354" i="12"/>
  <c r="Y370" i="12"/>
  <c r="Y374" i="12"/>
  <c r="Y390" i="12"/>
  <c r="Y406" i="12"/>
  <c r="Y418" i="12"/>
  <c r="Y434" i="12"/>
  <c r="Y450" i="12"/>
  <c r="Y482" i="12"/>
  <c r="Y498" i="12"/>
  <c r="Y514" i="12"/>
  <c r="Y530" i="12"/>
  <c r="Y562" i="12"/>
  <c r="Y581" i="12"/>
  <c r="Y582" i="12"/>
  <c r="Y583" i="12"/>
  <c r="Y584" i="12"/>
  <c r="Y585" i="12"/>
  <c r="Y586" i="12"/>
  <c r="Y587" i="12"/>
  <c r="Y588" i="12"/>
  <c r="Y589" i="12"/>
  <c r="Y590" i="12"/>
  <c r="Y591" i="12"/>
  <c r="Y592" i="12"/>
  <c r="Y593" i="12"/>
  <c r="Y594" i="12"/>
  <c r="Y595" i="12"/>
  <c r="Y596" i="12"/>
  <c r="Y597" i="12"/>
  <c r="Y598" i="12"/>
  <c r="Y599" i="12"/>
  <c r="Y600" i="12"/>
  <c r="Y601" i="12"/>
  <c r="Y602" i="12"/>
  <c r="Y603" i="12"/>
  <c r="Y604" i="12"/>
  <c r="Y605" i="12"/>
  <c r="Y606" i="12"/>
  <c r="Y607" i="12"/>
  <c r="Y608" i="12"/>
  <c r="Y609" i="12"/>
  <c r="Y610" i="12"/>
  <c r="Y611" i="12"/>
  <c r="Y612" i="12"/>
  <c r="Y613" i="12"/>
  <c r="Y614" i="12"/>
  <c r="Y615" i="12"/>
  <c r="Y616" i="12"/>
  <c r="Y617" i="12"/>
  <c r="Y618" i="12"/>
  <c r="Y619" i="12"/>
  <c r="Y620" i="12"/>
  <c r="Y621" i="12"/>
  <c r="Y622" i="12"/>
  <c r="Y623" i="12"/>
  <c r="Y624" i="12"/>
  <c r="Y625" i="12"/>
  <c r="Y626" i="12"/>
  <c r="Y627" i="12"/>
  <c r="Y628" i="12"/>
  <c r="Y629" i="12"/>
  <c r="Y630" i="12"/>
  <c r="Y631" i="12"/>
  <c r="Y633" i="12"/>
  <c r="Y632" i="12"/>
  <c r="Y634" i="12"/>
  <c r="Y635" i="12"/>
  <c r="Y636" i="12"/>
  <c r="Y637" i="12"/>
  <c r="Y638" i="12"/>
  <c r="Y639" i="12"/>
  <c r="Y640" i="12"/>
  <c r="Y641" i="12"/>
  <c r="Y642" i="12"/>
  <c r="Y643" i="12"/>
  <c r="Y644" i="12"/>
  <c r="Y645" i="12"/>
  <c r="Y655" i="12"/>
  <c r="Y667" i="12"/>
  <c r="Y648" i="12"/>
  <c r="Y660" i="12"/>
  <c r="Y661" i="12"/>
  <c r="Y646" i="12"/>
  <c r="Y650" i="12"/>
  <c r="Y654" i="12"/>
  <c r="Y658" i="12"/>
  <c r="Y662" i="12"/>
  <c r="Y666" i="12"/>
  <c r="Y670" i="12"/>
  <c r="Y659" i="12"/>
  <c r="Y656" i="12"/>
  <c r="Y665" i="12"/>
  <c r="Y651" i="12"/>
  <c r="Y663" i="12"/>
  <c r="Y652" i="12"/>
  <c r="Y664" i="12"/>
  <c r="Y653" i="12"/>
  <c r="Y647" i="12"/>
  <c r="Y669" i="12"/>
  <c r="Y668" i="12"/>
  <c r="Y649" i="12"/>
  <c r="Y657" i="12"/>
  <c r="Y671" i="12"/>
  <c r="Y672" i="12"/>
  <c r="Y673" i="12"/>
  <c r="Y674" i="12"/>
  <c r="Y675" i="12"/>
  <c r="Y676" i="12"/>
  <c r="Y678" i="12"/>
  <c r="Y677" i="12"/>
  <c r="Y679" i="12"/>
  <c r="Y680" i="12"/>
  <c r="Y682" i="12"/>
  <c r="Y681" i="12"/>
  <c r="Y683" i="12"/>
  <c r="Y684" i="12"/>
  <c r="Y685" i="12"/>
  <c r="Y686" i="12"/>
  <c r="Y687" i="12"/>
  <c r="Y688" i="12"/>
  <c r="Y690" i="12"/>
  <c r="Y689" i="12"/>
  <c r="Y691" i="12"/>
  <c r="Y692" i="12"/>
  <c r="Y694" i="12"/>
  <c r="Y693" i="12"/>
  <c r="Y708" i="12"/>
  <c r="Y705" i="12"/>
  <c r="Y714" i="12"/>
  <c r="Y695" i="12"/>
  <c r="Y699" i="12"/>
  <c r="Y703" i="12"/>
  <c r="Y707" i="12"/>
  <c r="Y711" i="12"/>
  <c r="Y712" i="12"/>
  <c r="Y709" i="12"/>
  <c r="Y702" i="12"/>
  <c r="Y704" i="12"/>
  <c r="Y713" i="12"/>
  <c r="Y698" i="12"/>
  <c r="Y696" i="12"/>
  <c r="Y700" i="12"/>
  <c r="Y701" i="12"/>
  <c r="Y710" i="12"/>
  <c r="Y706" i="12"/>
  <c r="Y697" i="12"/>
  <c r="Y715" i="12"/>
  <c r="Y716" i="12"/>
  <c r="Y717" i="12"/>
  <c r="Y718" i="12"/>
  <c r="Y719" i="12"/>
  <c r="Y720" i="12"/>
  <c r="Y722" i="12"/>
  <c r="Y721" i="12"/>
  <c r="Y723" i="12"/>
  <c r="Y724" i="12"/>
  <c r="Y725" i="12"/>
  <c r="Y726" i="12"/>
  <c r="Y727" i="12"/>
  <c r="Y728" i="12"/>
  <c r="Y730" i="12"/>
  <c r="Y729" i="12"/>
  <c r="Y731" i="12"/>
  <c r="Y732" i="12"/>
  <c r="Y734" i="12"/>
  <c r="Y733" i="12"/>
  <c r="Y735" i="12"/>
  <c r="Y736" i="12"/>
  <c r="Y737" i="12"/>
  <c r="Y738" i="12"/>
  <c r="Y739" i="12"/>
  <c r="Y740" i="12"/>
  <c r="Y742" i="12"/>
  <c r="Y741" i="12"/>
  <c r="Y743" i="12"/>
  <c r="Y744" i="12"/>
  <c r="Y746" i="12"/>
  <c r="Y745" i="12"/>
  <c r="Y747" i="12"/>
  <c r="Y748" i="12"/>
  <c r="Y749" i="12"/>
  <c r="Y750" i="12"/>
  <c r="Y751" i="12"/>
  <c r="Y752" i="12"/>
  <c r="Y754" i="12"/>
  <c r="Y753" i="12"/>
  <c r="Y755" i="12"/>
  <c r="Y756" i="12"/>
  <c r="Y758" i="12"/>
  <c r="Y757" i="12"/>
  <c r="Y759" i="12"/>
  <c r="Y760" i="12"/>
  <c r="Y761" i="12"/>
  <c r="Y762" i="12"/>
  <c r="Y763" i="12"/>
  <c r="Y764" i="12"/>
  <c r="Y765" i="12"/>
  <c r="Y766" i="12"/>
  <c r="Y767" i="12"/>
  <c r="Y768" i="12"/>
  <c r="Y770" i="12"/>
  <c r="Y769" i="12"/>
  <c r="Y771" i="12"/>
  <c r="Y772" i="12"/>
  <c r="Y774" i="12"/>
  <c r="Y773" i="12"/>
  <c r="Y775" i="12"/>
  <c r="Y776" i="12"/>
  <c r="Y778" i="12"/>
  <c r="Y777" i="12"/>
  <c r="Y779" i="12"/>
  <c r="Y780" i="12"/>
  <c r="Y781" i="12"/>
  <c r="Y782" i="12"/>
  <c r="Y783" i="12"/>
  <c r="Y784" i="12"/>
  <c r="Y786" i="12"/>
  <c r="Y785" i="12"/>
  <c r="Y787" i="12"/>
  <c r="Y788" i="12"/>
  <c r="Y789" i="12"/>
  <c r="Y790" i="12"/>
  <c r="Y791" i="12"/>
  <c r="Y792" i="12"/>
  <c r="Y793" i="12"/>
  <c r="Y794" i="12"/>
  <c r="Y795" i="12"/>
  <c r="Y796" i="12"/>
  <c r="Y797" i="12"/>
  <c r="Y798" i="12"/>
  <c r="Y799" i="12"/>
  <c r="Y800" i="12"/>
  <c r="Y801" i="12"/>
  <c r="Y802" i="12"/>
  <c r="Y803" i="12"/>
  <c r="Y804" i="12"/>
  <c r="Y806" i="12"/>
  <c r="Y805" i="12"/>
  <c r="Y807" i="12"/>
  <c r="Y808" i="12"/>
  <c r="Y809" i="12"/>
  <c r="Y810" i="12"/>
  <c r="Y811" i="12"/>
  <c r="Y812" i="12"/>
  <c r="Y813" i="12"/>
  <c r="Y814" i="12"/>
  <c r="Y815" i="12"/>
  <c r="Y816" i="12"/>
  <c r="Y817" i="12"/>
  <c r="Y818" i="12"/>
  <c r="Y819" i="12"/>
  <c r="Y820" i="12"/>
  <c r="Y822" i="12"/>
  <c r="Y821" i="12"/>
  <c r="Y823" i="12"/>
  <c r="Y824" i="12"/>
  <c r="Y825" i="12"/>
  <c r="Y826" i="12"/>
  <c r="Y827" i="12"/>
  <c r="Y828" i="12"/>
  <c r="Y829" i="12"/>
  <c r="Y830" i="12"/>
  <c r="Y831" i="12"/>
  <c r="Y832" i="12"/>
  <c r="Y834" i="12"/>
  <c r="Y833" i="12"/>
  <c r="Y835" i="12"/>
  <c r="Y836" i="12"/>
  <c r="Y837" i="12"/>
  <c r="Y838" i="12"/>
  <c r="Y839" i="12"/>
  <c r="Y840" i="12"/>
  <c r="Y842" i="12"/>
  <c r="Y841" i="12"/>
  <c r="Y843" i="12"/>
  <c r="Y844" i="12"/>
  <c r="Y845" i="12"/>
  <c r="Y846" i="12"/>
  <c r="Y847" i="12"/>
  <c r="Y848" i="12"/>
  <c r="Y850" i="12"/>
  <c r="Y849" i="12"/>
  <c r="Y851" i="12"/>
  <c r="Y852" i="12"/>
  <c r="Y853" i="12"/>
  <c r="Y854" i="12"/>
  <c r="Y855" i="12"/>
  <c r="Y856" i="12"/>
  <c r="Y857" i="12"/>
  <c r="Y858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/>
  <c r="Y878" i="12"/>
  <c r="Y879" i="12"/>
  <c r="Y880" i="12"/>
  <c r="Y881" i="12"/>
  <c r="Y882" i="12"/>
  <c r="Y883" i="12"/>
  <c r="Y884" i="12"/>
  <c r="Y885" i="12"/>
  <c r="Y886" i="12"/>
  <c r="Y887" i="12"/>
  <c r="Y888" i="12"/>
  <c r="Y889" i="12"/>
  <c r="Y890" i="12"/>
  <c r="Y891" i="12"/>
  <c r="Y892" i="12"/>
  <c r="Y893" i="12"/>
  <c r="Y894" i="12"/>
  <c r="Y895" i="12"/>
  <c r="Y896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1" i="12"/>
  <c r="Y912" i="12"/>
  <c r="Y913" i="12"/>
  <c r="Y914" i="12"/>
  <c r="Y915" i="12"/>
  <c r="Y916" i="12"/>
  <c r="Y917" i="12"/>
  <c r="Y918" i="12"/>
  <c r="Y919" i="12"/>
  <c r="Y920" i="12"/>
  <c r="Y921" i="12"/>
  <c r="Y922" i="12"/>
  <c r="Y923" i="12"/>
  <c r="Y924" i="12"/>
  <c r="Y925" i="12"/>
  <c r="Y926" i="12"/>
  <c r="Y927" i="12"/>
  <c r="Y928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/>
  <c r="Y970" i="12"/>
  <c r="Y971" i="12"/>
  <c r="Y972" i="12"/>
  <c r="Y973" i="12"/>
  <c r="Y974" i="12"/>
  <c r="Y975" i="12"/>
  <c r="Y976" i="12"/>
  <c r="Y977" i="12"/>
  <c r="Y978" i="12"/>
  <c r="Y979" i="12"/>
  <c r="Y980" i="12"/>
  <c r="Y981" i="12"/>
  <c r="Y982" i="12"/>
  <c r="Y983" i="12"/>
  <c r="Y984" i="12"/>
  <c r="Y985" i="12"/>
  <c r="Y986" i="12"/>
  <c r="Y987" i="12"/>
  <c r="Y988" i="12"/>
  <c r="Y989" i="12"/>
  <c r="Y990" i="12"/>
  <c r="Y991" i="12"/>
  <c r="Y992" i="12"/>
  <c r="Y993" i="12"/>
  <c r="Y994" i="12"/>
  <c r="Y995" i="12"/>
  <c r="Y996" i="12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4" i="12"/>
  <c r="Y1025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8" i="12"/>
  <c r="Y1089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/>
  <c r="Y1119" i="12"/>
  <c r="Y1120" i="12"/>
  <c r="Y1121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/>
  <c r="Y1146" i="12"/>
  <c r="Y1147" i="12"/>
  <c r="Y1148" i="12"/>
  <c r="Y1149" i="12"/>
  <c r="Y1150" i="12"/>
  <c r="Y1151" i="12"/>
  <c r="Y1152" i="12"/>
  <c r="Y1153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4" i="12"/>
  <c r="Y1185" i="12"/>
  <c r="Y1186" i="12"/>
  <c r="Y1187" i="12"/>
  <c r="Y1188" i="12"/>
  <c r="Y1189" i="12"/>
  <c r="Y1190" i="12"/>
  <c r="Y1191" i="12"/>
  <c r="Y1192" i="12"/>
  <c r="Y1193" i="12"/>
  <c r="Y1194" i="12"/>
  <c r="Y1195" i="12"/>
  <c r="Y1196" i="12"/>
  <c r="Y1197" i="12"/>
  <c r="Y1198" i="12"/>
  <c r="Y1199" i="12"/>
  <c r="Y1200" i="12"/>
  <c r="Y1201" i="12"/>
  <c r="Y1202" i="12"/>
  <c r="Y1206" i="12"/>
  <c r="Y1210" i="12"/>
  <c r="Y1214" i="12"/>
  <c r="Y1218" i="12"/>
  <c r="Y1222" i="12"/>
  <c r="Y1226" i="12"/>
  <c r="Y1230" i="12"/>
  <c r="Y1234" i="12"/>
  <c r="Y1238" i="12"/>
  <c r="Y1242" i="12"/>
  <c r="Y1246" i="12"/>
  <c r="Y1250" i="12"/>
  <c r="Y1254" i="12"/>
  <c r="Y1258" i="12"/>
  <c r="Y1262" i="12"/>
  <c r="Y1266" i="12"/>
  <c r="Y1270" i="12"/>
  <c r="Y1274" i="12"/>
  <c r="Y1278" i="12"/>
  <c r="Y1282" i="12"/>
  <c r="Y1286" i="12"/>
  <c r="Y1290" i="12"/>
  <c r="Y1294" i="12"/>
  <c r="Y1298" i="12"/>
  <c r="Y1302" i="12"/>
  <c r="Y1306" i="12"/>
  <c r="Y1310" i="12"/>
  <c r="Y1314" i="12"/>
  <c r="Y1318" i="12"/>
  <c r="Y1322" i="12"/>
  <c r="Y1326" i="12"/>
  <c r="Y1330" i="12"/>
  <c r="Y1334" i="12"/>
  <c r="Y1338" i="12"/>
  <c r="Y1342" i="12"/>
  <c r="Y1346" i="12"/>
  <c r="Y1350" i="12"/>
  <c r="Y1354" i="12"/>
  <c r="Y1358" i="12"/>
  <c r="Y1362" i="12"/>
  <c r="Y1366" i="12"/>
  <c r="Y1370" i="12"/>
  <c r="Y1374" i="12"/>
  <c r="Y1378" i="12"/>
  <c r="Y1382" i="12"/>
  <c r="Y1386" i="12"/>
  <c r="Y1390" i="12"/>
  <c r="Y1394" i="12"/>
  <c r="Y1398" i="12"/>
  <c r="Y1402" i="12"/>
  <c r="Y1406" i="12"/>
  <c r="Y1410" i="12"/>
  <c r="Y1414" i="12"/>
  <c r="Y1418" i="12"/>
  <c r="Y1422" i="12"/>
  <c r="Y1426" i="12"/>
  <c r="Y1430" i="12"/>
  <c r="Y1434" i="12"/>
  <c r="Y1438" i="12"/>
  <c r="Y1442" i="12"/>
  <c r="Y1446" i="12"/>
  <c r="Y1450" i="12"/>
  <c r="Y1454" i="12"/>
  <c r="Y1458" i="12"/>
  <c r="Y1462" i="12"/>
  <c r="Y1466" i="12"/>
  <c r="Y1470" i="12"/>
  <c r="Y1474" i="12"/>
  <c r="Y1478" i="12"/>
  <c r="Y1482" i="12"/>
  <c r="Y1486" i="12"/>
  <c r="Y1490" i="12"/>
  <c r="Y1494" i="12"/>
  <c r="Y1498" i="12"/>
  <c r="Y1502" i="12"/>
  <c r="Y1506" i="12"/>
  <c r="Y1510" i="12"/>
  <c r="Y1514" i="12"/>
  <c r="Y1518" i="12"/>
  <c r="Y1522" i="12"/>
  <c r="Y1526" i="12"/>
  <c r="Y1530" i="12"/>
  <c r="Y1534" i="12"/>
  <c r="Y1538" i="12"/>
  <c r="Y1542" i="12"/>
  <c r="Y1546" i="12"/>
  <c r="Y1550" i="12"/>
  <c r="Y1554" i="12"/>
  <c r="Y1558" i="12"/>
  <c r="Y1562" i="12"/>
  <c r="Y1566" i="12"/>
  <c r="Y1570" i="12"/>
  <c r="Y1574" i="12"/>
  <c r="Y1578" i="12"/>
  <c r="Y1582" i="12"/>
  <c r="Y1586" i="12"/>
  <c r="Y1590" i="12"/>
  <c r="Y1594" i="12"/>
  <c r="Y1598" i="12"/>
  <c r="Y1602" i="12"/>
  <c r="Y1606" i="12"/>
  <c r="Y1610" i="12"/>
  <c r="Y1614" i="12"/>
  <c r="Y1618" i="12"/>
  <c r="Y1622" i="12"/>
  <c r="Y1626" i="12"/>
  <c r="Y1630" i="12"/>
  <c r="Y1634" i="12"/>
  <c r="Y1638" i="12"/>
  <c r="Y1642" i="12"/>
  <c r="Y1646" i="12"/>
  <c r="Y1650" i="12"/>
  <c r="Y1654" i="12"/>
  <c r="Y1658" i="12"/>
  <c r="Y1662" i="12"/>
  <c r="Y1666" i="12"/>
  <c r="Y1670" i="12"/>
  <c r="Y1674" i="12"/>
  <c r="Y1678" i="12"/>
  <c r="Y1682" i="12"/>
  <c r="Y1686" i="12"/>
  <c r="Y1690" i="12"/>
  <c r="Y1694" i="12"/>
  <c r="Y1698" i="12"/>
  <c r="Y1702" i="12"/>
  <c r="Y1706" i="12"/>
  <c r="Y1710" i="12"/>
  <c r="Y1714" i="12"/>
  <c r="Y1718" i="12"/>
  <c r="Y1722" i="12"/>
  <c r="Y1726" i="12"/>
  <c r="Y1730" i="12"/>
  <c r="Y1734" i="12"/>
  <c r="Y1738" i="12"/>
  <c r="Y1742" i="12"/>
  <c r="Y1746" i="12"/>
  <c r="Y1750" i="12"/>
  <c r="Y1754" i="12"/>
  <c r="Y1758" i="12"/>
  <c r="Y1762" i="12"/>
  <c r="Y1766" i="12"/>
  <c r="Y1770" i="12"/>
  <c r="Y1774" i="12"/>
  <c r="Y1778" i="12"/>
  <c r="Y1782" i="12"/>
  <c r="Y1786" i="12"/>
  <c r="Y1790" i="12"/>
  <c r="Y1794" i="12"/>
  <c r="Y1798" i="12"/>
  <c r="Y1802" i="12"/>
  <c r="Y1806" i="12"/>
  <c r="Y1810" i="12"/>
  <c r="Y1814" i="12"/>
  <c r="Y1818" i="12"/>
  <c r="Y1822" i="12"/>
  <c r="Y1826" i="12"/>
  <c r="Y1830" i="12"/>
  <c r="Y1834" i="12"/>
  <c r="Y1838" i="12"/>
  <c r="Y1842" i="12"/>
  <c r="Y1846" i="12"/>
  <c r="Y1850" i="12"/>
  <c r="Y1854" i="12"/>
  <c r="Y1858" i="12"/>
  <c r="Y1862" i="12"/>
  <c r="Y1866" i="12"/>
  <c r="Y1870" i="12"/>
  <c r="Y1874" i="12"/>
  <c r="Y1878" i="12"/>
  <c r="Y1882" i="12"/>
  <c r="Y1886" i="12"/>
  <c r="Y1890" i="12"/>
  <c r="Y1894" i="12"/>
  <c r="Y1898" i="12"/>
  <c r="Y1902" i="12"/>
  <c r="Y1906" i="12"/>
  <c r="Y1910" i="12"/>
  <c r="Y1914" i="12"/>
  <c r="Y1918" i="12"/>
  <c r="Y1922" i="12"/>
  <c r="Y1926" i="12"/>
  <c r="Y1930" i="12"/>
  <c r="Y1934" i="12"/>
  <c r="Y1938" i="12"/>
  <c r="Y1942" i="12"/>
  <c r="Y1946" i="12"/>
  <c r="Y1950" i="12"/>
  <c r="Y1954" i="12"/>
  <c r="Y1958" i="12"/>
  <c r="Y1962" i="12"/>
  <c r="Y1966" i="12"/>
  <c r="Y1970" i="12"/>
  <c r="Y1974" i="12"/>
  <c r="Y1978" i="12"/>
  <c r="Y1982" i="12"/>
  <c r="Y1986" i="12"/>
  <c r="Y1990" i="12"/>
  <c r="Y1994" i="12"/>
  <c r="Y1998" i="12"/>
  <c r="Y2002" i="12"/>
  <c r="Y2006" i="12"/>
  <c r="Y2010" i="12"/>
  <c r="Y2014" i="12"/>
  <c r="Y2018" i="12"/>
  <c r="Y2022" i="12"/>
  <c r="Y2026" i="12"/>
  <c r="Y2030" i="12"/>
  <c r="Y2034" i="12"/>
  <c r="Y2038" i="12"/>
  <c r="Y2042" i="12"/>
  <c r="Y2046" i="12"/>
  <c r="Y2050" i="12"/>
  <c r="Y2054" i="12"/>
  <c r="Y2058" i="12"/>
  <c r="Y2062" i="12"/>
  <c r="Y2066" i="12"/>
  <c r="Y2070" i="12"/>
  <c r="Y2074" i="12"/>
  <c r="Y1203" i="12"/>
  <c r="Y1207" i="12"/>
  <c r="Y1211" i="12"/>
  <c r="Y1215" i="12"/>
  <c r="Y1219" i="12"/>
  <c r="Y1223" i="12"/>
  <c r="Y1227" i="12"/>
  <c r="Y1231" i="12"/>
  <c r="Y1235" i="12"/>
  <c r="Y1239" i="12"/>
  <c r="Y1243" i="12"/>
  <c r="Y1247" i="12"/>
  <c r="Y1251" i="12"/>
  <c r="Y1255" i="12"/>
  <c r="Y1259" i="12"/>
  <c r="Y1263" i="12"/>
  <c r="Y1267" i="12"/>
  <c r="Y1271" i="12"/>
  <c r="Y1275" i="12"/>
  <c r="Y1279" i="12"/>
  <c r="Y1283" i="12"/>
  <c r="Y1287" i="12"/>
  <c r="Y1291" i="12"/>
  <c r="Y1295" i="12"/>
  <c r="Y1299" i="12"/>
  <c r="Y1303" i="12"/>
  <c r="Y1307" i="12"/>
  <c r="Y1311" i="12"/>
  <c r="Y1315" i="12"/>
  <c r="Y1319" i="12"/>
  <c r="Y1323" i="12"/>
  <c r="Y1327" i="12"/>
  <c r="Y1331" i="12"/>
  <c r="Y1335" i="12"/>
  <c r="Y1339" i="12"/>
  <c r="Y1343" i="12"/>
  <c r="Y1347" i="12"/>
  <c r="Y1351" i="12"/>
  <c r="Y1355" i="12"/>
  <c r="Y1359" i="12"/>
  <c r="Y1363" i="12"/>
  <c r="Y1367" i="12"/>
  <c r="Y1371" i="12"/>
  <c r="Y1375" i="12"/>
  <c r="Y1379" i="12"/>
  <c r="Y1383" i="12"/>
  <c r="Y1387" i="12"/>
  <c r="Y1391" i="12"/>
  <c r="Y1395" i="12"/>
  <c r="Y1399" i="12"/>
  <c r="Y1403" i="12"/>
  <c r="Y1407" i="12"/>
  <c r="Y1411" i="12"/>
  <c r="Y1415" i="12"/>
  <c r="Y1419" i="12"/>
  <c r="Y1423" i="12"/>
  <c r="Y1427" i="12"/>
  <c r="Y1431" i="12"/>
  <c r="Y1435" i="12"/>
  <c r="Y1439" i="12"/>
  <c r="Y1443" i="12"/>
  <c r="Y1447" i="12"/>
  <c r="Y1451" i="12"/>
  <c r="Y1455" i="12"/>
  <c r="Y1459" i="12"/>
  <c r="Y1463" i="12"/>
  <c r="Y1467" i="12"/>
  <c r="Y1471" i="12"/>
  <c r="Y1475" i="12"/>
  <c r="Y1479" i="12"/>
  <c r="Y1483" i="12"/>
  <c r="Y1487" i="12"/>
  <c r="Y1491" i="12"/>
  <c r="Y1495" i="12"/>
  <c r="Y1499" i="12"/>
  <c r="Y1503" i="12"/>
  <c r="Y1507" i="12"/>
  <c r="Y1511" i="12"/>
  <c r="Y1515" i="12"/>
  <c r="Y1519" i="12"/>
  <c r="Y1523" i="12"/>
  <c r="Y1527" i="12"/>
  <c r="Y1531" i="12"/>
  <c r="Y1535" i="12"/>
  <c r="Y1539" i="12"/>
  <c r="Y1543" i="12"/>
  <c r="Y1547" i="12"/>
  <c r="Y1551" i="12"/>
  <c r="Y1555" i="12"/>
  <c r="Y1559" i="12"/>
  <c r="Y1563" i="12"/>
  <c r="Y1567" i="12"/>
  <c r="Y1571" i="12"/>
  <c r="Y1575" i="12"/>
  <c r="Y1579" i="12"/>
  <c r="Y1583" i="12"/>
  <c r="Y1587" i="12"/>
  <c r="Y1591" i="12"/>
  <c r="Y1595" i="12"/>
  <c r="Y1599" i="12"/>
  <c r="Y1603" i="12"/>
  <c r="Y1607" i="12"/>
  <c r="Y1611" i="12"/>
  <c r="Y1615" i="12"/>
  <c r="Y1619" i="12"/>
  <c r="Y1623" i="12"/>
  <c r="Y1627" i="12"/>
  <c r="Y1631" i="12"/>
  <c r="Y1635" i="12"/>
  <c r="Y1639" i="12"/>
  <c r="Y1643" i="12"/>
  <c r="Y1647" i="12"/>
  <c r="Y1651" i="12"/>
  <c r="Y1655" i="12"/>
  <c r="Y1659" i="12"/>
  <c r="Y1663" i="12"/>
  <c r="Y1667" i="12"/>
  <c r="Y1671" i="12"/>
  <c r="Y1675" i="12"/>
  <c r="Y1679" i="12"/>
  <c r="Y1683" i="12"/>
  <c r="Y1687" i="12"/>
  <c r="Y1691" i="12"/>
  <c r="Y1695" i="12"/>
  <c r="Y1699" i="12"/>
  <c r="Y1703" i="12"/>
  <c r="Y1707" i="12"/>
  <c r="Y1204" i="12"/>
  <c r="Y1208" i="12"/>
  <c r="Y1212" i="12"/>
  <c r="Y1216" i="12"/>
  <c r="Y1220" i="12"/>
  <c r="Y1224" i="12"/>
  <c r="Y1228" i="12"/>
  <c r="Y1232" i="12"/>
  <c r="Y1236" i="12"/>
  <c r="Y1240" i="12"/>
  <c r="Y1244" i="12"/>
  <c r="Y1248" i="12"/>
  <c r="Y1252" i="12"/>
  <c r="Y1256" i="12"/>
  <c r="Y1260" i="12"/>
  <c r="Y1264" i="12"/>
  <c r="Y1268" i="12"/>
  <c r="Y1272" i="12"/>
  <c r="Y1276" i="12"/>
  <c r="Y1280" i="12"/>
  <c r="Y1284" i="12"/>
  <c r="Y1288" i="12"/>
  <c r="Y1292" i="12"/>
  <c r="Y1296" i="12"/>
  <c r="Y1300" i="12"/>
  <c r="Y1304" i="12"/>
  <c r="Y1308" i="12"/>
  <c r="Y1312" i="12"/>
  <c r="Y1316" i="12"/>
  <c r="Y1320" i="12"/>
  <c r="Y1324" i="12"/>
  <c r="Y1328" i="12"/>
  <c r="Y1332" i="12"/>
  <c r="Y1336" i="12"/>
  <c r="Y1340" i="12"/>
  <c r="Y1344" i="12"/>
  <c r="Y1348" i="12"/>
  <c r="Y1352" i="12"/>
  <c r="Y1356" i="12"/>
  <c r="Y1360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2" i="12"/>
  <c r="Y1456" i="12"/>
  <c r="Y1460" i="12"/>
  <c r="Y1464" i="12"/>
  <c r="Y1468" i="12"/>
  <c r="Y1472" i="12"/>
  <c r="Y1476" i="12"/>
  <c r="Y1480" i="12"/>
  <c r="Y1484" i="12"/>
  <c r="Y1488" i="12"/>
  <c r="Y1492" i="12"/>
  <c r="Y1496" i="12"/>
  <c r="Y1500" i="12"/>
  <c r="Y1504" i="12"/>
  <c r="Y1508" i="12"/>
  <c r="Y1512" i="12"/>
  <c r="Y1516" i="12"/>
  <c r="Y1520" i="12"/>
  <c r="Y1524" i="12"/>
  <c r="Y1528" i="12"/>
  <c r="Y1532" i="12"/>
  <c r="Y1536" i="12"/>
  <c r="Y1540" i="12"/>
  <c r="Y1544" i="12"/>
  <c r="Y1548" i="12"/>
  <c r="Y1552" i="12"/>
  <c r="Y1556" i="12"/>
  <c r="Y1560" i="12"/>
  <c r="Y1564" i="12"/>
  <c r="Y1568" i="12"/>
  <c r="Y1572" i="12"/>
  <c r="Y1576" i="12"/>
  <c r="Y1580" i="12"/>
  <c r="Y1584" i="12"/>
  <c r="Y1588" i="12"/>
  <c r="Y1592" i="12"/>
  <c r="Y1596" i="12"/>
  <c r="Y1600" i="12"/>
  <c r="Y1604" i="12"/>
  <c r="Y1608" i="12"/>
  <c r="Y1612" i="12"/>
  <c r="Y1616" i="12"/>
  <c r="Y1620" i="12"/>
  <c r="Y1624" i="12"/>
  <c r="Y1628" i="12"/>
  <c r="Y1205" i="12"/>
  <c r="Y1209" i="12"/>
  <c r="Y1213" i="12"/>
  <c r="Y1217" i="12"/>
  <c r="Y1221" i="12"/>
  <c r="Y1225" i="12"/>
  <c r="Y1229" i="12"/>
  <c r="Y1233" i="12"/>
  <c r="Y1237" i="12"/>
  <c r="Y1241" i="12"/>
  <c r="Y1245" i="12"/>
  <c r="Y1249" i="12"/>
  <c r="Y1253" i="12"/>
  <c r="Y1257" i="12"/>
  <c r="Y1261" i="12"/>
  <c r="Y1265" i="12"/>
  <c r="Y1269" i="12"/>
  <c r="Y1273" i="12"/>
  <c r="Y1277" i="12"/>
  <c r="Y1281" i="12"/>
  <c r="Y1285" i="12"/>
  <c r="Y1289" i="12"/>
  <c r="Y1293" i="12"/>
  <c r="Y1297" i="12"/>
  <c r="Y1301" i="12"/>
  <c r="Y1305" i="12"/>
  <c r="Y1309" i="12"/>
  <c r="Y1313" i="12"/>
  <c r="Y1317" i="12"/>
  <c r="Y1321" i="12"/>
  <c r="Y1325" i="12"/>
  <c r="Y1329" i="12"/>
  <c r="Y1333" i="12"/>
  <c r="Y1337" i="12"/>
  <c r="Y1341" i="12"/>
  <c r="Y1345" i="12"/>
  <c r="Y1349" i="12"/>
  <c r="Y1353" i="12"/>
  <c r="Y1357" i="12"/>
  <c r="Y1361" i="12"/>
  <c r="Y1365" i="12"/>
  <c r="Y1369" i="12"/>
  <c r="Y1373" i="12"/>
  <c r="Y1377" i="12"/>
  <c r="Y1381" i="12"/>
  <c r="Y1385" i="12"/>
  <c r="Y1389" i="12"/>
  <c r="Y1393" i="12"/>
  <c r="Y1397" i="12"/>
  <c r="Y1401" i="12"/>
  <c r="Y1405" i="12"/>
  <c r="Y1409" i="12"/>
  <c r="Y1413" i="12"/>
  <c r="Y1417" i="12"/>
  <c r="Y1421" i="12"/>
  <c r="Y1425" i="12"/>
  <c r="Y1429" i="12"/>
  <c r="Y1433" i="12"/>
  <c r="Y1437" i="12"/>
  <c r="Y1441" i="12"/>
  <c r="Y1445" i="12"/>
  <c r="Y1449" i="12"/>
  <c r="Y1461" i="12"/>
  <c r="Y1477" i="12"/>
  <c r="Y1493" i="12"/>
  <c r="Y1509" i="12"/>
  <c r="Y1525" i="12"/>
  <c r="Y1541" i="12"/>
  <c r="Y1557" i="12"/>
  <c r="Y1573" i="12"/>
  <c r="Y1589" i="12"/>
  <c r="Y1613" i="12"/>
  <c r="Y1633" i="12"/>
  <c r="Y1641" i="12"/>
  <c r="Y1649" i="12"/>
  <c r="Y1657" i="12"/>
  <c r="Y1665" i="12"/>
  <c r="Y1673" i="12"/>
  <c r="Y1681" i="12"/>
  <c r="Y1689" i="12"/>
  <c r="Y1697" i="12"/>
  <c r="Y1705" i="12"/>
  <c r="Y1725" i="12"/>
  <c r="Y1732" i="12"/>
  <c r="Y1739" i="12"/>
  <c r="Y1757" i="12"/>
  <c r="Y1764" i="12"/>
  <c r="Y1771" i="12"/>
  <c r="Y1789" i="12"/>
  <c r="Y1796" i="12"/>
  <c r="Y1803" i="12"/>
  <c r="Y1821" i="12"/>
  <c r="Y1828" i="12"/>
  <c r="Y1835" i="12"/>
  <c r="Y1853" i="12"/>
  <c r="Y1860" i="12"/>
  <c r="Y1867" i="12"/>
  <c r="Y1885" i="12"/>
  <c r="Y1892" i="12"/>
  <c r="Y1899" i="12"/>
  <c r="Y1917" i="12"/>
  <c r="Y1924" i="12"/>
  <c r="Y1931" i="12"/>
  <c r="Y1949" i="12"/>
  <c r="Y1956" i="12"/>
  <c r="Y1963" i="12"/>
  <c r="Y1981" i="12"/>
  <c r="Y1988" i="12"/>
  <c r="Y1995" i="12"/>
  <c r="Y2013" i="12"/>
  <c r="Y2020" i="12"/>
  <c r="Y2027" i="12"/>
  <c r="Y2045" i="12"/>
  <c r="Y2052" i="12"/>
  <c r="Y2059" i="12"/>
  <c r="Y2077" i="12"/>
  <c r="Y2083" i="12"/>
  <c r="Y1625" i="12"/>
  <c r="Y1713" i="12"/>
  <c r="Y1720" i="12"/>
  <c r="Y1727" i="12"/>
  <c r="Y1745" i="12"/>
  <c r="Y1752" i="12"/>
  <c r="Y1759" i="12"/>
  <c r="Y1777" i="12"/>
  <c r="Y1784" i="12"/>
  <c r="Y1791" i="12"/>
  <c r="Y1809" i="12"/>
  <c r="Y1816" i="12"/>
  <c r="Y1823" i="12"/>
  <c r="Y1841" i="12"/>
  <c r="Y1848" i="12"/>
  <c r="Y1855" i="12"/>
  <c r="Y1873" i="12"/>
  <c r="Y1880" i="12"/>
  <c r="Y1887" i="12"/>
  <c r="Y1905" i="12"/>
  <c r="Y1912" i="12"/>
  <c r="Y1919" i="12"/>
  <c r="Y1937" i="12"/>
  <c r="Y1944" i="12"/>
  <c r="Y1951" i="12"/>
  <c r="Y1969" i="12"/>
  <c r="Y1976" i="12"/>
  <c r="Y1983" i="12"/>
  <c r="Y2001" i="12"/>
  <c r="Y2008" i="12"/>
  <c r="Y2015" i="12"/>
  <c r="Y2033" i="12"/>
  <c r="Y2040" i="12"/>
  <c r="Y2047" i="12"/>
  <c r="Y2065" i="12"/>
  <c r="Y2072" i="12"/>
  <c r="Y2078" i="12"/>
  <c r="Y2088" i="12"/>
  <c r="Y2092" i="12"/>
  <c r="Y2096" i="12"/>
  <c r="Y2100" i="12"/>
  <c r="Y2104" i="12"/>
  <c r="Y2108" i="12"/>
  <c r="Y2112" i="12"/>
  <c r="Y2116" i="12"/>
  <c r="Y2120" i="12"/>
  <c r="Y2124" i="12"/>
  <c r="Y2128" i="12"/>
  <c r="Y2132" i="12"/>
  <c r="Y2136" i="12"/>
  <c r="Y2140" i="12"/>
  <c r="Y2144" i="12"/>
  <c r="Y2148" i="12"/>
  <c r="Y2152" i="12"/>
  <c r="Y2156" i="12"/>
  <c r="Y2160" i="12"/>
  <c r="Y2164" i="12"/>
  <c r="Y2168" i="12"/>
  <c r="Y2172" i="12"/>
  <c r="Y2176" i="12"/>
  <c r="Y2180" i="12"/>
  <c r="Y2184" i="12"/>
  <c r="Y2188" i="12"/>
  <c r="Y2192" i="12"/>
  <c r="Y2196" i="12"/>
  <c r="Y2200" i="12"/>
  <c r="Y2204" i="12"/>
  <c r="Y2208" i="12"/>
  <c r="Y2212" i="12"/>
  <c r="Y2216" i="12"/>
  <c r="Y2220" i="12"/>
  <c r="Y2224" i="12"/>
  <c r="Y2228" i="12"/>
  <c r="Y2232" i="12"/>
  <c r="Y2236" i="12"/>
  <c r="Y2240" i="12"/>
  <c r="Y2244" i="12"/>
  <c r="Y2248" i="12"/>
  <c r="Y2252" i="12"/>
  <c r="Y2256" i="12"/>
  <c r="Y2260" i="12"/>
  <c r="Y2264" i="12"/>
  <c r="Y2268" i="12"/>
  <c r="Y2272" i="12"/>
  <c r="Y2276" i="12"/>
  <c r="Y2280" i="12"/>
  <c r="Y2284" i="12"/>
  <c r="Y2288" i="12"/>
  <c r="Y2292" i="12"/>
  <c r="Y2296" i="12"/>
  <c r="Y2300" i="12"/>
  <c r="Y2304" i="12"/>
  <c r="Y2308" i="12"/>
  <c r="Y2312" i="12"/>
  <c r="Y2316" i="12"/>
  <c r="Y2320" i="12"/>
  <c r="Y2324" i="12"/>
  <c r="Y2328" i="12"/>
  <c r="Y2332" i="12"/>
  <c r="Y2336" i="12"/>
  <c r="Y2340" i="12"/>
  <c r="Y2344" i="12"/>
  <c r="Y2348" i="12"/>
  <c r="Y2352" i="12"/>
  <c r="Y2356" i="12"/>
  <c r="Y2360" i="12"/>
  <c r="Y2364" i="12"/>
  <c r="Y2368" i="12"/>
  <c r="Y2372" i="12"/>
  <c r="Y2376" i="12"/>
  <c r="Y2380" i="12"/>
  <c r="Y2384" i="12"/>
  <c r="Y2388" i="12"/>
  <c r="Y2392" i="12"/>
  <c r="Y2396" i="12"/>
  <c r="Y2400" i="12"/>
  <c r="Y2404" i="12"/>
  <c r="Y2408" i="12"/>
  <c r="Y2412" i="12"/>
  <c r="Y2416" i="12"/>
  <c r="Y2420" i="12"/>
  <c r="Y2424" i="12"/>
  <c r="Y2428" i="12"/>
  <c r="Y2432" i="12"/>
  <c r="Y2436" i="12"/>
  <c r="Y2440" i="12"/>
  <c r="Y2444" i="12"/>
  <c r="Y2448" i="12"/>
  <c r="Y2452" i="12"/>
  <c r="Y2456" i="12"/>
  <c r="Y2460" i="12"/>
  <c r="Y2464" i="12"/>
  <c r="Y2468" i="12"/>
  <c r="Y2472" i="12"/>
  <c r="Y2476" i="12"/>
  <c r="Y2480" i="12"/>
  <c r="Y2484" i="12"/>
  <c r="Y2488" i="12"/>
  <c r="Y2492" i="12"/>
  <c r="Y2496" i="12"/>
  <c r="Y2500" i="12"/>
  <c r="Y2504" i="12"/>
  <c r="Y2508" i="12"/>
  <c r="Y2512" i="12"/>
  <c r="Y2516" i="12"/>
  <c r="Y2520" i="12"/>
  <c r="Y2524" i="12"/>
  <c r="Y2528" i="12"/>
  <c r="Y2532" i="12"/>
  <c r="Y2536" i="12"/>
  <c r="Y2540" i="12"/>
  <c r="Y2544" i="12"/>
  <c r="Y2548" i="12"/>
  <c r="Y2552" i="12"/>
  <c r="Y2556" i="12"/>
  <c r="Y2560" i="12"/>
  <c r="Y2564" i="12"/>
  <c r="Y2568" i="12"/>
  <c r="Y2572" i="12"/>
  <c r="Y2576" i="12"/>
  <c r="Y2580" i="12"/>
  <c r="Y2584" i="12"/>
  <c r="Y2588" i="12"/>
  <c r="Y2592" i="12"/>
  <c r="Y2596" i="12"/>
  <c r="Y2600" i="12"/>
  <c r="Y2604" i="12"/>
  <c r="Y2608" i="12"/>
  <c r="Y2612" i="12"/>
  <c r="Y2616" i="12"/>
  <c r="Y2620" i="12"/>
  <c r="Y2624" i="12"/>
  <c r="Y2628" i="12"/>
  <c r="Y2632" i="12"/>
  <c r="Y2636" i="12"/>
  <c r="Y2640" i="12"/>
  <c r="Y2644" i="12"/>
  <c r="Y2648" i="12"/>
  <c r="Y2652" i="12"/>
  <c r="Y2656" i="12"/>
  <c r="Y2660" i="12"/>
  <c r="Y2664" i="12"/>
  <c r="Y2668" i="12"/>
  <c r="Y2672" i="12"/>
  <c r="Y2676" i="12"/>
  <c r="Y2680" i="12"/>
  <c r="Y2684" i="12"/>
  <c r="Y2688" i="12"/>
  <c r="Y2692" i="12"/>
  <c r="Y2696" i="12"/>
  <c r="Y2700" i="12"/>
  <c r="Y2704" i="12"/>
  <c r="Y2708" i="12"/>
  <c r="Y2712" i="12"/>
  <c r="Y2716" i="12"/>
  <c r="Y2720" i="12"/>
  <c r="Y2724" i="12"/>
  <c r="Y2728" i="12"/>
  <c r="Y2732" i="12"/>
  <c r="Y2736" i="12"/>
  <c r="Y2740" i="12"/>
  <c r="Y1465" i="12"/>
  <c r="Y1481" i="12"/>
  <c r="Y1497" i="12"/>
  <c r="Y1513" i="12"/>
  <c r="Y1529" i="12"/>
  <c r="Y1545" i="12"/>
  <c r="Y1561" i="12"/>
  <c r="Y1577" i="12"/>
  <c r="Y1593" i="12"/>
  <c r="Y1605" i="12"/>
  <c r="Y1636" i="12"/>
  <c r="Y1644" i="12"/>
  <c r="Y1652" i="12"/>
  <c r="Y1660" i="12"/>
  <c r="Y1668" i="12"/>
  <c r="Y1676" i="12"/>
  <c r="Y1684" i="12"/>
  <c r="Y1692" i="12"/>
  <c r="Y1700" i="12"/>
  <c r="Y1708" i="12"/>
  <c r="Y1715" i="12"/>
  <c r="Y1733" i="12"/>
  <c r="Y1740" i="12"/>
  <c r="Y1747" i="12"/>
  <c r="Y1765" i="12"/>
  <c r="Y1772" i="12"/>
  <c r="Y1779" i="12"/>
  <c r="Y1797" i="12"/>
  <c r="Y1804" i="12"/>
  <c r="Y1811" i="12"/>
  <c r="Y1829" i="12"/>
  <c r="Y1836" i="12"/>
  <c r="Y1843" i="12"/>
  <c r="Y1861" i="12"/>
  <c r="Y1868" i="12"/>
  <c r="Y1875" i="12"/>
  <c r="Y1893" i="12"/>
  <c r="Y1900" i="12"/>
  <c r="Y1907" i="12"/>
  <c r="Y1925" i="12"/>
  <c r="Y1932" i="12"/>
  <c r="Y1939" i="12"/>
  <c r="Y1957" i="12"/>
  <c r="Y1964" i="12"/>
  <c r="Y1971" i="12"/>
  <c r="Y1989" i="12"/>
  <c r="Y1996" i="12"/>
  <c r="Y2003" i="12"/>
  <c r="Y2021" i="12"/>
  <c r="Y2028" i="12"/>
  <c r="Y2035" i="12"/>
  <c r="Y2053" i="12"/>
  <c r="Y2060" i="12"/>
  <c r="Y2067" i="12"/>
  <c r="Y2079" i="12"/>
  <c r="Y2084" i="12"/>
  <c r="Y1617" i="12"/>
  <c r="Y1721" i="12"/>
  <c r="Y1728" i="12"/>
  <c r="Y1735" i="12"/>
  <c r="Y1753" i="12"/>
  <c r="Y1760" i="12"/>
  <c r="Y1767" i="12"/>
  <c r="Y1785" i="12"/>
  <c r="Y1792" i="12"/>
  <c r="Y1799" i="12"/>
  <c r="Y1817" i="12"/>
  <c r="Y1824" i="12"/>
  <c r="Y1831" i="12"/>
  <c r="Y1849" i="12"/>
  <c r="Y1856" i="12"/>
  <c r="Y1863" i="12"/>
  <c r="Y1881" i="12"/>
  <c r="Y1888" i="12"/>
  <c r="Y1895" i="12"/>
  <c r="Y1913" i="12"/>
  <c r="Y1920" i="12"/>
  <c r="Y1927" i="12"/>
  <c r="Y1945" i="12"/>
  <c r="Y1952" i="12"/>
  <c r="Y1959" i="12"/>
  <c r="Y1977" i="12"/>
  <c r="Y1984" i="12"/>
  <c r="Y1991" i="12"/>
  <c r="Y2009" i="12"/>
  <c r="Y2016" i="12"/>
  <c r="Y2023" i="12"/>
  <c r="Y2041" i="12"/>
  <c r="Y2048" i="12"/>
  <c r="Y2055" i="12"/>
  <c r="Y2073" i="12"/>
  <c r="Y2089" i="12"/>
  <c r="Y2093" i="12"/>
  <c r="Y2097" i="12"/>
  <c r="Y2101" i="12"/>
  <c r="Y2105" i="12"/>
  <c r="Y2109" i="12"/>
  <c r="Y2113" i="12"/>
  <c r="Y2117" i="12"/>
  <c r="Y2121" i="12"/>
  <c r="Y2125" i="12"/>
  <c r="Y2129" i="12"/>
  <c r="Y2133" i="12"/>
  <c r="Y2137" i="12"/>
  <c r="Y2141" i="12"/>
  <c r="Y2145" i="12"/>
  <c r="Y2149" i="12"/>
  <c r="Y2153" i="12"/>
  <c r="Y2157" i="12"/>
  <c r="Y2161" i="12"/>
  <c r="Y2165" i="12"/>
  <c r="Y2169" i="12"/>
  <c r="Y2173" i="12"/>
  <c r="Y2177" i="12"/>
  <c r="Y2181" i="12"/>
  <c r="Y2185" i="12"/>
  <c r="Y2189" i="12"/>
  <c r="Y2193" i="12"/>
  <c r="Y2197" i="12"/>
  <c r="Y2201" i="12"/>
  <c r="Y2205" i="12"/>
  <c r="Y2209" i="12"/>
  <c r="Y2213" i="12"/>
  <c r="Y2217" i="12"/>
  <c r="Y2221" i="12"/>
  <c r="Y2225" i="12"/>
  <c r="Y2229" i="12"/>
  <c r="Y2233" i="12"/>
  <c r="Y2237" i="12"/>
  <c r="Y1453" i="12"/>
  <c r="Y1469" i="12"/>
  <c r="Y1485" i="12"/>
  <c r="Y1501" i="12"/>
  <c r="Y1517" i="12"/>
  <c r="Y1533" i="12"/>
  <c r="Y1549" i="12"/>
  <c r="Y1565" i="12"/>
  <c r="Y1581" i="12"/>
  <c r="Y1597" i="12"/>
  <c r="Y1629" i="12"/>
  <c r="Y1637" i="12"/>
  <c r="Y1645" i="12"/>
  <c r="Y1653" i="12"/>
  <c r="Y1661" i="12"/>
  <c r="Y1669" i="12"/>
  <c r="Y1677" i="12"/>
  <c r="Y1685" i="12"/>
  <c r="Y1693" i="12"/>
  <c r="Y1701" i="12"/>
  <c r="Y1709" i="12"/>
  <c r="Y1716" i="12"/>
  <c r="Y1723" i="12"/>
  <c r="Y1741" i="12"/>
  <c r="Y1748" i="12"/>
  <c r="Y1755" i="12"/>
  <c r="Y1773" i="12"/>
  <c r="Y1780" i="12"/>
  <c r="Y1787" i="12"/>
  <c r="Y1805" i="12"/>
  <c r="Y1812" i="12"/>
  <c r="Y1819" i="12"/>
  <c r="Y1837" i="12"/>
  <c r="Y1844" i="12"/>
  <c r="Y1851" i="12"/>
  <c r="Y1869" i="12"/>
  <c r="Y1876" i="12"/>
  <c r="Y1883" i="12"/>
  <c r="Y1901" i="12"/>
  <c r="Y1908" i="12"/>
  <c r="Y1915" i="12"/>
  <c r="Y1933" i="12"/>
  <c r="Y1940" i="12"/>
  <c r="Y1947" i="12"/>
  <c r="Y1965" i="12"/>
  <c r="Y1972" i="12"/>
  <c r="Y1979" i="12"/>
  <c r="Y1997" i="12"/>
  <c r="Y2004" i="12"/>
  <c r="Y2011" i="12"/>
  <c r="Y2029" i="12"/>
  <c r="Y2036" i="12"/>
  <c r="Y2043" i="12"/>
  <c r="Y2061" i="12"/>
  <c r="Y2068" i="12"/>
  <c r="Y2075" i="12"/>
  <c r="Y2080" i="12"/>
  <c r="Y2085" i="12"/>
  <c r="Y1609" i="12"/>
  <c r="Y1711" i="12"/>
  <c r="Y1729" i="12"/>
  <c r="Y1736" i="12"/>
  <c r="Y1743" i="12"/>
  <c r="Y1761" i="12"/>
  <c r="Y1768" i="12"/>
  <c r="Y1775" i="12"/>
  <c r="Y1793" i="12"/>
  <c r="Y1800" i="12"/>
  <c r="Y1807" i="12"/>
  <c r="Y1825" i="12"/>
  <c r="Y1832" i="12"/>
  <c r="Y1839" i="12"/>
  <c r="Y1857" i="12"/>
  <c r="Y1864" i="12"/>
  <c r="Y1871" i="12"/>
  <c r="Y1889" i="12"/>
  <c r="Y1896" i="12"/>
  <c r="Y1903" i="12"/>
  <c r="Y1921" i="12"/>
  <c r="Y1928" i="12"/>
  <c r="Y1935" i="12"/>
  <c r="Y1953" i="12"/>
  <c r="Y1960" i="12"/>
  <c r="Y1967" i="12"/>
  <c r="Y1985" i="12"/>
  <c r="Y1992" i="12"/>
  <c r="Y1999" i="12"/>
  <c r="Y2017" i="12"/>
  <c r="Y2024" i="12"/>
  <c r="Y2031" i="12"/>
  <c r="Y2049" i="12"/>
  <c r="Y2056" i="12"/>
  <c r="Y2063" i="12"/>
  <c r="Y2086" i="12"/>
  <c r="Y2090" i="12"/>
  <c r="Y2094" i="12"/>
  <c r="Y2098" i="12"/>
  <c r="Y2102" i="12"/>
  <c r="Y2106" i="12"/>
  <c r="Y2110" i="12"/>
  <c r="Y2114" i="12"/>
  <c r="Y2118" i="12"/>
  <c r="Y2122" i="12"/>
  <c r="Y2126" i="12"/>
  <c r="Y2130" i="12"/>
  <c r="Y2134" i="12"/>
  <c r="Y2138" i="12"/>
  <c r="Y2142" i="12"/>
  <c r="Y1457" i="12"/>
  <c r="Y1473" i="12"/>
  <c r="Y1489" i="12"/>
  <c r="Y1505" i="12"/>
  <c r="Y1521" i="12"/>
  <c r="Y1537" i="12"/>
  <c r="Y1553" i="12"/>
  <c r="Y1569" i="12"/>
  <c r="Y1585" i="12"/>
  <c r="Y1621" i="12"/>
  <c r="Y1632" i="12"/>
  <c r="Y1640" i="12"/>
  <c r="Y1648" i="12"/>
  <c r="Y1656" i="12"/>
  <c r="Y1664" i="12"/>
  <c r="Y1672" i="12"/>
  <c r="Y1680" i="12"/>
  <c r="Y1688" i="12"/>
  <c r="Y1696" i="12"/>
  <c r="Y1704" i="12"/>
  <c r="Y1717" i="12"/>
  <c r="Y1724" i="12"/>
  <c r="Y1731" i="12"/>
  <c r="Y1749" i="12"/>
  <c r="Y1756" i="12"/>
  <c r="Y1763" i="12"/>
  <c r="Y1781" i="12"/>
  <c r="Y1788" i="12"/>
  <c r="Y1795" i="12"/>
  <c r="Y1813" i="12"/>
  <c r="Y1820" i="12"/>
  <c r="Y1827" i="12"/>
  <c r="Y1845" i="12"/>
  <c r="Y1852" i="12"/>
  <c r="Y1859" i="12"/>
  <c r="Y1601" i="12"/>
  <c r="Y1712" i="12"/>
  <c r="Y1719" i="12"/>
  <c r="Y1737" i="12"/>
  <c r="Y1744" i="12"/>
  <c r="Y1751" i="12"/>
  <c r="Y1769" i="12"/>
  <c r="Y1776" i="12"/>
  <c r="Y1783" i="12"/>
  <c r="Y1801" i="12"/>
  <c r="Y1808" i="12"/>
  <c r="Y1815" i="12"/>
  <c r="Y1833" i="12"/>
  <c r="Y1840" i="12"/>
  <c r="Y1847" i="12"/>
  <c r="Y1865" i="12"/>
  <c r="Y1872" i="12"/>
  <c r="Y1879" i="12"/>
  <c r="Y1897" i="12"/>
  <c r="Y1904" i="12"/>
  <c r="Y1911" i="12"/>
  <c r="Y1929" i="12"/>
  <c r="Y1877" i="12"/>
  <c r="Y2007" i="12"/>
  <c r="Y2032" i="12"/>
  <c r="Y2057" i="12"/>
  <c r="Y2082" i="12"/>
  <c r="Y2099" i="12"/>
  <c r="Y2115" i="12"/>
  <c r="Y2131" i="12"/>
  <c r="Y2155" i="12"/>
  <c r="Y2163" i="12"/>
  <c r="Y2171" i="12"/>
  <c r="Y2179" i="12"/>
  <c r="Y2187" i="12"/>
  <c r="Y2195" i="12"/>
  <c r="Y2203" i="12"/>
  <c r="Y2211" i="12"/>
  <c r="Y2219" i="12"/>
  <c r="Y2227" i="12"/>
  <c r="Y2235" i="12"/>
  <c r="Y2255" i="12"/>
  <c r="Y2262" i="12"/>
  <c r="Y2269" i="12"/>
  <c r="Y2287" i="12"/>
  <c r="Y2294" i="12"/>
  <c r="Y2301" i="12"/>
  <c r="Y2319" i="12"/>
  <c r="Y2326" i="12"/>
  <c r="Y2333" i="12"/>
  <c r="Y2351" i="12"/>
  <c r="Y2358" i="12"/>
  <c r="Y2365" i="12"/>
  <c r="Y2383" i="12"/>
  <c r="Y2390" i="12"/>
  <c r="Y2397" i="12"/>
  <c r="Y2415" i="12"/>
  <c r="Y2422" i="12"/>
  <c r="Y2429" i="12"/>
  <c r="Y2447" i="12"/>
  <c r="Y2454" i="12"/>
  <c r="Y2461" i="12"/>
  <c r="Y2479" i="12"/>
  <c r="Y2486" i="12"/>
  <c r="Y2493" i="12"/>
  <c r="Y2511" i="12"/>
  <c r="Y2518" i="12"/>
  <c r="Y2525" i="12"/>
  <c r="Y2543" i="12"/>
  <c r="Y2550" i="12"/>
  <c r="Y2557" i="12"/>
  <c r="Y2575" i="12"/>
  <c r="Y2582" i="12"/>
  <c r="Y2589" i="12"/>
  <c r="Y2607" i="12"/>
  <c r="Y2614" i="12"/>
  <c r="Y2621" i="12"/>
  <c r="Y2639" i="12"/>
  <c r="Y2646" i="12"/>
  <c r="Y2653" i="12"/>
  <c r="Y2671" i="12"/>
  <c r="Y2678" i="12"/>
  <c r="Y2685" i="12"/>
  <c r="Y2703" i="12"/>
  <c r="Y2710" i="12"/>
  <c r="Y2717" i="12"/>
  <c r="Y2735" i="12"/>
  <c r="Y2742" i="12"/>
  <c r="Y2747" i="12"/>
  <c r="Y2753" i="12"/>
  <c r="Y2758" i="12"/>
  <c r="Y2763" i="12"/>
  <c r="Y2769" i="12"/>
  <c r="Y2774" i="12"/>
  <c r="Y1884" i="12"/>
  <c r="Y1987" i="12"/>
  <c r="Y2012" i="12"/>
  <c r="Y2037" i="12"/>
  <c r="Y2147" i="12"/>
  <c r="Y2243" i="12"/>
  <c r="Y2250" i="12"/>
  <c r="Y2257" i="12"/>
  <c r="Y2275" i="12"/>
  <c r="Y2282" i="12"/>
  <c r="Y2289" i="12"/>
  <c r="Y2307" i="12"/>
  <c r="Y2314" i="12"/>
  <c r="Y2321" i="12"/>
  <c r="Y2339" i="12"/>
  <c r="Y2346" i="12"/>
  <c r="Y2353" i="12"/>
  <c r="Y2371" i="12"/>
  <c r="Y2378" i="12"/>
  <c r="Y2385" i="12"/>
  <c r="Y2403" i="12"/>
  <c r="Y2410" i="12"/>
  <c r="Y2417" i="12"/>
  <c r="Y2435" i="12"/>
  <c r="Y2442" i="12"/>
  <c r="Y2449" i="12"/>
  <c r="Y2467" i="12"/>
  <c r="Y2474" i="12"/>
  <c r="Y2481" i="12"/>
  <c r="Y2499" i="12"/>
  <c r="Y2506" i="12"/>
  <c r="Y2513" i="12"/>
  <c r="Y2531" i="12"/>
  <c r="Y2538" i="12"/>
  <c r="Y2545" i="12"/>
  <c r="Y2563" i="12"/>
  <c r="Y2570" i="12"/>
  <c r="Y2577" i="12"/>
  <c r="Y2595" i="12"/>
  <c r="Y2602" i="12"/>
  <c r="Y2609" i="12"/>
  <c r="Y2627" i="12"/>
  <c r="Y2634" i="12"/>
  <c r="Y2641" i="12"/>
  <c r="Y2659" i="12"/>
  <c r="Y2666" i="12"/>
  <c r="Y2673" i="12"/>
  <c r="Y2691" i="12"/>
  <c r="Y2698" i="12"/>
  <c r="Y2705" i="12"/>
  <c r="Y2723" i="12"/>
  <c r="Y2730" i="12"/>
  <c r="Y2737" i="12"/>
  <c r="Y2748" i="12"/>
  <c r="Y2764" i="12"/>
  <c r="Y2779" i="12"/>
  <c r="Y2783" i="12"/>
  <c r="Y2787" i="12"/>
  <c r="Y2791" i="12"/>
  <c r="Y2795" i="12"/>
  <c r="Y2799" i="12"/>
  <c r="Y2803" i="12"/>
  <c r="Y2807" i="12"/>
  <c r="Y2811" i="12"/>
  <c r="Y2815" i="12"/>
  <c r="Y2819" i="12"/>
  <c r="Y2823" i="12"/>
  <c r="Y2827" i="12"/>
  <c r="Y2831" i="12"/>
  <c r="Y2835" i="12"/>
  <c r="Y2839" i="12"/>
  <c r="Y2843" i="12"/>
  <c r="Y2847" i="12"/>
  <c r="Y2851" i="12"/>
  <c r="Y2855" i="12"/>
  <c r="Y2859" i="12"/>
  <c r="Y2863" i="12"/>
  <c r="Y2867" i="12"/>
  <c r="Y2871" i="12"/>
  <c r="Y2875" i="12"/>
  <c r="Y2879" i="12"/>
  <c r="Y2883" i="12"/>
  <c r="Y2887" i="12"/>
  <c r="Y2891" i="12"/>
  <c r="Y2895" i="12"/>
  <c r="Y2899" i="12"/>
  <c r="Y2903" i="12"/>
  <c r="Y2907" i="12"/>
  <c r="Y2911" i="12"/>
  <c r="Y2915" i="12"/>
  <c r="Y2919" i="12"/>
  <c r="Y2923" i="12"/>
  <c r="Y2927" i="12"/>
  <c r="Y2931" i="12"/>
  <c r="Y2935" i="12"/>
  <c r="Y2939" i="12"/>
  <c r="Y2943" i="12"/>
  <c r="Y2947" i="12"/>
  <c r="Y2951" i="12"/>
  <c r="Y2955" i="12"/>
  <c r="Y2959" i="12"/>
  <c r="Y2963" i="12"/>
  <c r="Y2967" i="12"/>
  <c r="Y2971" i="12"/>
  <c r="Y2975" i="12"/>
  <c r="Y2979" i="12"/>
  <c r="Y2983" i="12"/>
  <c r="Y2987" i="12"/>
  <c r="Y2991" i="12"/>
  <c r="Y2995" i="12"/>
  <c r="Y2999" i="12"/>
  <c r="Y3003" i="12"/>
  <c r="Y3007" i="12"/>
  <c r="Y3011" i="12"/>
  <c r="Y3015" i="12"/>
  <c r="Y3019" i="12"/>
  <c r="Y3023" i="12"/>
  <c r="Y3027" i="12"/>
  <c r="Y3031" i="12"/>
  <c r="Y3035" i="12"/>
  <c r="Y3039" i="12"/>
  <c r="Y3043" i="12"/>
  <c r="Y3047" i="12"/>
  <c r="Y3051" i="12"/>
  <c r="Y3055" i="12"/>
  <c r="Y3059" i="12"/>
  <c r="Y3063" i="12"/>
  <c r="Y3067" i="12"/>
  <c r="Y3071" i="12"/>
  <c r="Y3075" i="12"/>
  <c r="Y3079" i="12"/>
  <c r="Y3083" i="12"/>
  <c r="Y3087" i="12"/>
  <c r="Y3091" i="12"/>
  <c r="Y3095" i="12"/>
  <c r="Y3099" i="12"/>
  <c r="Y3103" i="12"/>
  <c r="Y3107" i="12"/>
  <c r="Y3111" i="12"/>
  <c r="Y3115" i="12"/>
  <c r="Y3119" i="12"/>
  <c r="Y3123" i="12"/>
  <c r="Y3127" i="12"/>
  <c r="Y3131" i="12"/>
  <c r="Y3135" i="12"/>
  <c r="Y3139" i="12"/>
  <c r="Y3143" i="12"/>
  <c r="Y3147" i="12"/>
  <c r="Y3151" i="12"/>
  <c r="Y3155" i="12"/>
  <c r="Y3159" i="12"/>
  <c r="Y3163" i="12"/>
  <c r="Y3167" i="12"/>
  <c r="Y3171" i="12"/>
  <c r="Y3175" i="12"/>
  <c r="Y3179" i="12"/>
  <c r="Y3183" i="12"/>
  <c r="Y3187" i="12"/>
  <c r="Y3191" i="12"/>
  <c r="Y3195" i="12"/>
  <c r="Y3199" i="12"/>
  <c r="Y3203" i="12"/>
  <c r="Y3207" i="12"/>
  <c r="Y3211" i="12"/>
  <c r="Y3215" i="12"/>
  <c r="Y3219" i="12"/>
  <c r="Y3223" i="12"/>
  <c r="Y3227" i="12"/>
  <c r="Y3231" i="12"/>
  <c r="Y3235" i="12"/>
  <c r="Y3239" i="12"/>
  <c r="Y3243" i="12"/>
  <c r="Y3247" i="12"/>
  <c r="Y3251" i="12"/>
  <c r="Y3255" i="12"/>
  <c r="Y3259" i="12"/>
  <c r="Y3263" i="12"/>
  <c r="Y3267" i="12"/>
  <c r="Y3271" i="12"/>
  <c r="Y3275" i="12"/>
  <c r="Y3279" i="12"/>
  <c r="Y3283" i="12"/>
  <c r="Y3287" i="12"/>
  <c r="Y3291" i="12"/>
  <c r="Y3295" i="12"/>
  <c r="Y3299" i="12"/>
  <c r="Y3303" i="12"/>
  <c r="Y3307" i="12"/>
  <c r="Y3311" i="12"/>
  <c r="Y3315" i="12"/>
  <c r="Y3319" i="12"/>
  <c r="Y3323" i="12"/>
  <c r="Y3327" i="12"/>
  <c r="Y3331" i="12"/>
  <c r="Y3335" i="12"/>
  <c r="Y3339" i="12"/>
  <c r="Y3343" i="12"/>
  <c r="Y3347" i="12"/>
  <c r="Y3351" i="12"/>
  <c r="Y3355" i="12"/>
  <c r="Y3359" i="12"/>
  <c r="Y3363" i="12"/>
  <c r="Y1891" i="12"/>
  <c r="Y1936" i="12"/>
  <c r="Y1961" i="12"/>
  <c r="Y2039" i="12"/>
  <c r="Y2064" i="12"/>
  <c r="Y2087" i="12"/>
  <c r="Y2103" i="12"/>
  <c r="Y2119" i="12"/>
  <c r="Y2135" i="12"/>
  <c r="Y2150" i="12"/>
  <c r="Y2158" i="12"/>
  <c r="Y2166" i="12"/>
  <c r="Y2174" i="12"/>
  <c r="Y2182" i="12"/>
  <c r="Y2190" i="12"/>
  <c r="Y2198" i="12"/>
  <c r="Y2206" i="12"/>
  <c r="Y2214" i="12"/>
  <c r="Y2222" i="12"/>
  <c r="Y2230" i="12"/>
  <c r="Y2238" i="12"/>
  <c r="Y2245" i="12"/>
  <c r="Y2263" i="12"/>
  <c r="Y2270" i="12"/>
  <c r="Y2277" i="12"/>
  <c r="Y2295" i="12"/>
  <c r="Y2302" i="12"/>
  <c r="Y2309" i="12"/>
  <c r="Y2327" i="12"/>
  <c r="Y2334" i="12"/>
  <c r="Y2341" i="12"/>
  <c r="Y2359" i="12"/>
  <c r="Y2366" i="12"/>
  <c r="Y2373" i="12"/>
  <c r="Y2391" i="12"/>
  <c r="Y2398" i="12"/>
  <c r="Y2405" i="12"/>
  <c r="Y2423" i="12"/>
  <c r="Y2430" i="12"/>
  <c r="Y2437" i="12"/>
  <c r="Y2455" i="12"/>
  <c r="Y2462" i="12"/>
  <c r="Y2469" i="12"/>
  <c r="Y2487" i="12"/>
  <c r="Y2494" i="12"/>
  <c r="Y2501" i="12"/>
  <c r="Y2519" i="12"/>
  <c r="Y2526" i="12"/>
  <c r="Y2533" i="12"/>
  <c r="Y2551" i="12"/>
  <c r="Y2558" i="12"/>
  <c r="Y2565" i="12"/>
  <c r="Y2583" i="12"/>
  <c r="Y2590" i="12"/>
  <c r="Y2597" i="12"/>
  <c r="Y2615" i="12"/>
  <c r="Y2622" i="12"/>
  <c r="Y2629" i="12"/>
  <c r="Y2647" i="12"/>
  <c r="Y2654" i="12"/>
  <c r="Y2661" i="12"/>
  <c r="Y2679" i="12"/>
  <c r="Y2686" i="12"/>
  <c r="Y2693" i="12"/>
  <c r="Y2711" i="12"/>
  <c r="Y2718" i="12"/>
  <c r="Y2725" i="12"/>
  <c r="Y2743" i="12"/>
  <c r="Y2749" i="12"/>
  <c r="Y2754" i="12"/>
  <c r="Y2759" i="12"/>
  <c r="Y2765" i="12"/>
  <c r="Y2770" i="12"/>
  <c r="Y2775" i="12"/>
  <c r="Y1941" i="12"/>
  <c r="Y2019" i="12"/>
  <c r="Y2044" i="12"/>
  <c r="Y2069" i="12"/>
  <c r="Y2251" i="12"/>
  <c r="Y2258" i="12"/>
  <c r="Y2265" i="12"/>
  <c r="Y2283" i="12"/>
  <c r="Y2290" i="12"/>
  <c r="Y2297" i="12"/>
  <c r="Y2315" i="12"/>
  <c r="Y2322" i="12"/>
  <c r="Y2329" i="12"/>
  <c r="Y2347" i="12"/>
  <c r="Y2354" i="12"/>
  <c r="Y2361" i="12"/>
  <c r="Y2379" i="12"/>
  <c r="Y2386" i="12"/>
  <c r="Y2393" i="12"/>
  <c r="Y2411" i="12"/>
  <c r="Y2418" i="12"/>
  <c r="Y2425" i="12"/>
  <c r="Y2443" i="12"/>
  <c r="Y2450" i="12"/>
  <c r="Y2457" i="12"/>
  <c r="Y2475" i="12"/>
  <c r="Y2482" i="12"/>
  <c r="Y2489" i="12"/>
  <c r="Y2507" i="12"/>
  <c r="Y2514" i="12"/>
  <c r="Y2521" i="12"/>
  <c r="Y2539" i="12"/>
  <c r="Y2546" i="12"/>
  <c r="Y2553" i="12"/>
  <c r="Y2571" i="12"/>
  <c r="Y2578" i="12"/>
  <c r="Y2585" i="12"/>
  <c r="Y2603" i="12"/>
  <c r="Y2610" i="12"/>
  <c r="Y2617" i="12"/>
  <c r="Y2635" i="12"/>
  <c r="Y2642" i="12"/>
  <c r="Y2649" i="12"/>
  <c r="Y2667" i="12"/>
  <c r="Y2674" i="12"/>
  <c r="Y2681" i="12"/>
  <c r="Y2699" i="12"/>
  <c r="Y2706" i="12"/>
  <c r="Y2713" i="12"/>
  <c r="Y2731" i="12"/>
  <c r="Y2738" i="12"/>
  <c r="Y2744" i="12"/>
  <c r="Y2760" i="12"/>
  <c r="Y2776" i="12"/>
  <c r="Y2780" i="12"/>
  <c r="Y2784" i="12"/>
  <c r="Y2788" i="12"/>
  <c r="Y2792" i="12"/>
  <c r="Y2796" i="12"/>
  <c r="Y2800" i="12"/>
  <c r="Y2804" i="12"/>
  <c r="Y2808" i="12"/>
  <c r="Y2812" i="12"/>
  <c r="Y2816" i="12"/>
  <c r="Y1943" i="12"/>
  <c r="Y1968" i="12"/>
  <c r="Y1993" i="12"/>
  <c r="Y2071" i="12"/>
  <c r="Y2091" i="12"/>
  <c r="Y2107" i="12"/>
  <c r="Y2123" i="12"/>
  <c r="Y2139" i="12"/>
  <c r="Y2151" i="12"/>
  <c r="Y2159" i="12"/>
  <c r="Y2167" i="12"/>
  <c r="Y2175" i="12"/>
  <c r="Y2183" i="12"/>
  <c r="Y2191" i="12"/>
  <c r="Y2199" i="12"/>
  <c r="Y2207" i="12"/>
  <c r="Y2215" i="12"/>
  <c r="Y2223" i="12"/>
  <c r="Y2231" i="12"/>
  <c r="Y2239" i="12"/>
  <c r="Y2246" i="12"/>
  <c r="Y2253" i="12"/>
  <c r="Y2271" i="12"/>
  <c r="Y2278" i="12"/>
  <c r="Y2285" i="12"/>
  <c r="Y2303" i="12"/>
  <c r="Y2310" i="12"/>
  <c r="Y2317" i="12"/>
  <c r="Y2335" i="12"/>
  <c r="Y2342" i="12"/>
  <c r="Y2349" i="12"/>
  <c r="Y2367" i="12"/>
  <c r="Y2374" i="12"/>
  <c r="Y2381" i="12"/>
  <c r="Y2399" i="12"/>
  <c r="Y2406" i="12"/>
  <c r="Y2413" i="12"/>
  <c r="Y2431" i="12"/>
  <c r="Y2438" i="12"/>
  <c r="Y2445" i="12"/>
  <c r="Y2463" i="12"/>
  <c r="Y2470" i="12"/>
  <c r="Y2477" i="12"/>
  <c r="Y2495" i="12"/>
  <c r="Y2502" i="12"/>
  <c r="Y2509" i="12"/>
  <c r="Y2527" i="12"/>
  <c r="Y2534" i="12"/>
  <c r="Y2541" i="12"/>
  <c r="Y2559" i="12"/>
  <c r="Y2566" i="12"/>
  <c r="Y2573" i="12"/>
  <c r="Y2591" i="12"/>
  <c r="Y2598" i="12"/>
  <c r="Y2605" i="12"/>
  <c r="Y2623" i="12"/>
  <c r="Y2630" i="12"/>
  <c r="Y2637" i="12"/>
  <c r="Y2655" i="12"/>
  <c r="Y2662" i="12"/>
  <c r="Y2669" i="12"/>
  <c r="Y2687" i="12"/>
  <c r="Y2694" i="12"/>
  <c r="Y2701" i="12"/>
  <c r="Y2719" i="12"/>
  <c r="Y2726" i="12"/>
  <c r="Y2733" i="12"/>
  <c r="Y2745" i="12"/>
  <c r="Y2750" i="12"/>
  <c r="Y2755" i="12"/>
  <c r="Y2761" i="12"/>
  <c r="Y1909" i="12"/>
  <c r="Y1948" i="12"/>
  <c r="Y1973" i="12"/>
  <c r="Y2051" i="12"/>
  <c r="Y2076" i="12"/>
  <c r="Y2241" i="12"/>
  <c r="Y2259" i="12"/>
  <c r="Y2266" i="12"/>
  <c r="Y2273" i="12"/>
  <c r="Y2291" i="12"/>
  <c r="Y2298" i="12"/>
  <c r="Y2305" i="12"/>
  <c r="Y2323" i="12"/>
  <c r="Y2330" i="12"/>
  <c r="Y2337" i="12"/>
  <c r="Y2355" i="12"/>
  <c r="Y2362" i="12"/>
  <c r="Y2369" i="12"/>
  <c r="Y2387" i="12"/>
  <c r="Y2394" i="12"/>
  <c r="Y2401" i="12"/>
  <c r="Y2419" i="12"/>
  <c r="Y2426" i="12"/>
  <c r="Y2433" i="12"/>
  <c r="Y2451" i="12"/>
  <c r="Y2458" i="12"/>
  <c r="Y2465" i="12"/>
  <c r="Y2483" i="12"/>
  <c r="Y2490" i="12"/>
  <c r="Y2497" i="12"/>
  <c r="Y2515" i="12"/>
  <c r="Y2522" i="12"/>
  <c r="Y2529" i="12"/>
  <c r="Y2547" i="12"/>
  <c r="Y2554" i="12"/>
  <c r="Y2561" i="12"/>
  <c r="Y2579" i="12"/>
  <c r="Y2586" i="12"/>
  <c r="Y2593" i="12"/>
  <c r="Y2611" i="12"/>
  <c r="Y2618" i="12"/>
  <c r="Y2625" i="12"/>
  <c r="Y2643" i="12"/>
  <c r="Y2650" i="12"/>
  <c r="Y2657" i="12"/>
  <c r="Y2675" i="12"/>
  <c r="Y2682" i="12"/>
  <c r="Y2689" i="12"/>
  <c r="Y2707" i="12"/>
  <c r="Y2714" i="12"/>
  <c r="Y2721" i="12"/>
  <c r="Y2739" i="12"/>
  <c r="Y2756" i="12"/>
  <c r="Y2772" i="12"/>
  <c r="Y2777" i="12"/>
  <c r="Y1916" i="12"/>
  <c r="Y1975" i="12"/>
  <c r="Y2000" i="12"/>
  <c r="Y2025" i="12"/>
  <c r="Y2095" i="12"/>
  <c r="Y2111" i="12"/>
  <c r="Y2127" i="12"/>
  <c r="Y2143" i="12"/>
  <c r="Y2154" i="12"/>
  <c r="Y2162" i="12"/>
  <c r="Y2170" i="12"/>
  <c r="Y2178" i="12"/>
  <c r="Y2186" i="12"/>
  <c r="Y2194" i="12"/>
  <c r="Y2202" i="12"/>
  <c r="Y2210" i="12"/>
  <c r="Y2218" i="12"/>
  <c r="Y2226" i="12"/>
  <c r="Y2234" i="12"/>
  <c r="Y2247" i="12"/>
  <c r="Y2254" i="12"/>
  <c r="Y2261" i="12"/>
  <c r="Y2279" i="12"/>
  <c r="Y2286" i="12"/>
  <c r="Y2293" i="12"/>
  <c r="Y2311" i="12"/>
  <c r="Y2318" i="12"/>
  <c r="Y2325" i="12"/>
  <c r="Y2343" i="12"/>
  <c r="Y2350" i="12"/>
  <c r="Y2357" i="12"/>
  <c r="Y2375" i="12"/>
  <c r="Y2382" i="12"/>
  <c r="Y2389" i="12"/>
  <c r="Y2407" i="12"/>
  <c r="Y2414" i="12"/>
  <c r="Y2421" i="12"/>
  <c r="Y1923" i="12"/>
  <c r="Y1955" i="12"/>
  <c r="Y1980" i="12"/>
  <c r="Y2005" i="12"/>
  <c r="Y2081" i="12"/>
  <c r="Y2146" i="12"/>
  <c r="Y2242" i="12"/>
  <c r="Y2249" i="12"/>
  <c r="Y2267" i="12"/>
  <c r="Y2274" i="12"/>
  <c r="Y2281" i="12"/>
  <c r="Y2299" i="12"/>
  <c r="Y2306" i="12"/>
  <c r="Y2313" i="12"/>
  <c r="Y2331" i="12"/>
  <c r="Y2338" i="12"/>
  <c r="Y2345" i="12"/>
  <c r="Y2363" i="12"/>
  <c r="Y2370" i="12"/>
  <c r="Y2377" i="12"/>
  <c r="Y2395" i="12"/>
  <c r="Y2402" i="12"/>
  <c r="Y2409" i="12"/>
  <c r="Y2427" i="12"/>
  <c r="Y2434" i="12"/>
  <c r="Y2485" i="12"/>
  <c r="Y2510" i="12"/>
  <c r="Y2535" i="12"/>
  <c r="Y2613" i="12"/>
  <c r="Y2638" i="12"/>
  <c r="Y2663" i="12"/>
  <c r="Y2741" i="12"/>
  <c r="Y2762" i="12"/>
  <c r="Y2785" i="12"/>
  <c r="Y2793" i="12"/>
  <c r="Y2801" i="12"/>
  <c r="Y2809" i="12"/>
  <c r="Y2817" i="12"/>
  <c r="Y2824" i="12"/>
  <c r="Y2842" i="12"/>
  <c r="Y2849" i="12"/>
  <c r="Y2856" i="12"/>
  <c r="Y2874" i="12"/>
  <c r="Y2881" i="12"/>
  <c r="Y2888" i="12"/>
  <c r="Y2906" i="12"/>
  <c r="Y2913" i="12"/>
  <c r="Y2920" i="12"/>
  <c r="Y2938" i="12"/>
  <c r="Y2945" i="12"/>
  <c r="Y2952" i="12"/>
  <c r="Y2970" i="12"/>
  <c r="Y2977" i="12"/>
  <c r="Y2984" i="12"/>
  <c r="Y3002" i="12"/>
  <c r="Y3009" i="12"/>
  <c r="Y3016" i="12"/>
  <c r="Y3034" i="12"/>
  <c r="Y3041" i="12"/>
  <c r="Y3048" i="12"/>
  <c r="Y3066" i="12"/>
  <c r="Y3073" i="12"/>
  <c r="Y3080" i="12"/>
  <c r="Y3098" i="12"/>
  <c r="Y3105" i="12"/>
  <c r="Y3112" i="12"/>
  <c r="Y3130" i="12"/>
  <c r="Y3137" i="12"/>
  <c r="Y3144" i="12"/>
  <c r="Y3162" i="12"/>
  <c r="Y3169" i="12"/>
  <c r="Y3176" i="12"/>
  <c r="Y3194" i="12"/>
  <c r="Y3201" i="12"/>
  <c r="Y3208" i="12"/>
  <c r="Y3226" i="12"/>
  <c r="Y3233" i="12"/>
  <c r="Y3240" i="12"/>
  <c r="Y3258" i="12"/>
  <c r="Y3265" i="12"/>
  <c r="Y3272" i="12"/>
  <c r="Y3290" i="12"/>
  <c r="Y3297" i="12"/>
  <c r="Y3304" i="12"/>
  <c r="Y3322" i="12"/>
  <c r="Y3329" i="12"/>
  <c r="Y3336" i="12"/>
  <c r="Y3354" i="12"/>
  <c r="Y3361" i="12"/>
  <c r="Y3367" i="12"/>
  <c r="Y3383" i="12"/>
  <c r="Y3399" i="12"/>
  <c r="Y3492" i="12"/>
  <c r="Y3504" i="12"/>
  <c r="Y3512" i="12"/>
  <c r="Y3516" i="12"/>
  <c r="Y3524" i="12"/>
  <c r="Y3532" i="12"/>
  <c r="Y3540" i="12"/>
  <c r="Y3548" i="12"/>
  <c r="Y3140" i="12"/>
  <c r="Y3204" i="12"/>
  <c r="Y3236" i="12"/>
  <c r="Y3332" i="12"/>
  <c r="Y3350" i="12"/>
  <c r="Y3369" i="12"/>
  <c r="Y3385" i="12"/>
  <c r="Y3401" i="12"/>
  <c r="Y3413" i="12"/>
  <c r="Y3433" i="12"/>
  <c r="Y3441" i="12"/>
  <c r="Y3453" i="12"/>
  <c r="Y3465" i="12"/>
  <c r="Y3481" i="12"/>
  <c r="Y3493" i="12"/>
  <c r="Y3505" i="12"/>
  <c r="Y3517" i="12"/>
  <c r="Y3533" i="12"/>
  <c r="Y3541" i="12"/>
  <c r="Y3352" i="12"/>
  <c r="Y3326" i="12"/>
  <c r="Y3430" i="12"/>
  <c r="Y3462" i="12"/>
  <c r="Y3478" i="12"/>
  <c r="Y3490" i="12"/>
  <c r="Y3502" i="12"/>
  <c r="Y3518" i="12"/>
  <c r="Y3526" i="12"/>
  <c r="Y3534" i="12"/>
  <c r="Y3550" i="12"/>
  <c r="Y3161" i="12"/>
  <c r="Y3257" i="12"/>
  <c r="Y3296" i="12"/>
  <c r="Y3245" i="12"/>
  <c r="Y3348" i="12"/>
  <c r="Y3372" i="12"/>
  <c r="Y3388" i="12"/>
  <c r="Y3415" i="12"/>
  <c r="Y3439" i="12"/>
  <c r="Y3455" i="12"/>
  <c r="Y3475" i="12"/>
  <c r="Y3499" i="12"/>
  <c r="Y3515" i="12"/>
  <c r="Y3535" i="12"/>
  <c r="Y3551" i="12"/>
  <c r="Y2459" i="12"/>
  <c r="Y2537" i="12"/>
  <c r="Y2562" i="12"/>
  <c r="Y2587" i="12"/>
  <c r="Y2665" i="12"/>
  <c r="Y2690" i="12"/>
  <c r="Y2715" i="12"/>
  <c r="Y2830" i="12"/>
  <c r="Y2837" i="12"/>
  <c r="Y2844" i="12"/>
  <c r="Y2862" i="12"/>
  <c r="Y2869" i="12"/>
  <c r="Y2876" i="12"/>
  <c r="Y2894" i="12"/>
  <c r="Y2901" i="12"/>
  <c r="Y2908" i="12"/>
  <c r="Y2926" i="12"/>
  <c r="Y2933" i="12"/>
  <c r="Y2940" i="12"/>
  <c r="Y2958" i="12"/>
  <c r="Y2965" i="12"/>
  <c r="Y2972" i="12"/>
  <c r="Y2990" i="12"/>
  <c r="Y2997" i="12"/>
  <c r="Y3004" i="12"/>
  <c r="Y3022" i="12"/>
  <c r="Y3029" i="12"/>
  <c r="Y3036" i="12"/>
  <c r="Y3054" i="12"/>
  <c r="Y3061" i="12"/>
  <c r="Y3068" i="12"/>
  <c r="Y3086" i="12"/>
  <c r="Y3093" i="12"/>
  <c r="Y3100" i="12"/>
  <c r="Y3118" i="12"/>
  <c r="Y3125" i="12"/>
  <c r="Y3132" i="12"/>
  <c r="Y3150" i="12"/>
  <c r="Y3157" i="12"/>
  <c r="Y3164" i="12"/>
  <c r="Y3182" i="12"/>
  <c r="Y3189" i="12"/>
  <c r="Y3196" i="12"/>
  <c r="Y3214" i="12"/>
  <c r="Y3221" i="12"/>
  <c r="Y3228" i="12"/>
  <c r="Y3246" i="12"/>
  <c r="Y3253" i="12"/>
  <c r="Y3260" i="12"/>
  <c r="Y3278" i="12"/>
  <c r="Y3285" i="12"/>
  <c r="Y3292" i="12"/>
  <c r="Y3310" i="12"/>
  <c r="Y3317" i="12"/>
  <c r="Y3324" i="12"/>
  <c r="Y3342" i="12"/>
  <c r="Y3349" i="12"/>
  <c r="Y3356" i="12"/>
  <c r="Y3368" i="12"/>
  <c r="Y3373" i="12"/>
  <c r="Y3378" i="12"/>
  <c r="Y3384" i="12"/>
  <c r="Y3389" i="12"/>
  <c r="Y3394" i="12"/>
  <c r="Y3400" i="12"/>
  <c r="Y3404" i="12"/>
  <c r="Y3408" i="12"/>
  <c r="Y3412" i="12"/>
  <c r="Y3416" i="12"/>
  <c r="Y3420" i="12"/>
  <c r="Y3424" i="12"/>
  <c r="Y3428" i="12"/>
  <c r="Y3432" i="12"/>
  <c r="Y3436" i="12"/>
  <c r="Y3440" i="12"/>
  <c r="Y3444" i="12"/>
  <c r="Y3448" i="12"/>
  <c r="Y3452" i="12"/>
  <c r="Y3456" i="12"/>
  <c r="Y3460" i="12"/>
  <c r="Y3464" i="12"/>
  <c r="Y3468" i="12"/>
  <c r="Y3472" i="12"/>
  <c r="Y3476" i="12"/>
  <c r="Y3480" i="12"/>
  <c r="Y3484" i="12"/>
  <c r="Y3488" i="12"/>
  <c r="Y3496" i="12"/>
  <c r="Y3500" i="12"/>
  <c r="Y3508" i="12"/>
  <c r="Y3520" i="12"/>
  <c r="Y3528" i="12"/>
  <c r="Y3536" i="12"/>
  <c r="Y3544" i="12"/>
  <c r="Z19" i="12" a="1"/>
  <c r="Z1394" i="12"/>
  <c r="Z1660" i="12"/>
  <c r="Z1330" i="12"/>
  <c r="Z2832" i="12"/>
  <c r="Z3394" i="12"/>
  <c r="Z1683" i="12"/>
  <c r="Z1325" i="12"/>
  <c r="Z803" i="12"/>
  <c r="Z1520" i="12"/>
  <c r="Z2686" i="12"/>
  <c r="Z2860" i="12"/>
  <c r="Z1390" i="12"/>
  <c r="Z3551" i="12"/>
  <c r="Z1812" i="12"/>
  <c r="Z1939" i="12"/>
  <c r="Z1361" i="12"/>
  <c r="Z1093" i="12"/>
  <c r="Z23" i="12"/>
  <c r="Z112" i="12"/>
  <c r="Z2275" i="12"/>
  <c r="Z568" i="12"/>
  <c r="Z368" i="12"/>
  <c r="Z336" i="12"/>
  <c r="Z1233" i="12"/>
  <c r="Z2475" i="12"/>
  <c r="Z3234" i="12"/>
  <c r="Z1723" i="12"/>
  <c r="Z543" i="12"/>
  <c r="Z2527" i="12"/>
  <c r="Z424" i="12"/>
  <c r="Z3160" i="12"/>
  <c r="Z2118" i="12"/>
  <c r="Z1201" i="12"/>
  <c r="Z2129" i="12"/>
  <c r="Z799" i="12"/>
  <c r="Z1114" i="12"/>
  <c r="Z1485" i="12"/>
  <c r="Z1445" i="12"/>
  <c r="Z2543" i="12"/>
  <c r="Z1679" i="12"/>
  <c r="Z1498" i="12"/>
  <c r="Z1815" i="12"/>
  <c r="Z2022" i="12"/>
  <c r="Z2232" i="12"/>
  <c r="Z1115" i="12"/>
  <c r="Z1179" i="12"/>
  <c r="Z3520" i="12"/>
  <c r="Z1703" i="12"/>
  <c r="Z601" i="12"/>
  <c r="Z1079" i="12"/>
  <c r="Z534" i="12"/>
  <c r="Z496" i="12"/>
  <c r="Z3422" i="12"/>
  <c r="Z78" i="12"/>
  <c r="Z2155" i="12"/>
  <c r="Z1334" i="12"/>
  <c r="Z3132" i="12"/>
  <c r="Z2191" i="12"/>
  <c r="Z3444" i="12"/>
  <c r="Z3130" i="12"/>
  <c r="Z334" i="12"/>
  <c r="Z517" i="12"/>
  <c r="Z2868" i="12"/>
  <c r="Z2093" i="12"/>
  <c r="Z2964" i="12"/>
  <c r="Z1613" i="12"/>
  <c r="Z1594" i="12"/>
  <c r="Z2451" i="12"/>
  <c r="Z2416" i="12"/>
  <c r="Z1465" i="12"/>
  <c r="Z3024" i="12"/>
  <c r="Z193" i="12"/>
  <c r="Z743" i="12"/>
  <c r="Z920" i="12"/>
  <c r="Z1633" i="12"/>
  <c r="Z515" i="12"/>
  <c r="Z2761" i="12"/>
  <c r="Z1962" i="12"/>
  <c r="Z214" i="12"/>
  <c r="Z607" i="12"/>
  <c r="Z42" i="12"/>
  <c r="Z1715" i="12"/>
  <c r="Z3429" i="12"/>
  <c r="Z3071" i="12"/>
  <c r="Z1686" i="12"/>
  <c r="Z3481" i="12"/>
  <c r="Z1003" i="12"/>
  <c r="Z960" i="12"/>
  <c r="Z2750" i="12"/>
  <c r="Z2303" i="12"/>
  <c r="Z3388" i="12"/>
  <c r="Z882" i="12"/>
  <c r="Z3177" i="12"/>
  <c r="Z3128" i="12"/>
  <c r="Z2370" i="12"/>
  <c r="Z2036" i="12"/>
  <c r="Z1027" i="12"/>
  <c r="Z769" i="12"/>
  <c r="Z1127" i="12"/>
  <c r="Z1670" i="12"/>
  <c r="Z2970" i="12"/>
  <c r="Z3069" i="12"/>
  <c r="Z2158" i="12"/>
  <c r="Z732" i="12"/>
  <c r="Z2698" i="12"/>
  <c r="Z1278" i="12"/>
  <c r="Z2876" i="12"/>
  <c r="Z675" i="12"/>
  <c r="Z3454" i="12"/>
  <c r="Z2653" i="12"/>
  <c r="Z1762" i="12"/>
  <c r="Z2537" i="12"/>
  <c r="Z1892" i="12"/>
  <c r="Z1808" i="12"/>
  <c r="Z1302" i="12"/>
  <c r="Z2574" i="12"/>
  <c r="Z2992" i="12"/>
  <c r="Z1222" i="12"/>
  <c r="Z1047" i="12"/>
  <c r="Z638" i="12"/>
  <c r="Z3235" i="12"/>
  <c r="Z2190" i="12"/>
  <c r="Z1480" i="12"/>
  <c r="Z1407" i="12"/>
  <c r="Z1219" i="12"/>
  <c r="Z101" i="12"/>
  <c r="Z984" i="12"/>
  <c r="Z771" i="12"/>
  <c r="Z3320" i="12"/>
  <c r="Z2897" i="12"/>
  <c r="Z3419" i="12"/>
  <c r="Z1267" i="12"/>
  <c r="Z2800" i="12"/>
  <c r="Z392" i="12"/>
  <c r="Z1171" i="12"/>
  <c r="Z2563" i="12"/>
  <c r="Z119" i="12"/>
  <c r="Z1888" i="12"/>
  <c r="Z181" i="12"/>
  <c r="Z2512" i="12"/>
  <c r="Z3538" i="12"/>
  <c r="Z1950" i="12"/>
  <c r="Z1007" i="12"/>
  <c r="Z844" i="12"/>
  <c r="Z563" i="12"/>
  <c r="Z2506" i="12"/>
  <c r="Z1806" i="12"/>
  <c r="Z671" i="12"/>
  <c r="Z1774" i="12"/>
  <c r="Z3539" i="12"/>
  <c r="Z1178" i="12"/>
  <c r="Z290" i="12"/>
  <c r="Z1705" i="12"/>
  <c r="Z2870" i="12"/>
  <c r="Z2271" i="12"/>
  <c r="Z2329" i="12"/>
  <c r="Z1628" i="12"/>
  <c r="Z2955" i="12"/>
  <c r="Z3021" i="12"/>
  <c r="Z1736" i="12"/>
  <c r="Z1096" i="12"/>
  <c r="Z633" i="12"/>
  <c r="Z267" i="12"/>
  <c r="Z3490" i="12"/>
  <c r="Z833" i="12"/>
  <c r="Z2304" i="12"/>
  <c r="Z1990" i="12"/>
  <c r="Z3352" i="12"/>
  <c r="Z2919" i="12"/>
  <c r="Z975" i="12"/>
  <c r="Z2782" i="12"/>
  <c r="Z2942" i="12"/>
  <c r="Z719" i="12"/>
  <c r="Z3217" i="12"/>
  <c r="Z3198" i="12"/>
  <c r="Z969" i="12"/>
  <c r="Z81" i="12"/>
  <c r="Z1677" i="12"/>
  <c r="Z3473" i="12"/>
  <c r="Z3389" i="12"/>
  <c r="Z361" i="12"/>
  <c r="Z3358" i="12"/>
  <c r="Z1412" i="12"/>
  <c r="Z3486" i="12"/>
  <c r="Z3274" i="12"/>
  <c r="Z3485" i="12"/>
  <c r="Z2334" i="12"/>
  <c r="Z834" i="12"/>
  <c r="Z2062" i="12"/>
  <c r="Z676" i="12"/>
  <c r="Z1796" i="12"/>
  <c r="Z3364" i="12"/>
  <c r="Z3406" i="12"/>
  <c r="Z1750" i="12"/>
  <c r="Z618" i="12"/>
  <c r="Z3243" i="12"/>
  <c r="Z2513" i="12"/>
  <c r="Z3540" i="12"/>
  <c r="Z3116" i="12"/>
  <c r="Z713" i="12"/>
  <c r="Z1333" i="12"/>
  <c r="Z1503" i="12"/>
  <c r="Z3333" i="12"/>
  <c r="Z2096" i="12"/>
  <c r="Z1044" i="12"/>
  <c r="Z628" i="12"/>
  <c r="Z3395" i="12"/>
  <c r="Z2355" i="12"/>
  <c r="Z3432" i="12"/>
  <c r="Z1389" i="12"/>
  <c r="Z845" i="12"/>
  <c r="Z916" i="12"/>
  <c r="Z1349" i="12"/>
  <c r="Z2103" i="12"/>
  <c r="Z1695" i="12"/>
  <c r="Z450" i="12"/>
  <c r="Z2327" i="12"/>
  <c r="Z150" i="12"/>
  <c r="Z1982" i="12"/>
  <c r="Z1799" i="12"/>
  <c r="Z3224" i="12"/>
  <c r="Z1440" i="12"/>
  <c r="Z726" i="12"/>
  <c r="Z605" i="12"/>
  <c r="Z3214" i="12"/>
  <c r="Z1191" i="12"/>
  <c r="Z763" i="12"/>
  <c r="Z937" i="12"/>
  <c r="Z2404" i="12"/>
  <c r="Z1900" i="12"/>
  <c r="Z2636" i="12"/>
  <c r="Z1386" i="12"/>
  <c r="Z815" i="12"/>
  <c r="Z3106" i="12"/>
  <c r="Z1667" i="12"/>
  <c r="Z41" i="12"/>
  <c r="Z678" i="12"/>
  <c r="Z2820" i="12"/>
  <c r="Z133" i="12"/>
  <c r="Z2717" i="12"/>
  <c r="Z783" i="12"/>
  <c r="Z430" i="12"/>
  <c r="Z2848" i="12"/>
  <c r="Z3387" i="12"/>
  <c r="Z1824" i="12"/>
  <c r="Z2078" i="12"/>
  <c r="Z1564" i="12"/>
  <c r="Z842" i="12"/>
  <c r="Z248" i="12"/>
  <c r="Z547" i="12"/>
  <c r="Z794" i="12"/>
  <c r="Z3015" i="12"/>
  <c r="Z1508" i="12"/>
  <c r="Z2547" i="12"/>
  <c r="Z3183" i="12"/>
  <c r="Z2980" i="12"/>
  <c r="Z375" i="12"/>
  <c r="Z2076" i="12"/>
  <c r="Z2748" i="12"/>
  <c r="Z1935" i="12"/>
  <c r="Z36" i="12"/>
  <c r="Z2005" i="12"/>
  <c r="Z3390" i="12"/>
  <c r="Z1827" i="12"/>
  <c r="Z65" i="12"/>
  <c r="Z2732" i="12"/>
  <c r="Z444" i="12"/>
  <c r="Z2418" i="12"/>
  <c r="Z2069" i="12"/>
  <c r="Z611" i="12"/>
  <c r="Z561" i="12"/>
  <c r="Z1699" i="12"/>
  <c r="Z2716" i="12"/>
  <c r="Z1450" i="12"/>
  <c r="Z1297" i="12"/>
  <c r="Z3222" i="12"/>
  <c r="Z1840" i="12"/>
  <c r="Z451" i="12"/>
  <c r="Z2441" i="12"/>
  <c r="Z2092" i="12"/>
  <c r="Z1116" i="12"/>
  <c r="Z949" i="12"/>
  <c r="Z478" i="12"/>
  <c r="Z964" i="12"/>
  <c r="Z3328" i="12"/>
  <c r="Z2630" i="12"/>
  <c r="Z3181" i="12"/>
  <c r="Z2632" i="12"/>
  <c r="Z1132" i="12"/>
  <c r="Z2601" i="12"/>
  <c r="Z840" i="12"/>
  <c r="Z1446" i="12"/>
  <c r="Z3482" i="12"/>
  <c r="Z2444" i="12"/>
  <c r="Z1008" i="12"/>
  <c r="Z2407" i="12"/>
  <c r="Z2024" i="12"/>
  <c r="Z721" i="12"/>
  <c r="Z2091" i="12"/>
  <c r="Z1893" i="12"/>
  <c r="Z3440" i="12"/>
  <c r="Z39" i="12"/>
  <c r="Z1513" i="12"/>
  <c r="Z3200" i="12"/>
  <c r="Z2029" i="12"/>
  <c r="Z2735" i="12"/>
  <c r="Z2616" i="12"/>
  <c r="Z22" i="12"/>
  <c r="Z26" i="12"/>
  <c r="Z303" i="12"/>
  <c r="Z1615" i="12"/>
  <c r="Z2362" i="12"/>
  <c r="Z3505" i="12"/>
  <c r="Z1241" i="12"/>
  <c r="Z1969" i="12"/>
  <c r="Z3251" i="12"/>
  <c r="Z2000" i="12"/>
  <c r="Z2620" i="12"/>
  <c r="Z1065" i="12"/>
  <c r="Z1848" i="12"/>
  <c r="Z1601" i="12"/>
  <c r="Z3013" i="12"/>
  <c r="Z2525" i="12"/>
  <c r="Z2578" i="12"/>
  <c r="Z890" i="12"/>
  <c r="Z1113" i="12"/>
  <c r="Z2470" i="12"/>
  <c r="Z1172" i="12"/>
  <c r="Z2755" i="12"/>
  <c r="Z3370" i="12"/>
  <c r="Z1837" i="12"/>
  <c r="Z2495" i="12"/>
  <c r="Z3375" i="12"/>
  <c r="Z1858" i="12"/>
  <c r="Z277" i="12"/>
  <c r="Z2773" i="12"/>
  <c r="Z1455" i="12"/>
  <c r="Z538" i="12"/>
  <c r="Z1220" i="12"/>
  <c r="Z2343" i="12"/>
  <c r="Z841" i="12"/>
  <c r="Z2931" i="12"/>
  <c r="Z2899" i="12"/>
  <c r="Z3040" i="12"/>
  <c r="Z2882" i="12"/>
  <c r="Z2308" i="12"/>
  <c r="Z3381" i="12"/>
  <c r="Z3413" i="12"/>
  <c r="Z1584" i="12"/>
  <c r="Z1587" i="12"/>
  <c r="Z53" i="12"/>
  <c r="Z83" i="12"/>
  <c r="Z745" i="12"/>
  <c r="Z2685" i="12"/>
  <c r="Z2915" i="12"/>
  <c r="Z1614" i="12"/>
  <c r="Z3011" i="12"/>
  <c r="Z3465" i="12"/>
  <c r="Z1747" i="12"/>
  <c r="Z1599" i="12"/>
  <c r="Z1684" i="12"/>
  <c r="Z318" i="12"/>
  <c r="Z1186" i="12"/>
  <c r="Z644" i="12"/>
  <c r="Z2257" i="12"/>
  <c r="Z3119" i="12"/>
  <c r="Z2413" i="12"/>
  <c r="Z654" i="12"/>
  <c r="Z2567" i="12"/>
  <c r="Z2760" i="12"/>
  <c r="Z1542" i="12"/>
  <c r="Z1094" i="12"/>
  <c r="Z1469" i="12"/>
  <c r="Z1380" i="12"/>
  <c r="Z881" i="12"/>
  <c r="Z2434" i="12"/>
  <c r="Z797" i="12"/>
  <c r="Z868" i="12"/>
  <c r="Z2838" i="12"/>
  <c r="Z2652" i="12"/>
  <c r="Z139" i="12"/>
  <c r="Z2483" i="12"/>
  <c r="Z3347" i="12"/>
  <c r="Z3529" i="12"/>
  <c r="Z2902" i="12"/>
  <c r="Z1362" i="12"/>
  <c r="Z1015" i="12"/>
  <c r="Z805" i="12"/>
  <c r="Z990" i="12"/>
  <c r="Z2591" i="12"/>
  <c r="Z293" i="12"/>
  <c r="Z63" i="12"/>
  <c r="Z1421" i="12"/>
  <c r="Z976" i="12"/>
  <c r="Z808" i="12"/>
  <c r="Z2896" i="12"/>
  <c r="Z158" i="12"/>
  <c r="Z2621" i="12"/>
  <c r="Z3017" i="12"/>
  <c r="Z3149" i="12"/>
  <c r="Z1954" i="12"/>
  <c r="Z2218" i="12"/>
  <c r="Z302" i="12"/>
  <c r="Z3460" i="12"/>
  <c r="Z268" i="12"/>
  <c r="Z1240" i="12"/>
  <c r="Z84" i="12"/>
  <c r="Z2948" i="12"/>
  <c r="Z2197" i="12"/>
  <c r="Z79" i="12"/>
  <c r="Z3108" i="12"/>
  <c r="Z1458" i="12"/>
  <c r="Z765" i="12"/>
  <c r="Z1709" i="12"/>
  <c r="Z988" i="12"/>
  <c r="Z2747" i="12"/>
  <c r="Z3250" i="12"/>
  <c r="Z1630" i="12"/>
  <c r="Z914" i="12"/>
  <c r="Z3494" i="12"/>
  <c r="Z1395" i="12"/>
  <c r="Z1448" i="12"/>
  <c r="Z1739" i="12"/>
  <c r="Z3272" i="12"/>
  <c r="Z682" i="12"/>
  <c r="Z3291" i="12"/>
  <c r="Z2148" i="12"/>
  <c r="Z2073" i="12"/>
  <c r="Z1496" i="12"/>
  <c r="Z2469" i="12"/>
  <c r="Z1365" i="12"/>
  <c r="Z685" i="12"/>
  <c r="Z2228" i="12"/>
  <c r="Z2643" i="12"/>
  <c r="Z1653" i="12"/>
  <c r="Z823" i="12"/>
  <c r="Z237" i="12"/>
  <c r="Z2562" i="12"/>
  <c r="Z2440" i="12"/>
  <c r="Z3114" i="12"/>
  <c r="Z1205" i="12"/>
  <c r="Z2753" i="12"/>
  <c r="Z1851" i="12"/>
  <c r="Z189" i="12"/>
  <c r="Z456" i="12"/>
  <c r="Z3195" i="12"/>
  <c r="Z66" i="12"/>
  <c r="Z1118" i="12"/>
  <c r="Z2997" i="12"/>
  <c r="Z3530" i="12"/>
  <c r="Z2368" i="12"/>
  <c r="Z2673" i="12"/>
  <c r="Z1357" i="12"/>
  <c r="Z2959" i="12"/>
  <c r="Z3351" i="12"/>
  <c r="Z192" i="12"/>
  <c r="Z2319" i="12"/>
  <c r="Z1343" i="12"/>
  <c r="Z1510" i="12"/>
  <c r="Z3436" i="12"/>
  <c r="Z3474" i="12"/>
  <c r="Z2853" i="12"/>
  <c r="Z1483" i="12"/>
  <c r="Z3155" i="12"/>
  <c r="Z3374" i="12"/>
  <c r="Z3508" i="12"/>
  <c r="Z529" i="12"/>
  <c r="Z186" i="12"/>
  <c r="Z3294" i="12"/>
  <c r="Z530" i="12"/>
  <c r="Z1818" i="12"/>
  <c r="Z2932" i="12"/>
  <c r="Z3547" i="12"/>
  <c r="Z1213" i="12"/>
  <c r="Z1210" i="12"/>
  <c r="Z2072" i="12"/>
  <c r="Z2963" i="12"/>
  <c r="Z57" i="12"/>
  <c r="Z2555" i="12"/>
  <c r="Z1224" i="12"/>
  <c r="Z2284" i="12"/>
  <c r="Z1125" i="12"/>
  <c r="Z2767" i="12"/>
  <c r="Z569" i="12"/>
  <c r="Z3515" i="12"/>
  <c r="Z2173" i="12"/>
  <c r="Z1734" i="12"/>
  <c r="Z2472" i="12"/>
  <c r="Z1588" i="12"/>
  <c r="Z349" i="12"/>
  <c r="Z2121" i="12"/>
  <c r="Z766" i="12"/>
  <c r="Z309" i="12"/>
  <c r="Z1632" i="12"/>
  <c r="Z2124" i="12"/>
  <c r="Z3172" i="12"/>
  <c r="Z925" i="12"/>
  <c r="Z1914" i="12"/>
  <c r="Z321" i="12"/>
  <c r="Z3462" i="12"/>
  <c r="Z1397" i="12"/>
  <c r="Z3276" i="12"/>
  <c r="Z236" i="12"/>
  <c r="Z276" i="12"/>
  <c r="Z3304" i="12"/>
  <c r="Z1624" i="12"/>
  <c r="Z991" i="12"/>
  <c r="Z2141" i="12"/>
  <c r="Z3439" i="12"/>
  <c r="Z2823" i="12"/>
  <c r="Z1379" i="12"/>
  <c r="Z1761" i="12"/>
  <c r="Z3068" i="12"/>
  <c r="Z751" i="12"/>
  <c r="Z2227" i="12"/>
  <c r="Z963" i="12"/>
  <c r="Z305" i="12"/>
  <c r="Z2013" i="12"/>
  <c r="Z340" i="12"/>
  <c r="Z1410" i="12"/>
  <c r="Z1356" i="12"/>
  <c r="Z2278" i="12"/>
  <c r="Z1041" i="12"/>
  <c r="Z519" i="12"/>
  <c r="Z1933" i="12"/>
  <c r="Z1291" i="12"/>
  <c r="Z1833" i="12"/>
  <c r="Z2115" i="12"/>
  <c r="Z1460" i="12"/>
  <c r="Z2629" i="12"/>
  <c r="Z159" i="12"/>
  <c r="Z2291" i="12"/>
  <c r="Z889" i="12"/>
  <c r="Z1198" i="12"/>
  <c r="Z1732" i="12"/>
  <c r="Z2545" i="12"/>
  <c r="Z2011" i="12"/>
  <c r="Z2285" i="12"/>
  <c r="Z2571" i="12"/>
  <c r="Z1790" i="12"/>
  <c r="Z825" i="12"/>
  <c r="Z2945" i="12"/>
  <c r="Z191" i="12"/>
  <c r="Z2306" i="12"/>
  <c r="Z1563" i="12"/>
  <c r="Z1785" i="12"/>
  <c r="Z1724" i="12"/>
  <c r="Z2027" i="12"/>
  <c r="Z1223" i="12"/>
  <c r="Z577" i="12"/>
  <c r="Z1609" i="12"/>
  <c r="Z3506" i="12"/>
  <c r="Z2662" i="12"/>
  <c r="Z3165" i="12"/>
  <c r="Z3356" i="12"/>
  <c r="Z108" i="12"/>
  <c r="Z2847" i="12"/>
  <c r="Z2166" i="12"/>
  <c r="Z2221" i="12"/>
  <c r="Z818" i="12"/>
  <c r="Z346" i="12"/>
  <c r="Z2496" i="12"/>
  <c r="Z3113" i="12"/>
  <c r="Z564" i="12"/>
  <c r="Z98" i="12"/>
  <c r="Z1618" i="12"/>
  <c r="Z146" i="12"/>
  <c r="Z1842" i="12"/>
  <c r="Z3211" i="12"/>
  <c r="Z380" i="12"/>
  <c r="Z3369" i="12"/>
  <c r="Z2184" i="12"/>
  <c r="Z2200" i="12"/>
  <c r="Z3227" i="12"/>
  <c r="Z1043" i="12"/>
  <c r="Z2498" i="12"/>
  <c r="Z2526" i="12"/>
  <c r="Z331" i="12"/>
  <c r="Z3142" i="12"/>
  <c r="Z2386" i="12"/>
  <c r="Z725" i="12"/>
  <c r="Z3082" i="12"/>
  <c r="Z786" i="12"/>
  <c r="Z884" i="12"/>
  <c r="Z1340" i="12"/>
  <c r="Z427" i="12"/>
  <c r="Z3173" i="12"/>
  <c r="Z3054" i="12"/>
  <c r="Z2850" i="12"/>
  <c r="Z482" i="12"/>
  <c r="Z2448" i="12"/>
  <c r="Z2001" i="12"/>
  <c r="Z308" i="12"/>
  <c r="Z2844" i="12"/>
  <c r="Z1641" i="12"/>
  <c r="Z99" i="12"/>
  <c r="Z1509" i="12"/>
  <c r="Z837" i="12"/>
  <c r="Z2539" i="12"/>
  <c r="Z3282" i="12"/>
  <c r="Z1908" i="12"/>
  <c r="Z3275" i="12"/>
  <c r="Z3443" i="12"/>
  <c r="Z2691" i="12"/>
  <c r="Z2540" i="12"/>
  <c r="Z1917" i="12"/>
  <c r="Z2650" i="12"/>
  <c r="Z206" i="12"/>
  <c r="Z1206" i="12"/>
  <c r="Z593" i="12"/>
  <c r="Z1702" i="12"/>
  <c r="Z2206" i="12"/>
  <c r="Z2044" i="12"/>
  <c r="Z2264" i="12"/>
  <c r="Z1434" i="12"/>
  <c r="Z2706" i="12"/>
  <c r="Z3298" i="12"/>
  <c r="Z1184" i="12"/>
  <c r="Z403" i="12"/>
  <c r="Z1057" i="12"/>
  <c r="Z136" i="12"/>
  <c r="Z778" i="12"/>
  <c r="Z1400" i="12"/>
  <c r="Z3341" i="12"/>
  <c r="Z1792" i="12"/>
  <c r="Z2234" i="12"/>
  <c r="Z2345" i="12"/>
  <c r="Z352" i="12"/>
  <c r="Z476" i="12"/>
  <c r="Z2162" i="12"/>
  <c r="Z313" i="12"/>
  <c r="Z156" i="12"/>
  <c r="Z1560" i="12"/>
  <c r="Z287" i="12"/>
  <c r="Z1957" i="12"/>
  <c r="Z635" i="12"/>
  <c r="Z3140" i="12"/>
  <c r="Z1813" i="12"/>
  <c r="Z1430" i="12"/>
  <c r="Z1673" i="12"/>
  <c r="Z3088" i="12"/>
  <c r="Z1932" i="12"/>
  <c r="Z2081" i="12"/>
  <c r="Z643" i="12"/>
  <c r="Z3412" i="12"/>
  <c r="Z3292" i="12"/>
  <c r="Z2701" i="12"/>
  <c r="Z398" i="12"/>
  <c r="Z1123" i="12"/>
  <c r="Z2485" i="12"/>
  <c r="Z1376" i="12"/>
  <c r="Z1838" i="12"/>
  <c r="Z1737" i="12"/>
  <c r="Z2177" i="12"/>
  <c r="Z1823" i="12"/>
  <c r="Z1155" i="12"/>
  <c r="Z330" i="12"/>
  <c r="Z1773" i="12"/>
  <c r="Z2412" i="12"/>
  <c r="Z1028" i="12"/>
  <c r="Z1997" i="12"/>
  <c r="Z2893" i="12"/>
  <c r="Z2159" i="12"/>
  <c r="Z1296" i="12"/>
  <c r="Z2762" i="12"/>
  <c r="Z270" i="12"/>
  <c r="Z406" i="12"/>
  <c r="Z2186" i="12"/>
  <c r="Z255" i="12"/>
  <c r="Z27" i="12"/>
  <c r="Z1221" i="12"/>
  <c r="Z2516" i="12"/>
  <c r="Z1345" i="12"/>
  <c r="Z3409" i="12"/>
  <c r="Z454" i="12"/>
  <c r="Z1371" i="12"/>
  <c r="Z2361" i="12"/>
  <c r="Z3327" i="12"/>
  <c r="Z3111" i="12"/>
  <c r="Z2522" i="12"/>
  <c r="Z2390" i="12"/>
  <c r="Z2431" i="12"/>
  <c r="Z901" i="12"/>
  <c r="Z217" i="12"/>
  <c r="Z1839" i="12"/>
  <c r="Z1722" i="12"/>
  <c r="Z274" i="12"/>
  <c r="Z856" i="12"/>
  <c r="Z2723" i="12"/>
  <c r="Z3169" i="12"/>
  <c r="Z1060" i="12"/>
  <c r="Z596" i="12"/>
  <c r="Z436" i="12"/>
  <c r="Z2984" i="12"/>
  <c r="Z2087" i="12"/>
  <c r="Z2558" i="12"/>
  <c r="Z200" i="12"/>
  <c r="Z1095" i="12"/>
  <c r="Z3261" i="12"/>
  <c r="Z3143" i="12"/>
  <c r="Z490" i="12"/>
  <c r="Z1318" i="12"/>
  <c r="Z1870" i="12"/>
  <c r="Z2557" i="12"/>
  <c r="Z1852" i="12"/>
  <c r="Z1104" i="12"/>
  <c r="Z3012" i="12"/>
  <c r="Z3138" i="12"/>
  <c r="Z1336" i="12"/>
  <c r="Z1014" i="12"/>
  <c r="Z3084" i="12"/>
  <c r="Z2646" i="12"/>
  <c r="Z2484" i="12"/>
  <c r="Z746" i="12"/>
  <c r="Z1010" i="12"/>
  <c r="Z307" i="12"/>
  <c r="Z2649" i="12"/>
  <c r="Z2509" i="12"/>
  <c r="Z2170" i="12"/>
  <c r="Z2799" i="12"/>
  <c r="Z807" i="12"/>
  <c r="Z87" i="12"/>
  <c r="Z225" i="12"/>
  <c r="Z1863" i="12"/>
  <c r="Z994" i="12"/>
  <c r="Z1634" i="12"/>
  <c r="Z1889" i="12"/>
  <c r="Z580" i="12"/>
  <c r="Z3110" i="12"/>
  <c r="Z1285" i="12"/>
  <c r="Z461" i="12"/>
  <c r="Z2279" i="12"/>
  <c r="Z2729" i="12"/>
  <c r="Z161" i="12"/>
  <c r="Z2843" i="12"/>
  <c r="Z3415" i="12"/>
  <c r="Z2342" i="12"/>
  <c r="Z1354" i="12"/>
  <c r="Z435" i="12"/>
  <c r="Z227" i="12"/>
  <c r="Z2323" i="12"/>
  <c r="Z2021" i="12"/>
  <c r="Z3434" i="12"/>
  <c r="Z2377" i="12"/>
  <c r="Z724" i="12"/>
  <c r="Z1062" i="12"/>
  <c r="Z1403" i="12"/>
  <c r="Z2786" i="12"/>
  <c r="Z2839" i="12"/>
  <c r="Z3175" i="12"/>
  <c r="Z2831" i="12"/>
  <c r="Z353" i="12"/>
  <c r="Z1977" i="12"/>
  <c r="Z1884" i="12"/>
  <c r="Z1355" i="12"/>
  <c r="Z1337" i="12"/>
  <c r="Z1200" i="12"/>
  <c r="Z2316" i="12"/>
  <c r="Z2301" i="12"/>
  <c r="Z1972" i="12"/>
  <c r="Z219" i="12"/>
  <c r="Z74" i="12"/>
  <c r="Z1955" i="12"/>
  <c r="Z779" i="12"/>
  <c r="Z587" i="12"/>
  <c r="Z927" i="12"/>
  <c r="Z2464" i="12"/>
  <c r="Z2296" i="12"/>
  <c r="Z80" i="12"/>
  <c r="Z218" i="12"/>
  <c r="Z3488" i="12"/>
  <c r="Z2604" i="12"/>
  <c r="Z2808" i="12"/>
  <c r="Z3124" i="12"/>
  <c r="Z741" i="12"/>
  <c r="Z1439" i="12"/>
  <c r="Z3196" i="12"/>
  <c r="Z2300" i="12"/>
  <c r="Z902" i="12"/>
  <c r="Z2863" i="12"/>
  <c r="Z1293" i="12"/>
  <c r="Z3136" i="12"/>
  <c r="Z1605" i="12"/>
  <c r="Z2941" i="12"/>
  <c r="Z2297" i="12"/>
  <c r="Z1259" i="12"/>
  <c r="Z2240" i="12"/>
  <c r="Z864" i="12"/>
  <c r="Z1109" i="12"/>
  <c r="Z3428" i="12"/>
  <c r="Z2467" i="12"/>
  <c r="Z2996" i="12"/>
  <c r="Z910" i="12"/>
  <c r="Z3267" i="12"/>
  <c r="Z2881" i="12"/>
  <c r="Z3064" i="12"/>
  <c r="Z3229" i="12"/>
  <c r="Z2266" i="12"/>
  <c r="Z2339" i="12"/>
  <c r="Z2641" i="12"/>
  <c r="Z972" i="12"/>
  <c r="Z279" i="12"/>
  <c r="Z1519" i="12"/>
  <c r="Z2175" i="12"/>
  <c r="Z2979" i="12"/>
  <c r="Z1129" i="12"/>
  <c r="Z649" i="12"/>
  <c r="Z1364" i="12"/>
  <c r="Z3057" i="12"/>
  <c r="Z2225" i="12"/>
  <c r="Z3121" i="12"/>
  <c r="Z3335" i="12"/>
  <c r="Z876" i="12"/>
  <c r="Z1422" i="12"/>
  <c r="Z257" i="12"/>
  <c r="Z1298" i="12"/>
  <c r="Z1209" i="12"/>
  <c r="Z3513" i="12"/>
  <c r="Z2726" i="12"/>
  <c r="Z1441" i="12"/>
  <c r="Z711" i="12"/>
  <c r="Z166" i="12"/>
  <c r="Z1073" i="12"/>
  <c r="Z1765" i="12"/>
  <c r="Z3076" i="12"/>
  <c r="Z1891" i="12"/>
  <c r="Z1763" i="12"/>
  <c r="Z1701" i="12"/>
  <c r="Z2871" i="12"/>
  <c r="Z2638" i="12"/>
  <c r="Z2612" i="12"/>
  <c r="Z3323" i="12"/>
  <c r="Z1902" i="12"/>
  <c r="Z1005" i="12"/>
  <c r="Z2178" i="12"/>
  <c r="Z1467" i="12"/>
  <c r="Z1239" i="12"/>
  <c r="Z945" i="12"/>
  <c r="Z3226" i="12"/>
  <c r="Z663" i="12"/>
  <c r="Z31" i="12"/>
  <c r="Z323" i="12"/>
  <c r="Z391" i="12"/>
  <c r="Z2030" i="12"/>
  <c r="Z2378" i="12"/>
  <c r="Z1424" i="12"/>
  <c r="Z407" i="12"/>
  <c r="Z3075" i="12"/>
  <c r="Z3287" i="12"/>
  <c r="Z2299" i="12"/>
  <c r="Z300" i="12"/>
  <c r="Z3471" i="12"/>
  <c r="Z2065" i="12"/>
  <c r="Z622" i="12"/>
  <c r="Z2693" i="12"/>
  <c r="Z873" i="12"/>
  <c r="Z3087" i="12"/>
  <c r="Z1639" i="12"/>
  <c r="Z755" i="12"/>
  <c r="Z1690" i="12"/>
  <c r="Z2810" i="12"/>
  <c r="Z3256" i="12"/>
  <c r="Z2954" i="12"/>
  <c r="Z155" i="12"/>
  <c r="Z983" i="12"/>
  <c r="Z1700" i="12"/>
  <c r="Z2110" i="12"/>
  <c r="Z865" i="12"/>
  <c r="Z1350" i="12"/>
  <c r="Z3448" i="12"/>
  <c r="Z1078" i="12"/>
  <c r="Z2017" i="12"/>
  <c r="Z1316" i="12"/>
  <c r="Z709" i="12"/>
  <c r="Z1157" i="12"/>
  <c r="Z552" i="12"/>
  <c r="Z1971" i="12"/>
  <c r="Z1190" i="12"/>
  <c r="Z2580" i="12"/>
  <c r="Z3308" i="12"/>
  <c r="Z3403" i="12"/>
  <c r="Z926" i="12"/>
  <c r="Z483" i="12"/>
  <c r="Z1148" i="12"/>
  <c r="Z1423" i="12"/>
  <c r="Z46" i="12"/>
  <c r="Z2382" i="12"/>
  <c r="Z3254" i="12"/>
  <c r="Z1710" i="12"/>
  <c r="Z2923" i="12"/>
  <c r="Z210" i="12"/>
  <c r="Z2132" i="12"/>
  <c r="Z480" i="12"/>
  <c r="Z366" i="12"/>
  <c r="Z394" i="12"/>
  <c r="Z1810" i="12"/>
  <c r="Z485" i="12"/>
  <c r="Z3206" i="12"/>
  <c r="Z585" i="12"/>
  <c r="Z2411" i="12"/>
  <c r="Z246" i="12"/>
  <c r="Z1226" i="12"/>
  <c r="Z1854" i="12"/>
  <c r="Z2224" i="12"/>
  <c r="Z2639" i="12"/>
  <c r="Z866" i="12"/>
  <c r="Z1552" i="12"/>
  <c r="Z1477" i="12"/>
  <c r="Z299" i="12"/>
  <c r="Z2929" i="12"/>
  <c r="Z1169" i="12"/>
  <c r="Z2625" i="12"/>
  <c r="Z1024" i="12"/>
  <c r="Z2713" i="12"/>
  <c r="Z1829" i="12"/>
  <c r="Z3215" i="12"/>
  <c r="Z660" i="12"/>
  <c r="Z1081" i="12"/>
  <c r="Z3077" i="12"/>
  <c r="Z750" i="12"/>
  <c r="Z288" i="12"/>
  <c r="Z1274" i="12"/>
  <c r="Z2437" i="12"/>
  <c r="Z670" i="12"/>
  <c r="Z1831" i="12"/>
  <c r="Z199" i="12"/>
  <c r="Z931" i="12"/>
  <c r="Z1849" i="12"/>
  <c r="Z2112" i="12"/>
  <c r="Z2564" i="12"/>
  <c r="Z3478" i="12"/>
  <c r="Z462" i="12"/>
  <c r="Z3184" i="12"/>
  <c r="Z3456" i="12"/>
  <c r="Z2245" i="12"/>
  <c r="Z118" i="12"/>
  <c r="Z2305" i="12"/>
  <c r="Z56" i="12"/>
  <c r="Z348" i="12"/>
  <c r="Z2719" i="12"/>
  <c r="Z1038" i="12"/>
  <c r="Z716" i="12"/>
  <c r="Z2988" i="12"/>
  <c r="Z950" i="12"/>
  <c r="Z28" i="12"/>
  <c r="Z1462" i="12"/>
  <c r="Z1303" i="12"/>
  <c r="Z3442" i="12"/>
  <c r="Z2724" i="12"/>
  <c r="Z2287" i="12"/>
  <c r="Z3050" i="12"/>
  <c r="Z143" i="12"/>
  <c r="Z702" i="12"/>
  <c r="Z1106" i="12"/>
  <c r="Z2143" i="12"/>
  <c r="Z570" i="12"/>
  <c r="Z647" i="12"/>
  <c r="Z1243" i="12"/>
  <c r="Z2420" i="12"/>
  <c r="Z2409" i="12"/>
  <c r="Z1661" i="12"/>
  <c r="Z2074" i="12"/>
  <c r="Z198" i="12"/>
  <c r="Z408" i="12"/>
  <c r="Z413" i="12"/>
  <c r="Z2106" i="12"/>
  <c r="Z3145" i="12"/>
  <c r="Z1565" i="12"/>
  <c r="Z3086" i="12"/>
  <c r="Z2265" i="12"/>
  <c r="Z470" i="12"/>
  <c r="Z2391" i="12"/>
  <c r="Z1907" i="12"/>
  <c r="Z1048" i="12"/>
  <c r="Z2704" i="12"/>
  <c r="Z1566" i="12"/>
  <c r="Z562" i="12"/>
  <c r="Z2697" i="12"/>
  <c r="Z326" i="12"/>
  <c r="Z2675" i="12"/>
  <c r="Z3006" i="12"/>
  <c r="Z1675" i="12"/>
  <c r="Z956" i="12"/>
  <c r="Z2776" i="12"/>
  <c r="Z1828" i="12"/>
  <c r="Z457" i="12"/>
  <c r="Z1346" i="12"/>
  <c r="Z297" i="12"/>
  <c r="Z1165" i="12"/>
  <c r="Z2833" i="12"/>
  <c r="Z2736" i="12"/>
  <c r="Z528" i="12"/>
  <c r="Z2490" i="12"/>
  <c r="Z2389" i="12"/>
  <c r="Z917" i="12"/>
  <c r="Z908" i="12"/>
  <c r="Z2589" i="12"/>
  <c r="Z1716" i="12"/>
  <c r="Z2169" i="12"/>
  <c r="Z1966" i="12"/>
  <c r="Z3026" i="12"/>
  <c r="Z645" i="12"/>
  <c r="Z3118" i="12"/>
  <c r="Z3548" i="12"/>
  <c r="Z1663" i="12"/>
  <c r="Z415" i="12"/>
  <c r="Z106" i="12"/>
  <c r="Z2935" i="12"/>
  <c r="Z3535" i="12"/>
  <c r="Z1374" i="12"/>
  <c r="Z2363" i="12"/>
  <c r="Z1646" i="12"/>
  <c r="Z3453" i="12"/>
  <c r="Z3098" i="12"/>
  <c r="Z2039" i="12"/>
  <c r="Z3240" i="12"/>
  <c r="Z306" i="12"/>
  <c r="Z3378" i="12"/>
  <c r="Z1443" i="12"/>
  <c r="Z1638" i="12"/>
  <c r="Z2252" i="12"/>
  <c r="Z2677" i="12"/>
  <c r="Z2213" i="12"/>
  <c r="Z1405" i="12"/>
  <c r="Z2122" i="12"/>
  <c r="Z1384" i="12"/>
  <c r="Z91" i="12"/>
  <c r="Z696" i="12"/>
  <c r="Z541" i="12"/>
  <c r="Z2090" i="12"/>
  <c r="Z3315" i="12"/>
  <c r="Z2487" i="12"/>
  <c r="Z59" i="12"/>
  <c r="Z503" i="12"/>
  <c r="Z1268" i="12"/>
  <c r="Z939" i="12"/>
  <c r="Z1911" i="12"/>
  <c r="Z2700" i="12"/>
  <c r="Z2172" i="12"/>
  <c r="Z1360" i="12"/>
  <c r="Z893" i="12"/>
  <c r="Z2247" i="12"/>
  <c r="Z184" i="12"/>
  <c r="Z1122" i="12"/>
  <c r="Z1121" i="12"/>
  <c r="Z142" i="12"/>
  <c r="Z2267" i="12"/>
  <c r="Z1189" i="12"/>
  <c r="Z3288" i="12"/>
  <c r="Z581" i="12"/>
  <c r="Z1720" i="12"/>
  <c r="Z3000" i="12"/>
  <c r="Z1040" i="12"/>
  <c r="Z981" i="12"/>
  <c r="Z2727" i="12"/>
  <c r="Z2934" i="12"/>
  <c r="Z2481" i="12"/>
  <c r="Z1133" i="12"/>
  <c r="Z2553" i="12"/>
  <c r="Z2320" i="12"/>
  <c r="Z626" i="12"/>
  <c r="Z1497" i="12"/>
  <c r="Z1256" i="12"/>
  <c r="Z153" i="12"/>
  <c r="Z559" i="12"/>
  <c r="Z1249" i="12"/>
  <c r="Z2985" i="12"/>
  <c r="Z1527" i="12"/>
  <c r="Z3156" i="12"/>
  <c r="Z2739" i="12"/>
  <c r="Z1980" i="12"/>
  <c r="Z814" i="12"/>
  <c r="Z3238" i="12"/>
  <c r="Z3067" i="12"/>
  <c r="Z445" i="12"/>
  <c r="Z2614" i="12"/>
  <c r="Z2805" i="12"/>
  <c r="Z1265" i="12"/>
  <c r="Z357" i="12"/>
  <c r="Z3010" i="12"/>
  <c r="Z2424" i="12"/>
  <c r="Z2699" i="12"/>
  <c r="Z3147" i="12"/>
  <c r="Z2515" i="12"/>
  <c r="Z1928" i="12"/>
  <c r="Z610" i="12"/>
  <c r="Z2819" i="12"/>
  <c r="Z2399" i="12"/>
  <c r="Z2205" i="12"/>
  <c r="Z3265" i="12"/>
  <c r="Z1034" i="12"/>
  <c r="Z2019" i="12"/>
  <c r="Z1981" i="12"/>
  <c r="Z2146" i="12"/>
  <c r="Z34" i="12"/>
  <c r="Z3152" i="12"/>
  <c r="Z2576" i="12"/>
  <c r="Z1603" i="12"/>
  <c r="Z867" i="12"/>
  <c r="Z226" i="12"/>
  <c r="Z49" i="12"/>
  <c r="Z2533" i="12"/>
  <c r="Z121" i="12"/>
  <c r="Z2867" i="12"/>
  <c r="Z3541" i="12"/>
  <c r="Z2116" i="12"/>
  <c r="Z298" i="12"/>
  <c r="Z759" i="12"/>
  <c r="Z1016" i="12"/>
  <c r="Z1292" i="12"/>
  <c r="Z816" i="12"/>
  <c r="Z2239" i="12"/>
  <c r="Z2100" i="12"/>
  <c r="Z2295" i="12"/>
  <c r="Z1704" i="12"/>
  <c r="Z2183" i="12"/>
  <c r="Z162" i="12"/>
  <c r="Z238" i="12"/>
  <c r="Z130" i="12"/>
  <c r="Z2656" i="12"/>
  <c r="Z3097" i="12"/>
  <c r="Z2250" i="12"/>
  <c r="Z1331" i="12"/>
  <c r="Z3236" i="12"/>
  <c r="Z1482" i="12"/>
  <c r="Z3446" i="12"/>
  <c r="Z438" i="12"/>
  <c r="Z2884" i="12"/>
  <c r="Z1392" i="12"/>
  <c r="Z1764" i="12"/>
  <c r="Z493" i="12"/>
  <c r="Z452" i="12"/>
  <c r="Z592" i="12"/>
  <c r="Z93" i="12"/>
  <c r="Z982" i="12"/>
  <c r="Z3379" i="12"/>
  <c r="Z2622" i="12"/>
  <c r="Z2986" i="12"/>
  <c r="Z144" i="12"/>
  <c r="Z2214" i="12"/>
  <c r="Z782" i="12"/>
  <c r="Z1246" i="12"/>
  <c r="Z2951" i="12"/>
  <c r="Z3365" i="12"/>
  <c r="Z1119" i="12"/>
  <c r="Z1862" i="12"/>
  <c r="Z2785" i="12"/>
  <c r="Z1304" i="12"/>
  <c r="Z1877" i="12"/>
  <c r="Z1456" i="12"/>
  <c r="Z1425" i="12"/>
  <c r="Z2425" i="12"/>
  <c r="Z412" i="12"/>
  <c r="Z2138" i="12"/>
  <c r="Z659" i="12"/>
  <c r="Z3225" i="12"/>
  <c r="Z3361" i="12"/>
  <c r="Z936" i="12"/>
  <c r="Z2740" i="12"/>
  <c r="Z232" i="12"/>
  <c r="Z3269" i="12"/>
  <c r="Z2208" i="12"/>
  <c r="Z2859" i="12"/>
  <c r="Z3174" i="12"/>
  <c r="Z730" i="12"/>
  <c r="Z2682" i="12"/>
  <c r="Z1924" i="12"/>
  <c r="Z2114" i="12"/>
  <c r="Z447" i="12"/>
  <c r="Z2595" i="12"/>
  <c r="Z2083" i="12"/>
  <c r="Z2422" i="12"/>
  <c r="Z3330" i="12"/>
  <c r="Z677" i="12"/>
  <c r="Z474" i="12"/>
  <c r="Z680" i="12"/>
  <c r="Z265" i="12"/>
  <c r="Z1558" i="12"/>
  <c r="Z3144" i="12"/>
  <c r="Z756" i="12"/>
  <c r="Z995" i="12"/>
  <c r="Z2869" i="12"/>
  <c r="Z89" i="12"/>
  <c r="Z2128" i="12"/>
  <c r="Z1387" i="12"/>
  <c r="Z2872" i="12"/>
  <c r="Z1427" i="12"/>
  <c r="Z3549" i="12"/>
  <c r="Z1583" i="12"/>
  <c r="Z484" i="12"/>
  <c r="Z999" i="12"/>
  <c r="Z2577" i="12"/>
  <c r="Z693" i="12"/>
  <c r="Z2031" i="12"/>
  <c r="Z2201" i="12"/>
  <c r="Z1391" i="12"/>
  <c r="Z2840" i="12"/>
  <c r="Z2568" i="12"/>
  <c r="Z523" i="12"/>
  <c r="Z492" i="12"/>
  <c r="Z1922" i="12"/>
  <c r="Z3047" i="12"/>
  <c r="Z1238" i="12"/>
  <c r="Z1019" i="12"/>
  <c r="Z2254" i="12"/>
  <c r="Z202" i="12"/>
  <c r="Z1993" i="12"/>
  <c r="Z1415" i="12"/>
  <c r="Z1759" i="12"/>
  <c r="Z61" i="12"/>
  <c r="Z1940" i="12"/>
  <c r="Z2633" i="12"/>
  <c r="Z1088" i="12"/>
  <c r="Z650" i="12"/>
  <c r="Z1772" i="12"/>
  <c r="Z1637" i="12"/>
  <c r="Z749" i="12"/>
  <c r="Z531" i="12"/>
  <c r="Z3326" i="12"/>
  <c r="Z1138" i="12"/>
  <c r="Z3262" i="12"/>
  <c r="Z3125" i="12"/>
  <c r="Z904" i="12"/>
  <c r="Z1987" i="12"/>
  <c r="Z3414" i="12"/>
  <c r="Z103" i="12"/>
  <c r="Z2903" i="12"/>
  <c r="Z3133" i="12"/>
  <c r="Z1789" i="12"/>
  <c r="Z2958" i="12"/>
  <c r="Z3339" i="12"/>
  <c r="Z421" i="12"/>
  <c r="Z2880" i="12"/>
  <c r="Z1671" i="12"/>
  <c r="Z790" i="12"/>
  <c r="Z1782" i="12"/>
  <c r="Z2722" i="12"/>
  <c r="Z472" i="12"/>
  <c r="Z2181" i="12"/>
  <c r="Z3208" i="12"/>
  <c r="Z3210" i="12"/>
  <c r="Z668" i="12"/>
  <c r="Z2262" i="12"/>
  <c r="Z3458" i="12"/>
  <c r="Z2943" i="12"/>
  <c r="Z1064" i="12"/>
  <c r="Z185" i="12"/>
  <c r="Z1800" i="12"/>
  <c r="Z2167" i="12"/>
  <c r="Z3487" i="12"/>
  <c r="Z1202" i="12"/>
  <c r="Z2846" i="12"/>
  <c r="Z3433" i="12"/>
  <c r="Z2944" i="12"/>
  <c r="Z1393" i="12"/>
  <c r="Z621" i="12"/>
  <c r="Z208" i="12"/>
  <c r="Z24" i="12"/>
  <c r="Z51" i="12"/>
  <c r="Z1124" i="12"/>
  <c r="Z2046" i="12"/>
  <c r="Z774" i="12"/>
  <c r="Z2349" i="12"/>
  <c r="Z2898" i="12"/>
  <c r="Z2157" i="12"/>
  <c r="Z1621" i="12"/>
  <c r="Z107" i="12"/>
  <c r="Z2293" i="12"/>
  <c r="Z979" i="12"/>
  <c r="Z1152" i="12"/>
  <c r="Z2154" i="12"/>
  <c r="Z961" i="12"/>
  <c r="Z1656" i="12"/>
  <c r="Z1819" i="12"/>
  <c r="Z356" i="12"/>
  <c r="Z1163" i="12"/>
  <c r="Z3168" i="12"/>
  <c r="Z135" i="12"/>
  <c r="Z2371" i="12"/>
  <c r="Z1180" i="12"/>
  <c r="Z3484" i="12"/>
  <c r="Z1948" i="12"/>
  <c r="Z2570" i="12"/>
  <c r="Z951" i="12"/>
  <c r="Z977" i="12"/>
  <c r="Z2940" i="12"/>
  <c r="Z145" i="12"/>
  <c r="Z2085" i="12"/>
  <c r="Z757" i="12"/>
  <c r="Z3264" i="12"/>
  <c r="Z1748" i="12"/>
  <c r="Z316" i="12"/>
  <c r="Z3055" i="12"/>
  <c r="Z3348" i="12"/>
  <c r="Z3179" i="12"/>
  <c r="Z134" i="12"/>
  <c r="Z262" i="12"/>
  <c r="Z3112" i="12"/>
  <c r="Z2611" i="12"/>
  <c r="Z96" i="12"/>
  <c r="Z1315" i="12"/>
  <c r="Z1853" i="12"/>
  <c r="Z1672" i="12"/>
  <c r="Z1919" i="12"/>
  <c r="Z673" i="12"/>
  <c r="Z1780" i="12"/>
  <c r="Z1807" i="12"/>
  <c r="Z2153" i="12"/>
  <c r="Z269" i="12"/>
  <c r="Z1895" i="12"/>
  <c r="Z1208" i="12"/>
  <c r="Z390" i="12"/>
  <c r="Z1731" i="12"/>
  <c r="Z2728" i="12"/>
  <c r="Z2692" i="12"/>
  <c r="Z261" i="12"/>
  <c r="Z2341" i="12"/>
  <c r="Z1459" i="12"/>
  <c r="Z2113" i="12"/>
  <c r="Z1069" i="12"/>
  <c r="Z120" i="12"/>
  <c r="Z2161" i="12"/>
  <c r="Z733" i="12"/>
  <c r="Z2479" i="12"/>
  <c r="Z3219" i="12"/>
  <c r="Z1640" i="12"/>
  <c r="Z35" i="12"/>
  <c r="Z2463" i="12"/>
  <c r="Z1689" i="12"/>
  <c r="Z473" i="12"/>
  <c r="Z194" i="12"/>
  <c r="Z387" i="12"/>
  <c r="Z2961" i="12"/>
  <c r="Z1056" i="12"/>
  <c r="Z1433" i="12"/>
  <c r="Z1836" i="12"/>
  <c r="Z3522" i="12"/>
  <c r="Z2427" i="12"/>
  <c r="Z215" i="12"/>
  <c r="Z3350" i="12"/>
  <c r="Z3273" i="12"/>
  <c r="Z3212" i="12"/>
  <c r="Z301" i="12"/>
  <c r="Z2499" i="12"/>
  <c r="Z3213" i="12"/>
  <c r="Z942" i="12"/>
  <c r="Z634" i="12"/>
  <c r="Z1953" i="12"/>
  <c r="Z2020" i="12"/>
  <c r="Z2791" i="12"/>
  <c r="Z2828" i="12"/>
  <c r="Z1741" i="12"/>
  <c r="Z1466" i="12"/>
  <c r="Z1251" i="12"/>
  <c r="Z131" i="12"/>
  <c r="Z656" i="12"/>
  <c r="Z3437" i="12"/>
  <c r="Z691" i="12"/>
  <c r="Z3032" i="12"/>
  <c r="Z3044" i="12"/>
  <c r="Z3230" i="12"/>
  <c r="Z1091" i="12"/>
  <c r="Z2276" i="12"/>
  <c r="Z3167" i="12"/>
  <c r="Z706" i="12"/>
  <c r="Z1936" i="12"/>
  <c r="Z2851" i="12"/>
  <c r="Z2904" i="12"/>
  <c r="Z396" i="12"/>
  <c r="Z1944" i="12"/>
  <c r="Z1923" i="12"/>
  <c r="Z1804" i="12"/>
  <c r="Z3373" i="12"/>
  <c r="Z3318" i="12"/>
  <c r="Z1871" i="12"/>
  <c r="Z2270" i="12"/>
  <c r="Z3101" i="12"/>
  <c r="Z2708" i="12"/>
  <c r="Z2751" i="12"/>
  <c r="Z1103" i="12"/>
  <c r="Z3016" i="12"/>
  <c r="Z1745" i="12"/>
  <c r="Z3368" i="12"/>
  <c r="Z2292" i="12"/>
  <c r="Z1788" i="12"/>
  <c r="Z2962" i="12"/>
  <c r="Z1961" i="12"/>
  <c r="Z2094" i="12"/>
  <c r="Z2144" i="12"/>
  <c r="Z1533" i="12"/>
  <c r="Z244" i="12"/>
  <c r="Z2199" i="12"/>
  <c r="Z2926" i="12"/>
  <c r="Z1409" i="12"/>
  <c r="Z2725" i="12"/>
  <c r="Z2313" i="12"/>
  <c r="Z2493" i="12"/>
  <c r="Z3367" i="12"/>
  <c r="Z2436" i="12"/>
  <c r="Z2974" i="12"/>
  <c r="Z1793" i="12"/>
  <c r="Z1941" i="12"/>
  <c r="Z2097" i="12"/>
  <c r="Z1501" i="12"/>
  <c r="Z2592" i="12"/>
  <c r="Z160" i="12"/>
  <c r="Z1351" i="12"/>
  <c r="Z1332" i="12"/>
  <c r="Z2176" i="12"/>
  <c r="Z1164" i="12"/>
  <c r="Z2814" i="12"/>
  <c r="Z627" i="12"/>
  <c r="Z1607" i="12"/>
  <c r="Z1194" i="12"/>
  <c r="Z1918" i="12"/>
  <c r="Z1515" i="12"/>
  <c r="Z894" i="12"/>
  <c r="Z3302" i="12"/>
  <c r="Z1967" i="12"/>
  <c r="Z1539" i="12"/>
  <c r="Z657" i="12"/>
  <c r="Z1131" i="12"/>
  <c r="Z2681" i="12"/>
  <c r="Z3410" i="12"/>
  <c r="Z223" i="12"/>
  <c r="Z127" i="12"/>
  <c r="Z1228" i="12"/>
  <c r="Z420" i="12"/>
  <c r="Z2688" i="12"/>
  <c r="Z576" i="12"/>
  <c r="Z1280" i="12"/>
  <c r="Z94" i="12"/>
  <c r="Z105" i="12"/>
  <c r="Z117" i="12"/>
  <c r="Z3466" i="12"/>
  <c r="Z1864" i="12"/>
  <c r="Z549" i="12"/>
  <c r="Z3421" i="12"/>
  <c r="Z907" i="12"/>
  <c r="Z175" i="12"/>
  <c r="Z2581" i="12"/>
  <c r="Z1752" i="12"/>
  <c r="Z658" i="12"/>
  <c r="Z2462" i="12"/>
  <c r="Z1589" i="12"/>
  <c r="Z2032" i="12"/>
  <c r="Z1975" i="12"/>
  <c r="Z2209" i="12"/>
  <c r="Z1176" i="12"/>
  <c r="Z1769" i="12"/>
  <c r="Z2410" i="12"/>
  <c r="Z19" i="12"/>
  <c r="Z606" i="12"/>
  <c r="Z1050" i="12"/>
  <c r="Z1272" i="12"/>
  <c r="Z3509" i="12"/>
  <c r="Z2335" i="12"/>
  <c r="Z572" i="12"/>
  <c r="Z1760" i="12"/>
  <c r="Z3192" i="12"/>
  <c r="Z2524" i="12"/>
  <c r="Z3151" i="12"/>
  <c r="Z582" i="12"/>
  <c r="Z2602" i="12"/>
  <c r="Z3411" i="12"/>
  <c r="Z1620" i="12"/>
  <c r="Z3338" i="12"/>
  <c r="Z1882" i="12"/>
  <c r="Z508" i="12"/>
  <c r="Z2827" i="12"/>
  <c r="Z1143" i="12"/>
  <c r="Z3153" i="12"/>
  <c r="Z2888" i="12"/>
  <c r="Z947" i="12"/>
  <c r="Z918" i="12"/>
  <c r="Z440" i="12"/>
  <c r="Z694" i="12"/>
  <c r="Z2374" i="12"/>
  <c r="Z1177" i="12"/>
  <c r="Z793" i="12"/>
  <c r="Z2067" i="12"/>
  <c r="Z578" i="12"/>
  <c r="Z1910" i="12"/>
  <c r="Z190" i="12"/>
  <c r="Z1538" i="12"/>
  <c r="Z2193" i="12"/>
  <c r="Z1368" i="12"/>
  <c r="Z1025" i="12"/>
  <c r="Z556" i="12"/>
  <c r="Z912" i="12"/>
  <c r="Z475" i="12"/>
  <c r="Z1956" i="12"/>
  <c r="Z2165" i="12"/>
  <c r="Z176" i="12"/>
  <c r="Z2207" i="12"/>
  <c r="Z1277" i="12"/>
  <c r="Z1328" i="12"/>
  <c r="Z2956" i="12"/>
  <c r="Z1631" i="12"/>
  <c r="Z3233" i="12"/>
  <c r="Z3191" i="12"/>
  <c r="Z3431" i="12"/>
  <c r="Z1329" i="12"/>
  <c r="Z1004" i="12"/>
  <c r="Z777" i="12"/>
  <c r="Z2637" i="12"/>
  <c r="Z2598" i="12"/>
  <c r="Z2486" i="12"/>
  <c r="Z341" i="12"/>
  <c r="Z245" i="12"/>
  <c r="Z602" i="12"/>
  <c r="Z614" i="12"/>
  <c r="Z1725" i="12"/>
  <c r="Z1983" i="12"/>
  <c r="Z773" i="12"/>
  <c r="Z319" i="12"/>
  <c r="Z222" i="12"/>
  <c r="Z3115" i="12"/>
  <c r="Z1756" i="12"/>
  <c r="Z1447" i="12"/>
  <c r="Z2086" i="12"/>
  <c r="Z1382" i="12"/>
  <c r="Z212" i="12"/>
  <c r="Z2642" i="12"/>
  <c r="Z1521" i="12"/>
  <c r="Z849" i="12"/>
  <c r="Z1457" i="12"/>
  <c r="Z1598" i="12"/>
  <c r="Z2623" i="12"/>
  <c r="Z2314" i="12"/>
  <c r="Z498" i="12"/>
  <c r="Z3491" i="12"/>
  <c r="Z1528" i="12"/>
  <c r="Z974" i="12"/>
  <c r="Z3512" i="12"/>
  <c r="Z1688" i="12"/>
  <c r="Z1059" i="12"/>
  <c r="Z2921" i="12"/>
  <c r="Z2151" i="12"/>
  <c r="Z1835" i="12"/>
  <c r="Z2312" i="12"/>
  <c r="Z3372" i="12"/>
  <c r="Z2764" i="12"/>
  <c r="Z1543" i="12"/>
  <c r="Z100" i="12"/>
  <c r="Z546" i="12"/>
  <c r="Z2759" i="12"/>
  <c r="Z2236" i="12"/>
  <c r="Z2788" i="12"/>
  <c r="Z377" i="12"/>
  <c r="Z2887" i="12"/>
  <c r="Z2743" i="12"/>
  <c r="Z744" i="12"/>
  <c r="Z1866" i="12"/>
  <c r="Z954" i="12"/>
  <c r="Z296" i="12"/>
  <c r="Z1658" i="12"/>
  <c r="Z886" i="12"/>
  <c r="Z919" i="12"/>
  <c r="Z3259" i="12"/>
  <c r="Z2709" i="12"/>
  <c r="Z459" i="12"/>
  <c r="Z1255" i="12"/>
  <c r="Z1271" i="12"/>
  <c r="Z2432" i="12"/>
  <c r="Z1622" i="12"/>
  <c r="Z2994" i="12"/>
  <c r="Z401" i="12"/>
  <c r="Z3392" i="12"/>
  <c r="Z1225" i="12"/>
  <c r="Z3355" i="12"/>
  <c r="Z1593" i="12"/>
  <c r="Z1156" i="12"/>
  <c r="Z260" i="12"/>
  <c r="Z1906" i="12"/>
  <c r="Z707" i="12"/>
  <c r="Z3081" i="12"/>
  <c r="Z1324" i="12"/>
  <c r="Z2769" i="12"/>
  <c r="Z2202" i="12"/>
  <c r="Z3517" i="12"/>
  <c r="Z2061" i="12"/>
  <c r="Z1751" i="12"/>
  <c r="Z2556" i="12"/>
  <c r="Z2318" i="12"/>
  <c r="Z1020" i="12"/>
  <c r="Z2618" i="12"/>
  <c r="Z2359" i="12"/>
  <c r="Z574" i="12"/>
  <c r="Z2302" i="12"/>
  <c r="Z2402" i="12"/>
  <c r="Z2830" i="12"/>
  <c r="Z1770" i="12"/>
  <c r="Z1289" i="12"/>
  <c r="Z251" i="12"/>
  <c r="Z1826" i="12"/>
  <c r="Z2298" i="12"/>
  <c r="Z2922" i="12"/>
  <c r="Z3003" i="12"/>
  <c r="Z2554" i="12"/>
  <c r="Z1929" i="12"/>
  <c r="Z1642" i="12"/>
  <c r="Z384" i="12"/>
  <c r="Z1321" i="12"/>
  <c r="Z3331" i="12"/>
  <c r="Z1339" i="12"/>
  <c r="Z220" i="12"/>
  <c r="Z683" i="12"/>
  <c r="Z355" i="12"/>
  <c r="Z987" i="12"/>
  <c r="Z1909" i="12"/>
  <c r="Z829" i="12"/>
  <c r="Z1471" i="12"/>
  <c r="Z1777" i="12"/>
  <c r="Z535" i="12"/>
  <c r="Z1988" i="12"/>
  <c r="Z2744" i="12"/>
  <c r="Z327" i="12"/>
  <c r="Z1308" i="12"/>
  <c r="Z228" i="12"/>
  <c r="Z811" i="12"/>
  <c r="Z2321" i="12"/>
  <c r="Z2430" i="12"/>
  <c r="Z1126" i="12"/>
  <c r="Z993" i="12"/>
  <c r="Z2738" i="12"/>
  <c r="Z179" i="12"/>
  <c r="Z2489" i="12"/>
  <c r="Z1625" i="12"/>
  <c r="Z188" i="12"/>
  <c r="Z3162" i="12"/>
  <c r="Z258" i="12"/>
  <c r="Z44" i="12"/>
  <c r="Z1886" i="12"/>
  <c r="Z504" i="12"/>
  <c r="Z3499" i="12"/>
  <c r="Z2255" i="12"/>
  <c r="Z1474" i="12"/>
  <c r="Z466" i="12"/>
  <c r="Z2892" i="12"/>
  <c r="Z1282" i="12"/>
  <c r="Z3244" i="12"/>
  <c r="Z242" i="12"/>
  <c r="Z2373" i="12"/>
  <c r="Z1821" i="12"/>
  <c r="Z3312" i="12"/>
  <c r="Z832" i="12"/>
  <c r="Z2707" i="12"/>
  <c r="Z174" i="12"/>
  <c r="Z2080" i="12"/>
  <c r="Z1743" i="12"/>
  <c r="Z140" i="12"/>
  <c r="Z539" i="12"/>
  <c r="Z3063" i="12"/>
  <c r="Z1196" i="12"/>
  <c r="Z114" i="12"/>
  <c r="Z426" i="12"/>
  <c r="Z3019" i="12"/>
  <c r="Z2429" i="12"/>
  <c r="Z2752" i="12"/>
  <c r="Z2933" i="12"/>
  <c r="Z2037" i="12"/>
  <c r="Z1054" i="12"/>
  <c r="Z2768" i="12"/>
  <c r="Z3223" i="12"/>
  <c r="Z2981" i="12"/>
  <c r="Z2045" i="12"/>
  <c r="Z2203" i="12"/>
  <c r="Z3438" i="12"/>
  <c r="Z487" i="12"/>
  <c r="Z2415" i="12"/>
  <c r="Z3277" i="12"/>
  <c r="Z2802" i="12"/>
  <c r="Z648" i="12"/>
  <c r="Z404" i="12"/>
  <c r="Z1381" i="12"/>
  <c r="Z2006" i="12"/>
  <c r="Z1168" i="12"/>
  <c r="Z410" i="12"/>
  <c r="Z3095" i="12"/>
  <c r="Z3052" i="12"/>
  <c r="Z3176" i="12"/>
  <c r="Z1592" i="12"/>
  <c r="Z1581" i="12"/>
  <c r="Z3301" i="12"/>
  <c r="Z3544" i="12"/>
  <c r="Z1286" i="12"/>
  <c r="Z243" i="12"/>
  <c r="Z718" i="12"/>
  <c r="Z2033" i="12"/>
  <c r="Z207" i="12"/>
  <c r="Z739" i="12"/>
  <c r="Z2552" i="12"/>
  <c r="Z129" i="12"/>
  <c r="Z3519" i="12"/>
  <c r="Z3516" i="12"/>
  <c r="Z1744" i="12"/>
  <c r="Z1204" i="12"/>
  <c r="Z513" i="12"/>
  <c r="Z1066" i="12"/>
  <c r="Z3477" i="12"/>
  <c r="Z95" i="12"/>
  <c r="Z1674" i="12"/>
  <c r="Z888" i="12"/>
  <c r="Z328" i="12"/>
  <c r="Z1404" i="12"/>
  <c r="Z1159" i="12"/>
  <c r="Z171" i="12"/>
  <c r="Z383" i="12"/>
  <c r="Z624" i="12"/>
  <c r="Z418" i="12"/>
  <c r="Z52" i="12"/>
  <c r="Z903" i="12"/>
  <c r="Z195" i="12"/>
  <c r="Z1795" i="12"/>
  <c r="Z2973" i="12"/>
  <c r="Z1031" i="12"/>
  <c r="Z1570" i="12"/>
  <c r="Z1237" i="12"/>
  <c r="Z3342" i="12"/>
  <c r="Z2757" i="12"/>
  <c r="Z64" i="12"/>
  <c r="Z1193" i="12"/>
  <c r="Z2126" i="12"/>
  <c r="Z2379" i="12"/>
  <c r="Z1718" i="12"/>
  <c r="Z1035" i="12"/>
  <c r="Z3309" i="12"/>
  <c r="Z2381" i="12"/>
  <c r="Z1110" i="12"/>
  <c r="Z2216" i="12"/>
  <c r="Z1546" i="12"/>
  <c r="Z2583" i="12"/>
  <c r="Z272" i="12"/>
  <c r="Z906" i="12"/>
  <c r="Z2365" i="12"/>
  <c r="Z2052" i="12"/>
  <c r="Z1549" i="12"/>
  <c r="Z2765" i="12"/>
  <c r="Z1504" i="12"/>
  <c r="Z1463" i="12"/>
  <c r="Z792" i="12"/>
  <c r="Z2789" i="12"/>
  <c r="Z698" i="12"/>
  <c r="Z1643" i="12"/>
  <c r="Z116" i="12"/>
  <c r="Z196" i="12"/>
  <c r="Z551" i="12"/>
  <c r="Z481" i="12"/>
  <c r="Z2918" i="12"/>
  <c r="Z1534" i="12"/>
  <c r="Z2824" i="12"/>
  <c r="Z1600" i="12"/>
  <c r="Z3158" i="12"/>
  <c r="Z924" i="12"/>
  <c r="Z1692" i="12"/>
  <c r="Z520" i="12"/>
  <c r="Z1938" i="12"/>
  <c r="Z595" i="12"/>
  <c r="Z405" i="12"/>
  <c r="Z172" i="12"/>
  <c r="Z3100" i="12"/>
  <c r="Z684" i="12"/>
  <c r="Z2179" i="12"/>
  <c r="Z3343" i="12"/>
  <c r="Z2631" i="12"/>
  <c r="Z2993" i="12"/>
  <c r="Z3102" i="12"/>
  <c r="Z1912" i="12"/>
  <c r="Z3252" i="12"/>
  <c r="Z2615" i="12"/>
  <c r="Z928" i="12"/>
  <c r="Z3239" i="12"/>
  <c r="Z2131" i="12"/>
  <c r="Z3532" i="12"/>
  <c r="Z1130" i="12"/>
  <c r="Z943" i="12"/>
  <c r="Z1920" i="12"/>
  <c r="Z1805" i="12"/>
  <c r="Z1567" i="12"/>
  <c r="Z3257" i="12"/>
  <c r="Z55" i="12"/>
  <c r="Z3336" i="12"/>
  <c r="Z1571" i="12"/>
  <c r="Z2731" i="12"/>
  <c r="Z2596" i="12"/>
  <c r="Z1729" i="12"/>
  <c r="Z2366" i="12"/>
  <c r="Z1173" i="12"/>
  <c r="Z557" i="12"/>
  <c r="Z233" i="12"/>
  <c r="Z2550" i="12"/>
  <c r="Z784" i="12"/>
  <c r="Z382" i="12"/>
  <c r="Z1942" i="12"/>
  <c r="Z1396" i="12"/>
  <c r="Z230" i="12"/>
  <c r="Z1444" i="12"/>
  <c r="Z2417" i="12"/>
  <c r="Z2721" i="12"/>
  <c r="Z2075" i="12"/>
  <c r="Z1492" i="12"/>
  <c r="Z333" i="12"/>
  <c r="Z640" i="12"/>
  <c r="Z1090" i="12"/>
  <c r="Z603" i="12"/>
  <c r="Z2777" i="12"/>
  <c r="Z518" i="12"/>
  <c r="Z3105" i="12"/>
  <c r="Z1529" i="12"/>
  <c r="Z905" i="12"/>
  <c r="Z294" i="12"/>
  <c r="Z591" i="12"/>
  <c r="Z1740" i="12"/>
  <c r="Z2678" i="12"/>
  <c r="Z3480" i="12"/>
  <c r="Z2754" i="12"/>
  <c r="Z714" i="12"/>
  <c r="Z1514" i="12"/>
  <c r="Z2742" i="12"/>
  <c r="Z941" i="12"/>
  <c r="Z3296" i="12"/>
  <c r="Z2222" i="12"/>
  <c r="Z1995" i="12"/>
  <c r="Z3314" i="12"/>
  <c r="Z3281" i="12"/>
  <c r="Z3193" i="12"/>
  <c r="Z2050" i="12"/>
  <c r="Z224" i="12"/>
  <c r="Z2310" i="12"/>
  <c r="Z1507" i="12"/>
  <c r="Z1959" i="12"/>
  <c r="Z2608" i="12"/>
  <c r="Z525" i="12"/>
  <c r="Z1426" i="12"/>
  <c r="Z72" i="12"/>
  <c r="Z679" i="12"/>
  <c r="Z3061" i="12"/>
  <c r="Z3263" i="12"/>
  <c r="Z428" i="12"/>
  <c r="Z3303" i="12"/>
  <c r="Z2878" i="12"/>
  <c r="Z3362" i="12"/>
  <c r="Z221" i="12"/>
  <c r="Z853" i="12"/>
  <c r="Z2720" i="12"/>
  <c r="Z460" i="12"/>
  <c r="Z324" i="12"/>
  <c r="Z2268" i="12"/>
  <c r="Z125" i="12"/>
  <c r="Z1107" i="12"/>
  <c r="Z168" i="12"/>
  <c r="Z1576" i="12"/>
  <c r="Z1682" i="12"/>
  <c r="Z455" i="12"/>
  <c r="Z3521" i="12"/>
  <c r="Z3514" i="12"/>
  <c r="Z1958" i="12"/>
  <c r="Z3058" i="12"/>
  <c r="Z3546" i="12"/>
  <c r="Z1767" i="12"/>
  <c r="Z2779" i="12"/>
  <c r="Z2140" i="12"/>
  <c r="Z2095" i="12"/>
  <c r="Z2185" i="12"/>
  <c r="Z2014" i="12"/>
  <c r="Z1144" i="12"/>
  <c r="Z354" i="12"/>
  <c r="Z286" i="12"/>
  <c r="Z2696" i="12"/>
  <c r="Z2670" i="12"/>
  <c r="Z2156" i="12"/>
  <c r="Z872" i="12"/>
  <c r="Z2108" i="12"/>
  <c r="Z1998" i="12"/>
  <c r="Z1578" i="12"/>
  <c r="Z1435" i="12"/>
  <c r="Z553" i="12"/>
  <c r="Z2667" i="12"/>
  <c r="Z1153" i="12"/>
  <c r="Z2541" i="12"/>
  <c r="Z3363" i="12"/>
  <c r="Z781" i="12"/>
  <c r="Z2664" i="12"/>
  <c r="Z1979" i="12"/>
  <c r="Z1825" i="12"/>
  <c r="Z231" i="12"/>
  <c r="Z2443" i="12"/>
  <c r="Z809" i="12"/>
  <c r="Z491" i="12"/>
  <c r="Z1494" i="12"/>
  <c r="Z586" i="12"/>
  <c r="Z1499" i="12"/>
  <c r="Z2924" i="12"/>
  <c r="Z1873" i="12"/>
  <c r="Z742" i="12"/>
  <c r="Z3543" i="12"/>
  <c r="Z92" i="12"/>
  <c r="Z2445" i="12"/>
  <c r="Z3038" i="12"/>
  <c r="Z3080" i="12"/>
  <c r="Z1045" i="12"/>
  <c r="Z1717" i="12"/>
  <c r="Z2603" i="12"/>
  <c r="Z2149" i="12"/>
  <c r="Z1327" i="12"/>
  <c r="Z2575" i="12"/>
  <c r="Z1299" i="12"/>
  <c r="Z372" i="12"/>
  <c r="Z1708" i="12"/>
  <c r="Z123" i="12"/>
  <c r="Z1042" i="12"/>
  <c r="Z2384" i="12"/>
  <c r="Z846" i="12"/>
  <c r="Z594" i="12"/>
  <c r="Z499" i="12"/>
  <c r="Z3496" i="12"/>
  <c r="Z2421" i="12"/>
  <c r="Z1317" i="12"/>
  <c r="Z1655" i="12"/>
  <c r="Z2821" i="12"/>
  <c r="Z3405" i="12"/>
  <c r="Z1647" i="12"/>
  <c r="Z2147" i="12"/>
  <c r="Z2194" i="12"/>
  <c r="Z1452" i="12"/>
  <c r="Z2684" i="12"/>
  <c r="Z2549" i="12"/>
  <c r="Z1883" i="12"/>
  <c r="Z1310" i="12"/>
  <c r="Z1006" i="12"/>
  <c r="Z67" i="12"/>
  <c r="Z1856" i="12"/>
  <c r="Z325" i="12"/>
  <c r="Z2987" i="12"/>
  <c r="Z1573" i="12"/>
  <c r="Z1142" i="12"/>
  <c r="Z2192" i="12"/>
  <c r="Z295" i="12"/>
  <c r="Z1068" i="12"/>
  <c r="Z40" i="12"/>
  <c r="Z1464" i="12"/>
  <c r="Z3074" i="12"/>
  <c r="Z1018" i="12"/>
  <c r="Z3189" i="12"/>
  <c r="Z967" i="12"/>
  <c r="Z282" i="12"/>
  <c r="Z2645" i="12"/>
  <c r="Z705" i="12"/>
  <c r="Z180" i="12"/>
  <c r="Z469" i="12"/>
  <c r="Z2134" i="12"/>
  <c r="Z1711" i="12"/>
  <c r="Z772" i="12"/>
  <c r="Z2282" i="12"/>
  <c r="Z2392" i="12"/>
  <c r="Z3031" i="12"/>
  <c r="Z1865" i="12"/>
  <c r="Z1235" i="12"/>
  <c r="Z1896" i="12"/>
  <c r="Z2478" i="12"/>
  <c r="Z2088" i="12"/>
  <c r="Z3528" i="12"/>
  <c r="Z2548" i="12"/>
  <c r="Z697" i="12"/>
  <c r="Z1416" i="12"/>
  <c r="Z502" i="12"/>
  <c r="Z2803" i="12"/>
  <c r="Z1082" i="12"/>
  <c r="Z442" i="12"/>
  <c r="Z3404" i="12"/>
  <c r="Z2586" i="12"/>
  <c r="Z1735" i="12"/>
  <c r="Z3197" i="12"/>
  <c r="Z869" i="12"/>
  <c r="Z2105" i="12"/>
  <c r="Z2511" i="12"/>
  <c r="Z1698" i="12"/>
  <c r="Z652" i="12"/>
  <c r="Z1262" i="12"/>
  <c r="Z862" i="12"/>
  <c r="Z1408" i="12"/>
  <c r="Z2520" i="12"/>
  <c r="Z848" i="12"/>
  <c r="Z2352" i="12"/>
  <c r="Z1771" i="12"/>
  <c r="Z1257" i="12"/>
  <c r="Z2249" i="12"/>
  <c r="Z1087" i="12"/>
  <c r="Z3117" i="12"/>
  <c r="Z598" i="12"/>
  <c r="Z2907" i="12"/>
  <c r="Z2482" i="12"/>
  <c r="Z717" i="12"/>
  <c r="Z1453" i="12"/>
  <c r="Z3099" i="12"/>
  <c r="Z3340" i="12"/>
  <c r="Z2331" i="12"/>
  <c r="Z1378" i="12"/>
  <c r="Z775" i="12"/>
  <c r="Z2999" i="12"/>
  <c r="Z1875" i="12"/>
  <c r="Z1307" i="12"/>
  <c r="Z2508" i="12"/>
  <c r="Z959" i="12"/>
  <c r="Z1619" i="12"/>
  <c r="Z1370" i="12"/>
  <c r="Z3209" i="12"/>
  <c r="Z2837" i="12"/>
  <c r="Z2672" i="12"/>
  <c r="Z3334" i="12"/>
  <c r="Z1557" i="12"/>
  <c r="Z3500" i="12"/>
  <c r="Z1797" i="12"/>
  <c r="Z154" i="12"/>
  <c r="Z3467" i="12"/>
  <c r="Z1495" i="12"/>
  <c r="Z141" i="12"/>
  <c r="Z3526" i="12"/>
  <c r="Z971" i="12"/>
  <c r="Z758" i="12"/>
  <c r="Z748" i="12"/>
  <c r="Z965" i="12"/>
  <c r="Z284" i="12"/>
  <c r="Z1438" i="12"/>
  <c r="Z3004" i="12"/>
  <c r="Z378" i="12"/>
  <c r="Z1934" i="12"/>
  <c r="Z1991" i="12"/>
  <c r="Z147" i="12"/>
  <c r="Z962" i="12"/>
  <c r="Z205" i="12"/>
  <c r="Z1146" i="12"/>
  <c r="Z2004" i="12"/>
  <c r="Z2711" i="12"/>
  <c r="Z3120" i="12"/>
  <c r="Z3134" i="12"/>
  <c r="Z2891" i="12"/>
  <c r="Z2874" i="12"/>
  <c r="Z2817" i="12"/>
  <c r="Z3078" i="12"/>
  <c r="Z584" i="12"/>
  <c r="Z20" i="12"/>
  <c r="Z2055" i="12"/>
  <c r="Z2135" i="12"/>
  <c r="Z50" i="12"/>
  <c r="Z3014" i="12"/>
  <c r="Z1385" i="12"/>
  <c r="Z952" i="12"/>
  <c r="Z2028" i="12"/>
  <c r="Z1976" i="12"/>
  <c r="Z712" i="12"/>
  <c r="Z3359" i="12"/>
  <c r="Z2071" i="12"/>
  <c r="Z2241" i="12"/>
  <c r="Z1880" i="12"/>
  <c r="Z1648" i="12"/>
  <c r="Z966" i="12"/>
  <c r="Z381" i="12"/>
  <c r="Z3059" i="12"/>
  <c r="Z1754" i="12"/>
  <c r="Z3090" i="12"/>
  <c r="Z1281" i="12"/>
  <c r="Z3435" i="12"/>
  <c r="Z254" i="12"/>
  <c r="Z1247" i="12"/>
  <c r="Z1879" i="12"/>
  <c r="Z1017" i="12"/>
  <c r="Z1139" i="12"/>
  <c r="Z167" i="12"/>
  <c r="Z861" i="12"/>
  <c r="Z2423" i="12"/>
  <c r="Z1473" i="12"/>
  <c r="Z2428" i="12"/>
  <c r="Z2909" i="12"/>
  <c r="Z1313" i="12"/>
  <c r="Z911" i="12"/>
  <c r="Z37" i="12"/>
  <c r="Z3510" i="12"/>
  <c r="Z1074" i="12"/>
  <c r="Z311" i="12"/>
  <c r="Z2597" i="12"/>
  <c r="Z664" i="12"/>
  <c r="Z1617" i="12"/>
  <c r="Z1323" i="12"/>
  <c r="Z2248" i="12"/>
  <c r="Z789" i="12"/>
  <c r="Z870" i="12"/>
  <c r="Z3479" i="12"/>
  <c r="Z3150" i="12"/>
  <c r="Z1931" i="12"/>
  <c r="Z2619" i="12"/>
  <c r="Z2101" i="12"/>
  <c r="Z2718" i="12"/>
  <c r="Z946" i="12"/>
  <c r="Z2400" i="12"/>
  <c r="Z2857" i="12"/>
  <c r="Z2528" i="12"/>
  <c r="Z851" i="12"/>
  <c r="Z3380" i="12"/>
  <c r="Z2532" i="12"/>
  <c r="Z1231" i="12"/>
  <c r="Z1899" i="12"/>
  <c r="Z880" i="12"/>
  <c r="Z3146" i="12"/>
  <c r="Z329" i="12"/>
  <c r="Z2505" i="12"/>
  <c r="Z342" i="12"/>
  <c r="Z785" i="12"/>
  <c r="Z3324" i="12"/>
  <c r="Z347" i="12"/>
  <c r="Z2056" i="12"/>
  <c r="Z2626" i="12"/>
  <c r="Z2474" i="12"/>
  <c r="Z1591" i="12"/>
  <c r="Z1505" i="12"/>
  <c r="Z1596" i="12"/>
  <c r="Z3266" i="12"/>
  <c r="Z3096" i="12"/>
  <c r="Z3135" i="12"/>
  <c r="Z463" i="12"/>
  <c r="Z3278" i="12"/>
  <c r="Z2414" i="12"/>
  <c r="Z3180" i="12"/>
  <c r="Z1968" i="12"/>
  <c r="Z2829" i="12"/>
  <c r="Z1901" i="12"/>
  <c r="Z1662" i="12"/>
  <c r="Z1664" i="12"/>
  <c r="Z1868" i="12"/>
  <c r="Z896" i="12"/>
  <c r="Z1822" i="12"/>
  <c r="Z1399" i="12"/>
  <c r="Z3027" i="12"/>
  <c r="Z271" i="12"/>
  <c r="Z1470" i="12"/>
  <c r="Z3034" i="12"/>
  <c r="Z1580" i="12"/>
  <c r="Z2669" i="12"/>
  <c r="Z1300" i="12"/>
  <c r="Z371" i="12"/>
  <c r="Z1149" i="12"/>
  <c r="Z2822" i="12"/>
  <c r="Z3430" i="12"/>
  <c r="Z2059" i="12"/>
  <c r="Z1878" i="12"/>
  <c r="Z1053" i="12"/>
  <c r="Z2968" i="12"/>
  <c r="Z2792" i="12"/>
  <c r="Z2542" i="12"/>
  <c r="Z532" i="12"/>
  <c r="Z3425" i="12"/>
  <c r="Z3550" i="12"/>
  <c r="Z3182" i="12"/>
  <c r="Z1869" i="12"/>
  <c r="Z2077" i="12"/>
  <c r="Z1666" i="12"/>
  <c r="Z2531" i="12"/>
  <c r="Z2771" i="12"/>
  <c r="Z1846" i="12"/>
  <c r="Z2419" i="12"/>
  <c r="Z509" i="12"/>
  <c r="Z434" i="12"/>
  <c r="Z1322" i="12"/>
  <c r="Z2946" i="12"/>
  <c r="Z838" i="12"/>
  <c r="Z1970" i="12"/>
  <c r="Z423" i="12"/>
  <c r="Z3401" i="12"/>
  <c r="Z2348" i="12"/>
  <c r="Z1244" i="12"/>
  <c r="Z2446" i="12"/>
  <c r="Z978" i="12"/>
  <c r="Z3286" i="12"/>
  <c r="Z1092" i="12"/>
  <c r="Z148" i="12"/>
  <c r="Z3441" i="12"/>
  <c r="Z449" i="12"/>
  <c r="Z209" i="12"/>
  <c r="Z1175" i="12"/>
  <c r="Z871" i="12"/>
  <c r="Z3030" i="12"/>
  <c r="Z3216" i="12"/>
  <c r="Z980" i="12"/>
  <c r="Z2651" i="12"/>
  <c r="Z422" i="12"/>
  <c r="Z1335" i="12"/>
  <c r="Z2473" i="12"/>
  <c r="Z2938" i="12"/>
  <c r="Z1013" i="12"/>
  <c r="Z813" i="12"/>
  <c r="Z3166" i="12"/>
  <c r="Z3033" i="12"/>
  <c r="Z1217" i="12"/>
  <c r="Z2322" i="12"/>
  <c r="Z2825" i="12"/>
  <c r="Z2745" i="12"/>
  <c r="Z1481" i="12"/>
  <c r="Z2449" i="12"/>
  <c r="Z1590" i="12"/>
  <c r="Z2856" i="12"/>
  <c r="Z2180" i="12"/>
  <c r="Z629" i="12"/>
  <c r="Z2949" i="12"/>
  <c r="Z2119" i="12"/>
  <c r="Z2758" i="12"/>
  <c r="Z1359" i="12"/>
  <c r="Z3321" i="12"/>
  <c r="Z3497" i="12"/>
  <c r="Z1553" i="12"/>
  <c r="Z1768" i="12"/>
  <c r="Z3127" i="12"/>
  <c r="Z720" i="12"/>
  <c r="Z1930" i="12"/>
  <c r="Z344" i="12"/>
  <c r="Z110" i="12"/>
  <c r="Z2007" i="12"/>
  <c r="Z655" i="12"/>
  <c r="Z3126" i="12"/>
  <c r="Z1215" i="12"/>
  <c r="Z819" i="12"/>
  <c r="Z542" i="12"/>
  <c r="Z3295" i="12"/>
  <c r="Z642" i="12"/>
  <c r="Z1657" i="12"/>
  <c r="Z923" i="12"/>
  <c r="Z1974" i="12"/>
  <c r="Z285" i="12"/>
  <c r="Z1449" i="12"/>
  <c r="Z1738" i="12"/>
  <c r="Z824" i="12"/>
  <c r="Z1781" i="12"/>
  <c r="Z2939" i="12"/>
  <c r="Z2705" i="12"/>
  <c r="Z3104" i="12"/>
  <c r="Z362" i="12"/>
  <c r="Z229" i="12"/>
  <c r="Z3245" i="12"/>
  <c r="Z887" i="12"/>
  <c r="Z2798" i="12"/>
  <c r="Z1276" i="12"/>
  <c r="Z701" i="12"/>
  <c r="Z1665" i="12"/>
  <c r="Z400" i="12"/>
  <c r="Z828" i="12"/>
  <c r="Z3178" i="12"/>
  <c r="Z1903" i="12"/>
  <c r="Z623" i="12"/>
  <c r="Z2120" i="12"/>
  <c r="Z3463" i="12"/>
  <c r="Z3159" i="12"/>
  <c r="Z3527" i="12"/>
  <c r="Z1713" i="12"/>
  <c r="Z2627" i="12"/>
  <c r="Z370" i="12"/>
  <c r="Z203" i="12"/>
  <c r="Z3537" i="12"/>
  <c r="Z3417" i="12"/>
  <c r="Z560" i="12"/>
  <c r="Z1367" i="12"/>
  <c r="Z2917" i="12"/>
  <c r="Z182" i="12"/>
  <c r="Z2910" i="12"/>
  <c r="Z1080" i="12"/>
  <c r="Z3039" i="12"/>
  <c r="Z2579" i="12"/>
  <c r="Z2836" i="12"/>
  <c r="Z804" i="12"/>
  <c r="Z1475" i="12"/>
  <c r="Z854" i="12"/>
  <c r="Z540" i="12"/>
  <c r="Z796" i="12"/>
  <c r="Z2690" i="12"/>
  <c r="Z3049" i="12"/>
  <c r="Z1454" i="12"/>
  <c r="Z3329" i="12"/>
  <c r="Z3242" i="12"/>
  <c r="Z2890" i="12"/>
  <c r="Z2654" i="12"/>
  <c r="Z1000" i="12"/>
  <c r="Z1502" i="12"/>
  <c r="Z187" i="12"/>
  <c r="Z3205" i="12"/>
  <c r="Z2289" i="12"/>
  <c r="Z1414" i="12"/>
  <c r="Z2465" i="12"/>
  <c r="Z252" i="12"/>
  <c r="Z2139" i="12"/>
  <c r="Z2034" i="12"/>
  <c r="Z1375" i="12"/>
  <c r="Z2280" i="12"/>
  <c r="Z731" i="12"/>
  <c r="Z253" i="12"/>
  <c r="Z2338" i="12"/>
  <c r="Z2401" i="12"/>
  <c r="Z1874" i="12"/>
  <c r="Z661" i="12"/>
  <c r="Z2834" i="12"/>
  <c r="Z1099" i="12"/>
  <c r="Z1436" i="12"/>
  <c r="Z2521" i="12"/>
  <c r="Z1493" i="12"/>
  <c r="Z1026" i="12"/>
  <c r="Z1187" i="12"/>
  <c r="Z641" i="12"/>
  <c r="Z3107" i="12"/>
  <c r="Z75" i="12"/>
  <c r="Z2468" i="12"/>
  <c r="Z3228" i="12"/>
  <c r="Z1002" i="12"/>
  <c r="Z2585" i="12"/>
  <c r="Z2008" i="12"/>
  <c r="Z900" i="12"/>
  <c r="Z2351" i="12"/>
  <c r="Z1442" i="12"/>
  <c r="Z1616" i="12"/>
  <c r="Z2098" i="12"/>
  <c r="Z3248" i="12"/>
  <c r="Z566" i="12"/>
  <c r="Z996" i="12"/>
  <c r="Z2394" i="12"/>
  <c r="Z2991" i="12"/>
  <c r="Z3202" i="12"/>
  <c r="Z615" i="12"/>
  <c r="Z1140" i="12"/>
  <c r="Z898" i="12"/>
  <c r="Z1516" i="12"/>
  <c r="Z662" i="12"/>
  <c r="Z2084" i="12"/>
  <c r="Z801" i="12"/>
  <c r="Z1635" i="12"/>
  <c r="Z2989" i="12"/>
  <c r="Z3271" i="12"/>
  <c r="Z2648" i="12"/>
  <c r="Z710" i="12"/>
  <c r="Z275" i="12"/>
  <c r="Z235" i="12"/>
  <c r="Z583" i="12"/>
  <c r="Z1182" i="12"/>
  <c r="Z2534" i="12"/>
  <c r="Z2770" i="12"/>
  <c r="Z526" i="12"/>
  <c r="Z1151" i="12"/>
  <c r="Z3407" i="12"/>
  <c r="Z97" i="12"/>
  <c r="Z2488" i="12"/>
  <c r="Z497" i="12"/>
  <c r="Z2969" i="12"/>
  <c r="Z1252" i="12"/>
  <c r="Z2546" i="12"/>
  <c r="Z1794" i="12"/>
  <c r="Z250" i="12"/>
  <c r="Z1523" i="12"/>
  <c r="Z448" i="12"/>
  <c r="Z3203" i="12"/>
  <c r="Z3455" i="12"/>
  <c r="Z3171" i="12"/>
  <c r="Z1817" i="12"/>
  <c r="Z830" i="12"/>
  <c r="Z536" i="12"/>
  <c r="Z506" i="12"/>
  <c r="Z2058" i="12"/>
  <c r="Z1061" i="12"/>
  <c r="Z703" i="12"/>
  <c r="Z767" i="12"/>
  <c r="Z933" i="12"/>
  <c r="Z21" i="12"/>
  <c r="Z2695" i="12"/>
  <c r="Z877" i="12"/>
  <c r="Z863" i="12"/>
  <c r="Z3037" i="12"/>
  <c r="Z2572" i="12"/>
  <c r="Z431" i="12"/>
  <c r="Z433" i="12"/>
  <c r="Z1850" i="12"/>
  <c r="Z665" i="12"/>
  <c r="Z2538" i="12"/>
  <c r="Z2480" i="12"/>
  <c r="Z402" i="12"/>
  <c r="Z3190" i="12"/>
  <c r="Z850" i="12"/>
  <c r="Z3163" i="12"/>
  <c r="Z1945" i="12"/>
  <c r="Z2372" i="12"/>
  <c r="Z3218" i="12"/>
  <c r="Z752" i="12"/>
  <c r="Z3424" i="12"/>
  <c r="Z579" i="12"/>
  <c r="Z2047" i="12"/>
  <c r="Z2957" i="12"/>
  <c r="Z3247" i="12"/>
  <c r="Z836" i="12"/>
  <c r="Z464" i="12"/>
  <c r="Z2666" i="12"/>
  <c r="Z3020" i="12"/>
  <c r="Z1742" i="12"/>
  <c r="Z1786" i="12"/>
  <c r="Z1105" i="12"/>
  <c r="Z2990" i="12"/>
  <c r="Z2640" i="12"/>
  <c r="Z3053" i="12"/>
  <c r="Z2913" i="12"/>
  <c r="Z2196" i="12"/>
  <c r="Z1154" i="12"/>
  <c r="Z1644" i="12"/>
  <c r="Z1611" i="12"/>
  <c r="Z234" i="12"/>
  <c r="Z768" i="12"/>
  <c r="Z1678" i="12"/>
  <c r="Z590" i="12"/>
  <c r="Z1136" i="12"/>
  <c r="Z2160" i="12"/>
  <c r="Z60" i="12"/>
  <c r="Z2309" i="12"/>
  <c r="Z3187" i="12"/>
  <c r="Z376" i="12"/>
  <c r="Z393" i="12"/>
  <c r="Z2070" i="12"/>
  <c r="Z1352" i="12"/>
  <c r="Z953" i="12"/>
  <c r="Z2815" i="12"/>
  <c r="Z1036" i="12"/>
  <c r="Z2385" i="12"/>
  <c r="Z798" i="12"/>
  <c r="Z2439" i="12"/>
  <c r="Z891" i="12"/>
  <c r="Z1070" i="12"/>
  <c r="Z3157" i="12"/>
  <c r="Z1832" i="12"/>
  <c r="Z2035" i="12"/>
  <c r="Z1830" i="12"/>
  <c r="Z73" i="12"/>
  <c r="Z1809" i="12"/>
  <c r="Z1134" i="12"/>
  <c r="Z1032" i="12"/>
  <c r="Z3028" i="12"/>
  <c r="Z1746" i="12"/>
  <c r="Z505" i="12"/>
  <c r="Z722" i="12"/>
  <c r="Z3426" i="12"/>
  <c r="Z365" i="12"/>
  <c r="Z2109" i="12"/>
  <c r="Z1562" i="12"/>
  <c r="Z2995" i="12"/>
  <c r="Z895" i="12"/>
  <c r="Z1253" i="12"/>
  <c r="Z1264" i="12"/>
  <c r="Z3241" i="12"/>
  <c r="Z2283" i="12"/>
  <c r="Z2733" i="12"/>
  <c r="Z3376" i="12"/>
  <c r="Z2272" i="12"/>
  <c r="Z411" i="12"/>
  <c r="Z527" i="12"/>
  <c r="Z2344" i="12"/>
  <c r="Z1432" i="12"/>
  <c r="Z1230" i="12"/>
  <c r="Z2886" i="12"/>
  <c r="Z957" i="12"/>
  <c r="Z395" i="12"/>
  <c r="Z173" i="12"/>
  <c r="Z958" i="12"/>
  <c r="Z510" i="12"/>
  <c r="Z3346" i="12"/>
  <c r="Z1033" i="12"/>
  <c r="Z2082" i="12"/>
  <c r="Z737" i="12"/>
  <c r="Z1890" i="12"/>
  <c r="Z858" i="12"/>
  <c r="Z2787" i="12"/>
  <c r="Z386" i="12"/>
  <c r="Z2375" i="12"/>
  <c r="Z2599" i="12"/>
  <c r="Z973" i="12"/>
  <c r="Z283" i="12"/>
  <c r="Z2018" i="12"/>
  <c r="Z389" i="12"/>
  <c r="Z674" i="12"/>
  <c r="Z968" i="12"/>
  <c r="Z857" i="12"/>
  <c r="Z3066" i="12"/>
  <c r="Z2226" i="12"/>
  <c r="Z1301" i="12"/>
  <c r="Z1011" i="12"/>
  <c r="Z1537" i="12"/>
  <c r="Z320" i="12"/>
  <c r="Z2901" i="12"/>
  <c r="Z2858" i="12"/>
  <c r="Z152" i="12"/>
  <c r="Z32" i="12"/>
  <c r="Z2242" i="12"/>
  <c r="Z29" i="12"/>
  <c r="Z2079" i="12"/>
  <c r="Z2519" i="12"/>
  <c r="Z2217" i="12"/>
  <c r="Z2438" i="12"/>
  <c r="Z1604" i="12"/>
  <c r="Z544" i="12"/>
  <c r="Z2756" i="12"/>
  <c r="Z1511" i="12"/>
  <c r="Z1766" i="12"/>
  <c r="Z1192" i="12"/>
  <c r="Z3029" i="12"/>
  <c r="Z2238" i="12"/>
  <c r="Z1517" i="12"/>
  <c r="Z2734" i="12"/>
  <c r="Z2807" i="12"/>
  <c r="Z1279" i="12"/>
  <c r="Z128" i="12"/>
  <c r="Z1721" i="12"/>
  <c r="Z2663" i="12"/>
  <c r="Z1730" i="12"/>
  <c r="Z687" i="12"/>
  <c r="Z630" i="12"/>
  <c r="Z2235" i="12"/>
  <c r="Z317" i="12"/>
  <c r="Z2613" i="12"/>
  <c r="Z1952" i="12"/>
  <c r="Z636" i="12"/>
  <c r="Z2003" i="12"/>
  <c r="Z2607" i="12"/>
  <c r="Z2360" i="12"/>
  <c r="Z1857" i="12"/>
  <c r="Z3384" i="12"/>
  <c r="Z3246" i="12"/>
  <c r="Z2703" i="12"/>
  <c r="Z2530" i="12"/>
  <c r="Z1551" i="12"/>
  <c r="Z1183" i="12"/>
  <c r="Z1260" i="12"/>
  <c r="Z2198" i="12"/>
  <c r="Z1338" i="12"/>
  <c r="Z3253" i="12"/>
  <c r="Z2357" i="12"/>
  <c r="Z1524" i="12"/>
  <c r="Z2976" i="12"/>
  <c r="Z2668" i="12"/>
  <c r="Z2288" i="12"/>
  <c r="Z113" i="12"/>
  <c r="Z3398" i="12"/>
  <c r="Z998" i="12"/>
  <c r="Z2746" i="12"/>
  <c r="Z3461" i="12"/>
  <c r="Z69" i="12"/>
  <c r="Z2328" i="12"/>
  <c r="Z1185" i="12"/>
  <c r="Z2593" i="12"/>
  <c r="Z3073" i="12"/>
  <c r="Z47" i="12"/>
  <c r="Z1676" i="12"/>
  <c r="Z3048" i="12"/>
  <c r="Z666" i="12"/>
  <c r="Z1263" i="12"/>
  <c r="Z820" i="12"/>
  <c r="Z2842" i="12"/>
  <c r="Z3489" i="12"/>
  <c r="Z1668" i="12"/>
  <c r="Z1250" i="12"/>
  <c r="Z2068" i="12"/>
  <c r="Z1860" i="12"/>
  <c r="Z2393" i="12"/>
  <c r="Z367" i="12"/>
  <c r="Z1758" i="12"/>
  <c r="Z1536" i="12"/>
  <c r="Z264" i="12"/>
  <c r="Z397" i="12"/>
  <c r="Z2164" i="12"/>
  <c r="Z1943" i="12"/>
  <c r="Z1295" i="12"/>
  <c r="Z827" i="12"/>
  <c r="Z2644" i="12"/>
  <c r="Z855" i="12"/>
  <c r="Z1188" i="12"/>
  <c r="Z2510" i="12"/>
  <c r="Z1554" i="12"/>
  <c r="Z2806" i="12"/>
  <c r="Z1309" i="12"/>
  <c r="Z2967" i="12"/>
  <c r="Z3046" i="12"/>
  <c r="Z699" i="12"/>
  <c r="Z2261" i="12"/>
  <c r="Z1218" i="12"/>
  <c r="Z2812" i="12"/>
  <c r="Z489" i="12"/>
  <c r="Z3349" i="12"/>
  <c r="Z1058" i="12"/>
  <c r="Z2655" i="12"/>
  <c r="Z554" i="12"/>
  <c r="Z1012" i="12"/>
  <c r="Z2023" i="12"/>
  <c r="Z548" i="12"/>
  <c r="Z550" i="12"/>
  <c r="Z1775" i="12"/>
  <c r="Z3122" i="12"/>
  <c r="Z1413" i="12"/>
  <c r="Z1472" i="12"/>
  <c r="Z800" i="12"/>
  <c r="Z2906" i="12"/>
  <c r="Z522" i="12"/>
  <c r="Z1691" i="12"/>
  <c r="Z810" i="12"/>
  <c r="Z2816" i="12"/>
  <c r="Z860" i="12"/>
  <c r="Z1530" i="12"/>
  <c r="Z2089" i="12"/>
  <c r="Z2025" i="12"/>
  <c r="Z2433" i="12"/>
  <c r="Z2243" i="12"/>
  <c r="Z2043" i="12"/>
  <c r="Z247" i="12"/>
  <c r="Z468" i="12"/>
  <c r="Z1076" i="12"/>
  <c r="Z1266" i="12"/>
  <c r="Z3293" i="12"/>
  <c r="Z1437" i="12"/>
  <c r="Z2388" i="12"/>
  <c r="Z3060" i="12"/>
  <c r="Z1170" i="12"/>
  <c r="Z835" i="12"/>
  <c r="Z3534" i="12"/>
  <c r="Z738" i="12"/>
  <c r="Z373" i="12"/>
  <c r="Z3468" i="12"/>
  <c r="Z33" i="12"/>
  <c r="Z1913" i="12"/>
  <c r="Z3542" i="12"/>
  <c r="Z1522" i="12"/>
  <c r="Z2905" i="12"/>
  <c r="Z1484" i="12"/>
  <c r="Z359" i="12"/>
  <c r="Z3385" i="12"/>
  <c r="Z985" i="12"/>
  <c r="Z795" i="12"/>
  <c r="Z2518" i="12"/>
  <c r="Z310" i="12"/>
  <c r="Z3533" i="12"/>
  <c r="Z137" i="12"/>
  <c r="Z1652" i="12"/>
  <c r="Z1556" i="12"/>
  <c r="Z2914" i="12"/>
  <c r="Z2049" i="12"/>
  <c r="Z2041" i="12"/>
  <c r="Z2523" i="12"/>
  <c r="Z514" i="12"/>
  <c r="Z2916" i="12"/>
  <c r="Z312" i="12"/>
  <c r="Z3423" i="12"/>
  <c r="Z2983" i="12"/>
  <c r="Z1951" i="12"/>
  <c r="Z2835" i="12"/>
  <c r="Z1372" i="12"/>
  <c r="Z3199" i="12"/>
  <c r="Z1574" i="12"/>
  <c r="Z1083" i="12"/>
  <c r="Z1654" i="12"/>
  <c r="Z3022" i="12"/>
  <c r="Z1236" i="12"/>
  <c r="Z1612" i="12"/>
  <c r="Z3391" i="12"/>
  <c r="Z379" i="12"/>
  <c r="Z43" i="12"/>
  <c r="Z204" i="12"/>
  <c r="Z2514" i="12"/>
  <c r="Z126" i="12"/>
  <c r="Z416" i="12"/>
  <c r="Z1606" i="12"/>
  <c r="Z2137" i="12"/>
  <c r="Z1406" i="12"/>
  <c r="Z1844" i="12"/>
  <c r="Z2210" i="12"/>
  <c r="Z3400" i="12"/>
  <c r="Z2215" i="12"/>
  <c r="Z1487" i="12"/>
  <c r="Z281" i="12"/>
  <c r="Z875" i="12"/>
  <c r="Z3322" i="12"/>
  <c r="Z3345" i="12"/>
  <c r="Z1166" i="12"/>
  <c r="Z1320" i="12"/>
  <c r="Z2256" i="12"/>
  <c r="Z2772" i="12"/>
  <c r="Z479" i="12"/>
  <c r="Z2369" i="12"/>
  <c r="Z1254" i="12"/>
  <c r="Z2325" i="12"/>
  <c r="Z3476" i="12"/>
  <c r="Z3357" i="12"/>
  <c r="Z1478" i="12"/>
  <c r="Z2504" i="12"/>
  <c r="Z1491" i="12"/>
  <c r="Z2749" i="12"/>
  <c r="Z639" i="12"/>
  <c r="Z3319" i="12"/>
  <c r="Z874" i="12"/>
  <c r="Z3025" i="12"/>
  <c r="Z1051" i="12"/>
  <c r="Z3001" i="12"/>
  <c r="Z2714" i="12"/>
  <c r="Z446" i="12"/>
  <c r="Z3297" i="12"/>
  <c r="Z2517" i="12"/>
  <c r="Z2188" i="12"/>
  <c r="Z2501" i="12"/>
  <c r="Z1696" i="12"/>
  <c r="Z3221" i="12"/>
  <c r="Z1597" i="12"/>
  <c r="Z1398" i="12"/>
  <c r="Z625" i="12"/>
  <c r="Z1227" i="12"/>
  <c r="Z3300" i="12"/>
  <c r="Z465" i="12"/>
  <c r="Z2710" i="12"/>
  <c r="Z163" i="12"/>
  <c r="Z762" i="12"/>
  <c r="Z2002" i="12"/>
  <c r="Z3332" i="12"/>
  <c r="Z458" i="12"/>
  <c r="Z1577" i="12"/>
  <c r="Z2674" i="12"/>
  <c r="Z1518" i="12"/>
  <c r="Z2687" i="12"/>
  <c r="Z970" i="12"/>
  <c r="Z1540" i="12"/>
  <c r="Z3103" i="12"/>
  <c r="Z111" i="12"/>
  <c r="Z3018" i="12"/>
  <c r="Z3518" i="12"/>
  <c r="Z3371" i="12"/>
  <c r="Z82" i="12"/>
  <c r="Z138" i="12"/>
  <c r="Z360" i="12"/>
  <c r="Z201" i="12"/>
  <c r="Z2317" i="12"/>
  <c r="Z1985" i="12"/>
  <c r="Z2187" i="12"/>
  <c r="Z754" i="12"/>
  <c r="Z1685" i="12"/>
  <c r="Z2152" i="12"/>
  <c r="Z488" i="12"/>
  <c r="Z558" i="12"/>
  <c r="Z1428" i="12"/>
  <c r="Z2117" i="12"/>
  <c r="Z1344" i="12"/>
  <c r="Z170" i="12"/>
  <c r="Z817" i="12"/>
  <c r="Z3045" i="12"/>
  <c r="Z3139" i="12"/>
  <c r="Z1706" i="12"/>
  <c r="Z2763" i="12"/>
  <c r="Z567" i="12"/>
  <c r="Z3129" i="12"/>
  <c r="Z2102" i="12"/>
  <c r="Z2457" i="12"/>
  <c r="Z3089" i="12"/>
  <c r="Z1801" i="12"/>
  <c r="Z3524" i="12"/>
  <c r="Z1526" i="12"/>
  <c r="Z2136" i="12"/>
  <c r="Z2048" i="12"/>
  <c r="Z575" i="12"/>
  <c r="Z3449" i="12"/>
  <c r="Z38" i="12"/>
  <c r="Z1915" i="12"/>
  <c r="Z1419" i="12"/>
  <c r="Z2130" i="12"/>
  <c r="Z2965" i="12"/>
  <c r="Z3036" i="12"/>
  <c r="Z2324" i="12"/>
  <c r="Z3501" i="12"/>
  <c r="Z723" i="12"/>
  <c r="Z1602" i="12"/>
  <c r="Z802" i="12"/>
  <c r="Z3399" i="12"/>
  <c r="Z266" i="12"/>
  <c r="Z770" i="12"/>
  <c r="Z681" i="12"/>
  <c r="Z2246" i="12"/>
  <c r="Z1273" i="12"/>
  <c r="Z3072" i="12"/>
  <c r="Z3310" i="12"/>
  <c r="Z2600" i="12"/>
  <c r="Z3457" i="12"/>
  <c r="Z619" i="12"/>
  <c r="Z3313" i="12"/>
  <c r="Z2277" i="12"/>
  <c r="Z516" i="12"/>
  <c r="Z646" i="12"/>
  <c r="Z571" i="12"/>
  <c r="Z812" i="12"/>
  <c r="Z2040" i="12"/>
  <c r="Z2346" i="12"/>
  <c r="Z1559" i="12"/>
  <c r="Z2952" i="12"/>
  <c r="Z2281" i="12"/>
  <c r="Z2683" i="12"/>
  <c r="Z2258" i="12"/>
  <c r="Z3408" i="12"/>
  <c r="Z3283" i="12"/>
  <c r="Z1561" i="12"/>
  <c r="Z1402" i="12"/>
  <c r="Z2813" i="12"/>
  <c r="Z690" i="12"/>
  <c r="Z1500" i="12"/>
  <c r="Z2775" i="12"/>
  <c r="Z2569" i="12"/>
  <c r="Z2937" i="12"/>
  <c r="Z2408" i="12"/>
  <c r="Z704" i="12"/>
  <c r="Z1261" i="12"/>
  <c r="Z1207" i="12"/>
  <c r="Z2260" i="12"/>
  <c r="Z2010" i="12"/>
  <c r="Z2795" i="12"/>
  <c r="Z537" i="12"/>
  <c r="Z3382" i="12"/>
  <c r="Z944" i="12"/>
  <c r="Z859" i="12"/>
  <c r="Z3493" i="12"/>
  <c r="Z2326" i="12"/>
  <c r="Z3204" i="12"/>
  <c r="Z104" i="12"/>
  <c r="Z1314" i="12"/>
  <c r="Z3002" i="12"/>
  <c r="Z1973" i="12"/>
  <c r="Z831" i="12"/>
  <c r="Z2064" i="12"/>
  <c r="Z2780" i="12"/>
  <c r="Z2908" i="12"/>
  <c r="Z934" i="12"/>
  <c r="Z1963" i="12"/>
  <c r="Z3523" i="12"/>
  <c r="Z2294" i="12"/>
  <c r="Z1401" i="12"/>
  <c r="Z3325" i="12"/>
  <c r="Z2975" i="12"/>
  <c r="Z2123" i="12"/>
  <c r="Z3495" i="12"/>
  <c r="Z2330" i="12"/>
  <c r="Z2189" i="12"/>
  <c r="Z77" i="12"/>
  <c r="Z3459" i="12"/>
  <c r="Z1881" i="12"/>
  <c r="Z3397" i="12"/>
  <c r="Z1649" i="12"/>
  <c r="Z3552" i="12"/>
  <c r="Z1306" i="12"/>
  <c r="Z883" i="12"/>
  <c r="Z70" i="12"/>
  <c r="Z3470" i="12"/>
  <c r="Z1111" i="12"/>
  <c r="Z930" i="12"/>
  <c r="Z486" i="12"/>
  <c r="Z2307" i="12"/>
  <c r="Z2873" i="12"/>
  <c r="Z1022" i="12"/>
  <c r="Z3504" i="12"/>
  <c r="Z3079" i="12"/>
  <c r="Z2647" i="12"/>
  <c r="Z213" i="12"/>
  <c r="Z259" i="12"/>
  <c r="Z1039" i="12"/>
  <c r="Z1712" i="12"/>
  <c r="Z3418" i="12"/>
  <c r="Z1420" i="12"/>
  <c r="Z2111" i="12"/>
  <c r="Z2426" i="12"/>
  <c r="Z1305" i="12"/>
  <c r="Z1431" i="12"/>
  <c r="Z3393" i="12"/>
  <c r="Z241" i="12"/>
  <c r="Z3092" i="12"/>
  <c r="Z1755" i="12"/>
  <c r="Z1145" i="12"/>
  <c r="Z1650" i="12"/>
  <c r="Z1248" i="12"/>
  <c r="Z249" i="12"/>
  <c r="Z2507" i="12"/>
  <c r="Z653" i="12"/>
  <c r="Z740" i="12"/>
  <c r="Z1388" i="12"/>
  <c r="Z351" i="12"/>
  <c r="Z1904" i="12"/>
  <c r="Z2849" i="12"/>
  <c r="Z1834" i="12"/>
  <c r="Z3498" i="12"/>
  <c r="Z3237" i="12"/>
  <c r="Z3427" i="12"/>
  <c r="Z1986" i="12"/>
  <c r="Z2503" i="12"/>
  <c r="Z2142" i="12"/>
  <c r="Z2269" i="12"/>
  <c r="Z2559" i="12"/>
  <c r="Z2947" i="12"/>
  <c r="Z240" i="12"/>
  <c r="Z1084" i="12"/>
  <c r="Z1525" i="12"/>
  <c r="Z289" i="12"/>
  <c r="Z1545" i="12"/>
  <c r="Z211" i="12"/>
  <c r="Z1714" i="12"/>
  <c r="Z2395" i="12"/>
  <c r="Z3249" i="12"/>
  <c r="Z1075" i="12"/>
  <c r="Z388" i="12"/>
  <c r="Z2477" i="12"/>
  <c r="Z761" i="12"/>
  <c r="Z291" i="12"/>
  <c r="Z3353" i="12"/>
  <c r="Z3545" i="12"/>
  <c r="Z1269" i="12"/>
  <c r="Z3093" i="12"/>
  <c r="Z2263" i="12"/>
  <c r="Z1319" i="12"/>
  <c r="Z2661" i="12"/>
  <c r="Z1411" i="12"/>
  <c r="Z2804" i="12"/>
  <c r="Z477" i="12"/>
  <c r="Z3062" i="12"/>
  <c r="Z425" i="12"/>
  <c r="Z3083" i="12"/>
  <c r="Z2852" i="12"/>
  <c r="Z54" i="12"/>
  <c r="Z3402" i="12"/>
  <c r="Z2784" i="12"/>
  <c r="Z86" i="12"/>
  <c r="Z2609" i="12"/>
  <c r="Z1199" i="12"/>
  <c r="Z2253" i="12"/>
  <c r="Z2715" i="12"/>
  <c r="Z2459" i="12"/>
  <c r="Z940" i="12"/>
  <c r="Z3194" i="12"/>
  <c r="Z2038" i="12"/>
  <c r="Z3065" i="12"/>
  <c r="Z524" i="12"/>
  <c r="Z1312" i="12"/>
  <c r="Z2862" i="12"/>
  <c r="Z1417" i="12"/>
  <c r="Z3042" i="12"/>
  <c r="Z292" i="12"/>
  <c r="Z1311" i="12"/>
  <c r="Z688" i="12"/>
  <c r="Z2051" i="12"/>
  <c r="Z929" i="12"/>
  <c r="Z1532" i="12"/>
  <c r="Z2125" i="12"/>
  <c r="Z2104" i="12"/>
  <c r="Z2566" i="12"/>
  <c r="Z1052" i="12"/>
  <c r="Z1925" i="12"/>
  <c r="Z1383" i="12"/>
  <c r="Z2358" i="12"/>
  <c r="Z2694" i="12"/>
  <c r="Z2900" i="12"/>
  <c r="Z441" i="12"/>
  <c r="Z3366" i="12"/>
  <c r="Z689" i="12"/>
  <c r="Z1992" i="12"/>
  <c r="Z1861" i="12"/>
  <c r="Z1275" i="12"/>
  <c r="Z826" i="12"/>
  <c r="Z2353" i="12"/>
  <c r="Z2397" i="12"/>
  <c r="Z1645" i="12"/>
  <c r="Z1089" i="12"/>
  <c r="Z3316" i="12"/>
  <c r="Z2774" i="12"/>
  <c r="Z350" i="12"/>
  <c r="Z2461" i="12"/>
  <c r="Z2182" i="12"/>
  <c r="Z443" i="12"/>
  <c r="Z1610" i="12"/>
  <c r="Z3307" i="12"/>
  <c r="Z71" i="12"/>
  <c r="Z2702" i="12"/>
  <c r="Z2230" i="12"/>
  <c r="Z1595" i="12"/>
  <c r="Z599" i="12"/>
  <c r="Z3299" i="12"/>
  <c r="Z68" i="12"/>
  <c r="Z708" i="12"/>
  <c r="Z2350" i="12"/>
  <c r="Z177" i="12"/>
  <c r="Z1876" i="12"/>
  <c r="Z2195" i="12"/>
  <c r="Z1548" i="12"/>
  <c r="Z3305" i="12"/>
  <c r="Z169" i="12"/>
  <c r="Z3536" i="12"/>
  <c r="Z2233" i="12"/>
  <c r="Z3164" i="12"/>
  <c r="Z2347" i="12"/>
  <c r="Z115" i="12"/>
  <c r="Z2911" i="12"/>
  <c r="Z729" i="12"/>
  <c r="Z1288" i="12"/>
  <c r="Z3201" i="12"/>
  <c r="Z337" i="12"/>
  <c r="Z787" i="12"/>
  <c r="Z1150" i="12"/>
  <c r="Z2367" i="12"/>
  <c r="Z1451" i="12"/>
  <c r="Z1867" i="12"/>
  <c r="Z2471" i="12"/>
  <c r="Z2460" i="12"/>
  <c r="Z760" i="12"/>
  <c r="Z1989" i="12"/>
  <c r="Z1627" i="12"/>
  <c r="Z2889" i="12"/>
  <c r="Z216" i="12"/>
  <c r="Z2492" i="12"/>
  <c r="Z2491" i="12"/>
  <c r="Z2403" i="12"/>
  <c r="Z1270" i="12"/>
  <c r="Z2529" i="12"/>
  <c r="Z3041" i="12"/>
  <c r="Z843" i="12"/>
  <c r="Z2450" i="12"/>
  <c r="Z2737" i="12"/>
  <c r="Z1791" i="12"/>
  <c r="Z1887" i="12"/>
  <c r="Z1937" i="12"/>
  <c r="Z852" i="12"/>
  <c r="Z273" i="12"/>
  <c r="Z3451" i="12"/>
  <c r="Z3035" i="12"/>
  <c r="Z1926" i="12"/>
  <c r="Z1098" i="12"/>
  <c r="Z2455" i="12"/>
  <c r="Z88" i="12"/>
  <c r="Z2982" i="12"/>
  <c r="Z332" i="12"/>
  <c r="Z2009" i="12"/>
  <c r="Z1242" i="12"/>
  <c r="Z1544" i="12"/>
  <c r="Z1486" i="12"/>
  <c r="Z3255" i="12"/>
  <c r="Z45" i="12"/>
  <c r="Z565" i="12"/>
  <c r="Z651" i="12"/>
  <c r="Z151" i="12"/>
  <c r="Z409" i="12"/>
  <c r="Z2818" i="12"/>
  <c r="Z545" i="12"/>
  <c r="Z2680" i="12"/>
  <c r="Z1174" i="12"/>
  <c r="Z3023" i="12"/>
  <c r="Z3207" i="12"/>
  <c r="Z1964" i="12"/>
  <c r="Z2605" i="12"/>
  <c r="Z1531" i="12"/>
  <c r="Z1949" i="12"/>
  <c r="Z3383" i="12"/>
  <c r="Z616" i="12"/>
  <c r="Z414" i="12"/>
  <c r="Z1167" i="12"/>
  <c r="Z25" i="12"/>
  <c r="Z955" i="12"/>
  <c r="Z2099" i="12"/>
  <c r="Z3085" i="12"/>
  <c r="Z304" i="12"/>
  <c r="Z620" i="12"/>
  <c r="Z1897" i="12"/>
  <c r="Z3185" i="12"/>
  <c r="Z3503" i="12"/>
  <c r="Z1687" i="12"/>
  <c r="Z686" i="12"/>
  <c r="Z2561" i="12"/>
  <c r="Z885" i="12"/>
  <c r="Z1978" i="12"/>
  <c r="Z612" i="12"/>
  <c r="Z3416" i="12"/>
  <c r="Z2590" i="12"/>
  <c r="Z921" i="12"/>
  <c r="Z2634" i="12"/>
  <c r="Z1108" i="12"/>
  <c r="Z2396" i="12"/>
  <c r="Z3285" i="12"/>
  <c r="Z2864" i="12"/>
  <c r="Z938" i="12"/>
  <c r="Z3531" i="12"/>
  <c r="Z2594" i="12"/>
  <c r="Z1568" i="12"/>
  <c r="Z2971" i="12"/>
  <c r="Z2442" i="12"/>
  <c r="Z2861" i="12"/>
  <c r="Z839" i="12"/>
  <c r="Z913" i="12"/>
  <c r="Z989" i="12"/>
  <c r="Z3475" i="12"/>
  <c r="Z1234" i="12"/>
  <c r="Z2453" i="12"/>
  <c r="Z1326" i="12"/>
  <c r="Z935" i="12"/>
  <c r="Z3337" i="12"/>
  <c r="Z609" i="12"/>
  <c r="Z1141" i="12"/>
  <c r="Z2689" i="12"/>
  <c r="Z2953" i="12"/>
  <c r="Z3525" i="12"/>
  <c r="Z363" i="12"/>
  <c r="Z1479" i="12"/>
  <c r="Z2950" i="12"/>
  <c r="Z1100" i="12"/>
  <c r="Z1841" i="12"/>
  <c r="Z2657" i="12"/>
  <c r="Z399" i="12"/>
  <c r="Z338" i="12"/>
  <c r="Z62" i="12"/>
  <c r="Z1999" i="12"/>
  <c r="Z1001" i="12"/>
  <c r="Z102" i="12"/>
  <c r="Z2610" i="12"/>
  <c r="Z521" i="12"/>
  <c r="Z2841" i="12"/>
  <c r="Z2730" i="12"/>
  <c r="Z922" i="12"/>
  <c r="Z2251" i="12"/>
  <c r="Z2502" i="12"/>
  <c r="Z1347" i="12"/>
  <c r="Z3109" i="12"/>
  <c r="Z932" i="12"/>
  <c r="Z1994" i="12"/>
  <c r="Z256" i="12"/>
  <c r="Z1816" i="12"/>
  <c r="Z1586" i="12"/>
  <c r="Z3258" i="12"/>
  <c r="Z632" i="12"/>
  <c r="Z1753" i="12"/>
  <c r="Z369" i="12"/>
  <c r="Z617" i="12"/>
  <c r="Z1916" i="12"/>
  <c r="Z589" i="12"/>
  <c r="Z700" i="12"/>
  <c r="Z2895" i="12"/>
  <c r="Z501" i="12"/>
  <c r="Z1203" i="12"/>
  <c r="Z1029" i="12"/>
  <c r="Z471" i="12"/>
  <c r="Z1659" i="12"/>
  <c r="Z2447" i="12"/>
  <c r="Z339" i="12"/>
  <c r="Z2127" i="12"/>
  <c r="Z2544" i="12"/>
  <c r="Z1845" i="12"/>
  <c r="Z735" i="12"/>
  <c r="Z1728" i="12"/>
  <c r="Z631" i="12"/>
  <c r="Z2741" i="12"/>
  <c r="Z2015" i="12"/>
  <c r="Z1572" i="12"/>
  <c r="Z1984" i="12"/>
  <c r="Z2057" i="12"/>
  <c r="Z2145" i="12"/>
  <c r="Z2797" i="12"/>
  <c r="Z315" i="12"/>
  <c r="Z1245" i="12"/>
  <c r="Z3344" i="12"/>
  <c r="Z2053" i="12"/>
  <c r="Z669" i="12"/>
  <c r="Z467" i="12"/>
  <c r="Z2290" i="12"/>
  <c r="Z2354" i="12"/>
  <c r="Z1550" i="12"/>
  <c r="Z1147" i="12"/>
  <c r="Z419" i="12"/>
  <c r="Z1197" i="12"/>
  <c r="Z1063" i="12"/>
  <c r="Z2920" i="12"/>
  <c r="Z3123" i="12"/>
  <c r="Z2671" i="12"/>
  <c r="Z1727" i="12"/>
  <c r="Z3186" i="12"/>
  <c r="Z2536" i="12"/>
  <c r="Z1085" i="12"/>
  <c r="Z3280" i="12"/>
  <c r="Z2801" i="12"/>
  <c r="Z3311" i="12"/>
  <c r="Z3091" i="12"/>
  <c r="Z3007" i="12"/>
  <c r="Z2877" i="12"/>
  <c r="Z2204" i="12"/>
  <c r="Z3268" i="12"/>
  <c r="Z1843" i="12"/>
  <c r="Z122" i="12"/>
  <c r="Z3161" i="12"/>
  <c r="Z437" i="12"/>
  <c r="Z1258" i="12"/>
  <c r="Z149" i="12"/>
  <c r="Z692" i="12"/>
  <c r="Z847" i="12"/>
  <c r="Z2212" i="12"/>
  <c r="Z1023" i="12"/>
  <c r="Z263" i="12"/>
  <c r="Z1855" i="12"/>
  <c r="Z500" i="12"/>
  <c r="Z747" i="12"/>
  <c r="Z2315" i="12"/>
  <c r="Z2811" i="12"/>
  <c r="Z3270" i="12"/>
  <c r="Z1232" i="12"/>
  <c r="Z948" i="12"/>
  <c r="Z2894" i="12"/>
  <c r="Z1820" i="12"/>
  <c r="Z1651" i="12"/>
  <c r="Z1629" i="12"/>
  <c r="Z385" i="12"/>
  <c r="Z3009" i="12"/>
  <c r="Z2174" i="12"/>
  <c r="Z1358" i="12"/>
  <c r="Z1377" i="12"/>
  <c r="Z2332" i="12"/>
  <c r="Z892" i="12"/>
  <c r="Z278" i="12"/>
  <c r="Z3377" i="12"/>
  <c r="Z2587" i="12"/>
  <c r="Z915" i="12"/>
  <c r="Z3043" i="12"/>
  <c r="Z2781" i="12"/>
  <c r="Z1847" i="12"/>
  <c r="Z2783" i="12"/>
  <c r="Z1461" i="12"/>
  <c r="Z3492" i="12"/>
  <c r="Z637" i="12"/>
  <c r="Z2380" i="12"/>
  <c r="Z178" i="12"/>
  <c r="Z1429" i="12"/>
  <c r="Z1779" i="12"/>
  <c r="Z343" i="12"/>
  <c r="Z753" i="12"/>
  <c r="Z374" i="12"/>
  <c r="Z1960" i="12"/>
  <c r="Z2535" i="12"/>
  <c r="Z2497" i="12"/>
  <c r="Z1120" i="12"/>
  <c r="Z2150" i="12"/>
  <c r="Z3070" i="12"/>
  <c r="Z3148" i="12"/>
  <c r="Z2456" i="12"/>
  <c r="Z335" i="12"/>
  <c r="Z3051" i="12"/>
  <c r="Z734" i="12"/>
  <c r="Z1541" i="12"/>
  <c r="Z1211" i="12"/>
  <c r="Z2466" i="12"/>
  <c r="Z3420" i="12"/>
  <c r="Z1636" i="12"/>
  <c r="Z453" i="12"/>
  <c r="Z1101" i="12"/>
  <c r="Z1859" i="12"/>
  <c r="Z1363" i="12"/>
  <c r="Z1947" i="12"/>
  <c r="Z791" i="12"/>
  <c r="Z573" i="12"/>
  <c r="Z2333" i="12"/>
  <c r="Z2573" i="12"/>
  <c r="Z2336" i="12"/>
  <c r="Z197" i="12"/>
  <c r="Z1342" i="12"/>
  <c r="Z432" i="12"/>
  <c r="Z695" i="12"/>
  <c r="Z1680" i="12"/>
  <c r="Z2679" i="12"/>
  <c r="Z1803" i="12"/>
  <c r="Z533" i="12"/>
  <c r="Z1547" i="12"/>
  <c r="Z1726" i="12"/>
  <c r="Z1555" i="12"/>
  <c r="Z3094" i="12"/>
  <c r="Z2796" i="12"/>
  <c r="Z555" i="12"/>
  <c r="Z1476" i="12"/>
  <c r="Z1283" i="12"/>
  <c r="Z2273" i="12"/>
  <c r="Z2766" i="12"/>
  <c r="Z164" i="12"/>
  <c r="Z1749" i="12"/>
  <c r="Z3386" i="12"/>
  <c r="Z3511" i="12"/>
  <c r="Z2809" i="12"/>
  <c r="Z1579" i="12"/>
  <c r="Z1117" i="12"/>
  <c r="Z879" i="12"/>
  <c r="Z1776" i="12"/>
  <c r="Z3396" i="12"/>
  <c r="Z3472" i="12"/>
  <c r="Z1512" i="12"/>
  <c r="Z2606" i="12"/>
  <c r="Z1585" i="12"/>
  <c r="Z2928" i="12"/>
  <c r="Z2879" i="12"/>
  <c r="Z76" i="12"/>
  <c r="Z2854" i="12"/>
  <c r="Z1161" i="12"/>
  <c r="Z1535" i="12"/>
  <c r="Z322" i="12"/>
  <c r="Z3220" i="12"/>
  <c r="Z1071" i="12"/>
  <c r="Z2855" i="12"/>
  <c r="Z776" i="12"/>
  <c r="Z1287" i="12"/>
  <c r="Z2435" i="12"/>
  <c r="Z48" i="12"/>
  <c r="Z822" i="12"/>
  <c r="Z3141" i="12"/>
  <c r="Z157" i="12"/>
  <c r="Z1787" i="12"/>
  <c r="Z1778" i="12"/>
  <c r="Z2383" i="12"/>
  <c r="Z2560" i="12"/>
  <c r="Z1229" i="12"/>
  <c r="Z1137" i="12"/>
  <c r="Z1490" i="12"/>
  <c r="Z3452" i="12"/>
  <c r="Z3005" i="12"/>
  <c r="Z1135" i="12"/>
  <c r="Z806" i="12"/>
  <c r="Z1290" i="12"/>
  <c r="Z1569" i="12"/>
  <c r="Z2936" i="12"/>
  <c r="Z1348" i="12"/>
  <c r="Z1623" i="12"/>
  <c r="Z1284" i="12"/>
  <c r="Z2912" i="12"/>
  <c r="Z2356" i="12"/>
  <c r="Z2223" i="12"/>
  <c r="Z2793" i="12"/>
  <c r="Z1921" i="12"/>
  <c r="Z90" i="12"/>
  <c r="Z1582" i="12"/>
  <c r="Z1468" i="12"/>
  <c r="Z1009" i="12"/>
  <c r="Z2163" i="12"/>
  <c r="Z613" i="12"/>
  <c r="Z2398" i="12"/>
  <c r="Z2845" i="12"/>
  <c r="Z736" i="12"/>
  <c r="Z764" i="12"/>
  <c r="Z1783" i="12"/>
  <c r="Z495" i="12"/>
  <c r="Z2972" i="12"/>
  <c r="Z1489" i="12"/>
  <c r="Z2565" i="12"/>
  <c r="Z2066" i="12"/>
  <c r="Z2016" i="12"/>
  <c r="Z1575" i="12"/>
  <c r="Z2060" i="12"/>
  <c r="Z494" i="12"/>
  <c r="Z2925" i="12"/>
  <c r="Z672" i="12"/>
  <c r="Z1946" i="12"/>
  <c r="Z1811" i="12"/>
  <c r="Z3260" i="12"/>
  <c r="Z1798" i="12"/>
  <c r="Z1341" i="12"/>
  <c r="Z986" i="12"/>
  <c r="Z2659" i="12"/>
  <c r="Z2452" i="12"/>
  <c r="Z358" i="12"/>
  <c r="Z429" i="12"/>
  <c r="Z2794" i="12"/>
  <c r="Z1294" i="12"/>
  <c r="Z1212" i="12"/>
  <c r="Z2376" i="12"/>
  <c r="Z1030" i="12"/>
  <c r="Z597" i="12"/>
  <c r="Z2826" i="12"/>
  <c r="Z1707" i="12"/>
  <c r="Z239" i="12"/>
  <c r="Z2026" i="12"/>
  <c r="Z364" i="12"/>
  <c r="Z2660" i="12"/>
  <c r="Z1784" i="12"/>
  <c r="Z2286" i="12"/>
  <c r="Z2458" i="12"/>
  <c r="Z1681" i="12"/>
  <c r="Z2220" i="12"/>
  <c r="Z1693" i="12"/>
  <c r="Z3450" i="12"/>
  <c r="Z2617" i="12"/>
  <c r="Z1128" i="12"/>
  <c r="Z2364" i="12"/>
  <c r="Z2628" i="12"/>
  <c r="Z2476" i="12"/>
  <c r="Z1373" i="12"/>
  <c r="Z1608" i="12"/>
  <c r="Z2259" i="12"/>
  <c r="Z1021" i="12"/>
  <c r="Z997" i="12"/>
  <c r="Z3290" i="12"/>
  <c r="Z667" i="12"/>
  <c r="Z2551" i="12"/>
  <c r="Z314" i="12"/>
  <c r="Z1814" i="12"/>
  <c r="Z2665" i="12"/>
  <c r="Z1996" i="12"/>
  <c r="Z2584" i="12"/>
  <c r="Z1049" i="12"/>
  <c r="Z2883" i="12"/>
  <c r="Z3483" i="12"/>
  <c r="Z165" i="12"/>
  <c r="Z2054" i="12"/>
  <c r="Z2998" i="12"/>
  <c r="Z1072" i="12"/>
  <c r="Z280" i="12"/>
  <c r="Z1418" i="12"/>
  <c r="Z608" i="12"/>
  <c r="Z30" i="12"/>
  <c r="Z3447" i="12"/>
  <c r="Z2311" i="12"/>
  <c r="Z1626" i="12"/>
  <c r="Z2012" i="12"/>
  <c r="Z2500" i="12"/>
  <c r="Z1719" i="12"/>
  <c r="Z3056" i="12"/>
  <c r="Z3289" i="12"/>
  <c r="Z1898" i="12"/>
  <c r="Z2219" i="12"/>
  <c r="Z604" i="12"/>
  <c r="Z788" i="12"/>
  <c r="Z2866" i="12"/>
  <c r="Z2244" i="12"/>
  <c r="Z2405" i="12"/>
  <c r="Z588" i="12"/>
  <c r="Z3360" i="12"/>
  <c r="Z2211" i="12"/>
  <c r="Z2042" i="12"/>
  <c r="Z2107" i="12"/>
  <c r="Z345" i="12"/>
  <c r="Z780" i="12"/>
  <c r="Z3445" i="12"/>
  <c r="Z2582" i="12"/>
  <c r="Z728" i="12"/>
  <c r="Z3469" i="12"/>
  <c r="Z1112" i="12"/>
  <c r="Z1160" i="12"/>
  <c r="Z1037" i="12"/>
  <c r="Z3231" i="12"/>
  <c r="Z2588" i="12"/>
  <c r="Z3317" i="12"/>
  <c r="Z2337" i="12"/>
  <c r="Z507" i="12"/>
  <c r="Z3131" i="12"/>
  <c r="Z2712" i="12"/>
  <c r="Z1733" i="12"/>
  <c r="Z3464" i="12"/>
  <c r="Z2133" i="12"/>
  <c r="Z2885" i="12"/>
  <c r="Z2624" i="12"/>
  <c r="Z2406" i="12"/>
  <c r="Z85" i="12"/>
  <c r="Z3137" i="12"/>
  <c r="Z3008" i="12"/>
  <c r="Z2930" i="12"/>
  <c r="Z2960" i="12"/>
  <c r="Z1757" i="12"/>
  <c r="Z109" i="12"/>
  <c r="Z1097" i="12"/>
  <c r="Z3502" i="12"/>
  <c r="Z1872" i="12"/>
  <c r="Z1353" i="12"/>
  <c r="Z1102" i="12"/>
  <c r="Z992" i="12"/>
  <c r="Z2927" i="12"/>
  <c r="Z1086" i="12"/>
  <c r="Z1055" i="12"/>
  <c r="Z1369" i="12"/>
  <c r="Z512" i="12"/>
  <c r="Z511" i="12"/>
  <c r="Z1802" i="12"/>
  <c r="Z2977" i="12"/>
  <c r="Z3507" i="12"/>
  <c r="Z1158" i="12"/>
  <c r="Z2676" i="12"/>
  <c r="Z1905" i="12"/>
  <c r="Z2171" i="12"/>
  <c r="Z2168" i="12"/>
  <c r="Z1927" i="12"/>
  <c r="Z600" i="12"/>
  <c r="Z2387" i="12"/>
  <c r="Z439" i="12"/>
  <c r="Z132" i="12"/>
  <c r="Z909" i="12"/>
  <c r="Z3170" i="12"/>
  <c r="Z2865" i="12"/>
  <c r="Z1067" i="12"/>
  <c r="Z2229" i="12"/>
  <c r="Z727" i="12"/>
  <c r="Z897" i="12"/>
  <c r="Z2658" i="12"/>
  <c r="Z821" i="12"/>
  <c r="Z899" i="12"/>
  <c r="Z715" i="12"/>
  <c r="Z3154" i="12"/>
  <c r="Z3188" i="12"/>
  <c r="Z124" i="12"/>
  <c r="Z1488" i="12"/>
  <c r="Z1181" i="12"/>
  <c r="Z2454" i="12"/>
  <c r="Z2966" i="12"/>
  <c r="Z417" i="12"/>
  <c r="Z1506" i="12"/>
  <c r="Z3232" i="12"/>
  <c r="Z2237" i="12"/>
  <c r="Z3279" i="12"/>
  <c r="Z3354" i="12"/>
  <c r="Z1694" i="12"/>
  <c r="Z2978" i="12"/>
  <c r="Z2063" i="12"/>
  <c r="Z3306" i="12"/>
  <c r="Z183" i="12"/>
  <c r="Z1214" i="12"/>
  <c r="Z2635" i="12"/>
  <c r="Z1077" i="12"/>
  <c r="Z878" i="12"/>
  <c r="Z2494" i="12"/>
  <c r="Z2778" i="12"/>
  <c r="Z1669" i="12"/>
  <c r="Z1894" i="12"/>
  <c r="Z1885" i="12"/>
  <c r="Z2274" i="12"/>
  <c r="Z1366" i="12"/>
  <c r="Z1046" i="12"/>
  <c r="Z1162" i="12"/>
  <c r="Z1697" i="12"/>
  <c r="Z1965" i="12"/>
  <c r="Z2231" i="12"/>
  <c r="Z2340" i="12"/>
  <c r="Z2790" i="12"/>
  <c r="Z1216" i="12"/>
  <c r="Z1195" i="12"/>
  <c r="Z58" i="12"/>
  <c r="Z3284" i="12"/>
  <c r="Z2875" i="12"/>
  <c r="Y3158" i="12"/>
  <c r="Y3254" i="12"/>
  <c r="Y3268" i="12"/>
  <c r="Y3286" i="12"/>
  <c r="Y3300" i="12"/>
  <c r="Y3318" i="12"/>
  <c r="Y3357" i="12"/>
  <c r="Y3380" i="12"/>
  <c r="Y3396" i="12"/>
  <c r="Y3417" i="12"/>
  <c r="Y3429" i="12"/>
  <c r="Y3445" i="12"/>
  <c r="Y3461" i="12"/>
  <c r="Y3477" i="12"/>
  <c r="Y3489" i="12"/>
  <c r="Y3501" i="12"/>
  <c r="Y3513" i="12"/>
  <c r="Y3529" i="12"/>
  <c r="Y3545" i="12"/>
  <c r="Y3249" i="12"/>
  <c r="Y3338" i="12"/>
  <c r="Y3391" i="12"/>
  <c r="Y3340" i="12"/>
  <c r="Y3422" i="12"/>
  <c r="Y3458" i="12"/>
  <c r="Y3482" i="12"/>
  <c r="Y3506" i="12"/>
  <c r="Y3530" i="12"/>
  <c r="Y3154" i="12"/>
  <c r="Y3250" i="12"/>
  <c r="Y3346" i="12"/>
  <c r="Y3341" i="12"/>
  <c r="Y3366" i="12"/>
  <c r="Y3398" i="12"/>
  <c r="Y3427" i="12"/>
  <c r="Y3447" i="12"/>
  <c r="Y3459" i="12"/>
  <c r="Y3487" i="12"/>
  <c r="Y3507" i="12"/>
  <c r="Y3531" i="12"/>
  <c r="Y2439" i="12"/>
  <c r="Y2517" i="12"/>
  <c r="Y2542" i="12"/>
  <c r="Y2567" i="12"/>
  <c r="Y2645" i="12"/>
  <c r="Y2670" i="12"/>
  <c r="Y2695" i="12"/>
  <c r="Y2746" i="12"/>
  <c r="Y2766" i="12"/>
  <c r="Y2778" i="12"/>
  <c r="Y2786" i="12"/>
  <c r="Y2794" i="12"/>
  <c r="Y2802" i="12"/>
  <c r="Y2810" i="12"/>
  <c r="Y2818" i="12"/>
  <c r="Y2825" i="12"/>
  <c r="Y2832" i="12"/>
  <c r="Y2850" i="12"/>
  <c r="Y2857" i="12"/>
  <c r="Y2864" i="12"/>
  <c r="Y2882" i="12"/>
  <c r="Y2889" i="12"/>
  <c r="Y2896" i="12"/>
  <c r="Y2914" i="12"/>
  <c r="Y2921" i="12"/>
  <c r="Y2928" i="12"/>
  <c r="Y2946" i="12"/>
  <c r="Y2953" i="12"/>
  <c r="Y2960" i="12"/>
  <c r="Y2978" i="12"/>
  <c r="Y2985" i="12"/>
  <c r="Y2992" i="12"/>
  <c r="Y3010" i="12"/>
  <c r="Y3017" i="12"/>
  <c r="Y3024" i="12"/>
  <c r="Y3042" i="12"/>
  <c r="Y3049" i="12"/>
  <c r="Y3056" i="12"/>
  <c r="Y3074" i="12"/>
  <c r="Y3081" i="12"/>
  <c r="Y3088" i="12"/>
  <c r="Y3106" i="12"/>
  <c r="Y3113" i="12"/>
  <c r="Y3120" i="12"/>
  <c r="Y3138" i="12"/>
  <c r="Y3145" i="12"/>
  <c r="Y3152" i="12"/>
  <c r="Y3170" i="12"/>
  <c r="Y3177" i="12"/>
  <c r="Y3184" i="12"/>
  <c r="Y3202" i="12"/>
  <c r="Y3209" i="12"/>
  <c r="Y3216" i="12"/>
  <c r="Y3234" i="12"/>
  <c r="Y3241" i="12"/>
  <c r="Y3248" i="12"/>
  <c r="Y3266" i="12"/>
  <c r="Y3273" i="12"/>
  <c r="Y3280" i="12"/>
  <c r="Y3298" i="12"/>
  <c r="Y3305" i="12"/>
  <c r="Y3312" i="12"/>
  <c r="Y3330" i="12"/>
  <c r="Y3337" i="12"/>
  <c r="Y3344" i="12"/>
  <c r="Y3362" i="12"/>
  <c r="Y3379" i="12"/>
  <c r="Y3395" i="12"/>
  <c r="Y3552" i="12"/>
  <c r="Y3108" i="12"/>
  <c r="Y3165" i="12"/>
  <c r="Y3172" i="12"/>
  <c r="Y3197" i="12"/>
  <c r="Y3222" i="12"/>
  <c r="Y3229" i="12"/>
  <c r="Y3261" i="12"/>
  <c r="Y3293" i="12"/>
  <c r="Y3364" i="12"/>
  <c r="Y3374" i="12"/>
  <c r="Y3390" i="12"/>
  <c r="Y3405" i="12"/>
  <c r="Y3421" i="12"/>
  <c r="Y3425" i="12"/>
  <c r="Y3437" i="12"/>
  <c r="Y3449" i="12"/>
  <c r="Y3457" i="12"/>
  <c r="Y3469" i="12"/>
  <c r="Y3485" i="12"/>
  <c r="Y3497" i="12"/>
  <c r="Y3509" i="12"/>
  <c r="Y3525" i="12"/>
  <c r="Y3537" i="12"/>
  <c r="Y3549" i="12"/>
  <c r="Y3242" i="12"/>
  <c r="Y3345" i="12"/>
  <c r="Y3375" i="12"/>
  <c r="Y3434" i="12"/>
  <c r="Y3466" i="12"/>
  <c r="Y3486" i="12"/>
  <c r="Y3510" i="12"/>
  <c r="Y3538" i="12"/>
  <c r="Y3058" i="12"/>
  <c r="Y3193" i="12"/>
  <c r="Y3264" i="12"/>
  <c r="Y3282" i="12"/>
  <c r="Y3314" i="12"/>
  <c r="Y3360" i="12"/>
  <c r="Y3238" i="12"/>
  <c r="Y3334" i="12"/>
  <c r="Y3377" i="12"/>
  <c r="Y3393" i="12"/>
  <c r="Y3419" i="12"/>
  <c r="Y3435" i="12"/>
  <c r="Y3451" i="12"/>
  <c r="Y3463" i="12"/>
  <c r="Y3483" i="12"/>
  <c r="Y3503" i="12"/>
  <c r="Y3519" i="12"/>
  <c r="Y3539" i="12"/>
  <c r="Y2441" i="12"/>
  <c r="Y2466" i="12"/>
  <c r="Y2491" i="12"/>
  <c r="Y2569" i="12"/>
  <c r="Y2594" i="12"/>
  <c r="Y2619" i="12"/>
  <c r="Y2697" i="12"/>
  <c r="Y2722" i="12"/>
  <c r="Y2767" i="12"/>
  <c r="Y2820" i="12"/>
  <c r="Y2838" i="12"/>
  <c r="Y2845" i="12"/>
  <c r="Y2852" i="12"/>
  <c r="Y2870" i="12"/>
  <c r="Y2877" i="12"/>
  <c r="Y2884" i="12"/>
  <c r="Y2902" i="12"/>
  <c r="Y2909" i="12"/>
  <c r="Y2916" i="12"/>
  <c r="Y2934" i="12"/>
  <c r="Y2941" i="12"/>
  <c r="Y2948" i="12"/>
  <c r="Y2966" i="12"/>
  <c r="Y2973" i="12"/>
  <c r="Y2980" i="12"/>
  <c r="Y2998" i="12"/>
  <c r="Y3005" i="12"/>
  <c r="Y3012" i="12"/>
  <c r="Y3030" i="12"/>
  <c r="Y3037" i="12"/>
  <c r="Y3044" i="12"/>
  <c r="Y3062" i="12"/>
  <c r="Y3069" i="12"/>
  <c r="Y3076" i="12"/>
  <c r="Y3094" i="12"/>
  <c r="Y3101" i="12"/>
  <c r="Y3126" i="12"/>
  <c r="Y3133" i="12"/>
  <c r="Y3190" i="12"/>
  <c r="Y3325" i="12"/>
  <c r="Y3409" i="12"/>
  <c r="Y3473" i="12"/>
  <c r="Y3521" i="12"/>
  <c r="Y3333" i="12"/>
  <c r="Y3381" i="12"/>
  <c r="Y3392" i="12"/>
  <c r="Y3402" i="12"/>
  <c r="Y3410" i="12"/>
  <c r="Y3418" i="12"/>
  <c r="Y3438" i="12"/>
  <c r="Y3450" i="12"/>
  <c r="Y3470" i="12"/>
  <c r="Y3494" i="12"/>
  <c r="Y3522" i="12"/>
  <c r="Y3546" i="12"/>
  <c r="Y3072" i="12"/>
  <c r="Y3218" i="12"/>
  <c r="Y3328" i="12"/>
  <c r="Y3252" i="12"/>
  <c r="Y3431" i="12"/>
  <c r="Y3495" i="12"/>
  <c r="Y2446" i="12"/>
  <c r="Y2471" i="12"/>
  <c r="Y2549" i="12"/>
  <c r="Y2574" i="12"/>
  <c r="Y2599" i="12"/>
  <c r="Y2677" i="12"/>
  <c r="Y2702" i="12"/>
  <c r="Y2727" i="12"/>
  <c r="Y2751" i="12"/>
  <c r="Y2768" i="12"/>
  <c r="Y2781" i="12"/>
  <c r="Y2789" i="12"/>
  <c r="Y2797" i="12"/>
  <c r="Y2805" i="12"/>
  <c r="Y2813" i="12"/>
  <c r="Y2826" i="12"/>
  <c r="Y2833" i="12"/>
  <c r="Y2840" i="12"/>
  <c r="Y2858" i="12"/>
  <c r="Y2865" i="12"/>
  <c r="Y2872" i="12"/>
  <c r="Y2890" i="12"/>
  <c r="Y2897" i="12"/>
  <c r="Y2904" i="12"/>
  <c r="Y2922" i="12"/>
  <c r="Y2929" i="12"/>
  <c r="Y2936" i="12"/>
  <c r="Y2954" i="12"/>
  <c r="Y2961" i="12"/>
  <c r="Y2968" i="12"/>
  <c r="Y2986" i="12"/>
  <c r="Y2993" i="12"/>
  <c r="Y3000" i="12"/>
  <c r="Y3018" i="12"/>
  <c r="Y3025" i="12"/>
  <c r="Y3032" i="12"/>
  <c r="Y3050" i="12"/>
  <c r="Y3057" i="12"/>
  <c r="Y3064" i="12"/>
  <c r="Y3082" i="12"/>
  <c r="Y3089" i="12"/>
  <c r="Y3096" i="12"/>
  <c r="Y3114" i="12"/>
  <c r="Y3121" i="12"/>
  <c r="Y3128" i="12"/>
  <c r="Y3146" i="12"/>
  <c r="Y3153" i="12"/>
  <c r="Y3160" i="12"/>
  <c r="Y3178" i="12"/>
  <c r="Y3185" i="12"/>
  <c r="Y3192" i="12"/>
  <c r="Y3210" i="12"/>
  <c r="Y3217" i="12"/>
  <c r="Y3224" i="12"/>
  <c r="Y3256" i="12"/>
  <c r="Y3274" i="12"/>
  <c r="Y3281" i="12"/>
  <c r="Y3288" i="12"/>
  <c r="Y3306" i="12"/>
  <c r="Y3313" i="12"/>
  <c r="Y3320" i="12"/>
  <c r="Y3446" i="12"/>
  <c r="Y3498" i="12"/>
  <c r="Y3542" i="12"/>
  <c r="Y3065" i="12"/>
  <c r="Y3186" i="12"/>
  <c r="Y3225" i="12"/>
  <c r="Y3321" i="12"/>
  <c r="Y3387" i="12"/>
  <c r="Y3407" i="12"/>
  <c r="Y3467" i="12"/>
  <c r="Y3527" i="12"/>
  <c r="Y2473" i="12"/>
  <c r="Y2498" i="12"/>
  <c r="Y2523" i="12"/>
  <c r="Y2601" i="12"/>
  <c r="Y2626" i="12"/>
  <c r="Y2651" i="12"/>
  <c r="Y2729" i="12"/>
  <c r="Y2752" i="12"/>
  <c r="Y2771" i="12"/>
  <c r="Y2821" i="12"/>
  <c r="Y2828" i="12"/>
  <c r="Y2846" i="12"/>
  <c r="Y2853" i="12"/>
  <c r="Y2860" i="12"/>
  <c r="Y2878" i="12"/>
  <c r="Y2885" i="12"/>
  <c r="Y2892" i="12"/>
  <c r="Y2910" i="12"/>
  <c r="Y2917" i="12"/>
  <c r="Y2924" i="12"/>
  <c r="Y2942" i="12"/>
  <c r="Y2949" i="12"/>
  <c r="Y2956" i="12"/>
  <c r="Y2974" i="12"/>
  <c r="Y2981" i="12"/>
  <c r="Y2988" i="12"/>
  <c r="Y3006" i="12"/>
  <c r="Y3013" i="12"/>
  <c r="Y3020" i="12"/>
  <c r="Y3038" i="12"/>
  <c r="Y3045" i="12"/>
  <c r="Y3052" i="12"/>
  <c r="Y3070" i="12"/>
  <c r="Y3077" i="12"/>
  <c r="Y3084" i="12"/>
  <c r="Y3102" i="12"/>
  <c r="Y3109" i="12"/>
  <c r="Y3116" i="12"/>
  <c r="Y3134" i="12"/>
  <c r="Y3141" i="12"/>
  <c r="Y3148" i="12"/>
  <c r="Y3166" i="12"/>
  <c r="Y3173" i="12"/>
  <c r="Y3180" i="12"/>
  <c r="Y3198" i="12"/>
  <c r="Y3205" i="12"/>
  <c r="Y3212" i="12"/>
  <c r="Y3230" i="12"/>
  <c r="Y3237" i="12"/>
  <c r="Y3244" i="12"/>
  <c r="Y3262" i="12"/>
  <c r="Y3269" i="12"/>
  <c r="Y3276" i="12"/>
  <c r="Y3294" i="12"/>
  <c r="Y3301" i="12"/>
  <c r="Y3308" i="12"/>
  <c r="Y3358" i="12"/>
  <c r="Y3365" i="12"/>
  <c r="Y3370" i="12"/>
  <c r="Y3376" i="12"/>
  <c r="Y3386" i="12"/>
  <c r="Y3397" i="12"/>
  <c r="Y3406" i="12"/>
  <c r="Y3414" i="12"/>
  <c r="Y3426" i="12"/>
  <c r="Y3442" i="12"/>
  <c r="Y3454" i="12"/>
  <c r="Y3474" i="12"/>
  <c r="Y3514" i="12"/>
  <c r="Y3232" i="12"/>
  <c r="Y3289" i="12"/>
  <c r="Y3353" i="12"/>
  <c r="Y3277" i="12"/>
  <c r="Y3403" i="12"/>
  <c r="Y3471" i="12"/>
  <c r="Y3523" i="12"/>
  <c r="Y2453" i="12"/>
  <c r="Y2478" i="12"/>
  <c r="Y2503" i="12"/>
  <c r="Y2581" i="12"/>
  <c r="Y2606" i="12"/>
  <c r="Y2631" i="12"/>
  <c r="Y2709" i="12"/>
  <c r="Y2734" i="12"/>
  <c r="Y2757" i="12"/>
  <c r="Y2773" i="12"/>
  <c r="Y2782" i="12"/>
  <c r="Y2790" i="12"/>
  <c r="Y2798" i="12"/>
  <c r="Y2806" i="12"/>
  <c r="Y2814" i="12"/>
  <c r="Y2834" i="12"/>
  <c r="Y2841" i="12"/>
  <c r="Y2848" i="12"/>
  <c r="Y2866" i="12"/>
  <c r="Y2873" i="12"/>
  <c r="Y2880" i="12"/>
  <c r="Y2898" i="12"/>
  <c r="Y2905" i="12"/>
  <c r="Y2912" i="12"/>
  <c r="Y2930" i="12"/>
  <c r="Y2937" i="12"/>
  <c r="Y2944" i="12"/>
  <c r="Y2962" i="12"/>
  <c r="Y2969" i="12"/>
  <c r="Y2976" i="12"/>
  <c r="Y2994" i="12"/>
  <c r="Y3001" i="12"/>
  <c r="Y3008" i="12"/>
  <c r="Y3026" i="12"/>
  <c r="Y3033" i="12"/>
  <c r="Y3040" i="12"/>
  <c r="Y3090" i="12"/>
  <c r="Y3097" i="12"/>
  <c r="Y3104" i="12"/>
  <c r="Y3122" i="12"/>
  <c r="Y3129" i="12"/>
  <c r="Y3136" i="12"/>
  <c r="Y3168" i="12"/>
  <c r="Y3200" i="12"/>
  <c r="Y3371" i="12"/>
  <c r="Y3270" i="12"/>
  <c r="Y3411" i="12"/>
  <c r="Y3479" i="12"/>
  <c r="Y3543" i="12"/>
  <c r="Y2505" i="12"/>
  <c r="Y2530" i="12"/>
  <c r="Y2555" i="12"/>
  <c r="Y2633" i="12"/>
  <c r="Y2658" i="12"/>
  <c r="Y2683" i="12"/>
  <c r="Y2822" i="12"/>
  <c r="Y2829" i="12"/>
  <c r="Y2836" i="12"/>
  <c r="Y2854" i="12"/>
  <c r="Y2861" i="12"/>
  <c r="Y2868" i="12"/>
  <c r="Y2886" i="12"/>
  <c r="Y2893" i="12"/>
  <c r="Y2900" i="12"/>
  <c r="Y2918" i="12"/>
  <c r="Y2925" i="12"/>
  <c r="Y2932" i="12"/>
  <c r="Y2950" i="12"/>
  <c r="Y2957" i="12"/>
  <c r="Y2964" i="12"/>
  <c r="Y2982" i="12"/>
  <c r="Y2989" i="12"/>
  <c r="Y2996" i="12"/>
  <c r="Y3014" i="12"/>
  <c r="Y3021" i="12"/>
  <c r="Y3028" i="12"/>
  <c r="Y3046" i="12"/>
  <c r="Y3053" i="12"/>
  <c r="Y3060" i="12"/>
  <c r="Y3078" i="12"/>
  <c r="Y3085" i="12"/>
  <c r="Y3092" i="12"/>
  <c r="Y3110" i="12"/>
  <c r="Y3117" i="12"/>
  <c r="Y3124" i="12"/>
  <c r="Y3142" i="12"/>
  <c r="Y3149" i="12"/>
  <c r="Y3156" i="12"/>
  <c r="Y3174" i="12"/>
  <c r="Y3181" i="12"/>
  <c r="Y3188" i="12"/>
  <c r="Y3206" i="12"/>
  <c r="Y3213" i="12"/>
  <c r="Y3220" i="12"/>
  <c r="Y3284" i="12"/>
  <c r="Y3302" i="12"/>
  <c r="Y3309" i="12"/>
  <c r="Y3316" i="12"/>
  <c r="Y3382" i="12"/>
  <c r="Y3423" i="12"/>
  <c r="Y3443" i="12"/>
  <c r="Y3491" i="12"/>
  <c r="Y3511" i="12"/>
  <c r="Y3547" i="12"/>
  <c r="AA19" i="12" a="1"/>
  <c r="AA2710" i="12"/>
  <c r="AA845" i="12"/>
  <c r="AA2274" i="12"/>
  <c r="AA825" i="12"/>
  <c r="AA392" i="12"/>
  <c r="AA39" i="12"/>
  <c r="AA1214" i="12"/>
  <c r="AA668" i="12"/>
  <c r="AA322" i="12"/>
  <c r="AA1193" i="12"/>
  <c r="AA1682" i="12"/>
  <c r="AA2060" i="12"/>
  <c r="AA164" i="12"/>
  <c r="AA1009" i="12"/>
  <c r="AA360" i="12"/>
  <c r="AA1747" i="12"/>
  <c r="AA2254" i="12"/>
  <c r="AA2329" i="12"/>
  <c r="AA3321" i="12"/>
  <c r="AA3149" i="12"/>
  <c r="AA2852" i="12"/>
  <c r="AA1491" i="12"/>
  <c r="AA1813" i="12"/>
  <c r="AA783" i="12"/>
  <c r="AA1105" i="12"/>
  <c r="AA3108" i="12"/>
  <c r="AA272" i="12"/>
  <c r="AA2867" i="12"/>
  <c r="AA1087" i="12"/>
  <c r="AA945" i="12"/>
  <c r="AA1113" i="12"/>
  <c r="AA1262" i="12"/>
  <c r="AA3498" i="12"/>
  <c r="AA2503" i="12"/>
  <c r="AA1348" i="12"/>
  <c r="AA3470" i="12"/>
  <c r="AA1024" i="12"/>
  <c r="AA201" i="12"/>
  <c r="AA3060" i="12"/>
  <c r="AA626" i="12"/>
  <c r="AA3353" i="12"/>
  <c r="AA2805" i="12"/>
  <c r="AA3083" i="12"/>
  <c r="AA1955" i="12"/>
  <c r="AA2845" i="12"/>
  <c r="AA213" i="12"/>
  <c r="AA862" i="12"/>
  <c r="AA1818" i="12"/>
  <c r="AA274" i="12"/>
  <c r="AA2369" i="12"/>
  <c r="AA262" i="12"/>
  <c r="AA1476" i="12"/>
  <c r="AA1512" i="12"/>
  <c r="AA870" i="12"/>
  <c r="AA1446" i="12"/>
  <c r="AA1066" i="12"/>
  <c r="AA1845" i="12"/>
  <c r="AA2996" i="12"/>
  <c r="AA803" i="12"/>
  <c r="AA1405" i="12"/>
  <c r="AA973" i="12"/>
  <c r="AA2495" i="12"/>
  <c r="AA2151" i="12"/>
  <c r="AA2797" i="12"/>
  <c r="AA992" i="12"/>
  <c r="AA3542" i="12"/>
  <c r="AA3500" i="12"/>
  <c r="AA1754" i="12"/>
  <c r="AA3309" i="12"/>
  <c r="AA247" i="12"/>
  <c r="AA2011" i="12"/>
  <c r="AA3155" i="12"/>
  <c r="AA2835" i="12"/>
  <c r="AA2449" i="12"/>
  <c r="AA1360" i="12"/>
  <c r="AA869" i="12"/>
  <c r="AA895" i="12"/>
  <c r="AA1411" i="12"/>
  <c r="AA2809" i="12"/>
  <c r="AA924" i="12"/>
  <c r="AA1577" i="12"/>
  <c r="AA1530" i="12"/>
  <c r="AA107" i="12"/>
  <c r="AA2623" i="12"/>
  <c r="AA1583" i="12"/>
  <c r="AA3487" i="12"/>
  <c r="AA2096" i="12"/>
  <c r="AA1460" i="12"/>
  <c r="AA168" i="12"/>
  <c r="AA334" i="12"/>
  <c r="AA3154" i="12"/>
  <c r="AA1077" i="12"/>
  <c r="AA1315" i="12"/>
  <c r="AA1378" i="12"/>
  <c r="AA75" i="12"/>
  <c r="AA1817" i="12"/>
  <c r="AA2341" i="12"/>
  <c r="AA1123" i="12"/>
  <c r="AA1037" i="12"/>
  <c r="AA929" i="12"/>
  <c r="AA1089" i="12"/>
  <c r="AA1516" i="12"/>
  <c r="AA2803" i="12"/>
  <c r="AA719" i="12"/>
  <c r="AA122" i="12"/>
  <c r="AA1336" i="12"/>
  <c r="AA2112" i="12"/>
  <c r="AA2079" i="12"/>
  <c r="AA424" i="12"/>
  <c r="AA3521" i="12"/>
  <c r="AA2539" i="12"/>
  <c r="AA3062" i="12"/>
  <c r="AA3135" i="12"/>
  <c r="AA1086" i="12"/>
  <c r="AA694" i="12"/>
  <c r="AA301" i="12"/>
  <c r="AA1032" i="12"/>
  <c r="AA3164" i="12"/>
  <c r="AA216" i="12"/>
  <c r="AA2396" i="12"/>
  <c r="AA2489" i="12"/>
  <c r="AA1763" i="12"/>
  <c r="AA2313" i="12"/>
  <c r="AA553" i="12"/>
  <c r="AA734" i="12"/>
  <c r="AA693" i="12"/>
  <c r="AA2021" i="12"/>
  <c r="AA3094" i="12"/>
  <c r="AA2734" i="12"/>
  <c r="AA1344" i="12"/>
  <c r="AA2696" i="12"/>
  <c r="AA2703" i="12"/>
  <c r="AA2620" i="12"/>
  <c r="AA186" i="12"/>
  <c r="AA2510" i="12"/>
  <c r="AA1850" i="12"/>
  <c r="AA55" i="12"/>
  <c r="AA1506" i="12"/>
  <c r="AA2988" i="12"/>
  <c r="AA351" i="12"/>
  <c r="AA1051" i="12"/>
  <c r="AA2827" i="12"/>
  <c r="AA2141" i="12"/>
  <c r="AA1604" i="12"/>
  <c r="AA3537" i="12"/>
  <c r="AA3359" i="12"/>
  <c r="AA2614" i="12"/>
  <c r="AA3392" i="12"/>
  <c r="AA379" i="12"/>
  <c r="AA3206" i="12"/>
  <c r="AA2461" i="12"/>
  <c r="AA2163" i="12"/>
  <c r="AA3509" i="12"/>
  <c r="AA3484" i="12"/>
  <c r="AA1414" i="12"/>
  <c r="AA411" i="12"/>
  <c r="AA911" i="12"/>
  <c r="AA312" i="12"/>
  <c r="AA1100" i="12"/>
  <c r="AA1392" i="12"/>
  <c r="AA3545" i="12"/>
  <c r="AA1614" i="12"/>
  <c r="AA3422" i="12"/>
  <c r="AA994" i="12"/>
  <c r="AA2552" i="12"/>
  <c r="AA2759" i="12"/>
  <c r="AA1098" i="12"/>
  <c r="AA358" i="12"/>
  <c r="AA3111" i="12"/>
  <c r="AA631" i="12"/>
  <c r="AA2687" i="12"/>
  <c r="AA2544" i="12"/>
  <c r="AA2121" i="12"/>
  <c r="AA1352" i="12"/>
  <c r="AA2735" i="12"/>
  <c r="AA547" i="12"/>
  <c r="AA2071" i="12"/>
  <c r="AA638" i="12"/>
  <c r="AA1891" i="12"/>
  <c r="AA2497" i="12"/>
  <c r="AA77" i="12"/>
  <c r="AA1531" i="12"/>
  <c r="AA3401" i="12"/>
  <c r="AA1141" i="12"/>
  <c r="AA2399" i="12"/>
  <c r="AA3386" i="12"/>
  <c r="AA3142" i="12"/>
  <c r="AA2779" i="12"/>
  <c r="AA396" i="12"/>
  <c r="AA1905" i="12"/>
  <c r="AA276" i="12"/>
  <c r="AA3343" i="12"/>
  <c r="AA1967" i="12"/>
  <c r="AA210" i="12"/>
  <c r="AA153" i="12"/>
  <c r="AA176" i="12"/>
  <c r="AA3116" i="12"/>
  <c r="AA3066" i="12"/>
  <c r="AA443" i="12"/>
  <c r="AA353" i="12"/>
  <c r="AA2647" i="12"/>
  <c r="AA1602" i="12"/>
  <c r="AA1017" i="12"/>
  <c r="AA1385" i="12"/>
  <c r="AA1880" i="12"/>
  <c r="AA289" i="12"/>
  <c r="AA892" i="12"/>
  <c r="AA2213" i="12"/>
  <c r="AA2492" i="12"/>
  <c r="AA2677" i="12"/>
  <c r="AA2824" i="12"/>
  <c r="AA1503" i="12"/>
  <c r="AA3489" i="12"/>
  <c r="AA1514" i="12"/>
  <c r="AA2982" i="12"/>
  <c r="AA2292" i="12"/>
  <c r="AA1537" i="12"/>
  <c r="AA1662" i="12"/>
  <c r="AA1935" i="12"/>
  <c r="AA3215" i="12"/>
  <c r="AA2100" i="12"/>
  <c r="AA1949" i="12"/>
  <c r="AA2693" i="12"/>
  <c r="AA2679" i="12"/>
  <c r="AA1068" i="12"/>
  <c r="AA291" i="12"/>
  <c r="AA2017" i="12"/>
  <c r="AA2095" i="12"/>
  <c r="AA125" i="12"/>
  <c r="AA1185" i="12"/>
  <c r="AA1896" i="12"/>
  <c r="AA3251" i="12"/>
  <c r="AA3192" i="12"/>
  <c r="AA3355" i="12"/>
  <c r="AA412" i="12"/>
  <c r="AA3475" i="12"/>
  <c r="AA2410" i="12"/>
  <c r="AA2023" i="12"/>
  <c r="AA1186" i="12"/>
  <c r="AA437" i="12"/>
  <c r="AA696" i="12"/>
  <c r="AA2653" i="12"/>
  <c r="AA2202" i="12"/>
  <c r="AA3133" i="12"/>
  <c r="AA2357" i="12"/>
  <c r="AA588" i="12"/>
  <c r="AA257" i="12"/>
  <c r="AA2831" i="12"/>
  <c r="AA1916" i="12"/>
  <c r="AA2361" i="12"/>
  <c r="AA2556" i="12"/>
  <c r="AA2927" i="12"/>
  <c r="AA3352" i="12"/>
  <c r="AA3109" i="12"/>
  <c r="AA1289" i="12"/>
  <c r="AA1028" i="12"/>
  <c r="AA2730" i="12"/>
  <c r="AA3362" i="12"/>
  <c r="AA1375" i="12"/>
  <c r="AA3431" i="12"/>
  <c r="AA3488" i="12"/>
  <c r="AA209" i="12"/>
  <c r="AA3267" i="12"/>
  <c r="AA2801" i="12"/>
  <c r="AA2067" i="12"/>
  <c r="AA376" i="12"/>
  <c r="AA1909" i="12"/>
  <c r="AA995" i="12"/>
  <c r="AA2184" i="12"/>
  <c r="AA942" i="12"/>
  <c r="AA2701" i="12"/>
  <c r="AA1304" i="12"/>
  <c r="AA2325" i="12"/>
  <c r="AA3023" i="12"/>
  <c r="AA1706" i="12"/>
  <c r="AA2444" i="12"/>
  <c r="AA2196" i="12"/>
  <c r="AA2403" i="12"/>
  <c r="AA62" i="12"/>
  <c r="AA534" i="12"/>
  <c r="AA2671" i="12"/>
  <c r="AA949" i="12"/>
  <c r="AA145" i="12"/>
  <c r="AA1096" i="12"/>
  <c r="AA2041" i="12"/>
  <c r="AA635" i="12"/>
  <c r="AA438" i="12"/>
  <c r="AA556" i="12"/>
  <c r="AA800" i="12"/>
  <c r="AA753" i="12"/>
  <c r="AA3232" i="12"/>
  <c r="AA460" i="12"/>
  <c r="AA720" i="12"/>
  <c r="AA1296" i="12"/>
  <c r="AA1246" i="12"/>
  <c r="AA270" i="12"/>
  <c r="AA867" i="12"/>
  <c r="AA2015" i="12"/>
  <c r="AA1145" i="12"/>
  <c r="AA3284" i="12"/>
  <c r="AA2645" i="12"/>
  <c r="AA3329" i="12"/>
  <c r="AA3025" i="12"/>
  <c r="AA2772" i="12"/>
  <c r="AA2869" i="12"/>
  <c r="AA1994" i="12"/>
  <c r="AA57" i="12"/>
  <c r="AA2768" i="12"/>
  <c r="AA976" i="12"/>
  <c r="AA2084" i="12"/>
  <c r="AA1492" i="12"/>
  <c r="AA1178" i="12"/>
  <c r="AA1213" i="12"/>
  <c r="AA2294" i="12"/>
  <c r="AA2030" i="12"/>
  <c r="AA1316" i="12"/>
  <c r="AA2340" i="12"/>
  <c r="AA3057" i="12"/>
  <c r="AA2838" i="12"/>
  <c r="AA612" i="12"/>
  <c r="AA1548" i="12"/>
  <c r="AA236" i="12"/>
  <c r="AA459" i="12"/>
  <c r="AA541" i="12"/>
  <c r="AA975" i="12"/>
  <c r="AA2933" i="12"/>
  <c r="AA1589" i="12"/>
  <c r="AA1128" i="12"/>
  <c r="AA3021" i="12"/>
  <c r="AA3429" i="12"/>
  <c r="AA1901" i="12"/>
  <c r="AA806" i="12"/>
  <c r="AA1980" i="12"/>
  <c r="AA96" i="12"/>
  <c r="AA1718" i="12"/>
  <c r="AA3183" i="12"/>
  <c r="AA1442" i="12"/>
  <c r="AA2622" i="12"/>
  <c r="AA2034" i="12"/>
  <c r="AA689" i="12"/>
  <c r="AA2016" i="12"/>
  <c r="AA2775" i="12"/>
  <c r="AA2047" i="12"/>
  <c r="AA1939" i="12"/>
  <c r="AA3219" i="12"/>
  <c r="AA968" i="12"/>
  <c r="AA3186" i="12"/>
  <c r="AA745" i="12"/>
  <c r="AA2344" i="12"/>
  <c r="AA2339" i="12"/>
  <c r="AA3006" i="12"/>
  <c r="AA3256" i="12"/>
  <c r="AA244" i="12"/>
  <c r="AA2230" i="12"/>
  <c r="AA3373" i="12"/>
  <c r="AA2761" i="12"/>
  <c r="AA3388" i="12"/>
  <c r="AA3004" i="12"/>
  <c r="AA607" i="12"/>
  <c r="AA190" i="12"/>
  <c r="AA1397" i="12"/>
  <c r="AA1868" i="12"/>
  <c r="AA2578" i="12"/>
  <c r="AA1802" i="12"/>
  <c r="AA1830" i="12"/>
  <c r="AA432" i="12"/>
  <c r="AA1665" i="12"/>
  <c r="AA2322" i="12"/>
  <c r="AA1251" i="12"/>
  <c r="AA2859" i="12"/>
  <c r="AA2354" i="12"/>
  <c r="AA692" i="12"/>
  <c r="AA1027" i="12"/>
  <c r="AA1529" i="12"/>
  <c r="AA2628" i="12"/>
  <c r="AA705" i="12"/>
  <c r="AA350" i="12"/>
  <c r="AA1663" i="12"/>
  <c r="AA1159" i="12"/>
  <c r="AA2205" i="12"/>
  <c r="AA382" i="12"/>
  <c r="AA2965" i="12"/>
  <c r="AA648" i="12"/>
  <c r="AA2882" i="12"/>
  <c r="AA1007" i="12"/>
  <c r="AA3434" i="12"/>
  <c r="AA2636" i="12"/>
  <c r="AA430" i="12"/>
  <c r="AA2104" i="12"/>
  <c r="AA2134" i="12"/>
  <c r="AA1301" i="12"/>
  <c r="AA1879" i="12"/>
  <c r="AA2455" i="12"/>
  <c r="AA1655" i="12"/>
  <c r="AA1697" i="12"/>
  <c r="AA542" i="12"/>
  <c r="AA1755" i="12"/>
  <c r="AA2690" i="12"/>
  <c r="AA840" i="12"/>
  <c r="AA560" i="12"/>
  <c r="AA3034" i="12"/>
  <c r="AA834" i="12"/>
  <c r="AA142" i="12"/>
  <c r="AA521" i="12"/>
  <c r="AA78" i="12"/>
  <c r="AA1302" i="12"/>
  <c r="AA2760" i="12"/>
  <c r="AA3292" i="12"/>
  <c r="AA1795" i="12"/>
  <c r="AA1361" i="12"/>
  <c r="AA2897" i="12"/>
  <c r="AA2992" i="12"/>
  <c r="AA2903" i="12"/>
  <c r="AA36" i="12"/>
  <c r="AA1182" i="12"/>
  <c r="AA2527" i="12"/>
  <c r="AA754" i="12"/>
  <c r="AA2000" i="12"/>
  <c r="AA2771" i="12"/>
  <c r="AA2094" i="12"/>
  <c r="AA2368" i="12"/>
  <c r="AA609" i="12"/>
  <c r="AA1233" i="12"/>
  <c r="AA1774" i="12"/>
  <c r="AA2070" i="12"/>
  <c r="AA1643" i="12"/>
  <c r="AA2850" i="12"/>
  <c r="AA516" i="12"/>
  <c r="AA2648" i="12"/>
  <c r="AA3117" i="12"/>
  <c r="AA2529" i="12"/>
  <c r="AA767" i="12"/>
  <c r="AA70" i="12"/>
  <c r="AA853" i="12"/>
  <c r="AA1466" i="12"/>
  <c r="AA1941" i="12"/>
  <c r="AA683" i="12"/>
  <c r="AA202" i="12"/>
  <c r="AA211" i="12"/>
  <c r="AA1878" i="12"/>
  <c r="AA2168" i="12"/>
  <c r="AA2188" i="12"/>
  <c r="AA1005" i="12"/>
  <c r="AA3079" i="12"/>
  <c r="AA1508" i="12"/>
  <c r="AA2839" i="12"/>
  <c r="AA2029" i="12"/>
  <c r="AA2625" i="12"/>
  <c r="AA1810" i="12"/>
  <c r="AA191" i="12"/>
  <c r="AA765" i="12"/>
  <c r="AA2002" i="12"/>
  <c r="AA196" i="12"/>
  <c r="AA2991" i="12"/>
  <c r="AA1481" i="12"/>
  <c r="AA3067" i="12"/>
  <c r="AA3320" i="12"/>
  <c r="AA388" i="12"/>
  <c r="AA2085" i="12"/>
  <c r="AA485" i="12"/>
  <c r="AA1451" i="12"/>
  <c r="AA3455" i="12"/>
  <c r="AA1208" i="12"/>
  <c r="AA2546" i="12"/>
  <c r="AA1864" i="12"/>
  <c r="AA3341" i="12"/>
  <c r="AA1398" i="12"/>
  <c r="AA3471" i="12"/>
  <c r="AA1658" i="12"/>
  <c r="AA2288" i="12"/>
  <c r="AA1342" i="12"/>
  <c r="AA446" i="12"/>
  <c r="AA330" i="12"/>
  <c r="AA3218" i="12"/>
  <c r="AA3208" i="12"/>
  <c r="AA3342" i="12"/>
  <c r="AA1391" i="12"/>
  <c r="AA1267" i="12"/>
  <c r="AA51" i="12"/>
  <c r="AA775" i="12"/>
  <c r="AA2930" i="12"/>
  <c r="AA2258" i="12"/>
  <c r="AA3207" i="12"/>
  <c r="AA1095" i="12"/>
  <c r="AA1324" i="12"/>
  <c r="AA417" i="12"/>
  <c r="AA1332" i="12"/>
  <c r="AA2144" i="12"/>
  <c r="AA1147" i="12"/>
  <c r="AA3197" i="12"/>
  <c r="AA2716" i="12"/>
  <c r="AA2512" i="12"/>
  <c r="AA1225" i="12"/>
  <c r="AA3298" i="12"/>
  <c r="AA2179" i="12"/>
  <c r="AA998" i="12"/>
  <c r="AA1381" i="12"/>
  <c r="AA1456" i="12"/>
  <c r="AA1395" i="12"/>
  <c r="AA371" i="12"/>
  <c r="AA2366" i="12"/>
  <c r="AA1427" i="12"/>
  <c r="AA535" i="12"/>
  <c r="AA2374" i="12"/>
  <c r="AA41" i="12"/>
  <c r="AA2090" i="12"/>
  <c r="AA585" i="12"/>
  <c r="AA1022" i="12"/>
  <c r="AA3399" i="12"/>
  <c r="AA3501" i="12"/>
  <c r="AA2295" i="12"/>
  <c r="AA1065" i="12"/>
  <c r="AA3451" i="12"/>
  <c r="AA1594" i="12"/>
  <c r="AA2169" i="12"/>
  <c r="AA44" i="12"/>
  <c r="AA1416" i="12"/>
  <c r="AA1434" i="12"/>
  <c r="AA2931" i="12"/>
  <c r="AA2106" i="12"/>
  <c r="AA1112" i="12"/>
  <c r="AA1485" i="12"/>
  <c r="AA19" i="12"/>
  <c r="AA1723" i="12"/>
  <c r="AA2651" i="12"/>
  <c r="AA1856" i="12"/>
  <c r="AA698" i="12"/>
  <c r="AA2621" i="12"/>
  <c r="AA3468" i="12"/>
  <c r="AA1031" i="12"/>
  <c r="AA59" i="12"/>
  <c r="AA1387" i="12"/>
  <c r="AA788" i="12"/>
  <c r="AA1872" i="12"/>
  <c r="AA3461" i="12"/>
  <c r="AA2911" i="12"/>
  <c r="AA1696" i="12"/>
  <c r="AA2715" i="12"/>
  <c r="AA2509" i="12"/>
  <c r="AA1138" i="12"/>
  <c r="AA198" i="12"/>
  <c r="AA325" i="12"/>
  <c r="AA3483" i="12"/>
  <c r="AA2239" i="12"/>
  <c r="AA1737" i="12"/>
  <c r="AA386" i="12"/>
  <c r="AA160" i="12"/>
  <c r="AA3418" i="12"/>
  <c r="AA2433" i="12"/>
  <c r="AA2521" i="12"/>
  <c r="AA2565" i="12"/>
  <c r="AA281" i="12"/>
  <c r="AA1520" i="12"/>
  <c r="AA2987" i="12"/>
  <c r="AA527" i="12"/>
  <c r="AA90" i="12"/>
  <c r="AA134" i="12"/>
  <c r="AA177" i="12"/>
  <c r="AA1875" i="12"/>
  <c r="AA3296" i="12"/>
  <c r="AA86" i="12"/>
  <c r="AA141" i="12"/>
  <c r="AA657" i="12"/>
  <c r="AA1303" i="12"/>
  <c r="AA2985" i="12"/>
  <c r="AA496" i="12"/>
  <c r="AA2355" i="12"/>
  <c r="AA3372" i="12"/>
  <c r="AA3184" i="12"/>
  <c r="AA1580" i="12"/>
  <c r="AA1569" i="12"/>
  <c r="AA2057" i="12"/>
  <c r="AA2848" i="12"/>
  <c r="AA2281" i="12"/>
  <c r="AA1171" i="12"/>
  <c r="AA1541" i="12"/>
  <c r="AA1327" i="12"/>
  <c r="AA2314" i="12"/>
  <c r="AA377" i="12"/>
  <c r="AA3337" i="12"/>
  <c r="AA2739" i="12"/>
  <c r="AA346" i="12"/>
  <c r="AA2836" i="12"/>
  <c r="AA2477" i="12"/>
  <c r="AA1574" i="12"/>
  <c r="AA1441" i="12"/>
  <c r="AA2108" i="12"/>
  <c r="AA699" i="12"/>
  <c r="AA651" i="12"/>
  <c r="AA264" i="12"/>
  <c r="AA3397" i="12"/>
  <c r="AA1943" i="12"/>
  <c r="AA2728" i="12"/>
  <c r="AA219" i="12"/>
  <c r="AA2124" i="12"/>
  <c r="AA1626" i="12"/>
  <c r="AA2673" i="12"/>
  <c r="AA2307" i="12"/>
  <c r="AA2464" i="12"/>
  <c r="AA1245" i="12"/>
  <c r="AA251" i="12"/>
  <c r="AA1801" i="12"/>
  <c r="AA3009" i="12"/>
  <c r="AA3297" i="12"/>
  <c r="AA645" i="12"/>
  <c r="AA983" i="12"/>
  <c r="AA1353" i="12"/>
  <c r="AA2027" i="12"/>
  <c r="AA1770" i="12"/>
  <c r="AA2204" i="12"/>
  <c r="AA579" i="12"/>
  <c r="AA2161" i="12"/>
  <c r="AA561" i="12"/>
  <c r="AA1527" i="12"/>
  <c r="AA2909" i="12"/>
  <c r="AA1181" i="12"/>
  <c r="AA3143" i="12"/>
  <c r="AA619" i="12"/>
  <c r="AA3370" i="12"/>
  <c r="AA1928" i="12"/>
  <c r="AA2828" i="12"/>
  <c r="AA2176" i="12"/>
  <c r="AA1889" i="12"/>
  <c r="AA1474" i="12"/>
  <c r="AA2159" i="12"/>
  <c r="AA832" i="12"/>
  <c r="AA2875" i="12"/>
  <c r="AA3210" i="12"/>
  <c r="AA3438" i="12"/>
  <c r="AA676" i="12"/>
  <c r="AA344" i="12"/>
  <c r="AA1004" i="12"/>
  <c r="AA2350" i="12"/>
  <c r="AA2012" i="12"/>
  <c r="AA3385" i="12"/>
  <c r="AA441" i="12"/>
  <c r="AA565" i="12"/>
  <c r="AA3546" i="12"/>
  <c r="AA846" i="12"/>
  <c r="AA1167" i="12"/>
  <c r="AA974" i="12"/>
  <c r="AA341" i="12"/>
  <c r="AA2713" i="12"/>
  <c r="AA2135" i="12"/>
  <c r="AA1218" i="12"/>
  <c r="AA1380" i="12"/>
  <c r="AA526" i="12"/>
  <c r="AA1073" i="12"/>
  <c r="AA3259" i="12"/>
  <c r="AA881" i="12"/>
  <c r="AA672" i="12"/>
  <c r="AA795" i="12"/>
  <c r="AA2131" i="12"/>
  <c r="AA1885" i="12"/>
  <c r="AA1099" i="12"/>
  <c r="AA1101" i="12"/>
  <c r="AA2093" i="12"/>
  <c r="AA2208" i="12"/>
  <c r="AA2548" i="12"/>
  <c r="AA2059" i="12"/>
  <c r="AA402" i="12"/>
  <c r="AA3454" i="12"/>
  <c r="AA2276" i="12"/>
  <c r="AA2788" i="12"/>
  <c r="AA188" i="12"/>
  <c r="AA279" i="12"/>
  <c r="AA400" i="12"/>
  <c r="AA524" i="12"/>
  <c r="AA1732" i="12"/>
  <c r="AA1085" i="12"/>
  <c r="AA507" i="12"/>
  <c r="AA1258" i="12"/>
  <c r="AA3202" i="12"/>
  <c r="AA1124" i="12"/>
  <c r="AA135" i="12"/>
  <c r="AA511" i="12"/>
  <c r="AA586" i="12"/>
  <c r="AA1902" i="12"/>
  <c r="AA2880" i="12"/>
  <c r="AA2574" i="12"/>
  <c r="AA1989" i="12"/>
  <c r="AA3543" i="12"/>
  <c r="AA131" i="12"/>
  <c r="AA1644" i="12"/>
  <c r="AA2893" i="12"/>
  <c r="AA3319" i="12"/>
  <c r="AA1803" i="12"/>
  <c r="AA3260" i="12"/>
  <c r="AA2356" i="12"/>
  <c r="AA3011" i="12"/>
  <c r="AA678" i="12"/>
  <c r="AA2140" i="12"/>
  <c r="AA2363" i="12"/>
  <c r="AA679" i="12"/>
  <c r="AA3289" i="12"/>
  <c r="AA1846" i="12"/>
  <c r="AA756" i="12"/>
  <c r="AA3351" i="12"/>
  <c r="AA2284" i="12"/>
  <c r="AA234" i="12"/>
  <c r="AA2821" i="12"/>
  <c r="AA1805" i="12"/>
  <c r="AA2984" i="12"/>
  <c r="AA1908" i="12"/>
  <c r="AA3038" i="12"/>
  <c r="AA3042" i="12"/>
  <c r="AA2336" i="12"/>
  <c r="AA2774" i="12"/>
  <c r="AA2585" i="12"/>
  <c r="AA3523" i="12"/>
  <c r="AA3196" i="12"/>
  <c r="AA652" i="12"/>
  <c r="AA80" i="12"/>
  <c r="AA1406" i="12"/>
  <c r="AA1680" i="12"/>
  <c r="AA158" i="12"/>
  <c r="AA2150" i="12"/>
  <c r="AA1076" i="12"/>
  <c r="AA1661" i="12"/>
  <c r="AA2020" i="12"/>
  <c r="AA2581" i="12"/>
  <c r="AA1486" i="12"/>
  <c r="AA3360" i="12"/>
  <c r="AA3156" i="12"/>
  <c r="AA1789" i="12"/>
  <c r="AA1207" i="12"/>
  <c r="AA2193" i="12"/>
  <c r="AA1060" i="12"/>
  <c r="AA2877" i="12"/>
  <c r="AA1055" i="12"/>
  <c r="AA1134" i="12"/>
  <c r="AA2177" i="12"/>
  <c r="AA2376" i="12"/>
  <c r="AA3493" i="12"/>
  <c r="AA1180" i="12"/>
  <c r="AA2665" i="12"/>
  <c r="AA2523" i="12"/>
  <c r="AA2035" i="12"/>
  <c r="AA150" i="12"/>
  <c r="AA2236" i="12"/>
  <c r="AA2300" i="12"/>
  <c r="AA1607" i="12"/>
  <c r="AA2206" i="12"/>
  <c r="AA2697" i="12"/>
  <c r="AA2251" i="12"/>
  <c r="AA532" i="12"/>
  <c r="AA3065" i="12"/>
  <c r="AA1190" i="12"/>
  <c r="AA1995" i="12"/>
  <c r="AA287" i="12"/>
  <c r="AA729" i="12"/>
  <c r="AA1895" i="12"/>
  <c r="AA1197" i="12"/>
  <c r="AA2691" i="12"/>
  <c r="AA1549" i="12"/>
  <c r="AA880" i="12"/>
  <c r="AA2634" i="12"/>
  <c r="AA2481" i="12"/>
  <c r="AA1619" i="12"/>
  <c r="AA2947" i="12"/>
  <c r="AA858" i="12"/>
  <c r="AA2109" i="12"/>
  <c r="AA3118" i="12"/>
  <c r="AA2688" i="12"/>
  <c r="AA1044" i="12"/>
  <c r="AA2707" i="12"/>
  <c r="AA2840" i="12"/>
  <c r="AA1938" i="12"/>
  <c r="AA628" i="12"/>
  <c r="AA1866" i="12"/>
  <c r="AA162" i="12"/>
  <c r="AA1861" i="12"/>
  <c r="AA713" i="12"/>
  <c r="AA1936" i="12"/>
  <c r="AA2878" i="12"/>
  <c r="AA575" i="12"/>
  <c r="AA1883" i="12"/>
  <c r="AA1946" i="12"/>
  <c r="AA420" i="12"/>
  <c r="AA738" i="12"/>
  <c r="AA3161" i="12"/>
  <c r="AA1126" i="12"/>
  <c r="AA598" i="12"/>
  <c r="AA2776" i="12"/>
  <c r="AA84" i="12"/>
  <c r="AA3058" i="12"/>
  <c r="AA1848" i="12"/>
  <c r="AA2974" i="12"/>
  <c r="AA1766" i="12"/>
  <c r="AA3244" i="12"/>
  <c r="AA3328" i="12"/>
  <c r="AA2349" i="12"/>
  <c r="AA2330" i="12"/>
  <c r="AA3199" i="12"/>
  <c r="AA2256" i="12"/>
  <c r="AA404" i="12"/>
  <c r="AA395" i="12"/>
  <c r="AA61" i="12"/>
  <c r="AA522" i="12"/>
  <c r="AA515" i="12"/>
  <c r="AA2959" i="12"/>
  <c r="AA3180" i="12"/>
  <c r="AA1993" i="12"/>
  <c r="AA2305" i="12"/>
  <c r="AA910" i="12"/>
  <c r="AA1568" i="12"/>
  <c r="AA2924" i="12"/>
  <c r="AA406" i="12"/>
  <c r="AA3441" i="12"/>
  <c r="AA3472" i="12"/>
  <c r="AA724" i="12"/>
  <c r="AA1591" i="12"/>
  <c r="AA2558" i="12"/>
  <c r="AA152" i="12"/>
  <c r="AA169" i="12"/>
  <c r="AA2282" i="12"/>
  <c r="AA817" i="12"/>
  <c r="AA335" i="12"/>
  <c r="AA3131" i="12"/>
  <c r="AA470" i="12"/>
  <c r="AA2763" i="12"/>
  <c r="AA843" i="12"/>
  <c r="AA1524" i="12"/>
  <c r="AA508" i="12"/>
  <c r="AA2899" i="12"/>
  <c r="AA76" i="12"/>
  <c r="AA2242" i="12"/>
  <c r="AA1815" i="12"/>
  <c r="AA1157" i="12"/>
  <c r="AA1831" i="12"/>
  <c r="AA1467" i="12"/>
  <c r="AA1139" i="12"/>
  <c r="AA925" i="12"/>
  <c r="AA2733" i="12"/>
  <c r="AA876" i="12"/>
  <c r="AA3112" i="12"/>
  <c r="AA2895" i="12"/>
  <c r="AA63" i="12"/>
  <c r="AA900" i="12"/>
  <c r="AA3090" i="12"/>
  <c r="AA613" i="12"/>
  <c r="AA2382" i="12"/>
  <c r="AA807" i="12"/>
  <c r="AA1893" i="12"/>
  <c r="AA410" i="12"/>
  <c r="AA3227" i="12"/>
  <c r="AA120" i="12"/>
  <c r="AA3366" i="12"/>
  <c r="AA3114" i="12"/>
  <c r="AA3531" i="12"/>
  <c r="AA3424" i="12"/>
  <c r="AA2484" i="12"/>
  <c r="AA2961" i="12"/>
  <c r="AA3075" i="12"/>
  <c r="AA128" i="12"/>
  <c r="AA1722" i="12"/>
  <c r="AA1597" i="12"/>
  <c r="AA1558" i="12"/>
  <c r="AA1172" i="12"/>
  <c r="AA2386" i="12"/>
  <c r="AA3230" i="12"/>
  <c r="AA1209" i="12"/>
  <c r="AA944" i="12"/>
  <c r="AA1260" i="12"/>
  <c r="AA658" i="12"/>
  <c r="AA401" i="12"/>
  <c r="AA137" i="12"/>
  <c r="AA755" i="12"/>
  <c r="AA567" i="12"/>
  <c r="AA2923" i="12"/>
  <c r="AA2810" i="12"/>
  <c r="AA1136" i="12"/>
  <c r="AA921" i="12"/>
  <c r="AA139" i="12"/>
  <c r="AA100" i="12"/>
  <c r="AA3499" i="12"/>
  <c r="AA3325" i="12"/>
  <c r="AA1247" i="12"/>
  <c r="AA3166" i="12"/>
  <c r="AA1888" i="12"/>
  <c r="AA2091" i="12"/>
  <c r="AA466" i="12"/>
  <c r="AA1121" i="12"/>
  <c r="AA1897" i="12"/>
  <c r="AA2935" i="12"/>
  <c r="AA856" i="12"/>
  <c r="AA1929" i="12"/>
  <c r="AA1109" i="12"/>
  <c r="AA1322" i="12"/>
  <c r="AA3356" i="12"/>
  <c r="AA2058" i="12"/>
  <c r="AA3302" i="12"/>
  <c r="AA959" i="12"/>
  <c r="AA303" i="12"/>
  <c r="AA2536" i="12"/>
  <c r="AA390" i="12"/>
  <c r="AA1220" i="12"/>
  <c r="AA2391" i="12"/>
  <c r="AA35" i="12"/>
  <c r="AA2660" i="12"/>
  <c r="AA2886" i="12"/>
  <c r="AA3049" i="12"/>
  <c r="AA1239" i="12"/>
  <c r="AA124" i="12"/>
  <c r="AA1903" i="12"/>
  <c r="AA2143" i="12"/>
  <c r="AA1620" i="12"/>
  <c r="AA2762" i="12"/>
  <c r="AA1771" i="12"/>
  <c r="AA2180" i="12"/>
  <c r="AA74" i="12"/>
  <c r="AA1634" i="12"/>
  <c r="AA592" i="12"/>
  <c r="AA3376" i="12"/>
  <c r="AA1638" i="12"/>
  <c r="AA1615" i="12"/>
  <c r="AA1927" i="12"/>
  <c r="AA445" i="12"/>
  <c r="AA2275" i="12"/>
  <c r="AA2347" i="12"/>
  <c r="AA1522" i="12"/>
  <c r="AA2863" i="12"/>
  <c r="AA3449" i="12"/>
  <c r="AA394" i="12"/>
  <c r="AA606" i="12"/>
  <c r="AA1646" i="12"/>
  <c r="AA1075" i="12"/>
  <c r="AA1156" i="12"/>
  <c r="AA1874" i="12"/>
  <c r="AA918" i="12"/>
  <c r="AA2808" i="12"/>
  <c r="AA3383" i="12"/>
  <c r="AA1906" i="12"/>
  <c r="AA596" i="12"/>
  <c r="AA3518" i="12"/>
  <c r="AA413" i="12"/>
  <c r="AA2018" i="12"/>
  <c r="AA1579" i="12"/>
  <c r="AA3070" i="12"/>
  <c r="AA1738" i="12"/>
  <c r="AA769" i="12"/>
  <c r="AA2064" i="12"/>
  <c r="AA2215" i="12"/>
  <c r="AA2866" i="12"/>
  <c r="AA2089" i="12"/>
  <c r="AA2950" i="12"/>
  <c r="AA1557" i="12"/>
  <c r="AA1170" i="12"/>
  <c r="AA1223" i="12"/>
  <c r="AA2324" i="12"/>
  <c r="AA2190" i="12"/>
  <c r="AA639" i="12"/>
  <c r="AA782" i="12"/>
  <c r="AA3239" i="12"/>
  <c r="AA258" i="12"/>
  <c r="AA3527" i="12"/>
  <c r="AA758" i="12"/>
  <c r="AA3516" i="12"/>
  <c r="AA24" i="12"/>
  <c r="AA1347" i="12"/>
  <c r="AA636" i="12"/>
  <c r="AA2233" i="12"/>
  <c r="AA821" i="12"/>
  <c r="AA2587" i="12"/>
  <c r="AA3463" i="12"/>
  <c r="AA1727" i="12"/>
  <c r="AA467" i="12"/>
  <c r="AA2675" i="12"/>
  <c r="AA2107" i="12"/>
  <c r="AA1833" i="12"/>
  <c r="AA407" i="12"/>
  <c r="AA659" i="12"/>
  <c r="AA2650" i="12"/>
  <c r="AA2401" i="12"/>
  <c r="AA2519" i="12"/>
  <c r="AA2158" i="12"/>
  <c r="AA715" i="12"/>
  <c r="AA123" i="12"/>
  <c r="AA1823" i="12"/>
  <c r="AA1155" i="12"/>
  <c r="AA1345" i="12"/>
  <c r="AA311" i="12"/>
  <c r="AA2028" i="12"/>
  <c r="AA2860" i="12"/>
  <c r="AA2502" i="12"/>
  <c r="AA2416" i="12"/>
  <c r="AA3379" i="12"/>
  <c r="AA1542" i="12"/>
  <c r="AA1189" i="12"/>
  <c r="AA3415" i="12"/>
  <c r="AA442" i="12"/>
  <c r="AA2130" i="12"/>
  <c r="AA2579" i="12"/>
  <c r="AA3467" i="12"/>
  <c r="AA884" i="12"/>
  <c r="AA1069" i="12"/>
  <c r="AA2825" i="12"/>
  <c r="AA2243" i="12"/>
  <c r="AA781" i="12"/>
  <c r="AA991" i="12"/>
  <c r="AA773" i="12"/>
  <c r="AA2437" i="12"/>
  <c r="AA2405" i="12"/>
  <c r="AA809" i="12"/>
  <c r="AA26" i="12"/>
  <c r="AA3486" i="12"/>
  <c r="AA1295" i="12"/>
  <c r="AA915" i="12"/>
  <c r="AA2245" i="12"/>
  <c r="AA355" i="12"/>
  <c r="AA1631" i="12"/>
  <c r="AA793" i="12"/>
  <c r="AA1431" i="12"/>
  <c r="AA56" i="12"/>
  <c r="AA2643" i="12"/>
  <c r="AA3242" i="12"/>
  <c r="AA3520" i="12"/>
  <c r="AA2408" i="12"/>
  <c r="AA1648" i="12"/>
  <c r="AA654" i="12"/>
  <c r="AA2323" i="12"/>
  <c r="AA3404" i="12"/>
  <c r="AA3041" i="12"/>
  <c r="AA1102" i="12"/>
  <c r="AA2611" i="12"/>
  <c r="AA2186" i="12"/>
  <c r="AA1283" i="12"/>
  <c r="AA774" i="12"/>
  <c r="AA852" i="12"/>
  <c r="AA1836" i="12"/>
  <c r="AA200" i="12"/>
  <c r="AA1490" i="12"/>
  <c r="AA608" i="12"/>
  <c r="AA121" i="12"/>
  <c r="AA2871" i="12"/>
  <c r="AA1585" i="12"/>
  <c r="AA1175" i="12"/>
  <c r="AA2501" i="12"/>
  <c r="AA3241" i="12"/>
  <c r="AA2624" i="12"/>
  <c r="AA290" i="12"/>
  <c r="AA494" i="12"/>
  <c r="AA2406" i="12"/>
  <c r="AA179" i="12"/>
  <c r="AA966" i="12"/>
  <c r="AA3378" i="12"/>
  <c r="AA2500" i="12"/>
  <c r="AA2353" i="12"/>
  <c r="AA951" i="12"/>
  <c r="AA2153" i="12"/>
  <c r="AA1778" i="12"/>
  <c r="AA2944" i="12"/>
  <c r="AA1690" i="12"/>
  <c r="AA218" i="12"/>
  <c r="AA562" i="12"/>
  <c r="AA1473" i="12"/>
  <c r="AA2858" i="12"/>
  <c r="AA249" i="12"/>
  <c r="AA2209" i="12"/>
  <c r="AA1975" i="12"/>
  <c r="AA1873" i="12"/>
  <c r="AA427" i="12"/>
  <c r="AA2335" i="12"/>
  <c r="AA2075" i="12"/>
  <c r="AA887" i="12"/>
  <c r="AA1636" i="12"/>
  <c r="AA2663" i="12"/>
  <c r="AA504" i="12"/>
  <c r="AA2337" i="12"/>
  <c r="AA3405" i="12"/>
  <c r="AA2592" i="12"/>
  <c r="AA1237" i="12"/>
  <c r="AA405" i="12"/>
  <c r="AA1547" i="12"/>
  <c r="AA2003" i="12"/>
  <c r="AA71" i="12"/>
  <c r="AA2661" i="12"/>
  <c r="AA3145" i="12"/>
  <c r="AA1326" i="12"/>
  <c r="AA2669" i="12"/>
  <c r="AA922" i="12"/>
  <c r="AA543" i="12"/>
  <c r="AA1781" i="12"/>
  <c r="AA1742" i="12"/>
  <c r="AA2975" i="12"/>
  <c r="AA1299" i="12"/>
  <c r="AA2532" i="12"/>
  <c r="AA2528" i="12"/>
  <c r="AA1957" i="12"/>
  <c r="AA2900" i="12"/>
  <c r="AA2612" i="12"/>
  <c r="AA2241" i="12"/>
  <c r="AA3252" i="12"/>
  <c r="AA3068" i="12"/>
  <c r="AA841" i="12"/>
  <c r="AA2842" i="12"/>
  <c r="AA1064" i="12"/>
  <c r="AA847" i="12"/>
  <c r="AA2606" i="12"/>
  <c r="AA2493" i="12"/>
  <c r="AA1201" i="12"/>
  <c r="AA2145" i="12"/>
  <c r="AA1437" i="12"/>
  <c r="AA3419" i="12"/>
  <c r="AA1834" i="12"/>
  <c r="AA2367" i="12"/>
  <c r="AA3453" i="12"/>
  <c r="AA1559" i="12"/>
  <c r="AA1477" i="12"/>
  <c r="AA718" i="12"/>
  <c r="AA906" i="12"/>
  <c r="AA866" i="12"/>
  <c r="AA997" i="12"/>
  <c r="AA1586" i="12"/>
  <c r="AA82" i="12"/>
  <c r="AA155" i="12"/>
  <c r="AA1979" i="12"/>
  <c r="AA2173" i="12"/>
  <c r="AA3130" i="12"/>
  <c r="AA2423" i="12"/>
  <c r="AA2249" i="12"/>
  <c r="AA2520" i="12"/>
  <c r="AA2244" i="12"/>
  <c r="AA3050" i="12"/>
  <c r="AA3099" i="12"/>
  <c r="AA490" i="12"/>
  <c r="AA2419" i="12"/>
  <c r="AA2098" i="12"/>
  <c r="AA1143" i="12"/>
  <c r="AA1104" i="12"/>
  <c r="AA2829" i="12"/>
  <c r="AA1240" i="12"/>
  <c r="AA1958" i="12"/>
  <c r="AA3216" i="12"/>
  <c r="AA751" i="12"/>
  <c r="AA1753" i="12"/>
  <c r="AA573" i="12"/>
  <c r="AA661" i="12"/>
  <c r="AA3363" i="12"/>
  <c r="AA305" i="12"/>
  <c r="AA444" i="12"/>
  <c r="AA161" i="12"/>
  <c r="AA3177" i="12"/>
  <c r="AA1249" i="12"/>
  <c r="AA1851" i="12"/>
  <c r="AA2619" i="12"/>
  <c r="AA1640" i="12"/>
  <c r="AA3048" i="12"/>
  <c r="AA2682" i="12"/>
  <c r="AA587" i="12"/>
  <c r="AA1047" i="12"/>
  <c r="AA1853" i="12"/>
  <c r="AA3018" i="12"/>
  <c r="AA3170" i="12"/>
  <c r="AA326" i="12"/>
  <c r="AA3277" i="12"/>
  <c r="AA1306" i="12"/>
  <c r="AA2203" i="12"/>
  <c r="AA1566" i="12"/>
  <c r="AA1819" i="12"/>
  <c r="AA2078" i="12"/>
  <c r="AA3162" i="12"/>
  <c r="AA3393" i="12"/>
  <c r="AA1625" i="12"/>
  <c r="AA3054" i="12"/>
  <c r="AA1651" i="12"/>
  <c r="AA1400" i="12"/>
  <c r="AA3291" i="12"/>
  <c r="AA999" i="12"/>
  <c r="AA3450" i="12"/>
  <c r="AA2644" i="12"/>
  <c r="AA1808" i="12"/>
  <c r="AA2702" i="12"/>
  <c r="AA3052" i="12"/>
  <c r="AA237" i="12"/>
  <c r="AA3107" i="12"/>
  <c r="AA1206" i="12"/>
  <c r="AA2033" i="12"/>
  <c r="AA29" i="12"/>
  <c r="AA2255" i="12"/>
  <c r="AA1678" i="12"/>
  <c r="AA284" i="12"/>
  <c r="AA2798" i="12"/>
  <c r="AA3263" i="12"/>
  <c r="AA731" i="12"/>
  <c r="AA1538" i="12"/>
  <c r="AA576" i="12"/>
  <c r="AA1034" i="12"/>
  <c r="AA1407" i="12"/>
  <c r="AA2745" i="12"/>
  <c r="AA3269" i="12"/>
  <c r="AA2189" i="12"/>
  <c r="AA3375" i="12"/>
  <c r="AA2069" i="12"/>
  <c r="AA2922" i="12"/>
  <c r="AA502" i="12"/>
  <c r="AA217" i="12"/>
  <c r="AA2311" i="12"/>
  <c r="AA314" i="12"/>
  <c r="AA2872" i="12"/>
  <c r="AA799" i="12"/>
  <c r="AA2795" i="12"/>
  <c r="AA1149" i="12"/>
  <c r="AA1913" i="12"/>
  <c r="AA3136" i="12"/>
  <c r="AA3312" i="12"/>
  <c r="AA1724" i="12"/>
  <c r="AA3113" i="12"/>
  <c r="AA3288" i="12"/>
  <c r="AA3238" i="12"/>
  <c r="AA1154" i="12"/>
  <c r="AA1686" i="12"/>
  <c r="AA428" i="12"/>
  <c r="AA933" i="12"/>
  <c r="AA1843" i="12"/>
  <c r="AA295" i="12"/>
  <c r="AA580" i="12"/>
  <c r="AA1054" i="12"/>
  <c r="AA752" i="12"/>
  <c r="AA909" i="12"/>
  <c r="AA669" i="12"/>
  <c r="AA1596" i="12"/>
  <c r="AA2918" i="12"/>
  <c r="AA3495" i="12"/>
  <c r="AA563" i="12"/>
  <c r="AA680" i="12"/>
  <c r="AA3435" i="12"/>
  <c r="AA3286" i="12"/>
  <c r="AA1659" i="12"/>
  <c r="AA3436" i="12"/>
  <c r="AA384" i="12"/>
  <c r="AA2573" i="12"/>
  <c r="AA1931" i="12"/>
  <c r="AA3217" i="12"/>
  <c r="AA3348" i="12"/>
  <c r="AA629" i="12"/>
  <c r="AA2126" i="12"/>
  <c r="AA3528" i="12"/>
  <c r="AA317" i="12"/>
  <c r="AA3146" i="12"/>
  <c r="AA1419" i="12"/>
  <c r="AA1562" i="12"/>
  <c r="AA3338" i="12"/>
  <c r="AA1432" i="12"/>
  <c r="AA1707" i="12"/>
  <c r="AA2183" i="12"/>
  <c r="AA1116" i="12"/>
  <c r="AA2316" i="12"/>
  <c r="AA1593" i="12"/>
  <c r="AA594" i="12"/>
  <c r="AA2802" i="12"/>
  <c r="AA429" i="12"/>
  <c r="AA1624" i="12"/>
  <c r="AA3502" i="12"/>
  <c r="AA703" i="12"/>
  <c r="AA3538" i="12"/>
  <c r="AA2304" i="12"/>
  <c r="AA2538" i="12"/>
  <c r="AA1703" i="12"/>
  <c r="AA907" i="12"/>
  <c r="AA2598" i="12"/>
  <c r="AA1898" i="12"/>
  <c r="AA2892" i="12"/>
  <c r="AA674" i="12"/>
  <c r="AA2951" i="12"/>
  <c r="AA3336" i="12"/>
  <c r="AA1331" i="12"/>
  <c r="AA415" i="12"/>
  <c r="AA435" i="12"/>
  <c r="AA1824" i="12"/>
  <c r="AA1323" i="12"/>
  <c r="AA2750" i="12"/>
  <c r="AA2478" i="12"/>
  <c r="AA105" i="12"/>
  <c r="AA298" i="12"/>
  <c r="AA842" i="12"/>
  <c r="AA375" i="12"/>
  <c r="AA3105" i="12"/>
  <c r="AA1203" i="12"/>
  <c r="AA3387" i="12"/>
  <c r="AA241" i="12"/>
  <c r="AA2137" i="12"/>
  <c r="AA2540" i="12"/>
  <c r="AA37" i="12"/>
  <c r="AA1455" i="12"/>
  <c r="AA1725" i="12"/>
  <c r="AA2515" i="12"/>
  <c r="AA1423" i="12"/>
  <c r="AA2051" i="12"/>
  <c r="AA2040" i="12"/>
  <c r="AA686" i="12"/>
  <c r="AA828" i="12"/>
  <c r="AA3264" i="12"/>
  <c r="AA804" i="12"/>
  <c r="AA3482" i="12"/>
  <c r="AA3394" i="12"/>
  <c r="AA2511" i="12"/>
  <c r="AA2148" i="12"/>
  <c r="AA2431" i="12"/>
  <c r="AA2424" i="12"/>
  <c r="AA2400" i="12"/>
  <c r="AA2442" i="12"/>
  <c r="AA1079" i="12"/>
  <c r="AA3185" i="12"/>
  <c r="AA1764" i="12"/>
  <c r="AA32" i="12"/>
  <c r="AA68" i="12"/>
  <c r="AA2654" i="12"/>
  <c r="AA423" i="12"/>
  <c r="AA614" i="12"/>
  <c r="AA844" i="12"/>
  <c r="AA2480" i="12"/>
  <c r="AA246" i="12"/>
  <c r="AA810" i="12"/>
  <c r="AA905" i="12"/>
  <c r="AA2429" i="12"/>
  <c r="AA2649" i="12"/>
  <c r="AA1478" i="12"/>
  <c r="AA1959" i="12"/>
  <c r="AA2563" i="12"/>
  <c r="AA2113" i="12"/>
  <c r="AA498" i="12"/>
  <c r="AA2593" i="12"/>
  <c r="AA3339" i="12"/>
  <c r="AA362" i="12"/>
  <c r="AA2851" i="12"/>
  <c r="AA2948" i="12"/>
  <c r="AA1212" i="12"/>
  <c r="AA3476" i="12"/>
  <c r="AA3492" i="12"/>
  <c r="AA1293" i="12"/>
  <c r="AA2283" i="12"/>
  <c r="AA1489" i="12"/>
  <c r="AA649" i="12"/>
  <c r="AA2543" i="12"/>
  <c r="AA938" i="12"/>
  <c r="AA187" i="12"/>
  <c r="AA451" i="12"/>
  <c r="AA2426" i="12"/>
  <c r="AA957" i="12"/>
  <c r="AA3479" i="12"/>
  <c r="AA2670" i="12"/>
  <c r="AA1349" i="12"/>
  <c r="AA1359" i="12"/>
  <c r="AA2024" i="12"/>
  <c r="AA1011" i="12"/>
  <c r="AA3175" i="12"/>
  <c r="AA1552" i="12"/>
  <c r="AA1475" i="12"/>
  <c r="AA263" i="12"/>
  <c r="AA1840" i="12"/>
  <c r="AA1750" i="12"/>
  <c r="AA288" i="12"/>
  <c r="AA1617" i="12"/>
  <c r="AA2185" i="12"/>
  <c r="AA3491" i="12"/>
  <c r="AA206" i="12"/>
  <c r="AA2118" i="12"/>
  <c r="AA2010" i="12"/>
  <c r="AA1966" i="12"/>
  <c r="AA2352" i="12"/>
  <c r="AA3315" i="12"/>
  <c r="AA3168" i="12"/>
  <c r="AA2756" i="12"/>
  <c r="AA2265" i="12"/>
  <c r="AA3310" i="12"/>
  <c r="AA2640" i="12"/>
  <c r="AA3167" i="12"/>
  <c r="AA1983" i="12"/>
  <c r="AA1115" i="12"/>
  <c r="AA3037" i="12"/>
  <c r="AA2111" i="12"/>
  <c r="AA3198" i="12"/>
  <c r="AA558" i="12"/>
  <c r="AA3104" i="12"/>
  <c r="AA1364" i="12"/>
  <c r="AA2299" i="12"/>
  <c r="AA2819" i="12"/>
  <c r="AA1545" i="12"/>
  <c r="AA500" i="12"/>
  <c r="AA2269" i="12"/>
  <c r="AA3541" i="12"/>
  <c r="AA3332" i="12"/>
  <c r="AA1125" i="12"/>
  <c r="AA2632" i="12"/>
  <c r="AA2718" i="12"/>
  <c r="AA1534" i="12"/>
  <c r="AA779" i="12"/>
  <c r="AA557" i="12"/>
  <c r="AA916" i="12"/>
  <c r="AA891" i="12"/>
  <c r="AA3148" i="12"/>
  <c r="AA2155" i="12"/>
  <c r="AA1973" i="12"/>
  <c r="AA787" i="12"/>
  <c r="AA1693" i="12"/>
  <c r="AA971" i="12"/>
  <c r="AA2712" i="12"/>
  <c r="AA574" i="12"/>
  <c r="AA3280" i="12"/>
  <c r="AA2105" i="12"/>
  <c r="AA3416" i="12"/>
  <c r="AA316" i="12"/>
  <c r="AA2963" i="12"/>
  <c r="AA154" i="12"/>
  <c r="AA1268" i="12"/>
  <c r="AA1229" i="12"/>
  <c r="AA2700" i="12"/>
  <c r="AA1694" i="12"/>
  <c r="AA2823" i="12"/>
  <c r="AA203" i="12"/>
  <c r="AA2007" i="12"/>
  <c r="AA517" i="12"/>
  <c r="AA1513" i="12"/>
  <c r="AA3512" i="12"/>
  <c r="AA3299" i="12"/>
  <c r="AA3022" i="12"/>
  <c r="AA3432" i="12"/>
  <c r="AA1689" i="12"/>
  <c r="AA3448" i="12"/>
  <c r="AA3134" i="12"/>
  <c r="AA1091" i="12"/>
  <c r="AA2595" i="12"/>
  <c r="AA1426" i="12"/>
  <c r="AA3190" i="12"/>
  <c r="AA1357" i="12"/>
  <c r="AA1023" i="12"/>
  <c r="AA119" i="12"/>
  <c r="AA1920" i="12"/>
  <c r="AA601" i="12"/>
  <c r="AA2246" i="12"/>
  <c r="AA1532" i="12"/>
  <c r="AA1343" i="12"/>
  <c r="AA3030" i="12"/>
  <c r="AA899" i="12"/>
  <c r="AA1645" i="12"/>
  <c r="AA1673" i="12"/>
  <c r="AA1613" i="12"/>
  <c r="AA1622" i="12"/>
  <c r="AA1234" i="12"/>
  <c r="AA23" i="12"/>
  <c r="AA285" i="12"/>
  <c r="AA2736" i="12"/>
  <c r="AA2220" i="12"/>
  <c r="AA3213" i="12"/>
  <c r="AA1923" i="12"/>
  <c r="AA1449" i="12"/>
  <c r="AA2522" i="12"/>
  <c r="AA1452" i="12"/>
  <c r="AA3153" i="12"/>
  <c r="AA771" i="12"/>
  <c r="AA655" i="12"/>
  <c r="AA2235" i="12"/>
  <c r="AA2496" i="12"/>
  <c r="AA163" i="12"/>
  <c r="AA1954" i="12"/>
  <c r="AA3334" i="12"/>
  <c r="AA275" i="12"/>
  <c r="AA1829" i="12"/>
  <c r="AA3317" i="12"/>
  <c r="AA3480" i="12"/>
  <c r="AA677" i="12"/>
  <c r="AA1082" i="12"/>
  <c r="AA22" i="12"/>
  <c r="AA1165" i="12"/>
  <c r="AA2332" i="12"/>
  <c r="AA2101" i="12"/>
  <c r="AA1152" i="12"/>
  <c r="AA982" i="12"/>
  <c r="AA792" i="12"/>
  <c r="AA802" i="12"/>
  <c r="AA2418" i="12"/>
  <c r="AA2398" i="12"/>
  <c r="AA366" i="12"/>
  <c r="AA2932" i="12"/>
  <c r="AA3354" i="12"/>
  <c r="AA104" i="12"/>
  <c r="AA1584" i="12"/>
  <c r="AA3123" i="12"/>
  <c r="AA1355" i="12"/>
  <c r="AA1539" i="12"/>
  <c r="AA1497" i="12"/>
  <c r="AA2031" i="12"/>
  <c r="AA1029" i="12"/>
  <c r="AA2757" i="12"/>
  <c r="AA2708" i="12"/>
  <c r="AA695" i="12"/>
  <c r="AA1179" i="12"/>
  <c r="AA660" i="12"/>
  <c r="AA2268" i="12"/>
  <c r="AA2994" i="12"/>
  <c r="AA3078" i="12"/>
  <c r="AA1371" i="12"/>
  <c r="AA708" i="12"/>
  <c r="AA116" i="12"/>
  <c r="AA1195" i="12"/>
  <c r="AA1987" i="12"/>
  <c r="AA329" i="12"/>
  <c r="AA1650" i="12"/>
  <c r="AA1269" i="12"/>
  <c r="AA1728" i="12"/>
  <c r="AA484" i="12"/>
  <c r="AA2211" i="12"/>
  <c r="AA835" i="12"/>
  <c r="AA220" i="12"/>
  <c r="AA1107" i="12"/>
  <c r="AA2417" i="12"/>
  <c r="AA936" i="12"/>
  <c r="AA1404" i="12"/>
  <c r="AA170" i="12"/>
  <c r="AA1338" i="12"/>
  <c r="AA3410" i="12"/>
  <c r="AA3195" i="12"/>
  <c r="AA2684" i="12"/>
  <c r="AA2216" i="12"/>
  <c r="AA1282" i="12"/>
  <c r="AA2270" i="12"/>
  <c r="AA2973" i="12"/>
  <c r="AA2138" i="12"/>
  <c r="AA1277" i="12"/>
  <c r="AA1921" i="12"/>
  <c r="AA2178" i="12"/>
  <c r="AA2139" i="12"/>
  <c r="AA879" i="12"/>
  <c r="AA1187" i="12"/>
  <c r="AA2229" i="12"/>
  <c r="AA1444" i="12"/>
  <c r="AA299" i="12"/>
  <c r="AA3222" i="12"/>
  <c r="AA682" i="12"/>
  <c r="AA3395" i="12"/>
  <c r="AA3271" i="12"/>
  <c r="AA183" i="12"/>
  <c r="AA3098" i="12"/>
  <c r="AA3257" i="12"/>
  <c r="AA2119" i="12"/>
  <c r="AA3040" i="12"/>
  <c r="AA3398" i="12"/>
  <c r="AA2039" i="12"/>
  <c r="AA2345" i="12"/>
  <c r="AA3507" i="12"/>
  <c r="AA2551" i="12"/>
  <c r="AA1554" i="12"/>
  <c r="AA2890" i="12"/>
  <c r="AA1312" i="12"/>
  <c r="AA1053" i="12"/>
  <c r="AA3303" i="12"/>
  <c r="AA1339" i="12"/>
  <c r="AA372" i="12"/>
  <c r="AA712" i="12"/>
  <c r="AA2530" i="12"/>
  <c r="AA192" i="12"/>
  <c r="AA3187" i="12"/>
  <c r="AA2743" i="12"/>
  <c r="AA2630" i="12"/>
  <c r="AA1266" i="12"/>
  <c r="AA2498" i="12"/>
  <c r="AA2371" i="12"/>
  <c r="AA2414" i="12"/>
  <c r="AA2683" i="12"/>
  <c r="AA352" i="12"/>
  <c r="AA1741" i="12"/>
  <c r="AA3477" i="12"/>
  <c r="AA2934" i="12"/>
  <c r="AA2125" i="12"/>
  <c r="AA1854" i="12"/>
  <c r="AA1418" i="12"/>
  <c r="AA2286" i="12"/>
  <c r="AA2360" i="12"/>
  <c r="AA228" i="12"/>
  <c r="AA1535" i="12"/>
  <c r="AA2742" i="12"/>
  <c r="AA72" i="12"/>
  <c r="AA3147" i="12"/>
  <c r="AA3445" i="12"/>
  <c r="AA2210" i="12"/>
  <c r="AA1922" i="12"/>
  <c r="AA2082" i="12"/>
  <c r="AA2479" i="12"/>
  <c r="AA604" i="12"/>
  <c r="AA889" i="12"/>
  <c r="AA1242" i="12"/>
  <c r="AA132" i="12"/>
  <c r="AA673" i="12"/>
  <c r="AA2964" i="12"/>
  <c r="AA3214" i="12"/>
  <c r="AA87" i="12"/>
  <c r="AA1188" i="12"/>
  <c r="AA2553" i="12"/>
  <c r="AA1937" i="12"/>
  <c r="AA1110" i="12"/>
  <c r="AA2195" i="12"/>
  <c r="AA3188" i="12"/>
  <c r="AA896" i="12"/>
  <c r="AA1131" i="12"/>
  <c r="AA797" i="12"/>
  <c r="AA3209" i="12"/>
  <c r="AA1924" i="12"/>
  <c r="AA2818" i="12"/>
  <c r="AA2894" i="12"/>
  <c r="AA3031" i="12"/>
  <c r="AA3092" i="12"/>
  <c r="AA3390" i="12"/>
  <c r="AA3064" i="12"/>
  <c r="AA964" i="12"/>
  <c r="AA1457" i="12"/>
  <c r="AA2550" i="12"/>
  <c r="AA2609" i="12"/>
  <c r="AA2685" i="12"/>
  <c r="AA1366" i="12"/>
  <c r="AA1389" i="12"/>
  <c r="AA2638" i="12"/>
  <c r="AA3012" i="12"/>
  <c r="AA538" i="12"/>
  <c r="AA3420" i="12"/>
  <c r="AA250" i="12"/>
  <c r="AA2272" i="12"/>
  <c r="AA3178" i="12"/>
  <c r="AA1571" i="12"/>
  <c r="AA2171" i="12"/>
  <c r="AA2953" i="12"/>
  <c r="AA2005" i="12"/>
  <c r="AA2289" i="12"/>
  <c r="AA735" i="12"/>
  <c r="AA1386" i="12"/>
  <c r="AA2252" i="12"/>
  <c r="AA2618" i="12"/>
  <c r="AA2001" i="12"/>
  <c r="AA2364" i="12"/>
  <c r="AA1232" i="12"/>
  <c r="AA1319" i="12"/>
  <c r="AA1649" i="12"/>
  <c r="AA3318" i="12"/>
  <c r="AA2428" i="12"/>
  <c r="AA2261" i="12"/>
  <c r="AA2807" i="12"/>
  <c r="AA227" i="12"/>
  <c r="AA2384" i="12"/>
  <c r="AA499" i="12"/>
  <c r="AA1792" i="12"/>
  <c r="AA189" i="12"/>
  <c r="AA1271" i="12"/>
  <c r="AA2066" i="12"/>
  <c r="AA1556" i="12"/>
  <c r="AA2439" i="12"/>
  <c r="AA643" i="12"/>
  <c r="AA111" i="12"/>
  <c r="AA1816" i="12"/>
  <c r="AA675" i="12"/>
  <c r="AA3324" i="12"/>
  <c r="AA1953" i="12"/>
  <c r="AA1313" i="12"/>
  <c r="AA747" i="12"/>
  <c r="AA294" i="12"/>
  <c r="AA1860" i="12"/>
  <c r="AA662" i="12"/>
  <c r="AA894" i="12"/>
  <c r="AA1018" i="12"/>
  <c r="AA2181" i="12"/>
  <c r="AA815" i="12"/>
  <c r="AA2704" i="12"/>
  <c r="AA633" i="12"/>
  <c r="AA2741" i="12"/>
  <c r="AA252" i="12"/>
  <c r="AA463" i="12"/>
  <c r="AA2847" i="12"/>
  <c r="AA3073" i="12"/>
  <c r="AA2505" i="12"/>
  <c r="AA1964" i="12"/>
  <c r="AA764" i="12"/>
  <c r="AA1384" i="12"/>
  <c r="AA2913" i="12"/>
  <c r="AA101" i="12"/>
  <c r="AA2077" i="12"/>
  <c r="AA1362" i="12"/>
  <c r="AA2567" i="12"/>
  <c r="AA1590" i="12"/>
  <c r="AA2226" i="12"/>
  <c r="AA1974" i="12"/>
  <c r="AA2166" i="12"/>
  <c r="AA1463" i="12"/>
  <c r="AA1611" i="12"/>
  <c r="AA2267" i="12"/>
  <c r="AA2175" i="12"/>
  <c r="AA1106" i="12"/>
  <c r="AA514" i="12"/>
  <c r="AA3005" i="12"/>
  <c r="AA1020" i="12"/>
  <c r="AA1600" i="12"/>
  <c r="AA253" i="12"/>
  <c r="AA1374" i="12"/>
  <c r="AA536" i="12"/>
  <c r="AA2837" i="12"/>
  <c r="AA1820" i="12"/>
  <c r="AA935" i="12"/>
  <c r="AA1904" i="12"/>
  <c r="AA2876" i="12"/>
  <c r="AA2769" i="12"/>
  <c r="AA2584" i="12"/>
  <c r="AA1999" i="12"/>
  <c r="AA1526" i="12"/>
  <c r="AA2925" i="12"/>
  <c r="AA3101" i="12"/>
  <c r="AA1752" i="12"/>
  <c r="AA621" i="12"/>
  <c r="AA418" i="12"/>
  <c r="AA1450" i="12"/>
  <c r="AA839" i="12"/>
  <c r="AA354" i="12"/>
  <c r="AA174" i="12"/>
  <c r="AA2694" i="12"/>
  <c r="AA2957" i="12"/>
  <c r="AA3001" i="12"/>
  <c r="AA3106" i="12"/>
  <c r="AA3201" i="12"/>
  <c r="AA2602" i="12"/>
  <c r="AA3182" i="12"/>
  <c r="AA447" i="12"/>
  <c r="AA3306" i="12"/>
  <c r="AA3017" i="12"/>
  <c r="AA2136" i="12"/>
  <c r="AA148" i="12"/>
  <c r="AA3270" i="12"/>
  <c r="AA1281" i="12"/>
  <c r="AA2681" i="12"/>
  <c r="AA996" i="12"/>
  <c r="AA2072" i="12"/>
  <c r="AA3265" i="12"/>
  <c r="AA2864" i="12"/>
  <c r="AA737" i="12"/>
  <c r="AA1354" i="12"/>
  <c r="AA926" i="12"/>
  <c r="AA2854" i="12"/>
  <c r="AA1639" i="12"/>
  <c r="AA591" i="12"/>
  <c r="AA1982" i="12"/>
  <c r="AA83" i="12"/>
  <c r="AA984" i="12"/>
  <c r="AA1305" i="12"/>
  <c r="AA1438" i="12"/>
  <c r="AA368" i="12"/>
  <c r="AA2253" i="12"/>
  <c r="AA1847" i="12"/>
  <c r="AA2452" i="12"/>
  <c r="AA960" i="12"/>
  <c r="AA934" i="12"/>
  <c r="AA1238" i="12"/>
  <c r="AA93" i="12"/>
  <c r="AA102" i="12"/>
  <c r="AA3200" i="12"/>
  <c r="AA3371" i="12"/>
  <c r="AA2468" i="12"/>
  <c r="AA493" i="12"/>
  <c r="AA671" i="12"/>
  <c r="AA1429" i="12"/>
  <c r="AA3047" i="12"/>
  <c r="AA702" i="12"/>
  <c r="AA1757" i="12"/>
  <c r="AA2036" i="12"/>
  <c r="AA2430" i="12"/>
  <c r="AA2561" i="12"/>
  <c r="AA487" i="12"/>
  <c r="AA1177" i="12"/>
  <c r="AA1692" i="12"/>
  <c r="AA1731" i="12"/>
  <c r="AA1174" i="12"/>
  <c r="AA2832" i="12"/>
  <c r="AA2641" i="12"/>
  <c r="AA2117" i="12"/>
  <c r="AA2490" i="12"/>
  <c r="AA3132" i="12"/>
  <c r="AA2613" i="12"/>
  <c r="AA3535" i="12"/>
  <c r="AA1736" i="12"/>
  <c r="AA2308" i="12"/>
  <c r="AA1926" i="12"/>
  <c r="AA2309" i="12"/>
  <c r="AA464" i="12"/>
  <c r="AA3307" i="12"/>
  <c r="AA2856" i="12"/>
  <c r="AA215" i="12"/>
  <c r="AA2816" i="12"/>
  <c r="AA2378" i="12"/>
  <c r="AA3437" i="12"/>
  <c r="AA1969" i="12"/>
  <c r="AA2705" i="12"/>
  <c r="AA3452" i="12"/>
  <c r="AA1976" i="12"/>
  <c r="AA3504" i="12"/>
  <c r="AA1372" i="12"/>
  <c r="AA2678" i="12"/>
  <c r="AA3102" i="12"/>
  <c r="AA2453" i="12"/>
  <c r="AA1290" i="12"/>
  <c r="AA1563" i="12"/>
  <c r="AA865" i="12"/>
  <c r="AA666" i="12"/>
  <c r="AA1470" i="12"/>
  <c r="AA1132" i="12"/>
  <c r="AA1021" i="12"/>
  <c r="AA1517" i="12"/>
  <c r="AA3439" i="12"/>
  <c r="AA3233" i="12"/>
  <c r="AA540" i="12"/>
  <c r="AA1575" i="12"/>
  <c r="AA3282" i="12"/>
  <c r="AA1114" i="12"/>
  <c r="AA310" i="12"/>
  <c r="AA2187" i="12"/>
  <c r="AA2786" i="12"/>
  <c r="AA1714" i="12"/>
  <c r="AA2157" i="12"/>
  <c r="AA1664" i="12"/>
  <c r="AA1776" i="12"/>
  <c r="AA271" i="12"/>
  <c r="AA1092" i="12"/>
  <c r="AA472" i="12"/>
  <c r="AA618" i="12"/>
  <c r="AA3274" i="12"/>
  <c r="AA1849" i="12"/>
  <c r="AA3496" i="12"/>
  <c r="AA2457" i="12"/>
  <c r="AA1653" i="12"/>
  <c r="AA3530" i="12"/>
  <c r="AA1788" i="12"/>
  <c r="AA1677" i="12"/>
  <c r="AA2164" i="12"/>
  <c r="AA3171" i="12"/>
  <c r="AA2596" i="12"/>
  <c r="AA529" i="12"/>
  <c r="AA1609" i="12"/>
  <c r="AA1867" i="12"/>
  <c r="AA1168" i="12"/>
  <c r="AA1985" i="12"/>
  <c r="AA2343" i="12"/>
  <c r="AA3247" i="12"/>
  <c r="AA2844" i="12"/>
  <c r="AA146" i="12"/>
  <c r="AA871" i="12"/>
  <c r="AA2004" i="12"/>
  <c r="AA1317" i="12"/>
  <c r="AA3189" i="12"/>
  <c r="AA2855" i="12"/>
  <c r="AA1977" i="12"/>
  <c r="AA315" i="12"/>
  <c r="AA3540" i="12"/>
  <c r="AA2427" i="12"/>
  <c r="AA2436" i="12"/>
  <c r="AA38" i="12"/>
  <c r="AA204" i="12"/>
  <c r="AA2789" i="12"/>
  <c r="AA2237" i="12"/>
  <c r="AA433" i="12"/>
  <c r="AA1192" i="12"/>
  <c r="AA3085" i="12"/>
  <c r="AA3043" i="12"/>
  <c r="AA2865" i="12"/>
  <c r="AA3053" i="12"/>
  <c r="AA3447" i="12"/>
  <c r="AA28" i="12"/>
  <c r="AA822" i="12"/>
  <c r="AA2784" i="12"/>
  <c r="AA2263" i="12"/>
  <c r="AA2591" i="12"/>
  <c r="AA1963" i="12"/>
  <c r="AA3279" i="12"/>
  <c r="AA1716" i="12"/>
  <c r="AA827" i="12"/>
  <c r="AA1039" i="12"/>
  <c r="AA2348" i="12"/>
  <c r="AA2787" i="12"/>
  <c r="AA3503" i="12"/>
  <c r="AA431" i="12"/>
  <c r="AA1606" i="12"/>
  <c r="AA300" i="12"/>
  <c r="AA1784" i="12"/>
  <c r="AA1588" i="12"/>
  <c r="AA3258" i="12"/>
  <c r="AA2642" i="12"/>
  <c r="AA1500" i="12"/>
  <c r="AA1484" i="12"/>
  <c r="AA2214" i="12"/>
  <c r="AA2359" i="12"/>
  <c r="AA458" i="12"/>
  <c r="AA1164" i="12"/>
  <c r="AA293" i="12"/>
  <c r="AA2666" i="12"/>
  <c r="AA2680" i="12"/>
  <c r="AA2009" i="12"/>
  <c r="AA1211" i="12"/>
  <c r="AA3212" i="12"/>
  <c r="AA2472" i="12"/>
  <c r="AA1687" i="12"/>
  <c r="AA3391" i="12"/>
  <c r="AA1016" i="12"/>
  <c r="AA2482" i="12"/>
  <c r="AA3550" i="12"/>
  <c r="AA1699" i="12"/>
  <c r="AA750" i="12"/>
  <c r="AA2032" i="12"/>
  <c r="AA235" i="12"/>
  <c r="AA2569" i="12"/>
  <c r="AA2945" i="12"/>
  <c r="AA2916" i="12"/>
  <c r="AA3152" i="12"/>
  <c r="AA364" i="12"/>
  <c r="AA3400" i="12"/>
  <c r="AA3228" i="12"/>
  <c r="AA1272" i="12"/>
  <c r="AA1222" i="12"/>
  <c r="AA1797" i="12"/>
  <c r="AA3076" i="12"/>
  <c r="AA254" i="12"/>
  <c r="AA1751" i="12"/>
  <c r="AA3536" i="12"/>
  <c r="AA393" i="12"/>
  <c r="AA3234" i="12"/>
  <c r="AA33" i="12"/>
  <c r="AA1572" i="12"/>
  <c r="AA469" i="12"/>
  <c r="AA634" i="12"/>
  <c r="AA1627" i="12"/>
  <c r="AA1072" i="12"/>
  <c r="AA283" i="12"/>
  <c r="AA1592" i="12"/>
  <c r="AA1365" i="12"/>
  <c r="AA2627" i="12"/>
  <c r="AA2083" i="12"/>
  <c r="AA2646" i="12"/>
  <c r="AA3261" i="12"/>
  <c r="AA1608" i="12"/>
  <c r="AA332" i="12"/>
  <c r="AA1855" i="12"/>
  <c r="AA1428" i="12"/>
  <c r="AA343" i="12"/>
  <c r="AA1183" i="12"/>
  <c r="AA3293" i="12"/>
  <c r="AA2458" i="12"/>
  <c r="AA2218" i="12"/>
  <c r="AA172" i="12"/>
  <c r="AA3061" i="12"/>
  <c r="AA1439" i="12"/>
  <c r="AA1280" i="12"/>
  <c r="AA3127" i="12"/>
  <c r="AA1685" i="12"/>
  <c r="AA2626" i="12"/>
  <c r="AA489" i="12"/>
  <c r="AA513" i="12"/>
  <c r="AA2861" i="12"/>
  <c r="AA808" i="12"/>
  <c r="AA2219" i="12"/>
  <c r="AA2833" i="12"/>
  <c r="AA3403" i="12"/>
  <c r="AA2720" i="12"/>
  <c r="AA3524" i="12"/>
  <c r="AA2306" i="12"/>
  <c r="AA1521" i="12"/>
  <c r="AA1309" i="12"/>
  <c r="AA1945" i="12"/>
  <c r="AA663" i="12"/>
  <c r="AA370" i="12"/>
  <c r="AA1882" i="12"/>
  <c r="AA599" i="12"/>
  <c r="AA182" i="12"/>
  <c r="AA1811" i="12"/>
  <c r="AA3361" i="12"/>
  <c r="AA3409" i="12"/>
  <c r="AA3248" i="12"/>
  <c r="AA414" i="12"/>
  <c r="AA883" i="12"/>
  <c r="AA184" i="12"/>
  <c r="AA1887" i="12"/>
  <c r="AA2120" i="12"/>
  <c r="AA1001" i="12"/>
  <c r="AA2473" i="12"/>
  <c r="AA970" i="12"/>
  <c r="AA1666" i="12"/>
  <c r="AA1483" i="12"/>
  <c r="AA159" i="12"/>
  <c r="AA2385" i="12"/>
  <c r="AA2279" i="12"/>
  <c r="AA3515" i="12"/>
  <c r="AA3235" i="12"/>
  <c r="AA374" i="12"/>
  <c r="AA331" i="12"/>
  <c r="AA115" i="12"/>
  <c r="AA2073" i="12"/>
  <c r="AA2921" i="12"/>
  <c r="AA1320" i="12"/>
  <c r="AA2278" i="12"/>
  <c r="AA3412" i="12"/>
  <c r="AA2264" i="12"/>
  <c r="AA1454" i="12"/>
  <c r="AA1012" i="12"/>
  <c r="AA266" i="12"/>
  <c r="AA2194" i="12"/>
  <c r="AA863" i="12"/>
  <c r="AA1988" i="12"/>
  <c r="AA1401" i="12"/>
  <c r="AA363" i="12"/>
  <c r="AA3059" i="12"/>
  <c r="AA2537" i="12"/>
  <c r="AA2467" i="12"/>
  <c r="AA2849" i="12"/>
  <c r="AA2652" i="12"/>
  <c r="AA1479" i="12"/>
  <c r="AA3157" i="12"/>
  <c r="AA2724" i="12"/>
  <c r="AA2971" i="12"/>
  <c r="AA2271" i="12"/>
  <c r="AA2025" i="12"/>
  <c r="AA962" i="12"/>
  <c r="AA1311" i="12"/>
  <c r="AA434" i="12"/>
  <c r="AA231" i="12"/>
  <c r="AA2247" i="12"/>
  <c r="AA1838" i="12"/>
  <c r="AA723" i="12"/>
  <c r="AA1413" i="12"/>
  <c r="AA1133" i="12"/>
  <c r="AA2659" i="12"/>
  <c r="AA2487" i="12"/>
  <c r="AA2799" i="12"/>
  <c r="AA3513" i="12"/>
  <c r="AA2326" i="12"/>
  <c r="AA3137" i="12"/>
  <c r="AA1990" i="12"/>
  <c r="AA1408" i="12"/>
  <c r="AA221" i="12"/>
  <c r="AA1886" i="12"/>
  <c r="AA1911" i="12"/>
  <c r="AA2901" i="12"/>
  <c r="AA3414" i="12"/>
  <c r="AA2714" i="12"/>
  <c r="AA2099" i="12"/>
  <c r="AA3525" i="12"/>
  <c r="AA1573" i="12"/>
  <c r="AA2080" i="12"/>
  <c r="AA539" i="12"/>
  <c r="AA642" i="12"/>
  <c r="AA89" i="12"/>
  <c r="AA1480" i="12"/>
  <c r="AA2732" i="12"/>
  <c r="AA2412" i="12"/>
  <c r="AA1762" i="12"/>
  <c r="AA861" i="12"/>
  <c r="AA1006" i="12"/>
  <c r="AA885" i="12"/>
  <c r="AA1793" i="12"/>
  <c r="AA3517" i="12"/>
  <c r="AA149" i="12"/>
  <c r="AA3128" i="12"/>
  <c r="AA1773" i="12"/>
  <c r="AA3010" i="12"/>
  <c r="AA280" i="12"/>
  <c r="AA1059" i="12"/>
  <c r="AA1255" i="12"/>
  <c r="AA3357" i="12"/>
  <c r="AA2981" i="12"/>
  <c r="AA2466" i="12"/>
  <c r="AA640" i="12"/>
  <c r="AA391" i="12"/>
  <c r="AA509" i="12"/>
  <c r="AA2022" i="12"/>
  <c r="AA3313" i="12"/>
  <c r="AA483" i="12"/>
  <c r="AA422" i="12"/>
  <c r="AA3204" i="12"/>
  <c r="AA2610" i="12"/>
  <c r="AA3169" i="12"/>
  <c r="AA1720" i="12"/>
  <c r="AA2616" i="12"/>
  <c r="AA1122" i="12"/>
  <c r="AA2686" i="12"/>
  <c r="AA2402" i="12"/>
  <c r="AA2387" i="12"/>
  <c r="AA1026" i="12"/>
  <c r="AA1194" i="12"/>
  <c r="AA47" i="12"/>
  <c r="AA778" i="12"/>
  <c r="AA3254" i="12"/>
  <c r="AA2228" i="12"/>
  <c r="AA1052" i="12"/>
  <c r="AA2327" i="12"/>
  <c r="AA717" i="12"/>
  <c r="AA785" i="12"/>
  <c r="AA1465" i="12"/>
  <c r="AA229" i="12"/>
  <c r="AA3413" i="12"/>
  <c r="AA1730" i="12"/>
  <c r="AA3245" i="12"/>
  <c r="AA1978" i="12"/>
  <c r="AA2389" i="12"/>
  <c r="AA3506" i="12"/>
  <c r="AA1219" i="12"/>
  <c r="AA2248" i="12"/>
  <c r="AA531" i="12"/>
  <c r="AA1681" i="12"/>
  <c r="AA2054" i="12"/>
  <c r="AA1402" i="12"/>
  <c r="AA2212" i="12"/>
  <c r="AA1540" i="12"/>
  <c r="AA1900" i="12"/>
  <c r="AA3063" i="12"/>
  <c r="AA97" i="12"/>
  <c r="AA762" i="12"/>
  <c r="AA930" i="12"/>
  <c r="AA977" i="12"/>
  <c r="AA946" i="12"/>
  <c r="AA3510" i="12"/>
  <c r="AA1379" i="12"/>
  <c r="AA21" i="12"/>
  <c r="AA2920" i="12"/>
  <c r="AA3425" i="12"/>
  <c r="AA1746" i="12"/>
  <c r="AA1612" i="12"/>
  <c r="AA1469" i="12"/>
  <c r="AA1601" i="12"/>
  <c r="AA1502" i="12"/>
  <c r="AA2122" i="12"/>
  <c r="AA1894" i="12"/>
  <c r="AA1790" i="12"/>
  <c r="AA3382" i="12"/>
  <c r="AA3077" i="12"/>
  <c r="AA475" i="12"/>
  <c r="AA1063" i="12"/>
  <c r="AA873" i="12"/>
  <c r="AA1298" i="12"/>
  <c r="AA1870" i="12"/>
  <c r="AA2470" i="12"/>
  <c r="AA2296" i="12"/>
  <c r="AA3406" i="12"/>
  <c r="AA768" i="12"/>
  <c r="AA1970" i="12"/>
  <c r="AA2976" i="12"/>
  <c r="AA3262" i="12"/>
  <c r="AA2217" i="12"/>
  <c r="AA1088" i="12"/>
  <c r="AA194" i="12"/>
  <c r="AA1120" i="12"/>
  <c r="AA1440" i="12"/>
  <c r="AA868" i="12"/>
  <c r="AA548" i="12"/>
  <c r="AA440" i="12"/>
  <c r="AA605" i="12"/>
  <c r="AA3377" i="12"/>
  <c r="AA2846" i="12"/>
  <c r="AA597" i="12"/>
  <c r="AA1495" i="12"/>
  <c r="AA1153" i="12"/>
  <c r="AA1533" i="12"/>
  <c r="AA2321" i="12"/>
  <c r="AA3160" i="12"/>
  <c r="AA3281" i="12"/>
  <c r="AA2380" i="12"/>
  <c r="AA3396" i="12"/>
  <c r="AA117" i="12"/>
  <c r="AA1984" i="12"/>
  <c r="AA1337" i="12"/>
  <c r="AA138" i="12"/>
  <c r="AA875" i="12"/>
  <c r="AA2952" i="12"/>
  <c r="AA2052" i="12"/>
  <c r="AA1717" i="12"/>
  <c r="AA1669" i="12"/>
  <c r="AA1862" i="12"/>
  <c r="AA1914" i="12"/>
  <c r="AA1791" i="12"/>
  <c r="AA1865" i="12"/>
  <c r="AA180" i="12"/>
  <c r="AA3440" i="12"/>
  <c r="AA398" i="12"/>
  <c r="AA3096" i="12"/>
  <c r="AA1286" i="12"/>
  <c r="AA2154" i="12"/>
  <c r="AA1270" i="12"/>
  <c r="AA3548" i="12"/>
  <c r="AA3272" i="12"/>
  <c r="AA569" i="12"/>
  <c r="AA749" i="12"/>
  <c r="AA2722" i="12"/>
  <c r="AA956" i="12"/>
  <c r="AA2914" i="12"/>
  <c r="AA242" i="12"/>
  <c r="AA3165" i="12"/>
  <c r="AA888" i="12"/>
  <c r="AA2092" i="12"/>
  <c r="AA2812" i="12"/>
  <c r="AA820" i="12"/>
  <c r="AA1202" i="12"/>
  <c r="AA208" i="12"/>
  <c r="AA2811" i="12"/>
  <c r="AA1130" i="12"/>
  <c r="AA3110" i="12"/>
  <c r="AA1981" i="12"/>
  <c r="AA349" i="12"/>
  <c r="AA1667" i="12"/>
  <c r="AA3243" i="12"/>
  <c r="AA333" i="12"/>
  <c r="AA380" i="12"/>
  <c r="AA2342" i="12"/>
  <c r="AA3122" i="12"/>
  <c r="AA831" i="12"/>
  <c r="AA2559" i="12"/>
  <c r="AA3551" i="12"/>
  <c r="AA66" i="12"/>
  <c r="AA3514" i="12"/>
  <c r="AA2160" i="12"/>
  <c r="AA727" i="12"/>
  <c r="AA1674" i="12"/>
  <c r="AA67" i="12"/>
  <c r="AA240" i="12"/>
  <c r="AA1734" i="12"/>
  <c r="AA2443" i="12"/>
  <c r="AA259" i="12"/>
  <c r="AA3335" i="12"/>
  <c r="AA572" i="12"/>
  <c r="AA2885" i="12"/>
  <c r="AA2940" i="12"/>
  <c r="AA3326" i="12"/>
  <c r="AA1279" i="12"/>
  <c r="AA3089" i="12"/>
  <c r="AA550" i="12"/>
  <c r="AA506" i="12"/>
  <c r="AA617" i="12"/>
  <c r="AA2351" i="12"/>
  <c r="AA2074" i="12"/>
  <c r="AA665" i="12"/>
  <c r="AA1968" i="12"/>
  <c r="AA3275" i="12"/>
  <c r="AA1285" i="12"/>
  <c r="AA336" i="12"/>
  <c r="AA456" i="12"/>
  <c r="AA2404" i="12"/>
  <c r="AA2053" i="12"/>
  <c r="AA1704" i="12"/>
  <c r="AA2259" i="12"/>
  <c r="AA1536" i="12"/>
  <c r="AA1430" i="12"/>
  <c r="AA2615" i="12"/>
  <c r="AA50" i="12"/>
  <c r="AA3174" i="12"/>
  <c r="AA2588" i="12"/>
  <c r="AA1779" i="12"/>
  <c r="AA728" i="12"/>
  <c r="AA3358" i="12"/>
  <c r="AA947" i="12"/>
  <c r="AA27" i="12"/>
  <c r="AA2723" i="12"/>
  <c r="AA129" i="12"/>
  <c r="AA1765" i="12"/>
  <c r="AA439" i="12"/>
  <c r="AA1735" i="12"/>
  <c r="AA3119" i="12"/>
  <c r="AA1698" i="12"/>
  <c r="AA2199" i="12"/>
  <c r="AA2995" i="12"/>
  <c r="AA1215" i="12"/>
  <c r="AA2740" i="12"/>
  <c r="AA1543" i="12"/>
  <c r="AA3016" i="12"/>
  <c r="AA495" i="12"/>
  <c r="AA1129" i="12"/>
  <c r="AA324" i="12"/>
  <c r="AA195" i="12"/>
  <c r="AA465" i="12"/>
  <c r="AA1628" i="12"/>
  <c r="AA3100" i="12"/>
  <c r="AA2576" i="12"/>
  <c r="AA3203" i="12"/>
  <c r="AA3120" i="12"/>
  <c r="AA546" i="12"/>
  <c r="AA2557" i="12"/>
  <c r="AA555" i="12"/>
  <c r="AA1582" i="12"/>
  <c r="AA3082" i="12"/>
  <c r="AA2223" i="12"/>
  <c r="AA2293" i="12"/>
  <c r="AA2049" i="12"/>
  <c r="AA552" i="12"/>
  <c r="AA245" i="12"/>
  <c r="AA2978" i="12"/>
  <c r="AA1745" i="12"/>
  <c r="AA1318" i="12"/>
  <c r="AA1721" i="12"/>
  <c r="AA416" i="12"/>
  <c r="AA3000" i="12"/>
  <c r="AA981" i="12"/>
  <c r="AA133" i="12"/>
  <c r="AA1166" i="12"/>
  <c r="AA2432" i="12"/>
  <c r="AA3421" i="12"/>
  <c r="AA2958" i="12"/>
  <c r="AA791" i="12"/>
  <c r="AA1043" i="12"/>
  <c r="AA197" i="12"/>
  <c r="AA278" i="12"/>
  <c r="AA3036" i="12"/>
  <c r="AA697" i="12"/>
  <c r="AA2494" i="12"/>
  <c r="AA1695" i="12"/>
  <c r="AA2317" i="12"/>
  <c r="AA223" i="12"/>
  <c r="AA744" i="12"/>
  <c r="AA1204" i="12"/>
  <c r="AA1314" i="12"/>
  <c r="AA79" i="12"/>
  <c r="AA564" i="12"/>
  <c r="AA790" i="12"/>
  <c r="AA989" i="12"/>
  <c r="AA378" i="12"/>
  <c r="AA1368" i="12"/>
  <c r="AA2568" i="12"/>
  <c r="AA98" i="12"/>
  <c r="AA932" i="12"/>
  <c r="AA2993" i="12"/>
  <c r="AA1424" i="12"/>
  <c r="AA2749" i="12"/>
  <c r="AA3019" i="12"/>
  <c r="AA261" i="12"/>
  <c r="AA2608" i="12"/>
  <c r="AA2319" i="12"/>
  <c r="AA2729" i="12"/>
  <c r="AA590" i="12"/>
  <c r="AA1844" i="12"/>
  <c r="AA1241" i="12"/>
  <c r="AA554" i="12"/>
  <c r="AA1151" i="12"/>
  <c r="AA1641" i="12"/>
  <c r="AA990" i="12"/>
  <c r="AA2967" i="12"/>
  <c r="AA3080" i="12"/>
  <c r="AA2966" i="12"/>
  <c r="AA3494" i="12"/>
  <c r="AA1382" i="12"/>
  <c r="AA1930" i="12"/>
  <c r="AA1341" i="12"/>
  <c r="AA1080" i="12"/>
  <c r="AA1509" i="12"/>
  <c r="AA893" i="12"/>
  <c r="AA52" i="12"/>
  <c r="AA2793" i="12"/>
  <c r="AA2312" i="12"/>
  <c r="AA2782" i="12"/>
  <c r="AA1019" i="12"/>
  <c r="AA1367" i="12"/>
  <c r="AA3088" i="12"/>
  <c r="AA2170" i="12"/>
  <c r="AA3268" i="12"/>
  <c r="AA2754" i="12"/>
  <c r="AA255" i="12"/>
  <c r="AA1244" i="12"/>
  <c r="AA2050" i="12"/>
  <c r="AA1814" i="12"/>
  <c r="AA167" i="12"/>
  <c r="AA1570" i="12"/>
  <c r="AA2887" i="12"/>
  <c r="AA3221" i="12"/>
  <c r="AA347" i="12"/>
  <c r="AA1740" i="12"/>
  <c r="AA425" i="12"/>
  <c r="AA1806" i="12"/>
  <c r="AA1388" i="12"/>
  <c r="AA2658" i="12"/>
  <c r="AA2853" i="12"/>
  <c r="AA383" i="12"/>
  <c r="AA136" i="12"/>
  <c r="AA746" i="12"/>
  <c r="AA1701" i="12"/>
  <c r="AA2370" i="12"/>
  <c r="AA2038" i="12"/>
  <c r="AA958" i="12"/>
  <c r="AA2381" i="12"/>
  <c r="AA69" i="12"/>
  <c r="AA2726" i="12"/>
  <c r="AA1760" i="12"/>
  <c r="AA3150" i="12"/>
  <c r="AA1329" i="12"/>
  <c r="AA2390" i="12"/>
  <c r="AA882" i="12"/>
  <c r="AA2752" i="12"/>
  <c r="AA2026" i="12"/>
  <c r="AA3474" i="12"/>
  <c r="AA3323" i="12"/>
  <c r="AA3007" i="12"/>
  <c r="AA2250" i="12"/>
  <c r="AA2970" i="12"/>
  <c r="AA479" i="12"/>
  <c r="AA2524" i="12"/>
  <c r="AA736" i="12"/>
  <c r="AA859" i="12"/>
  <c r="AA1090" i="12"/>
  <c r="AA49" i="12"/>
  <c r="AA1103" i="12"/>
  <c r="AA2152" i="12"/>
  <c r="AA480" i="12"/>
  <c r="AA1042" i="12"/>
  <c r="AA3179" i="12"/>
  <c r="AA2773" i="12"/>
  <c r="AA1564" i="12"/>
  <c r="AA3430" i="12"/>
  <c r="AA1599" i="12"/>
  <c r="AA421" i="12"/>
  <c r="AA1137" i="12"/>
  <c r="AA616" i="12"/>
  <c r="AA2298" i="12"/>
  <c r="AA31" i="12"/>
  <c r="AA2767" i="12"/>
  <c r="AA1161" i="12"/>
  <c r="AA664" i="12"/>
  <c r="AA1507" i="12"/>
  <c r="AA2753" i="12"/>
  <c r="AA1394" i="12"/>
  <c r="AA2318" i="12"/>
  <c r="AA2435" i="12"/>
  <c r="AA3444" i="12"/>
  <c r="AA2377" i="12"/>
  <c r="AA823" i="12"/>
  <c r="AA1544" i="12"/>
  <c r="AA1274" i="12"/>
  <c r="AA1118" i="12"/>
  <c r="AA3340" i="12"/>
  <c r="AA961" i="12"/>
  <c r="AA706" i="12"/>
  <c r="AA837" i="12"/>
  <c r="AA1932" i="12"/>
  <c r="AA761" i="12"/>
  <c r="AA1798" i="12"/>
  <c r="AA1373" i="12"/>
  <c r="AA1832" i="12"/>
  <c r="AA2917" i="12"/>
  <c r="AA780" i="12"/>
  <c r="AA2962" i="12"/>
  <c r="AA2486" i="12"/>
  <c r="AA1038" i="12"/>
  <c r="AA786" i="12"/>
  <c r="AA583" i="12"/>
  <c r="AA3433" i="12"/>
  <c r="AA2928" i="12"/>
  <c r="AA2379" i="12"/>
  <c r="AA3044" i="12"/>
  <c r="AA1127" i="12"/>
  <c r="AA3547" i="12"/>
  <c r="AA1869" i="12"/>
  <c r="AA1084" i="12"/>
  <c r="AA566" i="12"/>
  <c r="AA2531" i="12"/>
  <c r="AA3497" i="12"/>
  <c r="AA948" i="12"/>
  <c r="AA1997" i="12"/>
  <c r="AA3384" i="12"/>
  <c r="AA282" i="12"/>
  <c r="AA2474" i="12"/>
  <c r="AA1261" i="12"/>
  <c r="AA238" i="12"/>
  <c r="AA1713" i="12"/>
  <c r="AA48" i="12"/>
  <c r="AA1459" i="12"/>
  <c r="AA1892" i="12"/>
  <c r="AA2506" i="12"/>
  <c r="AA1794" i="12"/>
  <c r="AA1297" i="12"/>
  <c r="AA273" i="12"/>
  <c r="AA898" i="12"/>
  <c r="AA3532" i="12"/>
  <c r="AA2310" i="12"/>
  <c r="AA2116" i="12"/>
  <c r="AA1396" i="12"/>
  <c r="AA3327" i="12"/>
  <c r="AA3020" i="12"/>
  <c r="AA1393" i="12"/>
  <c r="AA2266" i="12"/>
  <c r="AA1144" i="12"/>
  <c r="AA2674" i="12"/>
  <c r="AA3285" i="12"/>
  <c r="AA1221" i="12"/>
  <c r="AA3330" i="12"/>
  <c r="AA3223" i="12"/>
  <c r="AA2656" i="12"/>
  <c r="AA1768" i="12"/>
  <c r="AA1231" i="12"/>
  <c r="AA1603" i="12"/>
  <c r="AA233" i="12"/>
  <c r="AA1288" i="12"/>
  <c r="AA864" i="12"/>
  <c r="AA399" i="12"/>
  <c r="AA711" i="12"/>
  <c r="AA972" i="12"/>
  <c r="AA3087" i="12"/>
  <c r="AA1515" i="12"/>
  <c r="AA3526" i="12"/>
  <c r="AA1390" i="12"/>
  <c r="AA1417" i="12"/>
  <c r="AA1050" i="12"/>
  <c r="AA1996" i="12"/>
  <c r="AA622" i="12"/>
  <c r="AA3255" i="12"/>
  <c r="AA2372" i="12"/>
  <c r="AA320" i="12"/>
  <c r="AA2999" i="12"/>
  <c r="AA766" i="12"/>
  <c r="AA1605" i="12"/>
  <c r="AA1618" i="12"/>
  <c r="AA3095" i="12"/>
  <c r="AA2441" i="12"/>
  <c r="AA1035" i="12"/>
  <c r="AA955" i="12"/>
  <c r="AA486" i="12"/>
  <c r="AA1635" i="12"/>
  <c r="AA1962" i="12"/>
  <c r="AA3163" i="12"/>
  <c r="AA94" i="12"/>
  <c r="AA2604" i="12"/>
  <c r="AA3465" i="12"/>
  <c r="AA503" i="12"/>
  <c r="AA1117" i="12"/>
  <c r="AA584" i="12"/>
  <c r="AA2883" i="12"/>
  <c r="AA3191" i="12"/>
  <c r="AA860" i="12"/>
  <c r="AA2748" i="12"/>
  <c r="AA3231" i="12"/>
  <c r="AA165" i="12"/>
  <c r="AA2315" i="12"/>
  <c r="AA1198" i="12"/>
  <c r="AA1743" i="12"/>
  <c r="AA3283" i="12"/>
  <c r="AA1461" i="12"/>
  <c r="AA1199" i="12"/>
  <c r="AA323" i="12"/>
  <c r="AA904" i="12"/>
  <c r="AA2192" i="12"/>
  <c r="AA2969" i="12"/>
  <c r="AA1264" i="12"/>
  <c r="AA3033" i="12"/>
  <c r="AA2037" i="12"/>
  <c r="AA644" i="12"/>
  <c r="AA3519" i="12"/>
  <c r="AA1782" i="12"/>
  <c r="AA3287" i="12"/>
  <c r="AA110" i="12"/>
  <c r="AA3069" i="12"/>
  <c r="AA1216" i="12"/>
  <c r="AA2676" i="12"/>
  <c r="AA1712" i="12"/>
  <c r="AA2746" i="12"/>
  <c r="AA397" i="12"/>
  <c r="AA2499" i="12"/>
  <c r="AA1045" i="12"/>
  <c r="AA2919" i="12"/>
  <c r="AA2409" i="12"/>
  <c r="AA147" i="12"/>
  <c r="AA980" i="12"/>
  <c r="AA2425" i="12"/>
  <c r="AA1654" i="12"/>
  <c r="AA3236" i="12"/>
  <c r="AA3124" i="12"/>
  <c r="AA1910" i="12"/>
  <c r="AA2447" i="12"/>
  <c r="AA1956" i="12"/>
  <c r="AA2777" i="12"/>
  <c r="AA2147" i="12"/>
  <c r="AA3014" i="12"/>
  <c r="AA3333" i="12"/>
  <c r="AA3534" i="12"/>
  <c r="AA2791" i="12"/>
  <c r="AA647" i="12"/>
  <c r="AA2287" i="12"/>
  <c r="AA3466" i="12"/>
  <c r="AA1002" i="12"/>
  <c r="AA848" i="12"/>
  <c r="AA2583" i="12"/>
  <c r="AA3249" i="12"/>
  <c r="AA1498" i="12"/>
  <c r="AA917" i="12"/>
  <c r="AA967" i="12"/>
  <c r="AA3316" i="12"/>
  <c r="AA763" i="12"/>
  <c r="AA143" i="12"/>
  <c r="AA1919" i="12"/>
  <c r="AA3485" i="12"/>
  <c r="AA3229" i="12"/>
  <c r="AA3253" i="12"/>
  <c r="AA700" i="12"/>
  <c r="AA1453" i="12"/>
  <c r="AA1013" i="12"/>
  <c r="AA1040" i="12"/>
  <c r="AA1436" i="12"/>
  <c r="AA3529" i="12"/>
  <c r="AA277" i="12"/>
  <c r="AA2198" i="12"/>
  <c r="AA2413" i="12"/>
  <c r="AA2570" i="12"/>
  <c r="AA3365" i="12"/>
  <c r="AA2631" i="12"/>
  <c r="AA1061" i="12"/>
  <c r="AA2172" i="12"/>
  <c r="AA897" i="12"/>
  <c r="AA739" i="12"/>
  <c r="AA2045" i="12"/>
  <c r="AA568" i="12"/>
  <c r="AA449" i="12"/>
  <c r="AA1881" i="12"/>
  <c r="AA3304" i="12"/>
  <c r="AA1310" i="12"/>
  <c r="AA2460" i="12"/>
  <c r="AA2103" i="12"/>
  <c r="AA3544" i="12"/>
  <c r="AA327" i="12"/>
  <c r="AA3428" i="12"/>
  <c r="AA2516" i="12"/>
  <c r="AA2469" i="12"/>
  <c r="AA1749" i="12"/>
  <c r="AA1933" i="12"/>
  <c r="AA448" i="12"/>
  <c r="AA166" i="12"/>
  <c r="AA73" i="12"/>
  <c r="AA2862" i="12"/>
  <c r="AA2881" i="12"/>
  <c r="AA178" i="12"/>
  <c r="AA222" i="12"/>
  <c r="AA1284" i="12"/>
  <c r="AA1422" i="12"/>
  <c r="AA2695" i="12"/>
  <c r="AA578" i="12"/>
  <c r="AA3411" i="12"/>
  <c r="AA95" i="12"/>
  <c r="AA1443" i="12"/>
  <c r="AA127" i="12"/>
  <c r="AA1058" i="12"/>
  <c r="AA701" i="12"/>
  <c r="AA1162" i="12"/>
  <c r="AA476" i="12"/>
  <c r="AA530" i="12"/>
  <c r="AA2986" i="12"/>
  <c r="AA2956" i="12"/>
  <c r="AA85" i="12"/>
  <c r="AA3220" i="12"/>
  <c r="AA1550" i="12"/>
  <c r="AA426" i="12"/>
  <c r="AA2955" i="12"/>
  <c r="AA1325" i="12"/>
  <c r="AA2280" i="12"/>
  <c r="AA3158" i="12"/>
  <c r="AA319" i="12"/>
  <c r="AA1377" i="12"/>
  <c r="AA1912" i="12"/>
  <c r="AA759" i="12"/>
  <c r="AA650" i="12"/>
  <c r="AA3141" i="12"/>
  <c r="AA3046" i="12"/>
  <c r="AA784" i="12"/>
  <c r="AA1409" i="12"/>
  <c r="AA505" i="12"/>
  <c r="AA2167" i="12"/>
  <c r="AA43" i="12"/>
  <c r="AA1581" i="12"/>
  <c r="AA20" i="12"/>
  <c r="AA2751" i="12"/>
  <c r="AA1445" i="12"/>
  <c r="AA2200" i="12"/>
  <c r="AA367" i="12"/>
  <c r="AA687" i="12"/>
  <c r="AA714" i="12"/>
  <c r="AA1525" i="12"/>
  <c r="AA3364" i="12"/>
  <c r="AA1676" i="12"/>
  <c r="AA2518" i="12"/>
  <c r="AA1083" i="12"/>
  <c r="AA3140" i="12"/>
  <c r="AA3462" i="12"/>
  <c r="AA760" i="12"/>
  <c r="AA1837" i="12"/>
  <c r="AA1775" i="12"/>
  <c r="AA2633" i="12"/>
  <c r="AA1335" i="12"/>
  <c r="AA2129" i="12"/>
  <c r="AA256" i="12"/>
  <c r="AA2303" i="12"/>
  <c r="AA2599" i="12"/>
  <c r="AA1518" i="12"/>
  <c r="AA789" i="12"/>
  <c r="AA2796" i="12"/>
  <c r="AA42" i="12"/>
  <c r="AA987" i="12"/>
  <c r="AA2699" i="12"/>
  <c r="AA600" i="12"/>
  <c r="AA2929" i="12"/>
  <c r="AA2764" i="12"/>
  <c r="AA704" i="12"/>
  <c r="AA1925" i="12"/>
  <c r="AA2600" i="12"/>
  <c r="AA3407" i="12"/>
  <c r="AA794" i="12"/>
  <c r="AA226" i="12"/>
  <c r="AA1003" i="12"/>
  <c r="AA2333" i="12"/>
  <c r="AA722" i="12"/>
  <c r="AA1642" i="12"/>
  <c r="AA849" i="12"/>
  <c r="AA1041" i="12"/>
  <c r="AA1748" i="12"/>
  <c r="AA3473" i="12"/>
  <c r="AA2174" i="12"/>
  <c r="AA114" i="12"/>
  <c r="AA1785" i="12"/>
  <c r="AA2526" i="12"/>
  <c r="AA3417" i="12"/>
  <c r="AA1719" i="12"/>
  <c r="AA2149" i="12"/>
  <c r="AA986" i="12"/>
  <c r="AA348" i="12"/>
  <c r="AA1702" i="12"/>
  <c r="AA3346" i="12"/>
  <c r="AA1822" i="12"/>
  <c r="AA3091" i="12"/>
  <c r="AA2358" i="12"/>
  <c r="AA477" i="12"/>
  <c r="AA2889" i="12"/>
  <c r="AA1519" i="12"/>
  <c r="AA2232" i="12"/>
  <c r="AA1684" i="12"/>
  <c r="AA2841" i="12"/>
  <c r="AA1415" i="12"/>
  <c r="AA1621" i="12"/>
  <c r="AA667" i="12"/>
  <c r="AA1071" i="12"/>
  <c r="AA1081" i="12"/>
  <c r="AA328" i="12"/>
  <c r="AA872" i="12"/>
  <c r="AA2375" i="12"/>
  <c r="AA1660" i="12"/>
  <c r="AA2936" i="12"/>
  <c r="AA269" i="12"/>
  <c r="AA928" i="12"/>
  <c r="AA3423" i="12"/>
  <c r="AA2191" i="12"/>
  <c r="AA2273" i="12"/>
  <c r="AA175" i="12"/>
  <c r="AA103" i="12"/>
  <c r="AA3305" i="12"/>
  <c r="AA2081" i="12"/>
  <c r="AA571" i="12"/>
  <c r="AA937" i="12"/>
  <c r="AA2755" i="12"/>
  <c r="AA2301" i="12"/>
  <c r="AA356" i="12"/>
  <c r="AA1111" i="12"/>
  <c r="AA389" i="12"/>
  <c r="AA3481" i="12"/>
  <c r="AA1093" i="12"/>
  <c r="AA1049" i="12"/>
  <c r="AA1918" i="12"/>
  <c r="AA811" i="12"/>
  <c r="AA913" i="12"/>
  <c r="AA1523" i="12"/>
  <c r="AA112" i="12"/>
  <c r="AA46" i="12"/>
  <c r="AA1965" i="12"/>
  <c r="AA3446" i="12"/>
  <c r="AA2454" i="12"/>
  <c r="AA2908" i="12"/>
  <c r="AA2555" i="12"/>
  <c r="AA1551" i="12"/>
  <c r="AA2448" i="12"/>
  <c r="AA1350" i="12"/>
  <c r="AA1553" i="12"/>
  <c r="AA836" i="12"/>
  <c r="AA2941" i="12"/>
  <c r="AA2706" i="12"/>
  <c r="AA3084" i="12"/>
  <c r="AA2438" i="12"/>
  <c r="AA2902" i="12"/>
  <c r="AA2485" i="12"/>
  <c r="AA2586" i="12"/>
  <c r="AA2605" i="12"/>
  <c r="AA214" i="12"/>
  <c r="AA482" i="12"/>
  <c r="AA2388" i="12"/>
  <c r="AA670" i="12"/>
  <c r="AA2785" i="12"/>
  <c r="AA559" i="12"/>
  <c r="AA365" i="12"/>
  <c r="AA339" i="12"/>
  <c r="AA2938" i="12"/>
  <c r="AA2238" i="12"/>
  <c r="AA551" i="12"/>
  <c r="AA2008" i="12"/>
  <c r="AA2629" i="12"/>
  <c r="AA2672" i="12"/>
  <c r="AA2904" i="12"/>
  <c r="AA2491" i="12"/>
  <c r="AA1787" i="12"/>
  <c r="AA199" i="12"/>
  <c r="AA3013" i="12"/>
  <c r="AA2954" i="12"/>
  <c r="AA2657" i="12"/>
  <c r="AA3294" i="12"/>
  <c r="AA890" i="12"/>
  <c r="AA2463" i="12"/>
  <c r="AA304" i="12"/>
  <c r="AA1890" i="12"/>
  <c r="AA3176" i="12"/>
  <c r="AA1363" i="12"/>
  <c r="AA462" i="12"/>
  <c r="AA3240" i="12"/>
  <c r="AA2534" i="12"/>
  <c r="AA2601" i="12"/>
  <c r="AA1235" i="12"/>
  <c r="AA1761" i="12"/>
  <c r="AA1917" i="12"/>
  <c r="AA3457" i="12"/>
  <c r="AA931" i="12"/>
  <c r="AA1948" i="12"/>
  <c r="AA151" i="12"/>
  <c r="AA2571" i="12"/>
  <c r="AA2068" i="12"/>
  <c r="AA620" i="12"/>
  <c r="AA1675" i="12"/>
  <c r="AA3024" i="12"/>
  <c r="AA3055" i="12"/>
  <c r="AA2407" i="12"/>
  <c r="AA1565" i="12"/>
  <c r="AA2794" i="12"/>
  <c r="AA230" i="12"/>
  <c r="AA308" i="12"/>
  <c r="AA1859" i="12"/>
  <c r="AA1292" i="12"/>
  <c r="AA1074" i="12"/>
  <c r="AA3172" i="12"/>
  <c r="AA2127" i="12"/>
  <c r="AA2394" i="12"/>
  <c r="AA2290" i="12"/>
  <c r="AA954" i="12"/>
  <c r="AA2006" i="12"/>
  <c r="AA3115" i="12"/>
  <c r="AA733" i="12"/>
  <c r="AA2162" i="12"/>
  <c r="AA2711" i="12"/>
  <c r="AA2440" i="12"/>
  <c r="AA1057" i="12"/>
  <c r="AA3331" i="12"/>
  <c r="AA1510" i="12"/>
  <c r="AA1825" i="12"/>
  <c r="AA1462" i="12"/>
  <c r="AA1307" i="12"/>
  <c r="AA193" i="12"/>
  <c r="AA373" i="12"/>
  <c r="AA993" i="12"/>
  <c r="AA627" i="12"/>
  <c r="AA2972" i="12"/>
  <c r="AA2227" i="12"/>
  <c r="AA205" i="12"/>
  <c r="AA1729" i="12"/>
  <c r="AA2465" i="12"/>
  <c r="AA615" i="12"/>
  <c r="AA741" i="12"/>
  <c r="AA3522" i="12"/>
  <c r="AA3225" i="12"/>
  <c r="AA2320" i="12"/>
  <c r="AA901" i="12"/>
  <c r="AA707" i="12"/>
  <c r="AA610" i="12"/>
  <c r="AA726" i="12"/>
  <c r="AA436" i="12"/>
  <c r="AA2201" i="12"/>
  <c r="AA2102" i="12"/>
  <c r="AA337" i="12"/>
  <c r="AA292" i="12"/>
  <c r="AA709" i="12"/>
  <c r="AA851" i="12"/>
  <c r="AA1656" i="12"/>
  <c r="AA2048" i="12"/>
  <c r="AA491" i="12"/>
  <c r="AA1253" i="12"/>
  <c r="AA777" i="12"/>
  <c r="AA1633" i="12"/>
  <c r="AA1992" i="12"/>
  <c r="AA1733" i="12"/>
  <c r="AA3072" i="12"/>
  <c r="AA2331" i="12"/>
  <c r="AA2589" i="12"/>
  <c r="AA381" i="12"/>
  <c r="AA361" i="12"/>
  <c r="AA224" i="12"/>
  <c r="AA286" i="12"/>
  <c r="AA1934" i="12"/>
  <c r="AA1356" i="12"/>
  <c r="AA533" i="12"/>
  <c r="AA2997" i="12"/>
  <c r="AA1972" i="12"/>
  <c r="AA2717" i="12"/>
  <c r="AA2549" i="12"/>
  <c r="AA1709" i="12"/>
  <c r="AA3039" i="12"/>
  <c r="AA2968" i="12"/>
  <c r="AA1863" i="12"/>
  <c r="AA3081" i="12"/>
  <c r="AA2770" i="12"/>
  <c r="AA2277" i="12"/>
  <c r="AA2977" i="12"/>
  <c r="AA40" i="12"/>
  <c r="AA816" i="12"/>
  <c r="AA1587" i="12"/>
  <c r="AA1420" i="12"/>
  <c r="AA2830" i="12"/>
  <c r="AA1227" i="12"/>
  <c r="AA2765" i="12"/>
  <c r="AA455" i="12"/>
  <c r="AA2943" i="12"/>
  <c r="AA1010" i="12"/>
  <c r="AA1421" i="12"/>
  <c r="AA1841" i="12"/>
  <c r="AA265" i="12"/>
  <c r="AA2115" i="12"/>
  <c r="AA3442" i="12"/>
  <c r="AA1169" i="12"/>
  <c r="AA940" i="12"/>
  <c r="AA2560" i="12"/>
  <c r="AA307" i="12"/>
  <c r="AA2898" i="12"/>
  <c r="AA1464" i="12"/>
  <c r="AA1056" i="12"/>
  <c r="AA2225" i="12"/>
  <c r="AA99" i="12"/>
  <c r="AA1688" i="12"/>
  <c r="AA1561" i="12"/>
  <c r="AA113" i="12"/>
  <c r="AA1334" i="12"/>
  <c r="AA1857" i="12"/>
  <c r="AA1403" i="12"/>
  <c r="AA1200" i="12"/>
  <c r="AA387" i="12"/>
  <c r="AA2462" i="12"/>
  <c r="AA408" i="12"/>
  <c r="AA519" i="12"/>
  <c r="AA2128" i="12"/>
  <c r="AA1410" i="12"/>
  <c r="AA2471" i="12"/>
  <c r="AA641" i="12"/>
  <c r="AA1070" i="12"/>
  <c r="AA3278" i="12"/>
  <c r="AA212" i="12"/>
  <c r="AA3290" i="12"/>
  <c r="AA225" i="12"/>
  <c r="AA65" i="12"/>
  <c r="AA914" i="12"/>
  <c r="AA637" i="12"/>
  <c r="AA2542" i="12"/>
  <c r="AA523" i="12"/>
  <c r="AA2042" i="12"/>
  <c r="AA2146" i="12"/>
  <c r="AA81" i="12"/>
  <c r="AA1546" i="12"/>
  <c r="AA2983" i="12"/>
  <c r="AA2590" i="12"/>
  <c r="AA537" i="12"/>
  <c r="AA2019" i="12"/>
  <c r="AA2737" i="12"/>
  <c r="AA468" i="12"/>
  <c r="AA920" i="12"/>
  <c r="AA589" i="12"/>
  <c r="AA1668" i="12"/>
  <c r="AA488" i="12"/>
  <c r="AA630" i="12"/>
  <c r="AA2088" i="12"/>
  <c r="AA419" i="12"/>
  <c r="AA2415" i="12"/>
  <c r="AA2937" i="12"/>
  <c r="AA2597" i="12"/>
  <c r="AA1839" i="12"/>
  <c r="AA1670" i="12"/>
  <c r="AA3314" i="12"/>
  <c r="AA109" i="12"/>
  <c r="AA1191" i="12"/>
  <c r="AA3347" i="12"/>
  <c r="AA1257" i="12"/>
  <c r="AA1236" i="12"/>
  <c r="AA239" i="12"/>
  <c r="AA2813" i="12"/>
  <c r="AA3295" i="12"/>
  <c r="AA1804" i="12"/>
  <c r="AA106" i="12"/>
  <c r="AA1884" i="12"/>
  <c r="AA1828" i="12"/>
  <c r="AA1217" i="12"/>
  <c r="AA1827" i="12"/>
  <c r="AA730" i="12"/>
  <c r="AA1629" i="12"/>
  <c r="AA850" i="12"/>
  <c r="AA1015" i="12"/>
  <c r="AA3071" i="12"/>
  <c r="AA2639" i="12"/>
  <c r="AA525" i="12"/>
  <c r="AA54" i="12"/>
  <c r="AA2133" i="12"/>
  <c r="AA3139" i="12"/>
  <c r="AA2843" i="12"/>
  <c r="AA725" i="12"/>
  <c r="AA140" i="12"/>
  <c r="AA1942" i="12"/>
  <c r="AA3301" i="12"/>
  <c r="AA1505" i="12"/>
  <c r="AA1598" i="12"/>
  <c r="AA3469" i="12"/>
  <c r="AA3074" i="12"/>
  <c r="AA2334" i="12"/>
  <c r="AA1705" i="12"/>
  <c r="AA2056" i="12"/>
  <c r="AA593" i="12"/>
  <c r="AA3508" i="12"/>
  <c r="AA581" i="12"/>
  <c r="AA902" i="12"/>
  <c r="AA903" i="12"/>
  <c r="AA318" i="12"/>
  <c r="AA2142" i="12"/>
  <c r="AA268" i="12"/>
  <c r="AA2434" i="12"/>
  <c r="AA1471" i="12"/>
  <c r="AA452" i="12"/>
  <c r="AA1033" i="12"/>
  <c r="AA3015" i="12"/>
  <c r="AA3369" i="12"/>
  <c r="AA950" i="12"/>
  <c r="AA3505" i="12"/>
  <c r="AA833" i="12"/>
  <c r="AA1340" i="12"/>
  <c r="AA1256" i="12"/>
  <c r="AA2780" i="12"/>
  <c r="AA1435" i="12"/>
  <c r="AA1369" i="12"/>
  <c r="AA3008" i="12"/>
  <c r="AA3193" i="12"/>
  <c r="AA450" i="12"/>
  <c r="AA1616" i="12"/>
  <c r="AA1852" i="12"/>
  <c r="AA1254" i="12"/>
  <c r="AA2231" i="12"/>
  <c r="AA3408" i="12"/>
  <c r="AA2949" i="12"/>
  <c r="AA3276" i="12"/>
  <c r="AA1796" i="12"/>
  <c r="AA1376" i="12"/>
  <c r="AA3464" i="12"/>
  <c r="AA1472" i="12"/>
  <c r="AA2719" i="12"/>
  <c r="AA3205" i="12"/>
  <c r="AA1739" i="12"/>
  <c r="AA2817" i="12"/>
  <c r="AA1877" i="12"/>
  <c r="AA2910" i="12"/>
  <c r="AA1094" i="12"/>
  <c r="AA2224" i="12"/>
  <c r="AA471" i="12"/>
  <c r="AA385" i="12"/>
  <c r="AA1623" i="12"/>
  <c r="AA1826" i="12"/>
  <c r="AA3344" i="12"/>
  <c r="AA1494" i="12"/>
  <c r="AA3093" i="12"/>
  <c r="AA528" i="12"/>
  <c r="AA2884" i="12"/>
  <c r="AA2662" i="12"/>
  <c r="AA1184" i="12"/>
  <c r="AA2533" i="12"/>
  <c r="AA2637" i="12"/>
  <c r="AA1998" i="12"/>
  <c r="AA2979" i="12"/>
  <c r="AA2475" i="12"/>
  <c r="AA2182" i="12"/>
  <c r="AA3250" i="12"/>
  <c r="AA2545" i="12"/>
  <c r="AA2421" i="12"/>
  <c r="AA2110" i="12"/>
  <c r="AA2725" i="12"/>
  <c r="AA979" i="12"/>
  <c r="AA1759" i="12"/>
  <c r="AA260" i="12"/>
  <c r="AA2013" i="12"/>
  <c r="AA156" i="12"/>
  <c r="AA2781" i="12"/>
  <c r="AA2338" i="12"/>
  <c r="AA1986" i="12"/>
  <c r="AA2525" i="12"/>
  <c r="AA1176" i="12"/>
  <c r="AA2451" i="12"/>
  <c r="AA1940" i="12"/>
  <c r="AA3490" i="12"/>
  <c r="AA1210" i="12"/>
  <c r="AA1287" i="12"/>
  <c r="AA776" i="12"/>
  <c r="AA985" i="12"/>
  <c r="AA2541" i="12"/>
  <c r="AA2450" i="12"/>
  <c r="AA1000" i="12"/>
  <c r="AA3539" i="12"/>
  <c r="AA2097" i="12"/>
  <c r="AA2383" i="12"/>
  <c r="AA118" i="12"/>
  <c r="AA1108" i="12"/>
  <c r="AA2362" i="12"/>
  <c r="AA30" i="12"/>
  <c r="AA2792" i="12"/>
  <c r="AA1014" i="12"/>
  <c r="AA710" i="12"/>
  <c r="AA1300" i="12"/>
  <c r="AA3311" i="12"/>
  <c r="AA518" i="12"/>
  <c r="AA492" i="12"/>
  <c r="AA1567" i="12"/>
  <c r="AA625" i="12"/>
  <c r="AA1048" i="12"/>
  <c r="AA2912" i="12"/>
  <c r="AA624" i="12"/>
  <c r="AA2061" i="12"/>
  <c r="AA1899" i="12"/>
  <c r="AA409" i="12"/>
  <c r="AA1744" i="12"/>
  <c r="AA3478" i="12"/>
  <c r="AA2504" i="12"/>
  <c r="AA1708" i="12"/>
  <c r="AA2766" i="12"/>
  <c r="AA1915" i="12"/>
  <c r="AA886" i="12"/>
  <c r="AA577" i="12"/>
  <c r="AA2822" i="12"/>
  <c r="AA2692" i="12"/>
  <c r="AA923" i="12"/>
  <c r="AA941" i="12"/>
  <c r="AA461" i="12"/>
  <c r="AA3181" i="12"/>
  <c r="AA2055" i="12"/>
  <c r="AA3402" i="12"/>
  <c r="AA1637" i="12"/>
  <c r="AA805" i="12"/>
  <c r="AA2564" i="12"/>
  <c r="AA2744" i="12"/>
  <c r="AA1652" i="12"/>
  <c r="AA2989" i="12"/>
  <c r="AA684" i="12"/>
  <c r="AA3549" i="12"/>
  <c r="AA545" i="12"/>
  <c r="AA3029" i="12"/>
  <c r="AA1046" i="12"/>
  <c r="AA1777" i="12"/>
  <c r="AA1950" i="12"/>
  <c r="AA1078" i="12"/>
  <c r="AA321" i="12"/>
  <c r="AA2257" i="12"/>
  <c r="AA2476" i="12"/>
  <c r="AA2508" i="12"/>
  <c r="AA978" i="12"/>
  <c r="AA3266" i="12"/>
  <c r="AA1951" i="12"/>
  <c r="AA2554" i="12"/>
  <c r="AA1961" i="12"/>
  <c r="AA1196" i="12"/>
  <c r="AA2580" i="12"/>
  <c r="AA297" i="12"/>
  <c r="AA2234" i="12"/>
  <c r="AA965" i="12"/>
  <c r="AA3460" i="12"/>
  <c r="AA770" i="12"/>
  <c r="AA3056" i="12"/>
  <c r="AA3380" i="12"/>
  <c r="AA2915" i="12"/>
  <c r="AA2260" i="12"/>
  <c r="AA3322" i="12"/>
  <c r="AA826" i="12"/>
  <c r="AA171" i="12"/>
  <c r="AA342" i="12"/>
  <c r="AA1496" i="12"/>
  <c r="AA1482" i="12"/>
  <c r="AA2747" i="12"/>
  <c r="AA1630" i="12"/>
  <c r="AA796" i="12"/>
  <c r="AA1025" i="12"/>
  <c r="AA3345" i="12"/>
  <c r="AA1772" i="12"/>
  <c r="AA3552" i="12"/>
  <c r="AA1358" i="12"/>
  <c r="AA3459" i="12"/>
  <c r="AA2517" i="12"/>
  <c r="AA1135" i="12"/>
  <c r="AA3194" i="12"/>
  <c r="AA2446" i="12"/>
  <c r="AA952" i="12"/>
  <c r="AA2365" i="12"/>
  <c r="AA1501" i="12"/>
  <c r="AA2926" i="12"/>
  <c r="AA1160" i="12"/>
  <c r="AA2086" i="12"/>
  <c r="AA3035" i="12"/>
  <c r="AA1008" i="12"/>
  <c r="AA3151" i="12"/>
  <c r="AA798" i="12"/>
  <c r="AA2980" i="12"/>
  <c r="AA3211" i="12"/>
  <c r="AA2514" i="12"/>
  <c r="AA1488" i="12"/>
  <c r="AA2373" i="12"/>
  <c r="AA2664" i="12"/>
  <c r="AA1294" i="12"/>
  <c r="AA1858" i="12"/>
  <c r="AA3368" i="12"/>
  <c r="AA2165" i="12"/>
  <c r="AA855" i="12"/>
  <c r="AA207" i="12"/>
  <c r="AA3086" i="12"/>
  <c r="AA582" i="12"/>
  <c r="AA1499" i="12"/>
  <c r="AA108" i="12"/>
  <c r="AA1576" i="12"/>
  <c r="AA2222" i="12"/>
  <c r="AA232" i="12"/>
  <c r="AA313" i="12"/>
  <c r="AA181" i="12"/>
  <c r="AA3003" i="12"/>
  <c r="AA688" i="12"/>
  <c r="AA1876" i="12"/>
  <c r="AA570" i="12"/>
  <c r="AA1595" i="12"/>
  <c r="AA908" i="12"/>
  <c r="AA510" i="12"/>
  <c r="AA1291" i="12"/>
  <c r="AA2132" i="12"/>
  <c r="AA681" i="12"/>
  <c r="AA2262" i="12"/>
  <c r="AA927" i="12"/>
  <c r="AA1252" i="12"/>
  <c r="AA3458" i="12"/>
  <c r="AA2395" i="12"/>
  <c r="AA2302" i="12"/>
  <c r="AA454" i="12"/>
  <c r="AA2868" i="12"/>
  <c r="AA2046" i="12"/>
  <c r="AA969" i="12"/>
  <c r="AA3097" i="12"/>
  <c r="AA2044" i="12"/>
  <c r="AA359" i="12"/>
  <c r="AA2873" i="12"/>
  <c r="AA3051" i="12"/>
  <c r="AA2076" i="12"/>
  <c r="AA2814" i="12"/>
  <c r="AA623" i="12"/>
  <c r="AA812" i="12"/>
  <c r="AA3443" i="12"/>
  <c r="AA988" i="12"/>
  <c r="AA874" i="12"/>
  <c r="AA1578" i="12"/>
  <c r="AA1504" i="12"/>
  <c r="AA595" i="12"/>
  <c r="AA3028" i="12"/>
  <c r="AA1560" i="12"/>
  <c r="AA838" i="12"/>
  <c r="AA1683" i="12"/>
  <c r="AA1148" i="12"/>
  <c r="AA64" i="12"/>
  <c r="AA3129" i="12"/>
  <c r="AA813" i="12"/>
  <c r="AA2698" i="12"/>
  <c r="AA2297" i="12"/>
  <c r="AA1146" i="12"/>
  <c r="AA1700" i="12"/>
  <c r="AA345" i="12"/>
  <c r="AA1647" i="12"/>
  <c r="AA340" i="12"/>
  <c r="AA2420" i="12"/>
  <c r="AA953" i="12"/>
  <c r="AA1809" i="12"/>
  <c r="AA2783" i="12"/>
  <c r="AA357" i="12"/>
  <c r="AA1275" i="12"/>
  <c r="AA743" i="12"/>
  <c r="AA512" i="12"/>
  <c r="AA2456" i="12"/>
  <c r="AA2566" i="12"/>
  <c r="AA1351" i="12"/>
  <c r="AA2990" i="12"/>
  <c r="AA3045" i="12"/>
  <c r="AA2879" i="12"/>
  <c r="AA1250" i="12"/>
  <c r="AA173" i="12"/>
  <c r="AA2888" i="12"/>
  <c r="AA3427" i="12"/>
  <c r="AA92" i="12"/>
  <c r="AA1030" i="12"/>
  <c r="AA309" i="12"/>
  <c r="AA2607" i="12"/>
  <c r="AA819" i="12"/>
  <c r="AA1278" i="12"/>
  <c r="AA2689" i="12"/>
  <c r="AA824" i="12"/>
  <c r="AA306" i="12"/>
  <c r="AA1142" i="12"/>
  <c r="AA2667" i="12"/>
  <c r="AA474" i="12"/>
  <c r="AA1228" i="12"/>
  <c r="AA646" i="12"/>
  <c r="AA685" i="12"/>
  <c r="AA25" i="12"/>
  <c r="AA3032" i="12"/>
  <c r="AA3308" i="12"/>
  <c r="AA2891" i="12"/>
  <c r="AA2820" i="12"/>
  <c r="AA53" i="12"/>
  <c r="AA721" i="12"/>
  <c r="AA1062" i="12"/>
  <c r="AA2727" i="12"/>
  <c r="AA3237" i="12"/>
  <c r="AA1243" i="12"/>
  <c r="AA3533" i="12"/>
  <c r="AA1812" i="12"/>
  <c r="AA2857" i="12"/>
  <c r="AA1425" i="12"/>
  <c r="AA818" i="12"/>
  <c r="AA2594" i="12"/>
  <c r="AA2156" i="12"/>
  <c r="AA2946" i="12"/>
  <c r="AA185" i="12"/>
  <c r="AA877" i="12"/>
  <c r="AA2547" i="12"/>
  <c r="AA1158" i="12"/>
  <c r="AA1097" i="12"/>
  <c r="AA912" i="12"/>
  <c r="AA338" i="12"/>
  <c r="AA1265" i="12"/>
  <c r="AA130" i="12"/>
  <c r="AA2422" i="12"/>
  <c r="AA943" i="12"/>
  <c r="AA2114" i="12"/>
  <c r="AA2123" i="12"/>
  <c r="AA1835" i="12"/>
  <c r="AA3374" i="12"/>
  <c r="AA1947" i="12"/>
  <c r="AA2874" i="12"/>
  <c r="AA60" i="12"/>
  <c r="AA1944" i="12"/>
  <c r="AA1248" i="12"/>
  <c r="AA830" i="12"/>
  <c r="AA732" i="12"/>
  <c r="AA2043" i="12"/>
  <c r="AA1960" i="12"/>
  <c r="AA3159" i="12"/>
  <c r="AA1447" i="12"/>
  <c r="AA549" i="12"/>
  <c r="AA2221" i="12"/>
  <c r="AA963" i="12"/>
  <c r="AA814" i="12"/>
  <c r="AA2488" i="12"/>
  <c r="AA1786" i="12"/>
  <c r="AA1321" i="12"/>
  <c r="AA1907" i="12"/>
  <c r="AA2577" i="12"/>
  <c r="AA3121" i="12"/>
  <c r="AA1842" i="12"/>
  <c r="AA1468" i="12"/>
  <c r="AA2507" i="12"/>
  <c r="AA611" i="12"/>
  <c r="AA1433" i="12"/>
  <c r="AA1807" i="12"/>
  <c r="AA1067" i="12"/>
  <c r="AA2655" i="12"/>
  <c r="AA2562" i="12"/>
  <c r="AA1205" i="12"/>
  <c r="AA1383" i="12"/>
  <c r="AA1610" i="12"/>
  <c r="AA1800" i="12"/>
  <c r="AA1230" i="12"/>
  <c r="AA1458" i="12"/>
  <c r="AA1370" i="12"/>
  <c r="AA478" i="12"/>
  <c r="AA1399" i="12"/>
  <c r="AA403" i="12"/>
  <c r="AA3381" i="12"/>
  <c r="AA656" i="12"/>
  <c r="AA2907" i="12"/>
  <c r="AA1448" i="12"/>
  <c r="AA3027" i="12"/>
  <c r="AA2905" i="12"/>
  <c r="AA2668" i="12"/>
  <c r="AA88" i="12"/>
  <c r="AA1226" i="12"/>
  <c r="AA1276" i="12"/>
  <c r="AA1767" i="12"/>
  <c r="AA3246" i="12"/>
  <c r="AA1263" i="12"/>
  <c r="AA520" i="12"/>
  <c r="AA2709" i="12"/>
  <c r="AA2603" i="12"/>
  <c r="AA267" i="12"/>
  <c r="AA2939" i="12"/>
  <c r="AA473" i="12"/>
  <c r="AA1672" i="12"/>
  <c r="AA1871" i="12"/>
  <c r="AA1756" i="12"/>
  <c r="AA2197" i="12"/>
  <c r="AA1671" i="12"/>
  <c r="AA801" i="12"/>
  <c r="AA2291" i="12"/>
  <c r="AA716" i="12"/>
  <c r="AA1528" i="12"/>
  <c r="AA748" i="12"/>
  <c r="AA1330" i="12"/>
  <c r="AA1769" i="12"/>
  <c r="AA2896" i="12"/>
  <c r="AA248" i="12"/>
  <c r="AA2804" i="12"/>
  <c r="AA2411" i="12"/>
  <c r="AA1308" i="12"/>
  <c r="AA1333" i="12"/>
  <c r="AA2942" i="12"/>
  <c r="AA2063" i="12"/>
  <c r="AA2834" i="12"/>
  <c r="AA3125" i="12"/>
  <c r="AA1259" i="12"/>
  <c r="AA757" i="12"/>
  <c r="AA3367" i="12"/>
  <c r="AA2207" i="12"/>
  <c r="AA2806" i="12"/>
  <c r="AA1119" i="12"/>
  <c r="AA2778" i="12"/>
  <c r="AA2998" i="12"/>
  <c r="AA1140" i="12"/>
  <c r="AA2393" i="12"/>
  <c r="AA544" i="12"/>
  <c r="AA3144" i="12"/>
  <c r="AA2572" i="12"/>
  <c r="AA2240" i="12"/>
  <c r="AA3426" i="12"/>
  <c r="AA1273" i="12"/>
  <c r="AA690" i="12"/>
  <c r="AA1783" i="12"/>
  <c r="AA3226" i="12"/>
  <c r="AA854" i="12"/>
  <c r="AA369" i="12"/>
  <c r="AA1150" i="12"/>
  <c r="AA3224" i="12"/>
  <c r="AA1758" i="12"/>
  <c r="AA857" i="12"/>
  <c r="AA1679" i="12"/>
  <c r="AA1412" i="12"/>
  <c r="AA2960" i="12"/>
  <c r="AA2459" i="12"/>
  <c r="AA2826" i="12"/>
  <c r="AA453" i="12"/>
  <c r="AA2087" i="12"/>
  <c r="AA2065" i="12"/>
  <c r="AA3511" i="12"/>
  <c r="AA157" i="12"/>
  <c r="AA829" i="12"/>
  <c r="AA1555" i="12"/>
  <c r="AA3456" i="12"/>
  <c r="AA243" i="12"/>
  <c r="AA3350" i="12"/>
  <c r="AA144" i="12"/>
  <c r="AA2445" i="12"/>
  <c r="AA497" i="12"/>
  <c r="AA296" i="12"/>
  <c r="AA1711" i="12"/>
  <c r="AA1726" i="12"/>
  <c r="AA45" i="12"/>
  <c r="AA2575" i="12"/>
  <c r="AA2635" i="12"/>
  <c r="AA1173" i="12"/>
  <c r="AA302" i="12"/>
  <c r="AA939" i="12"/>
  <c r="AA602" i="12"/>
  <c r="AA126" i="12"/>
  <c r="AA878" i="12"/>
  <c r="AA3138" i="12"/>
  <c r="AA2617" i="12"/>
  <c r="AA34" i="12"/>
  <c r="AA457" i="12"/>
  <c r="AA1163" i="12"/>
  <c r="AA2392" i="12"/>
  <c r="AA2513" i="12"/>
  <c r="AA772" i="12"/>
  <c r="AA3389" i="12"/>
  <c r="AA603" i="12"/>
  <c r="AA3026" i="12"/>
  <c r="AA742" i="12"/>
  <c r="AA501" i="12"/>
  <c r="AA58" i="12"/>
  <c r="AA3349" i="12"/>
  <c r="AA1971" i="12"/>
  <c r="AA3126" i="12"/>
  <c r="AA2731" i="12"/>
  <c r="AA1952" i="12"/>
  <c r="AA1710" i="12"/>
  <c r="AA632" i="12"/>
  <c r="AA2535" i="12"/>
  <c r="AA2721" i="12"/>
  <c r="AA2870" i="12"/>
  <c r="AA1493" i="12"/>
  <c r="AA2062" i="12"/>
  <c r="AA2014" i="12"/>
  <c r="AA3300" i="12"/>
  <c r="AA2906" i="12"/>
  <c r="AA2738" i="12"/>
  <c r="AA1991" i="12"/>
  <c r="AA2397" i="12"/>
  <c r="AA1657" i="12"/>
  <c r="AA1715" i="12"/>
  <c r="AA653" i="12"/>
  <c r="AA3273" i="12"/>
  <c r="AA1346" i="12"/>
  <c r="AA2790" i="12"/>
  <c r="AA1780" i="12"/>
  <c r="AA2582" i="12"/>
  <c r="AA1224" i="12"/>
  <c r="AA2346" i="12"/>
  <c r="AA1036" i="12"/>
  <c r="AA1487" i="12"/>
  <c r="AA2800" i="12"/>
  <c r="AA919" i="12"/>
  <c r="AA1821" i="12"/>
  <c r="AA1511" i="12"/>
  <c r="AA91" i="12"/>
  <c r="AA2285" i="12"/>
  <c r="AA481" i="12"/>
  <c r="AA2758" i="12"/>
  <c r="AA1328" i="12"/>
  <c r="AA3002" i="12"/>
  <c r="AA2483" i="12"/>
  <c r="AA691" i="12"/>
  <c r="AA2815" i="12"/>
  <c r="AA3103" i="12"/>
  <c r="AA2328" i="12"/>
  <c r="AA3173" i="12"/>
  <c r="AA1799" i="12"/>
  <c r="AA1691" i="12"/>
  <c r="AA1632" i="12"/>
  <c r="AA740" i="12"/>
  <c r="J13" i="12"/>
  <c r="T23" i="12"/>
  <c r="T21" i="12"/>
  <c r="G13" i="12"/>
  <c r="T27" i="12"/>
  <c r="T22" i="12"/>
  <c r="T20" i="12"/>
  <c r="T24" i="12"/>
  <c r="T19" i="12"/>
  <c r="T25" i="12"/>
  <c r="T26" i="12"/>
  <c r="T28" i="12"/>
  <c r="T29" i="12"/>
  <c r="U19" i="12" a="1"/>
  <c r="K3" i="12"/>
  <c r="J3" i="12"/>
  <c r="U19" i="12" l="1"/>
  <c r="H3" i="12"/>
  <c r="G3" i="12"/>
  <c r="K10" i="12"/>
  <c r="J10" i="12"/>
  <c r="I3" i="12" l="1"/>
  <c r="H10" i="12"/>
  <c r="G10" i="12"/>
  <c r="J4" i="12"/>
  <c r="I10" i="12" l="1"/>
  <c r="G4" i="12"/>
  <c r="J5" i="12"/>
  <c r="G5" i="12"/>
  <c r="J14" i="12"/>
  <c r="K14" i="12"/>
  <c r="H14" i="12"/>
  <c r="G14" i="12"/>
  <c r="J6" i="12"/>
  <c r="I14" i="12" l="1"/>
  <c r="G6" i="12"/>
  <c r="J11" i="12"/>
  <c r="K11" i="12"/>
  <c r="H11" i="12"/>
  <c r="G11" i="12"/>
  <c r="J7" i="12"/>
  <c r="I11" i="12" l="1"/>
  <c r="G7" i="12"/>
  <c r="K6" i="12"/>
  <c r="H6" i="12"/>
  <c r="I6" i="12" s="1"/>
  <c r="K13" i="12"/>
  <c r="H13" i="12"/>
  <c r="I13" i="12" s="1"/>
  <c r="K4" i="12"/>
  <c r="H4" i="12"/>
  <c r="I4" i="12"/>
  <c r="K7" i="12"/>
  <c r="H7" i="12"/>
  <c r="I7" i="12" s="1"/>
  <c r="K12" i="12"/>
  <c r="J12" i="12"/>
  <c r="H12" i="12"/>
  <c r="G12" i="12"/>
  <c r="I12" i="12" s="1"/>
  <c r="K5" i="12"/>
  <c r="H5" i="12"/>
  <c r="I5" i="12"/>
  <c r="J8" i="12"/>
  <c r="G8" i="12"/>
  <c r="K15" i="12"/>
  <c r="J15" i="12"/>
  <c r="H15" i="12"/>
  <c r="G15" i="12"/>
  <c r="K8" i="12"/>
  <c r="I15" i="12"/>
  <c r="H8" i="12"/>
  <c r="I8" i="12" s="1"/>
  <c r="J9" i="12"/>
  <c r="K9" i="12"/>
  <c r="H9" i="12"/>
  <c r="G9" i="12"/>
  <c r="J16" i="12"/>
  <c r="I9" i="12"/>
  <c r="G16" i="12"/>
  <c r="K16" i="12"/>
  <c r="H16" i="12"/>
  <c r="I16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<sst xmlns="http://schemas.openxmlformats.org/spreadsheetml/2006/main" count="321" uniqueCount="169">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</sst>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  <xf numFmtId="0" fontId="26" fillId="2" borderId="0" xfId="1" applyFont="1" applyFill="1" applyBorder="1" applyAlignment="1">
      <alignment horizontal="center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1.8560000000014676E-3</c:v>
                </c:pt>
                <c:pt idx="1">
                  <c:v>1.8524836099575645E-3</c:v>
                </c:pt>
                <c:pt idx="2">
                  <c:v>1.8365551652214705E-3</c:v>
                </c:pt>
                <c:pt idx="3">
                  <c:v>1.8317346752761941E-3</c:v>
                </c:pt>
                <c:pt idx="4">
                  <c:v>1.8258450728330707E-3</c:v>
                </c:pt>
                <c:pt idx="5">
                  <c:v>1.8226222519734936E-3</c:v>
                </c:pt>
                <c:pt idx="6">
                  <c:v>1.8195672000037039E-3</c:v>
                </c:pt>
                <c:pt idx="7">
                  <c:v>1.8094737039260488E-3</c:v>
                </c:pt>
                <c:pt idx="8">
                  <c:v>1.8089574266812812E-3</c:v>
                </c:pt>
                <c:pt idx="9">
                  <c:v>1.8074675027204834E-3</c:v>
                </c:pt>
                <c:pt idx="10">
                  <c:v>1.8068696703768539E-3</c:v>
                </c:pt>
                <c:pt idx="11">
                  <c:v>1.805049005998427E-3</c:v>
                </c:pt>
                <c:pt idx="12">
                  <c:v>1.8055756054318195E-3</c:v>
                </c:pt>
                <c:pt idx="13">
                  <c:v>1.8102918475532642E-3</c:v>
                </c:pt>
                <c:pt idx="14">
                  <c:v>1.8102865919750188E-3</c:v>
                </c:pt>
                <c:pt idx="15">
                  <c:v>1.810424195144684E-3</c:v>
                </c:pt>
                <c:pt idx="16">
                  <c:v>1.8148884213715633E-3</c:v>
                </c:pt>
                <c:pt idx="17">
                  <c:v>1.8173418021341092E-3</c:v>
                </c:pt>
                <c:pt idx="18">
                  <c:v>1.8200171695150758E-3</c:v>
                </c:pt>
                <c:pt idx="19">
                  <c:v>1.8267972086288831E-3</c:v>
                </c:pt>
                <c:pt idx="20">
                  <c:v>1.8279784708603013E-3</c:v>
                </c:pt>
                <c:pt idx="21">
                  <c:v>1.836257712476197E-3</c:v>
                </c:pt>
                <c:pt idx="22">
                  <c:v>1.8399875630699114E-3</c:v>
                </c:pt>
                <c:pt idx="23">
                  <c:v>1.8438594986633916E-3</c:v>
                </c:pt>
                <c:pt idx="24">
                  <c:v>1.852773260703211E-3</c:v>
                </c:pt>
                <c:pt idx="25">
                  <c:v>1.8545268670307783E-3</c:v>
                </c:pt>
                <c:pt idx="26">
                  <c:v>1.8653504566499279E-3</c:v>
                </c:pt>
                <c:pt idx="27">
                  <c:v>1.8700749053168764E-3</c:v>
                </c:pt>
                <c:pt idx="28">
                  <c:v>1.8749414400520692E-3</c:v>
                </c:pt>
                <c:pt idx="29">
                  <c:v>1.8858447491684749E-3</c:v>
                </c:pt>
                <c:pt idx="30">
                  <c:v>1.8880954866721865E-3</c:v>
                </c:pt>
                <c:pt idx="31">
                  <c:v>1.9014054110160217E-3</c:v>
                </c:pt>
                <c:pt idx="32">
                  <c:v>1.9104034766435861E-3</c:v>
                </c:pt>
                <c:pt idx="33">
                  <c:v>1.9231780636686968E-3</c:v>
                </c:pt>
                <c:pt idx="34">
                  <c:v>1.925878563049932E-3</c:v>
                </c:pt>
                <c:pt idx="35">
                  <c:v>1.9481281165406774E-3</c:v>
                </c:pt>
                <c:pt idx="36">
                  <c:v>1.9481281165406774E-3</c:v>
                </c:pt>
                <c:pt idx="37">
                  <c:v>1.9549128691765199E-3</c:v>
                </c:pt>
                <c:pt idx="38">
                  <c:v>1.9696772132515861E-3</c:v>
                </c:pt>
                <c:pt idx="39">
                  <c:v>1.972874776665634E-3</c:v>
                </c:pt>
                <c:pt idx="40">
                  <c:v>1.9761196679683869E-3</c:v>
                </c:pt>
                <c:pt idx="41">
                  <c:v>1.9986052835830131E-3</c:v>
                </c:pt>
                <c:pt idx="42">
                  <c:v>2.0063846715761575E-3</c:v>
                </c:pt>
                <c:pt idx="43">
                  <c:v>2.0231322238004816E-3</c:v>
                </c:pt>
                <c:pt idx="44">
                  <c:v>2.0268266043685368E-3</c:v>
                </c:pt>
                <c:pt idx="45">
                  <c:v>2.0305682933651598E-3</c:v>
                </c:pt>
                <c:pt idx="46">
                  <c:v>2.0559881825445562E-3</c:v>
                </c:pt>
                <c:pt idx="47">
                  <c:v>2.0647288490834967E-3</c:v>
                </c:pt>
                <c:pt idx="48">
                  <c:v>2.0833163514504868E-3</c:v>
                </c:pt>
                <c:pt idx="49">
                  <c:v>2.0875002124487452E-3</c:v>
                </c:pt>
                <c:pt idx="50">
                  <c:v>2.0917308913217811E-3</c:v>
                </c:pt>
                <c:pt idx="51">
                  <c:v>2.1198698957257713E-3</c:v>
                </c:pt>
                <c:pt idx="52">
                  <c:v>2.1294948661670743E-3</c:v>
                </c:pt>
                <c:pt idx="53">
                  <c:v>2.1340410036616575E-3</c:v>
                </c:pt>
                <c:pt idx="54">
                  <c:v>2.1386327936000061E-3</c:v>
                </c:pt>
                <c:pt idx="55">
                  <c:v>2.1432700574537072E-3</c:v>
                </c:pt>
                <c:pt idx="56">
                  <c:v>2.1897100233965326E-3</c:v>
                </c:pt>
                <c:pt idx="57">
                  <c:v>2.2001420600375127E-3</c:v>
                </c:pt>
                <c:pt idx="58">
                  <c:v>2.2275373786059325E-3</c:v>
                </c:pt>
                <c:pt idx="59">
                  <c:v>2.2326330500317807E-3</c:v>
                </c:pt>
                <c:pt idx="60">
                  <c:v>2.2377689341096518E-3</c:v>
                </c:pt>
                <c:pt idx="61">
                  <c:v>2.2649678998072497E-3</c:v>
                </c:pt>
                <c:pt idx="62">
                  <c:v>2.2761297642593186E-3</c:v>
                </c:pt>
                <c:pt idx="63">
                  <c:v>2.2992593294174865E-3</c:v>
                </c:pt>
                <c:pt idx="64">
                  <c:v>2.3047118234090225E-3</c:v>
                </c:pt>
                <c:pt idx="65">
                  <c:v>2.310196787655123E-3</c:v>
                </c:pt>
                <c:pt idx="66">
                  <c:v>2.3451099480436572E-3</c:v>
                </c:pt>
                <c:pt idx="67">
                  <c:v>2.3569341233161071E-3</c:v>
                </c:pt>
                <c:pt idx="68">
                  <c:v>2.3813750622757694E-3</c:v>
                </c:pt>
                <c:pt idx="69">
                  <c:v>2.3871550412540854E-3</c:v>
                </c:pt>
                <c:pt idx="70">
                  <c:v>2.3929660185616521E-3</c:v>
                </c:pt>
                <c:pt idx="71">
                  <c:v>2.4298369740349463E-3</c:v>
                </c:pt>
                <c:pt idx="72">
                  <c:v>2.4423137517311099E-3</c:v>
                </c:pt>
                <c:pt idx="73">
                  <c:v>2.4680610730041445E-3</c:v>
                </c:pt>
                <c:pt idx="74">
                  <c:v>2.4741667740055262E-3</c:v>
                </c:pt>
                <c:pt idx="75">
                  <c:v>2.4936675958165855E-3</c:v>
                </c:pt>
                <c:pt idx="76">
                  <c:v>2.5254395193661239E-3</c:v>
                </c:pt>
                <c:pt idx="77">
                  <c:v>2.5386154373654435E-3</c:v>
                </c:pt>
                <c:pt idx="78">
                  <c:v>2.5657468730747035E-3</c:v>
                </c:pt>
                <c:pt idx="79">
                  <c:v>2.572209234918822E-3</c:v>
                </c:pt>
                <c:pt idx="80">
                  <c:v>2.6196288131545842E-3</c:v>
                </c:pt>
                <c:pt idx="81">
                  <c:v>2.6196288131545842E-3</c:v>
                </c:pt>
                <c:pt idx="82">
                  <c:v>2.6334573566861863E-3</c:v>
                </c:pt>
                <c:pt idx="83">
                  <c:v>2.6692003856569487E-3</c:v>
                </c:pt>
                <c:pt idx="84">
                  <c:v>2.6760039047044049E-3</c:v>
                </c:pt>
                <c:pt idx="85">
                  <c:v>2.7039985832315594E-3</c:v>
                </c:pt>
                <c:pt idx="86">
                  <c:v>2.7183865326181333E-3</c:v>
                </c:pt>
                <c:pt idx="87">
                  <c:v>2.7328677174720539E-3</c:v>
                </c:pt>
                <c:pt idx="88">
                  <c:v>2.762612621844962E-3</c:v>
                </c:pt>
                <c:pt idx="89">
                  <c:v>2.7697261712093576E-3</c:v>
                </c:pt>
                <c:pt idx="90">
                  <c:v>2.8066721856783161E-3</c:v>
                </c:pt>
                <c:pt idx="91">
                  <c:v>2.8217127905119099E-3</c:v>
                </c:pt>
                <c:pt idx="92">
                  <c:v>2.8368466332215903E-3</c:v>
                </c:pt>
                <c:pt idx="93">
                  <c:v>2.8678985113017585E-3</c:v>
                </c:pt>
                <c:pt idx="94">
                  <c:v>2.8753375722454584E-3</c:v>
                </c:pt>
                <c:pt idx="95">
                  <c:v>2.9139144273546691E-3</c:v>
                </c:pt>
                <c:pt idx="96">
                  <c:v>2.9296077048082125E-3</c:v>
                </c:pt>
                <c:pt idx="97">
                  <c:v>2.9453942226558283E-3</c:v>
                </c:pt>
                <c:pt idx="98">
                  <c:v>2.9777532465802281E-3</c:v>
                </c:pt>
                <c:pt idx="99">
                  <c:v>2.9855177595444222E-3</c:v>
                </c:pt>
                <c:pt idx="100">
                  <c:v>3.0341364798792646E-3</c:v>
                </c:pt>
                <c:pt idx="101">
                  <c:v>3.0505292081714755E-3</c:v>
                </c:pt>
                <c:pt idx="102">
                  <c:v>3.0841180010134717E-3</c:v>
                </c:pt>
                <c:pt idx="103">
                  <c:v>3.0921769614708494E-3</c:v>
                </c:pt>
                <c:pt idx="104">
                  <c:v>3.1002668631029085E-3</c:v>
                </c:pt>
                <c:pt idx="105">
                  <c:v>3.1678891814542502E-3</c:v>
                </c:pt>
                <c:pt idx="106">
                  <c:v>3.1678891814542502E-3</c:v>
                </c:pt>
                <c:pt idx="107">
                  <c:v>3.2027855031824264E-3</c:v>
                </c:pt>
                <c:pt idx="108">
                  <c:v>3.2111697953296492E-3</c:v>
                </c:pt>
                <c:pt idx="109">
                  <c:v>3.2195850182990772E-3</c:v>
                </c:pt>
                <c:pt idx="110">
                  <c:v>3.2721045305015009E-3</c:v>
                </c:pt>
                <c:pt idx="111">
                  <c:v>3.2897813936669869E-3</c:v>
                </c:pt>
                <c:pt idx="112">
                  <c:v>3.3258365984399E-3</c:v>
                </c:pt>
                <c:pt idx="113">
                  <c:v>3.3345403486179093E-3</c:v>
                </c:pt>
                <c:pt idx="114">
                  <c:v>3.3432746442857608E-3</c:v>
                </c:pt>
                <c:pt idx="115">
                  <c:v>3.4066470833760132E-3</c:v>
                </c:pt>
                <c:pt idx="116">
                  <c:v>3.4155494092199283E-3</c:v>
                </c:pt>
                <c:pt idx="117">
                  <c:v>3.4523427160116815E-3</c:v>
                </c:pt>
                <c:pt idx="118">
                  <c:v>3.4613310322026414E-3</c:v>
                </c:pt>
                <c:pt idx="119">
                  <c:v>3.470347261705239E-3</c:v>
                </c:pt>
                <c:pt idx="120">
                  <c:v>3.5162198446796467E-3</c:v>
                </c:pt>
                <c:pt idx="121">
                  <c:v>3.5346901052912827E-3</c:v>
                </c:pt>
                <c:pt idx="122">
                  <c:v>3.5531928608110164E-3</c:v>
                </c:pt>
                <c:pt idx="123">
                  <c:v>3.5903926687530507E-3</c:v>
                </c:pt>
                <c:pt idx="124">
                  <c:v>3.5996166255739788E-3</c:v>
                </c:pt>
                <c:pt idx="125">
                  <c:v>3.6460689761375065E-3</c:v>
                </c:pt>
                <c:pt idx="126">
                  <c:v>3.664691649255758E-3</c:v>
                </c:pt>
                <c:pt idx="127">
                  <c:v>3.7205760301789459E-3</c:v>
                </c:pt>
                <c:pt idx="128">
                  <c:v>3.7205760301789459E-3</c:v>
                </c:pt>
                <c:pt idx="129">
                  <c:v>3.7298964399195573E-3</c:v>
                </c:pt>
                <c:pt idx="130">
                  <c:v>3.7764596224096891E-3</c:v>
                </c:pt>
                <c:pt idx="131">
                  <c:v>3.7950601780254445E-3</c:v>
                </c:pt>
                <c:pt idx="132">
                  <c:v>3.8136467665657037E-3</c:v>
                </c:pt>
                <c:pt idx="133">
                  <c:v>3.8507469144180573E-3</c:v>
                </c:pt>
                <c:pt idx="134">
                  <c:v>3.8600372504347543E-3</c:v>
                </c:pt>
                <c:pt idx="135">
                  <c:v>3.9063702009123347E-3</c:v>
                </c:pt>
                <c:pt idx="136">
                  <c:v>3.9248729856540265E-3</c:v>
                </c:pt>
                <c:pt idx="137">
                  <c:v>3.9802362431880477E-3</c:v>
                </c:pt>
                <c:pt idx="138">
                  <c:v>3.9987165458107987E-3</c:v>
                </c:pt>
                <c:pt idx="139">
                  <c:v>3.9987165458107987E-3</c:v>
                </c:pt>
                <c:pt idx="140">
                  <c:v>4.0447877714790536E-3</c:v>
                </c:pt>
                <c:pt idx="141">
                  <c:v>4.0907131618248809E-3</c:v>
                </c:pt>
                <c:pt idx="142">
                  <c:v>4.0999126100104248E-3</c:v>
                </c:pt>
                <c:pt idx="143">
                  <c:v>4.1091071906185217E-3</c:v>
                </c:pt>
                <c:pt idx="144">
                  <c:v>4.1182969030917694E-3</c:v>
                </c:pt>
                <c:pt idx="145">
                  <c:v>4.1732820940469789E-3</c:v>
                </c:pt>
                <c:pt idx="146">
                  <c:v>4.191582555869048E-3</c:v>
                </c:pt>
                <c:pt idx="147">
                  <c:v>4.2281165795866509E-3</c:v>
                </c:pt>
                <c:pt idx="148">
                  <c:v>4.2372607940777129E-3</c:v>
                </c:pt>
                <c:pt idx="149">
                  <c:v>4.2464001349153888E-3</c:v>
                </c:pt>
                <c:pt idx="150">
                  <c:v>4.3010920029485167E-3</c:v>
                </c:pt>
                <c:pt idx="151">
                  <c:v>4.3192946895426725E-3</c:v>
                </c:pt>
                <c:pt idx="152">
                  <c:v>4.3647059378289464E-3</c:v>
                </c:pt>
                <c:pt idx="153">
                  <c:v>4.3737974226119233E-3</c:v>
                </c:pt>
                <c:pt idx="154">
                  <c:v>4.3828840280815684E-3</c:v>
                </c:pt>
                <c:pt idx="155">
                  <c:v>4.4282174755643439E-3</c:v>
                </c:pt>
                <c:pt idx="156">
                  <c:v>4.4463223837047788E-3</c:v>
                </c:pt>
                <c:pt idx="157">
                  <c:v>4.4824714487487231E-3</c:v>
                </c:pt>
                <c:pt idx="158">
                  <c:v>4.4915148146626449E-3</c:v>
                </c:pt>
                <c:pt idx="159">
                  <c:v>4.5726656158752831E-3</c:v>
                </c:pt>
                <c:pt idx="160">
                  <c:v>4.5816703647938439E-3</c:v>
                </c:pt>
                <c:pt idx="161">
                  <c:v>4.5906702253118263E-3</c:v>
                </c:pt>
                <c:pt idx="162">
                  <c:v>4.6804150220546327E-3</c:v>
                </c:pt>
                <c:pt idx="163">
                  <c:v>4.6983243636927203E-3</c:v>
                </c:pt>
                <c:pt idx="164">
                  <c:v>4.734088731743343E-3</c:v>
                </c:pt>
                <c:pt idx="165">
                  <c:v>4.7430310988300084E-3</c:v>
                </c:pt>
                <c:pt idx="166">
                  <c:v>4.7519685712152458E-3</c:v>
                </c:pt>
                <c:pt idx="167">
                  <c:v>4.8054870512938318E-3</c:v>
                </c:pt>
                <c:pt idx="168">
                  <c:v>4.8232986049168147E-3</c:v>
                </c:pt>
                <c:pt idx="169">
                  <c:v>4.8677519171668642E-3</c:v>
                </c:pt>
                <c:pt idx="170">
                  <c:v>4.8766414223817963E-3</c:v>
                </c:pt>
                <c:pt idx="171">
                  <c:v>4.8855260287355984E-3</c:v>
                </c:pt>
                <c:pt idx="172">
                  <c:v>4.9476277941058969E-3</c:v>
                </c:pt>
                <c:pt idx="173">
                  <c:v>4.9476277941058969E-3</c:v>
                </c:pt>
                <c:pt idx="174">
                  <c:v>4.9831669929281926E-3</c:v>
                </c:pt>
                <c:pt idx="175">
                  <c:v>4.9920144251464071E-3</c:v>
                </c:pt>
                <c:pt idx="176">
                  <c:v>5.0008573533024247E-3</c:v>
                </c:pt>
                <c:pt idx="177">
                  <c:v>5.0541943398047144E-3</c:v>
                </c:pt>
                <c:pt idx="178">
                  <c:v>5.07201447952727E-3</c:v>
                </c:pt>
                <c:pt idx="179">
                  <c:v>5.1079713178828461E-3</c:v>
                </c:pt>
                <c:pt idx="180">
                  <c:v>5.1168115848201912E-3</c:v>
                </c:pt>
                <c:pt idx="181">
                  <c:v>5.125650146616919E-3</c:v>
                </c:pt>
                <c:pt idx="182">
                  <c:v>5.1612851462974185E-3</c:v>
                </c:pt>
                <c:pt idx="183">
                  <c:v>5.1792921845386156E-3</c:v>
                </c:pt>
                <c:pt idx="184">
                  <c:v>5.1973485499318319E-3</c:v>
                </c:pt>
                <c:pt idx="185">
                  <c:v>5.2154581988378221E-3</c:v>
                </c:pt>
                <c:pt idx="186">
                  <c:v>5.2522972996062577E-3</c:v>
                </c:pt>
                <c:pt idx="187">
                  <c:v>5.2885087578024735E-3</c:v>
                </c:pt>
                <c:pt idx="188">
                  <c:v>5.3069441706318872E-3</c:v>
                </c:pt>
                <c:pt idx="189">
                  <c:v>5.3254566056898951E-3</c:v>
                </c:pt>
                <c:pt idx="190">
                  <c:v>5.3440500195081524E-3</c:v>
                </c:pt>
                <c:pt idx="191">
                  <c:v>5.3820683422122597E-3</c:v>
                </c:pt>
                <c:pt idx="192">
                  <c:v>5.4383695912637846E-3</c:v>
                </c:pt>
                <c:pt idx="193">
                  <c:v>5.4383695912637846E-3</c:v>
                </c:pt>
                <c:pt idx="194">
                  <c:v>5.4575273507777343E-3</c:v>
                </c:pt>
                <c:pt idx="195">
                  <c:v>5.4767858730525778E-3</c:v>
                </c:pt>
                <c:pt idx="196">
                  <c:v>5.516193384464246E-3</c:v>
                </c:pt>
                <c:pt idx="197">
                  <c:v>5.5548275991878287E-3</c:v>
                </c:pt>
                <c:pt idx="198">
                  <c:v>5.574589942356642E-3</c:v>
                </c:pt>
                <c:pt idx="199">
                  <c:v>5.5944530511337267E-3</c:v>
                </c:pt>
                <c:pt idx="200">
                  <c:v>5.6558655819862547E-3</c:v>
                </c:pt>
                <c:pt idx="201">
                  <c:v>5.6656692950760035E-3</c:v>
                </c:pt>
                <c:pt idx="202">
                  <c:v>5.7163422370268011E-3</c:v>
                </c:pt>
                <c:pt idx="203">
                  <c:v>5.7369113738154681E-3</c:v>
                </c:pt>
                <c:pt idx="204">
                  <c:v>5.7789819984418759E-3</c:v>
                </c:pt>
                <c:pt idx="205">
                  <c:v>5.7890860862727656E-3</c:v>
                </c:pt>
                <c:pt idx="206">
                  <c:v>5.799223437076965E-3</c:v>
                </c:pt>
                <c:pt idx="207">
                  <c:v>5.8624424910455157E-3</c:v>
                </c:pt>
                <c:pt idx="208">
                  <c:v>5.8837170650782866E-3</c:v>
                </c:pt>
                <c:pt idx="209">
                  <c:v>5.9272034008954356E-3</c:v>
                </c:pt>
                <c:pt idx="210">
                  <c:v>5.9376578099365473E-3</c:v>
                </c:pt>
                <c:pt idx="211">
                  <c:v>5.9481454630601564E-3</c:v>
                </c:pt>
                <c:pt idx="212">
                  <c:v>6.013480886616674E-3</c:v>
                </c:pt>
                <c:pt idx="213">
                  <c:v>6.0354609250125001E-3</c:v>
                </c:pt>
                <c:pt idx="214">
                  <c:v>6.0803633155566547E-3</c:v>
                </c:pt>
                <c:pt idx="215">
                  <c:v>6.0911679155212228E-3</c:v>
                </c:pt>
                <c:pt idx="216">
                  <c:v>6.1020057398400171E-3</c:v>
                </c:pt>
                <c:pt idx="217">
                  <c:v>6.1694576162701371E-3</c:v>
                </c:pt>
                <c:pt idx="218">
                  <c:v>6.1921431470478962E-3</c:v>
                </c:pt>
                <c:pt idx="219">
                  <c:v>6.2384619502641285E-3</c:v>
                </c:pt>
                <c:pt idx="220">
                  <c:v>6.249616605030206E-3</c:v>
                </c:pt>
                <c:pt idx="221">
                  <c:v>6.3537639309111634E-3</c:v>
                </c:pt>
                <c:pt idx="222">
                  <c:v>6.3651849339665389E-3</c:v>
                </c:pt>
                <c:pt idx="223">
                  <c:v>6.3766391230794086E-3</c:v>
                </c:pt>
                <c:pt idx="224">
                  <c:v>6.4367483349844767E-3</c:v>
                </c:pt>
                <c:pt idx="225">
                  <c:v>6.4839019356357497E-3</c:v>
                </c:pt>
                <c:pt idx="226">
                  <c:v>6.507947707009798E-3</c:v>
                </c:pt>
                <c:pt idx="227">
                  <c:v>6.5320942701374562E-3</c:v>
                </c:pt>
                <c:pt idx="228">
                  <c:v>6.5813305762937868E-3</c:v>
                </c:pt>
                <c:pt idx="229">
                  <c:v>6.5932180677578008E-3</c:v>
                </c:pt>
                <c:pt idx="230">
                  <c:v>6.6543389834521349E-3</c:v>
                </c:pt>
                <c:pt idx="231">
                  <c:v>6.6790903099578358E-3</c:v>
                </c:pt>
                <c:pt idx="232">
                  <c:v>6.7039424325257002E-3</c:v>
                </c:pt>
                <c:pt idx="233">
                  <c:v>6.7545962945492199E-3</c:v>
                </c:pt>
                <c:pt idx="234">
                  <c:v>6.7668333720018589E-3</c:v>
                </c:pt>
                <c:pt idx="235">
                  <c:v>6.8297095457294787E-3</c:v>
                </c:pt>
                <c:pt idx="236">
                  <c:v>6.855153484261578E-3</c:v>
                </c:pt>
                <c:pt idx="237">
                  <c:v>6.8806859324039849E-3</c:v>
                </c:pt>
                <c:pt idx="238">
                  <c:v>6.9325818897464364E-3</c:v>
                </c:pt>
                <c:pt idx="239">
                  <c:v>6.9451613115859463E-3</c:v>
                </c:pt>
                <c:pt idx="240">
                  <c:v>7.0095324425158978E-3</c:v>
                </c:pt>
                <c:pt idx="241">
                  <c:v>7.0355099229999496E-3</c:v>
                </c:pt>
                <c:pt idx="242">
                  <c:v>7.0615472376749366E-3</c:v>
                </c:pt>
                <c:pt idx="243">
                  <c:v>7.1274653959011152E-3</c:v>
                </c:pt>
                <c:pt idx="244">
                  <c:v>7.140352512575443E-3</c:v>
                </c:pt>
                <c:pt idx="245">
                  <c:v>7.2320997480010687E-3</c:v>
                </c:pt>
                <c:pt idx="246">
                  <c:v>7.2850300622239288E-3</c:v>
                </c:pt>
                <c:pt idx="247">
                  <c:v>7.2981022820051145E-3</c:v>
                </c:pt>
                <c:pt idx="248">
                  <c:v>7.3111959784824994E-3</c:v>
                </c:pt>
                <c:pt idx="249">
                  <c:v>7.390450131761349E-3</c:v>
                </c:pt>
                <c:pt idx="250">
                  <c:v>7.4168847738314931E-3</c:v>
                </c:pt>
                <c:pt idx="251">
                  <c:v>7.4698272128555362E-3</c:v>
                </c:pt>
                <c:pt idx="252">
                  <c:v>7.4830023001315471E-3</c:v>
                </c:pt>
                <c:pt idx="253">
                  <c:v>7.4961829627938304E-3</c:v>
                </c:pt>
                <c:pt idx="254">
                  <c:v>7.5753892786973292E-3</c:v>
                </c:pt>
                <c:pt idx="255">
                  <c:v>7.6017531244618811E-3</c:v>
                </c:pt>
                <c:pt idx="256">
                  <c:v>7.6544590097540133E-3</c:v>
                </c:pt>
                <c:pt idx="257">
                  <c:v>7.6675894909089548E-3</c:v>
                </c:pt>
                <c:pt idx="258">
                  <c:v>7.6807120382150007E-3</c:v>
                </c:pt>
                <c:pt idx="259">
                  <c:v>7.7594720135024196E-3</c:v>
                </c:pt>
                <c:pt idx="260">
                  <c:v>7.7856811293503508E-3</c:v>
                </c:pt>
                <c:pt idx="261">
                  <c:v>7.8380854491485775E-3</c:v>
                </c:pt>
                <c:pt idx="262">
                  <c:v>7.8511346201767807E-3</c:v>
                </c:pt>
                <c:pt idx="263">
                  <c:v>7.8641758470489719E-3</c:v>
                </c:pt>
                <c:pt idx="264">
                  <c:v>7.9554700202129069E-3</c:v>
                </c:pt>
                <c:pt idx="265">
                  <c:v>7.9815127697244748E-3</c:v>
                </c:pt>
                <c:pt idx="266">
                  <c:v>8.0466180936269258E-3</c:v>
                </c:pt>
                <c:pt idx="267">
                  <c:v>8.059574249186241E-3</c:v>
                </c:pt>
                <c:pt idx="268">
                  <c:v>8.1113949036284438E-3</c:v>
                </c:pt>
                <c:pt idx="269">
                  <c:v>8.137305006672868E-3</c:v>
                </c:pt>
                <c:pt idx="270">
                  <c:v>8.1631930014713916E-3</c:v>
                </c:pt>
                <c:pt idx="271">
                  <c:v>8.2149755626237386E-3</c:v>
                </c:pt>
                <c:pt idx="272">
                  <c:v>8.2278539312539579E-3</c:v>
                </c:pt>
                <c:pt idx="273">
                  <c:v>8.292301346744857E-3</c:v>
                </c:pt>
                <c:pt idx="274">
                  <c:v>8.3180566890543872E-3</c:v>
                </c:pt>
                <c:pt idx="275">
                  <c:v>8.3437899221214806E-3</c:v>
                </c:pt>
                <c:pt idx="276">
                  <c:v>8.3952712705995247E-3</c:v>
                </c:pt>
                <c:pt idx="277">
                  <c:v>8.4080681047477551E-3</c:v>
                </c:pt>
                <c:pt idx="278">
                  <c:v>8.4721244437604426E-3</c:v>
                </c:pt>
                <c:pt idx="279">
                  <c:v>8.4977250183593256E-3</c:v>
                </c:pt>
                <c:pt idx="280">
                  <c:v>8.5233034827139065E-3</c:v>
                </c:pt>
                <c:pt idx="281">
                  <c:v>8.5744837334567059E-3</c:v>
                </c:pt>
                <c:pt idx="282">
                  <c:v>8.5871989650913999E-3</c:v>
                </c:pt>
                <c:pt idx="283">
                  <c:v>8.6508641459301927E-3</c:v>
                </c:pt>
                <c:pt idx="284">
                  <c:v>8.676309945871985E-3</c:v>
                </c:pt>
                <c:pt idx="285">
                  <c:v>8.7017336345862617E-3</c:v>
                </c:pt>
                <c:pt idx="286">
                  <c:v>8.7143862274318869E-3</c:v>
                </c:pt>
                <c:pt idx="287">
                  <c:v>8.7652464621005184E-3</c:v>
                </c:pt>
                <c:pt idx="288">
                  <c:v>8.8665014617318426E-3</c:v>
                </c:pt>
                <c:pt idx="289">
                  <c:v>8.8665014617318426E-3</c:v>
                </c:pt>
                <c:pt idx="290">
                  <c:v>8.9170988868750561E-3</c:v>
                </c:pt>
                <c:pt idx="291">
                  <c:v>8.9296587168583019E-3</c:v>
                </c:pt>
                <c:pt idx="292">
                  <c:v>8.9422105459053252E-3</c:v>
                </c:pt>
                <c:pt idx="293">
                  <c:v>9.0177206267050281E-3</c:v>
                </c:pt>
                <c:pt idx="294">
                  <c:v>9.0428464299933016E-3</c:v>
                </c:pt>
                <c:pt idx="295">
                  <c:v>9.093143092890282E-3</c:v>
                </c:pt>
                <c:pt idx="296">
                  <c:v>9.1056211346948746E-3</c:v>
                </c:pt>
                <c:pt idx="297">
                  <c:v>9.1180911669222573E-3</c:v>
                </c:pt>
                <c:pt idx="298">
                  <c:v>9.1931368914291885E-3</c:v>
                </c:pt>
                <c:pt idx="299">
                  <c:v>9.2181079072829793E-3</c:v>
                </c:pt>
                <c:pt idx="300">
                  <c:v>9.2681039101449869E-3</c:v>
                </c:pt>
                <c:pt idx="301">
                  <c:v>9.2805001020071498E-3</c:v>
                </c:pt>
                <c:pt idx="302">
                  <c:v>9.292888275887496E-3</c:v>
                </c:pt>
                <c:pt idx="303">
                  <c:v>9.3674696230784723E-3</c:v>
                </c:pt>
                <c:pt idx="304">
                  <c:v>9.3922858444969275E-3</c:v>
                </c:pt>
                <c:pt idx="305">
                  <c:v>9.4544218623629338E-3</c:v>
                </c:pt>
                <c:pt idx="306">
                  <c:v>9.4667324644668524E-3</c:v>
                </c:pt>
                <c:pt idx="307">
                  <c:v>9.4914615302195554E-3</c:v>
                </c:pt>
                <c:pt idx="308">
                  <c:v>9.5407187728067892E-3</c:v>
                </c:pt>
                <c:pt idx="309">
                  <c:v>9.5653801928406324E-3</c:v>
                </c:pt>
                <c:pt idx="310">
                  <c:v>9.6271429259603743E-3</c:v>
                </c:pt>
                <c:pt idx="311">
                  <c:v>9.6393715591013389E-3</c:v>
                </c:pt>
                <c:pt idx="312">
                  <c:v>9.6515921576964536E-3</c:v>
                </c:pt>
                <c:pt idx="313">
                  <c:v>9.7128842920852203E-3</c:v>
                </c:pt>
                <c:pt idx="314">
                  <c:v>9.7373909038238476E-3</c:v>
                </c:pt>
                <c:pt idx="315">
                  <c:v>9.7864855092117346E-3</c:v>
                </c:pt>
                <c:pt idx="316">
                  <c:v>9.798635796658961E-3</c:v>
                </c:pt>
                <c:pt idx="317">
                  <c:v>9.8107780422829194E-3</c:v>
                </c:pt>
                <c:pt idx="318">
                  <c:v>9.8839661326787977E-3</c:v>
                </c:pt>
                <c:pt idx="319">
                  <c:v>9.908317929255445E-3</c:v>
                </c:pt>
                <c:pt idx="320">
                  <c:v>9.9571122529082158E-3</c:v>
                </c:pt>
                <c:pt idx="321">
                  <c:v>9.9691804592960676E-3</c:v>
                </c:pt>
                <c:pt idx="322">
                  <c:v>9.9812406163751928E-3</c:v>
                </c:pt>
                <c:pt idx="323">
                  <c:v>1.0053964246656832E-2</c:v>
                </c:pt>
                <c:pt idx="324">
                  <c:v>1.0078161221251148E-2</c:v>
                </c:pt>
                <c:pt idx="325">
                  <c:v>1.0126655350198148E-2</c:v>
                </c:pt>
                <c:pt idx="326">
                  <c:v>1.0138641421688632E-2</c:v>
                </c:pt>
                <c:pt idx="327">
                  <c:v>1.0150619436601463E-2</c:v>
                </c:pt>
                <c:pt idx="328">
                  <c:v>1.0246920732228373E-2</c:v>
                </c:pt>
                <c:pt idx="329">
                  <c:v>1.0258843724074929E-2</c:v>
                </c:pt>
                <c:pt idx="330">
                  <c:v>1.030701863482586E-2</c:v>
                </c:pt>
                <c:pt idx="331">
                  <c:v>1.0318914455508076E-2</c:v>
                </c:pt>
                <c:pt idx="332">
                  <c:v>1.0402561616472461E-2</c:v>
                </c:pt>
                <c:pt idx="333">
                  <c:v>1.0402561616472461E-2</c:v>
                </c:pt>
                <c:pt idx="334">
                  <c:v>1.042643717657743E-2</c:v>
                </c:pt>
                <c:pt idx="335">
                  <c:v>1.04863127391623E-2</c:v>
                </c:pt>
                <c:pt idx="336">
                  <c:v>1.0498122633201823E-2</c:v>
                </c:pt>
                <c:pt idx="337">
                  <c:v>1.0545483160781188E-2</c:v>
                </c:pt>
                <c:pt idx="338">
                  <c:v>1.0569225993433129E-2</c:v>
                </c:pt>
                <c:pt idx="339">
                  <c:v>1.0592946704383266E-2</c:v>
                </c:pt>
                <c:pt idx="340">
                  <c:v>1.0640521618877352E-2</c:v>
                </c:pt>
                <c:pt idx="341">
                  <c:v>1.0652252901066495E-2</c:v>
                </c:pt>
                <c:pt idx="342">
                  <c:v>1.0711218428999913E-2</c:v>
                </c:pt>
                <c:pt idx="343">
                  <c:v>1.0734806406981434E-2</c:v>
                </c:pt>
                <c:pt idx="344">
                  <c:v>1.0758372262341886E-2</c:v>
                </c:pt>
                <c:pt idx="345">
                  <c:v>1.0805647293346266E-2</c:v>
                </c:pt>
                <c:pt idx="346">
                  <c:v>1.081729623433236E-2</c:v>
                </c:pt>
                <c:pt idx="347">
                  <c:v>1.0875869695309071E-2</c:v>
                </c:pt>
                <c:pt idx="348">
                  <c:v>1.0899302812222622E-2</c:v>
                </c:pt>
                <c:pt idx="349">
                  <c:v>1.0922713805606499E-2</c:v>
                </c:pt>
                <c:pt idx="350">
                  <c:v>1.096968902566664E-2</c:v>
                </c:pt>
                <c:pt idx="351">
                  <c:v>1.0981255579498941E-2</c:v>
                </c:pt>
                <c:pt idx="352">
                  <c:v>1.1051192025797615E-2</c:v>
                </c:pt>
                <c:pt idx="353">
                  <c:v>1.1074459927653189E-2</c:v>
                </c:pt>
                <c:pt idx="354">
                  <c:v>1.1121154550638548E-2</c:v>
                </c:pt>
                <c:pt idx="355">
                  <c:v>1.1132646768393928E-2</c:v>
                </c:pt>
                <c:pt idx="356">
                  <c:v>1.1144130890628795E-2</c:v>
                </c:pt>
                <c:pt idx="357">
                  <c:v>1.1271692875690697E-2</c:v>
                </c:pt>
                <c:pt idx="358">
                  <c:v>1.1271692875690697E-2</c:v>
                </c:pt>
                <c:pt idx="359">
                  <c:v>1.1283110725466082E-2</c:v>
                </c:pt>
                <c:pt idx="360">
                  <c:v>1.1294520474403325E-2</c:v>
                </c:pt>
                <c:pt idx="361">
                  <c:v>1.1305922122091321E-2</c:v>
                </c:pt>
                <c:pt idx="362">
                  <c:v>1.1374929348922171E-2</c:v>
                </c:pt>
                <c:pt idx="363">
                  <c:v>1.1397887507251434E-2</c:v>
                </c:pt>
                <c:pt idx="364">
                  <c:v>1.1443982858440969E-2</c:v>
                </c:pt>
                <c:pt idx="365">
                  <c:v>1.1455310096879778E-2</c:v>
                </c:pt>
                <c:pt idx="366">
                  <c:v>1.1466629228555044E-2</c:v>
                </c:pt>
                <c:pt idx="367">
                  <c:v>1.1546703131859737E-2</c:v>
                </c:pt>
                <c:pt idx="368">
                  <c:v>1.1557975093481332E-2</c:v>
                </c:pt>
                <c:pt idx="369">
                  <c:v>1.1603770901579774E-2</c:v>
                </c:pt>
                <c:pt idx="370">
                  <c:v>1.1615015589320488E-2</c:v>
                </c:pt>
                <c:pt idx="371">
                  <c:v>1.162625216499533E-2</c:v>
                </c:pt>
                <c:pt idx="372">
                  <c:v>1.1682864445935692E-2</c:v>
                </c:pt>
                <c:pt idx="373">
                  <c:v>1.1705523163046294E-2</c:v>
                </c:pt>
                <c:pt idx="374">
                  <c:v>1.1728159752169454E-2</c:v>
                </c:pt>
                <c:pt idx="375">
                  <c:v>1.1773636905537399E-2</c:v>
                </c:pt>
                <c:pt idx="376">
                  <c:v>1.1784790886684089E-2</c:v>
                </c:pt>
                <c:pt idx="377">
                  <c:v>1.1841010773539828E-2</c:v>
                </c:pt>
                <c:pt idx="378">
                  <c:v>1.1863514592089786E-2</c:v>
                </c:pt>
                <c:pt idx="379">
                  <c:v>1.1885996281778333E-2</c:v>
                </c:pt>
                <c:pt idx="380">
                  <c:v>1.1931173999652211E-2</c:v>
                </c:pt>
                <c:pt idx="381">
                  <c:v>1.1998072792892778E-2</c:v>
                </c:pt>
                <c:pt idx="382">
                  <c:v>1.1998072792892778E-2</c:v>
                </c:pt>
                <c:pt idx="383">
                  <c:v>1.2020421706782969E-2</c:v>
                </c:pt>
                <c:pt idx="384">
                  <c:v>1.2042748490940447E-2</c:v>
                </c:pt>
                <c:pt idx="385">
                  <c:v>1.208762682610387E-2</c:v>
                </c:pt>
                <c:pt idx="386">
                  <c:v>1.2098615508439227E-2</c:v>
                </c:pt>
                <c:pt idx="387">
                  <c:v>1.2154050461409938E-2</c:v>
                </c:pt>
                <c:pt idx="388">
                  <c:v>1.217624446457588E-2</c:v>
                </c:pt>
                <c:pt idx="389">
                  <c:v>1.2198416337148466E-2</c:v>
                </c:pt>
                <c:pt idx="390">
                  <c:v>1.2276296699399549E-2</c:v>
                </c:pt>
                <c:pt idx="391">
                  <c:v>1.2276296699399549E-2</c:v>
                </c:pt>
                <c:pt idx="392">
                  <c:v>1.2308943736791811E-2</c:v>
                </c:pt>
                <c:pt idx="393">
                  <c:v>1.2330982823219649E-2</c:v>
                </c:pt>
                <c:pt idx="394">
                  <c:v>1.235299977819615E-2</c:v>
                </c:pt>
                <c:pt idx="395">
                  <c:v>1.2408412006341282E-2</c:v>
                </c:pt>
                <c:pt idx="396">
                  <c:v>1.241923156738739E-2</c:v>
                </c:pt>
                <c:pt idx="397">
                  <c:v>1.2473857098585381E-2</c:v>
                </c:pt>
                <c:pt idx="398">
                  <c:v>1.2495730954223136E-2</c:v>
                </c:pt>
                <c:pt idx="399">
                  <c:v>1.2539730627784837E-2</c:v>
                </c:pt>
                <c:pt idx="400">
                  <c:v>1.255047924854813E-2</c:v>
                </c:pt>
                <c:pt idx="401">
                  <c:v>1.2561219729812662E-2</c:v>
                </c:pt>
                <c:pt idx="402">
                  <c:v>1.2626509315798021E-2</c:v>
                </c:pt>
                <c:pt idx="403">
                  <c:v>1.2648228246186374E-2</c:v>
                </c:pt>
                <c:pt idx="404">
                  <c:v>1.2702920641649443E-2</c:v>
                </c:pt>
                <c:pt idx="405">
                  <c:v>1.2713582784777765E-2</c:v>
                </c:pt>
                <c:pt idx="406">
                  <c:v>1.2724236784205367E-2</c:v>
                </c:pt>
                <c:pt idx="407">
                  <c:v>1.2778077037995581E-2</c:v>
                </c:pt>
                <c:pt idx="408">
                  <c:v>1.2799641037051654E-2</c:v>
                </c:pt>
                <c:pt idx="409">
                  <c:v>1.2843042361785352E-2</c:v>
                </c:pt>
                <c:pt idx="410">
                  <c:v>1.2853625370637944E-2</c:v>
                </c:pt>
                <c:pt idx="411">
                  <c:v>1.2864200232481235E-2</c:v>
                </c:pt>
                <c:pt idx="412">
                  <c:v>1.2993071490655954E-2</c:v>
                </c:pt>
                <c:pt idx="413">
                  <c:v>1.3003571651829526E-2</c:v>
                </c:pt>
                <c:pt idx="414">
                  <c:v>1.3024904013184402E-2</c:v>
                </c:pt>
                <c:pt idx="415">
                  <c:v>1.3099212946090941E-2</c:v>
                </c:pt>
                <c:pt idx="416">
                  <c:v>1.3142016067664904E-2</c:v>
                </c:pt>
                <c:pt idx="417">
                  <c:v>1.3152433355191062E-2</c:v>
                </c:pt>
                <c:pt idx="418">
                  <c:v>1.3162842489000395E-2</c:v>
                </c:pt>
                <c:pt idx="419">
                  <c:v>1.3226272811342065E-2</c:v>
                </c:pt>
                <c:pt idx="420">
                  <c:v>1.3247371980321773E-2</c:v>
                </c:pt>
                <c:pt idx="421">
                  <c:v>1.3289876048387132E-2</c:v>
                </c:pt>
                <c:pt idx="422">
                  <c:v>1.3300210437661997E-2</c:v>
                </c:pt>
                <c:pt idx="423">
                  <c:v>1.3310536670161641E-2</c:v>
                </c:pt>
                <c:pt idx="424">
                  <c:v>1.3394446345570875E-2</c:v>
                </c:pt>
                <c:pt idx="425">
                  <c:v>1.3394446345570875E-2</c:v>
                </c:pt>
                <c:pt idx="426">
                  <c:v>1.3447282969850845E-2</c:v>
                </c:pt>
                <c:pt idx="427">
                  <c:v>1.3457530749849476E-2</c:v>
                </c:pt>
                <c:pt idx="428">
                  <c:v>1.3467770369886278E-2</c:v>
                </c:pt>
                <c:pt idx="429">
                  <c:v>1.3519646748000862E-2</c:v>
                </c:pt>
                <c:pt idx="430">
                  <c:v>1.3540436000627343E-2</c:v>
                </c:pt>
                <c:pt idx="431">
                  <c:v>1.3582342044879556E-2</c:v>
                </c:pt>
                <c:pt idx="432">
                  <c:v>1.3592510569273575E-2</c:v>
                </c:pt>
                <c:pt idx="433">
                  <c:v>1.3602670931361378E-2</c:v>
                </c:pt>
                <c:pt idx="434">
                  <c:v>1.3643644165912528E-2</c:v>
                </c:pt>
                <c:pt idx="435">
                  <c:v>1.3653768188627766E-2</c:v>
                </c:pt>
                <c:pt idx="436">
                  <c:v>1.367441119441537E-2</c:v>
                </c:pt>
                <c:pt idx="437">
                  <c:v>1.369503206063565E-2</c:v>
                </c:pt>
                <c:pt idx="438">
                  <c:v>1.3715630787177271E-2</c:v>
                </c:pt>
                <c:pt idx="439">
                  <c:v>1.3777294127676714E-2</c:v>
                </c:pt>
                <c:pt idx="440">
                  <c:v>1.3797804294447387E-2</c:v>
                </c:pt>
                <c:pt idx="441">
                  <c:v>1.3818292321011252E-2</c:v>
                </c:pt>
                <c:pt idx="442">
                  <c:v>1.3838758207259818E-2</c:v>
                </c:pt>
                <c:pt idx="443">
                  <c:v>1.3859201953093172E-2</c:v>
                </c:pt>
                <c:pt idx="444">
                  <c:v>1.3920400347014234E-2</c:v>
                </c:pt>
                <c:pt idx="445">
                  <c:v>1.3940755530113298E-2</c:v>
                </c:pt>
                <c:pt idx="446">
                  <c:v>1.3961088572263287E-2</c:v>
                </c:pt>
                <c:pt idx="447">
                  <c:v>1.3981399473367136E-2</c:v>
                </c:pt>
                <c:pt idx="448">
                  <c:v>1.4001688233310652E-2</c:v>
                </c:pt>
                <c:pt idx="449">
                  <c:v>1.4082621859437301E-2</c:v>
                </c:pt>
                <c:pt idx="450">
                  <c:v>1.4082621859437301E-2</c:v>
                </c:pt>
                <c:pt idx="451">
                  <c:v>1.4102799912031814E-2</c:v>
                </c:pt>
                <c:pt idx="452">
                  <c:v>1.4122955822843635E-2</c:v>
                </c:pt>
                <c:pt idx="453">
                  <c:v>1.4143089591767133E-2</c:v>
                </c:pt>
                <c:pt idx="454">
                  <c:v>1.4203358046179939E-2</c:v>
                </c:pt>
                <c:pt idx="455">
                  <c:v>1.4254112201867937E-2</c:v>
                </c:pt>
                <c:pt idx="456">
                  <c:v>1.4294523553460534E-2</c:v>
                </c:pt>
                <c:pt idx="457">
                  <c:v>1.4304277079094652E-2</c:v>
                </c:pt>
                <c:pt idx="458">
                  <c:v>1.4314022431932586E-2</c:v>
                </c:pt>
                <c:pt idx="459">
                  <c:v>1.4373733382178783E-2</c:v>
                </c:pt>
                <c:pt idx="460">
                  <c:v>1.4393592747327278E-2</c:v>
                </c:pt>
                <c:pt idx="461">
                  <c:v>1.4433705203321556E-2</c:v>
                </c:pt>
                <c:pt idx="462">
                  <c:v>1.4443375682013093E-2</c:v>
                </c:pt>
                <c:pt idx="463">
                  <c:v>1.4453037986370758E-2</c:v>
                </c:pt>
                <c:pt idx="464">
                  <c:v>1.4512283938440217E-2</c:v>
                </c:pt>
                <c:pt idx="465">
                  <c:v>1.4572265761889065E-2</c:v>
                </c:pt>
                <c:pt idx="466">
                  <c:v>1.4581857666361508E-2</c:v>
                </c:pt>
                <c:pt idx="467">
                  <c:v>1.4591441394741526E-2</c:v>
                </c:pt>
                <c:pt idx="468">
                  <c:v>1.460101694714222E-2</c:v>
                </c:pt>
                <c:pt idx="469">
                  <c:v>1.4649749471270549E-2</c:v>
                </c:pt>
                <c:pt idx="470">
                  <c:v>1.4669298828941291E-2</c:v>
                </c:pt>
                <c:pt idx="471">
                  <c:v>1.4708813517111903E-2</c:v>
                </c:pt>
                <c:pt idx="472">
                  <c:v>1.4718317865033692E-2</c:v>
                </c:pt>
                <c:pt idx="473">
                  <c:v>1.4727814036101006E-2</c:v>
                </c:pt>
                <c:pt idx="474">
                  <c:v>1.4786129942145754E-2</c:v>
                </c:pt>
                <c:pt idx="475">
                  <c:v>1.480552428783905E-2</c:v>
                </c:pt>
                <c:pt idx="476">
                  <c:v>1.4814964807165154E-2</c:v>
                </c:pt>
                <c:pt idx="477">
                  <c:v>1.4824397149349524E-2</c:v>
                </c:pt>
                <c:pt idx="478">
                  <c:v>1.483382131454317E-2</c:v>
                </c:pt>
                <c:pt idx="479">
                  <c:v>1.491154501028813E-2</c:v>
                </c:pt>
                <c:pt idx="480">
                  <c:v>1.4930794614140375E-2</c:v>
                </c:pt>
                <c:pt idx="481">
                  <c:v>1.4950022072152791E-2</c:v>
                </c:pt>
                <c:pt idx="482">
                  <c:v>1.4988919753053387E-2</c:v>
                </c:pt>
                <c:pt idx="483">
                  <c:v>1.4998249750808252E-2</c:v>
                </c:pt>
                <c:pt idx="484">
                  <c:v>1.5045827170895087E-2</c:v>
                </c:pt>
                <c:pt idx="485">
                  <c:v>1.5064921751635652E-2</c:v>
                </c:pt>
                <c:pt idx="486">
                  <c:v>1.5083994185795646E-2</c:v>
                </c:pt>
                <c:pt idx="487">
                  <c:v>1.5122592988396633E-2</c:v>
                </c:pt>
                <c:pt idx="488">
                  <c:v>1.5197963319065089E-2</c:v>
                </c:pt>
                <c:pt idx="489">
                  <c:v>1.5216880193094973E-2</c:v>
                </c:pt>
                <c:pt idx="490">
                  <c:v>1.5255176416795191E-2</c:v>
                </c:pt>
                <c:pt idx="491">
                  <c:v>1.5264340062469075E-2</c:v>
                </c:pt>
                <c:pt idx="492">
                  <c:v>1.5311125459728459E-2</c:v>
                </c:pt>
                <c:pt idx="493">
                  <c:v>1.5329906088724421E-2</c:v>
                </c:pt>
                <c:pt idx="494">
                  <c:v>1.5348663708400601E-2</c:v>
                </c:pt>
                <c:pt idx="495">
                  <c:v>1.5396260333660131E-2</c:v>
                </c:pt>
                <c:pt idx="496">
                  <c:v>1.5414938172668905E-2</c:v>
                </c:pt>
                <c:pt idx="497">
                  <c:v>1.5470293227048458E-2</c:v>
                </c:pt>
                <c:pt idx="498">
                  <c:v>1.5507974778177024E-2</c:v>
                </c:pt>
                <c:pt idx="499">
                  <c:v>1.5516976757229128E-2</c:v>
                </c:pt>
                <c:pt idx="500">
                  <c:v>1.5525970312810921E-2</c:v>
                </c:pt>
                <c:pt idx="501">
                  <c:v>1.5581432302214595E-2</c:v>
                </c:pt>
                <c:pt idx="502">
                  <c:v>1.5599871443308601E-2</c:v>
                </c:pt>
                <c:pt idx="503">
                  <c:v>1.5637224501232214E-2</c:v>
                </c:pt>
                <c:pt idx="504">
                  <c:v>1.5646138195016812E-2</c:v>
                </c:pt>
                <c:pt idx="505">
                  <c:v>1.5655043131924996E-2</c:v>
                </c:pt>
                <c:pt idx="506">
                  <c:v>1.5709994465687025E-2</c:v>
                </c:pt>
                <c:pt idx="507">
                  <c:v>1.5728262233560903E-2</c:v>
                </c:pt>
                <c:pt idx="508">
                  <c:v>1.576528154374883E-2</c:v>
                </c:pt>
                <c:pt idx="509">
                  <c:v>1.5774103856861232E-2</c:v>
                </c:pt>
                <c:pt idx="510">
                  <c:v>1.5782917130318957E-2</c:v>
                </c:pt>
                <c:pt idx="511">
                  <c:v>1.5837349414343602E-2</c:v>
                </c:pt>
                <c:pt idx="512">
                  <c:v>1.5855444038980957E-2</c:v>
                </c:pt>
                <c:pt idx="513">
                  <c:v>1.589212820479282E-2</c:v>
                </c:pt>
                <c:pt idx="514">
                  <c:v>1.5900858372197568E-2</c:v>
                </c:pt>
                <c:pt idx="515">
                  <c:v>1.5909579501161081E-2</c:v>
                </c:pt>
                <c:pt idx="516">
                  <c:v>1.5981413819066721E-2</c:v>
                </c:pt>
                <c:pt idx="517">
                  <c:v>1.5990073259661841E-2</c:v>
                </c:pt>
                <c:pt idx="518">
                  <c:v>1.6097003682860489E-2</c:v>
                </c:pt>
                <c:pt idx="519">
                  <c:v>1.6220630329745411E-2</c:v>
                </c:pt>
                <c:pt idx="520">
                  <c:v>1.6343044849511656E-2</c:v>
                </c:pt>
                <c:pt idx="521">
                  <c:v>1.646424720509021E-2</c:v>
                </c:pt>
                <c:pt idx="522">
                  <c:v>1.6627753562306263E-2</c:v>
                </c:pt>
                <c:pt idx="523">
                  <c:v>1.6711777786609032E-2</c:v>
                </c:pt>
                <c:pt idx="524">
                  <c:v>1.6829262306850359E-2</c:v>
                </c:pt>
                <c:pt idx="525">
                  <c:v>1.6945534497025672E-2</c:v>
                </c:pt>
                <c:pt idx="526">
                  <c:v>1.7060594320743441E-2</c:v>
                </c:pt>
                <c:pt idx="527">
                  <c:v>1.7174441741998909E-2</c:v>
                </c:pt>
                <c:pt idx="528">
                  <c:v>1.7287076725168965E-2</c:v>
                </c:pt>
                <c:pt idx="529">
                  <c:v>1.739849923499923E-2</c:v>
                </c:pt>
                <c:pt idx="530">
                  <c:v>1.7516171997367991E-2</c:v>
                </c:pt>
                <c:pt idx="531">
                  <c:v>1.7609593837128124E-2</c:v>
                </c:pt>
                <c:pt idx="532">
                  <c:v>1.7717460044856637E-2</c:v>
                </c:pt>
                <c:pt idx="533">
                  <c:v>1.7824113672159747E-2</c:v>
                </c:pt>
                <c:pt idx="534">
                  <c:v>1.7929554686737958E-2</c:v>
                </c:pt>
                <c:pt idx="535">
                  <c:v>1.8041570427803882E-2</c:v>
                </c:pt>
                <c:pt idx="536">
                  <c:v>1.8167577383934434E-2</c:v>
                </c:pt>
                <c:pt idx="537">
                  <c:v>1.824622616889849E-2</c:v>
                </c:pt>
                <c:pt idx="538">
                  <c:v>1.8346734895109979E-2</c:v>
                </c:pt>
                <c:pt idx="539">
                  <c:v>1.8438569463900656E-2</c:v>
                </c:pt>
                <c:pt idx="540">
                  <c:v>1.8536734144359635E-2</c:v>
                </c:pt>
                <c:pt idx="541">
                  <c:v>1.8633685996263694E-2</c:v>
                </c:pt>
                <c:pt idx="542">
                  <c:v>1.8729424990252319E-2</c:v>
                </c:pt>
                <c:pt idx="543">
                  <c:v>1.8823951097324709E-2</c:v>
                </c:pt>
                <c:pt idx="544">
                  <c:v>1.8924317273860392E-2</c:v>
                </c:pt>
                <c:pt idx="545">
                  <c:v>1.9016335726044831E-2</c:v>
                </c:pt>
                <c:pt idx="546">
                  <c:v>1.9107141163706889E-2</c:v>
                </c:pt>
                <c:pt idx="547">
                  <c:v>1.9228885077295921E-2</c:v>
                </c:pt>
                <c:pt idx="548">
                  <c:v>1.9311044425671463E-2</c:v>
                </c:pt>
                <c:pt idx="549">
                  <c:v>1.9372279107265911E-2</c:v>
                </c:pt>
                <c:pt idx="550">
                  <c:v>1.9458232206438247E-2</c:v>
                </c:pt>
                <c:pt idx="551">
                  <c:v>1.9542972152785932E-2</c:v>
                </c:pt>
                <c:pt idx="552">
                  <c:v>1.9613696578998092E-2</c:v>
                </c:pt>
                <c:pt idx="553">
                  <c:v>1.9689844045057851E-2</c:v>
                </c:pt>
                <c:pt idx="554">
                  <c:v>1.9771190990880108E-2</c:v>
                </c:pt>
                <c:pt idx="555">
                  <c:v>1.9851324830932247E-2</c:v>
                </c:pt>
                <c:pt idx="556">
                  <c:v>1.9930245542563809E-2</c:v>
                </c:pt>
                <c:pt idx="557">
                  <c:v>2.0025934162873509E-2</c:v>
                </c:pt>
                <c:pt idx="558">
                  <c:v>2.0102181318082463E-2</c:v>
                </c:pt>
                <c:pt idx="559">
                  <c:v>2.0177215118919598E-2</c:v>
                </c:pt>
                <c:pt idx="560">
                  <c:v>2.0251035541896615E-2</c:v>
                </c:pt>
                <c:pt idx="561">
                  <c:v>2.035540647503321E-2</c:v>
                </c:pt>
                <c:pt idx="562">
                  <c:v>2.0420753588464013E-2</c:v>
                </c:pt>
                <c:pt idx="563">
                  <c:v>2.0490538124508795E-2</c:v>
                </c:pt>
                <c:pt idx="564">
                  <c:v>2.056473303121642E-2</c:v>
                </c:pt>
                <c:pt idx="565">
                  <c:v>2.062727787413704E-2</c:v>
                </c:pt>
                <c:pt idx="566">
                  <c:v>2.0694638702289936E-2</c:v>
                </c:pt>
                <c:pt idx="567">
                  <c:v>2.0761594589776833E-2</c:v>
                </c:pt>
                <c:pt idx="568">
                  <c:v>2.0828257783894188E-2</c:v>
                </c:pt>
                <c:pt idx="569">
                  <c:v>2.0878664307918442E-2</c:v>
                </c:pt>
                <c:pt idx="570">
                  <c:v>2.0960724994090185E-2</c:v>
                </c:pt>
                <c:pt idx="571">
                  <c:v>2.1026529000061911E-2</c:v>
                </c:pt>
                <c:pt idx="572">
                  <c:v>2.1092046599917313E-2</c:v>
                </c:pt>
                <c:pt idx="573">
                  <c:v>2.1157277788650397E-2</c:v>
                </c:pt>
                <c:pt idx="574">
                  <c:v>2.1222222561292636E-2</c:v>
                </c:pt>
                <c:pt idx="575">
                  <c:v>2.1286880912880501E-2</c:v>
                </c:pt>
                <c:pt idx="576">
                  <c:v>2.1351252838487933E-2</c:v>
                </c:pt>
                <c:pt idx="577">
                  <c:v>2.1420525903044826E-2</c:v>
                </c:pt>
                <c:pt idx="578">
                  <c:v>2.1484308298943041E-2</c:v>
                </c:pt>
                <c:pt idx="579">
                  <c:v>2.1542650010391851E-2</c:v>
                </c:pt>
                <c:pt idx="580">
                  <c:v>2.1605876183161676E-2</c:v>
                </c:pt>
                <c:pt idx="581">
                  <c:v>2.1668815905608041E-2</c:v>
                </c:pt>
                <c:pt idx="582">
                  <c:v>2.1716148281958718E-2</c:v>
                </c:pt>
                <c:pt idx="583">
                  <c:v>2.1798923476097153E-2</c:v>
                </c:pt>
                <c:pt idx="584">
                  <c:v>2.1855916323087199E-2</c:v>
                </c:pt>
                <c:pt idx="585">
                  <c:v>2.1917710196430462E-2</c:v>
                </c:pt>
                <c:pt idx="586">
                  <c:v>2.1979217595654299E-2</c:v>
                </c:pt>
                <c:pt idx="587">
                  <c:v>2.2040438516067462E-2</c:v>
                </c:pt>
                <c:pt idx="588">
                  <c:v>2.2106376864217934E-2</c:v>
                </c:pt>
                <c:pt idx="589">
                  <c:v>2.2162020901796697E-2</c:v>
                </c:pt>
                <c:pt idx="590">
                  <c:v>2.2222382357835191E-2</c:v>
                </c:pt>
                <c:pt idx="591">
                  <c:v>2.2282457316505355E-2</c:v>
                </c:pt>
                <c:pt idx="592">
                  <c:v>2.2342245773228353E-2</c:v>
                </c:pt>
                <c:pt idx="593">
                  <c:v>2.2401747723435339E-2</c:v>
                </c:pt>
                <c:pt idx="594">
                  <c:v>2.2464496768062846E-2</c:v>
                </c:pt>
                <c:pt idx="595">
                  <c:v>2.2519892086173277E-2</c:v>
                </c:pt>
                <c:pt idx="596">
                  <c:v>2.257853448968894E-2</c:v>
                </c:pt>
                <c:pt idx="597">
                  <c:v>2.263689036866301E-2</c:v>
                </c:pt>
                <c:pt idx="598">
                  <c:v>2.2699795868139236E-2</c:v>
                </c:pt>
                <c:pt idx="599">
                  <c:v>2.2780821527917116E-2</c:v>
                </c:pt>
                <c:pt idx="600">
                  <c:v>2.2838170905953269E-2</c:v>
                </c:pt>
                <c:pt idx="601">
                  <c:v>2.28952337486675E-2</c:v>
                </c:pt>
                <c:pt idx="602">
                  <c:v>2.2960097561063569E-2</c:v>
                </c:pt>
                <c:pt idx="603">
                  <c:v>2.3008499811271427E-2</c:v>
                </c:pt>
                <c:pt idx="604">
                  <c:v>2.3050514091043719E-2</c:v>
                </c:pt>
                <c:pt idx="605">
                  <c:v>2.3106481400002439E-2</c:v>
                </c:pt>
                <c:pt idx="606">
                  <c:v>2.3170093190283403E-2</c:v>
                </c:pt>
                <c:pt idx="607">
                  <c:v>2.3217556435840083E-2</c:v>
                </c:pt>
                <c:pt idx="608">
                  <c:v>2.3286650306947571E-2</c:v>
                </c:pt>
                <c:pt idx="609">
                  <c:v>2.3341420716997463E-2</c:v>
                </c:pt>
                <c:pt idx="610">
                  <c:v>2.3395904554519065E-2</c:v>
                </c:pt>
                <c:pt idx="611">
                  <c:v>2.3450101815489788E-2</c:v>
                </c:pt>
                <c:pt idx="612">
                  <c:v>2.3499419622775797E-2</c:v>
                </c:pt>
                <c:pt idx="613">
                  <c:v>2.355306068700358E-2</c:v>
                </c:pt>
                <c:pt idx="614">
                  <c:v>2.3606415174429074E-2</c:v>
                </c:pt>
                <c:pt idx="615">
                  <c:v>2.3674593331381111E-2</c:v>
                </c:pt>
                <c:pt idx="616">
                  <c:v>2.3712266530197645E-2</c:v>
                </c:pt>
                <c:pt idx="617">
                  <c:v>2.3776748916558101E-2</c:v>
                </c:pt>
                <c:pt idx="618">
                  <c:v>2.3821474659172111E-2</c:v>
                </c:pt>
                <c:pt idx="619">
                  <c:v>2.3873393483041912E-2</c:v>
                </c:pt>
                <c:pt idx="620">
                  <c:v>2.393238514540208E-2</c:v>
                </c:pt>
                <c:pt idx="621">
                  <c:v>2.3971945949029738E-2</c:v>
                </c:pt>
                <c:pt idx="622">
                  <c:v>2.402303830204211E-2</c:v>
                </c:pt>
                <c:pt idx="623">
                  <c:v>2.407384961175385E-2</c:v>
                </c:pt>
                <c:pt idx="624">
                  <c:v>2.4124379874594482E-2</c:v>
                </c:pt>
                <c:pt idx="625">
                  <c:v>2.4179004369623745E-2</c:v>
                </c:pt>
                <c:pt idx="626">
                  <c:v>2.4228955807430452E-2</c:v>
                </c:pt>
                <c:pt idx="627">
                  <c:v>2.4278626175522559E-2</c:v>
                </c:pt>
                <c:pt idx="628">
                  <c:v>2.4328015470302944E-2</c:v>
                </c:pt>
                <c:pt idx="629">
                  <c:v>2.4377123688184798E-2</c:v>
                </c:pt>
                <c:pt idx="630">
                  <c:v>2.4425950825617413E-2</c:v>
                </c:pt>
                <c:pt idx="631">
                  <c:v>2.4474496879052662E-2</c:v>
                </c:pt>
                <c:pt idx="632">
                  <c:v>2.4522761844975934E-2</c:v>
                </c:pt>
                <c:pt idx="633">
                  <c:v>2.4577577612751141E-2</c:v>
                </c:pt>
                <c:pt idx="634">
                  <c:v>2.4621018295550634E-2</c:v>
                </c:pt>
                <c:pt idx="635">
                  <c:v>2.4661662672758489E-2</c:v>
                </c:pt>
                <c:pt idx="636">
                  <c:v>2.4708820102306461E-2</c:v>
                </c:pt>
                <c:pt idx="637">
                  <c:v>2.475569644043496E-2</c:v>
                </c:pt>
                <c:pt idx="638">
                  <c:v>2.4806448608210019E-2</c:v>
                </c:pt>
                <c:pt idx="639">
                  <c:v>2.4852745864705636E-2</c:v>
                </c:pt>
                <c:pt idx="640">
                  <c:v>2.4905312792422155E-2</c:v>
                </c:pt>
                <c:pt idx="641">
                  <c:v>2.4944497029557158E-2</c:v>
                </c:pt>
                <c:pt idx="642">
                  <c:v>2.4994038791269768E-2</c:v>
                </c:pt>
                <c:pt idx="643">
                  <c:v>2.5031051366673829E-2</c:v>
                </c:pt>
                <c:pt idx="644">
                  <c:v>2.508235254095581E-2</c:v>
                </c:pt>
                <c:pt idx="645">
                  <c:v>2.5120587463962174E-2</c:v>
                </c:pt>
                <c:pt idx="646">
                  <c:v>2.5172975246427753E-2</c:v>
                </c:pt>
                <c:pt idx="647">
                  <c:v>2.5213003501344148E-2</c:v>
                </c:pt>
                <c:pt idx="648">
                  <c:v>2.5256770605037653E-2</c:v>
                </c:pt>
                <c:pt idx="649">
                  <c:v>2.5300256564500686E-2</c:v>
                </c:pt>
                <c:pt idx="650">
                  <c:v>2.5343461376587367E-2</c:v>
                </c:pt>
                <c:pt idx="651">
                  <c:v>2.5392494038569618E-2</c:v>
                </c:pt>
                <c:pt idx="652">
                  <c:v>2.5435096381466925E-2</c:v>
                </c:pt>
                <c:pt idx="653">
                  <c:v>2.5477417567204744E-2</c:v>
                </c:pt>
                <c:pt idx="654">
                  <c:v>2.5519457592719712E-2</c:v>
                </c:pt>
                <c:pt idx="655">
                  <c:v>2.5561216454966534E-2</c:v>
                </c:pt>
                <c:pt idx="656">
                  <c:v>2.5594996116259101E-2</c:v>
                </c:pt>
                <c:pt idx="657">
                  <c:v>2.5636226948340033E-2</c:v>
                </c:pt>
                <c:pt idx="658">
                  <c:v>2.5677176639192049E-2</c:v>
                </c:pt>
                <c:pt idx="659">
                  <c:v>2.5717845186042192E-2</c:v>
                </c:pt>
                <c:pt idx="660">
                  <c:v>2.5765793211866471E-2</c:v>
                </c:pt>
                <c:pt idx="661">
                  <c:v>2.5820899867907192E-2</c:v>
                </c:pt>
                <c:pt idx="662">
                  <c:v>2.5845655667333298E-2</c:v>
                </c:pt>
                <c:pt idx="663">
                  <c:v>2.5885165116127193E-2</c:v>
                </c:pt>
                <c:pt idx="664">
                  <c:v>2.592068275399928E-2</c:v>
                </c:pt>
                <c:pt idx="665">
                  <c:v>2.5959647101025496E-2</c:v>
                </c:pt>
                <c:pt idx="666">
                  <c:v>2.6016671624199128E-2</c:v>
                </c:pt>
                <c:pt idx="667">
                  <c:v>2.6058608044396567E-2</c:v>
                </c:pt>
                <c:pt idx="668">
                  <c:v>2.6082051867330345E-2</c:v>
                </c:pt>
                <c:pt idx="669">
                  <c:v>2.6130675303575879E-2</c:v>
                </c:pt>
                <c:pt idx="670">
                  <c:v>2.6168103565865353E-2</c:v>
                </c:pt>
                <c:pt idx="671">
                  <c:v>2.6205242625080838E-2</c:v>
                </c:pt>
                <c:pt idx="672">
                  <c:v>2.6242092176563536E-2</c:v>
                </c:pt>
                <c:pt idx="673">
                  <c:v>2.6278652217478216E-2</c:v>
                </c:pt>
                <c:pt idx="674">
                  <c:v>2.6314922745002134E-2</c:v>
                </c:pt>
                <c:pt idx="675">
                  <c:v>2.6350903756342525E-2</c:v>
                </c:pt>
                <c:pt idx="676">
                  <c:v>2.6386595248731604E-2</c:v>
                </c:pt>
                <c:pt idx="677">
                  <c:v>2.6421997219414073E-2</c:v>
                </c:pt>
                <c:pt idx="678">
                  <c:v>2.6457109665662115E-2</c:v>
                </c:pt>
                <c:pt idx="679">
                  <c:v>2.6491932584775391E-2</c:v>
                </c:pt>
                <c:pt idx="680">
                  <c:v>2.6526465974068547E-2</c:v>
                </c:pt>
                <c:pt idx="681">
                  <c:v>2.6550505976629838E-2</c:v>
                </c:pt>
                <c:pt idx="682">
                  <c:v>2.6598044129046178E-2</c:v>
                </c:pt>
                <c:pt idx="683">
                  <c:v>2.66283289365285E-2</c:v>
                </c:pt>
                <c:pt idx="684">
                  <c:v>2.6661704180154788E-2</c:v>
                </c:pt>
                <c:pt idx="685">
                  <c:v>2.669478988088142E-2</c:v>
                </c:pt>
                <c:pt idx="686">
                  <c:v>2.6727586036160433E-2</c:v>
                </c:pt>
                <c:pt idx="687">
                  <c:v>2.6763381449288269E-2</c:v>
                </c:pt>
                <c:pt idx="688">
                  <c:v>2.6792309700281181E-2</c:v>
                </c:pt>
                <c:pt idx="689">
                  <c:v>2.6824237204136903E-2</c:v>
                </c:pt>
                <c:pt idx="690">
                  <c:v>2.6855875152570485E-2</c:v>
                </c:pt>
                <c:pt idx="691">
                  <c:v>2.6887223543143879E-2</c:v>
                </c:pt>
                <c:pt idx="692">
                  <c:v>2.6918282373441516E-2</c:v>
                </c:pt>
                <c:pt idx="693">
                  <c:v>2.6949051641065314E-2</c:v>
                </c:pt>
                <c:pt idx="694">
                  <c:v>2.6979531343652163E-2</c:v>
                </c:pt>
                <c:pt idx="695">
                  <c:v>2.7009721478851445E-2</c:v>
                </c:pt>
                <c:pt idx="696">
                  <c:v>2.7039622044337519E-2</c:v>
                </c:pt>
                <c:pt idx="697">
                  <c:v>2.706923303780473E-2</c:v>
                </c:pt>
                <c:pt idx="698">
                  <c:v>2.7102719592289048E-2</c:v>
                </c:pt>
                <c:pt idx="699">
                  <c:v>2.712758629958234E-2</c:v>
                </c:pt>
                <c:pt idx="700">
                  <c:v>2.7156328563396337E-2</c:v>
                </c:pt>
                <c:pt idx="701">
                  <c:v>2.7187812247223452E-2</c:v>
                </c:pt>
                <c:pt idx="702">
                  <c:v>2.7212944345798573E-2</c:v>
                </c:pt>
                <c:pt idx="703">
                  <c:v>2.7231826555199967E-2</c:v>
                </c:pt>
                <c:pt idx="704">
                  <c:v>2.7268401786735563E-2</c:v>
                </c:pt>
                <c:pt idx="705">
                  <c:v>2.7298652762515602E-2</c:v>
                </c:pt>
                <c:pt idx="706">
                  <c:v>2.7322700869113481E-2</c:v>
                </c:pt>
                <c:pt idx="707">
                  <c:v>2.7340648217405488E-2</c:v>
                </c:pt>
                <c:pt idx="708">
                  <c:v>2.7364222605658232E-2</c:v>
                </c:pt>
                <c:pt idx="709">
                  <c:v>2.7390433340101099E-2</c:v>
                </c:pt>
                <c:pt idx="710">
                  <c:v>2.7416354555672231E-2</c:v>
                </c:pt>
                <c:pt idx="711">
                  <c:v>2.7441986250624453E-2</c:v>
                </c:pt>
                <c:pt idx="712">
                  <c:v>2.7481473529997951E-2</c:v>
                </c:pt>
                <c:pt idx="713">
                  <c:v>2.7503625345409177E-2</c:v>
                </c:pt>
                <c:pt idx="714">
                  <c:v>2.7528313283705363E-2</c:v>
                </c:pt>
                <c:pt idx="715">
                  <c:v>2.7552711612335301E-2</c:v>
                </c:pt>
                <c:pt idx="716">
                  <c:v>2.7579570806416275E-2</c:v>
                </c:pt>
                <c:pt idx="717">
                  <c:v>2.7600639433079943E-2</c:v>
                </c:pt>
                <c:pt idx="718">
                  <c:v>2.762416933549644E-2</c:v>
                </c:pt>
                <c:pt idx="719">
                  <c:v>2.7647424126042153E-2</c:v>
                </c:pt>
                <c:pt idx="720">
                  <c:v>2.7662370777424415E-2</c:v>
                </c:pt>
                <c:pt idx="721">
                  <c:v>2.7693231643916016E-2</c:v>
                </c:pt>
                <c:pt idx="722">
                  <c:v>2.7715847480109801E-2</c:v>
                </c:pt>
                <c:pt idx="723">
                  <c:v>2.7738310128838373E-2</c:v>
                </c:pt>
                <c:pt idx="724">
                  <c:v>2.7760627393844384E-2</c:v>
                </c:pt>
                <c:pt idx="725">
                  <c:v>2.7785440724666027E-2</c:v>
                </c:pt>
                <c:pt idx="726">
                  <c:v>2.7804825815249679E-2</c:v>
                </c:pt>
                <c:pt idx="727">
                  <c:v>2.7826706969937831E-2</c:v>
                </c:pt>
                <c:pt idx="728">
                  <c:v>2.7848442752818892E-2</c:v>
                </c:pt>
                <c:pt idx="729">
                  <c:v>2.7870033163056029E-2</c:v>
                </c:pt>
                <c:pt idx="730">
                  <c:v>2.7891478199807418E-2</c:v>
                </c:pt>
                <c:pt idx="731">
                  <c:v>2.7912777862248717E-2</c:v>
                </c:pt>
                <c:pt idx="732">
                  <c:v>2.7933932149555585E-2</c:v>
                </c:pt>
                <c:pt idx="733">
                  <c:v>2.7957512729727636E-2</c:v>
                </c:pt>
                <c:pt idx="734">
                  <c:v>2.7978367498260329E-2</c:v>
                </c:pt>
                <c:pt idx="735">
                  <c:v>2.7996522752511133E-2</c:v>
                </c:pt>
                <c:pt idx="736">
                  <c:v>2.8017095531151781E-2</c:v>
                </c:pt>
                <c:pt idx="737">
                  <c:v>2.8037522930621228E-2</c:v>
                </c:pt>
                <c:pt idx="738">
                  <c:v>2.8057804950130105E-2</c:v>
                </c:pt>
                <c:pt idx="739">
                  <c:v>2.8080460508708365E-2</c:v>
                </c:pt>
                <c:pt idx="740">
                  <c:v>2.8097932846136153E-2</c:v>
                </c:pt>
                <c:pt idx="741">
                  <c:v>2.8117778721082065E-2</c:v>
                </c:pt>
                <c:pt idx="742">
                  <c:v>2.812999770723211E-2</c:v>
                </c:pt>
                <c:pt idx="743">
                  <c:v>2.815703432101524E-2</c:v>
                </c:pt>
                <c:pt idx="744">
                  <c:v>2.8176444044488713E-2</c:v>
                </c:pt>
                <c:pt idx="745">
                  <c:v>2.8195708382625917E-2</c:v>
                </c:pt>
                <c:pt idx="746">
                  <c:v>2.8214827334684944E-2</c:v>
                </c:pt>
                <c:pt idx="747">
                  <c:v>2.8233800899928885E-2</c:v>
                </c:pt>
                <c:pt idx="748">
                  <c:v>2.8252868398249305E-2</c:v>
                </c:pt>
                <c:pt idx="749">
                  <c:v>2.8271311867026361E-2</c:v>
                </c:pt>
                <c:pt idx="750">
                  <c:v>2.8294905571973998E-2</c:v>
                </c:pt>
                <c:pt idx="751">
                  <c:v>2.8310653586122475E-2</c:v>
                </c:pt>
                <c:pt idx="752">
                  <c:v>2.8326487898377717E-2</c:v>
                </c:pt>
                <c:pt idx="753">
                  <c:v>2.8346983520332554E-2</c:v>
                </c:pt>
                <c:pt idx="754">
                  <c:v>2.8362544964777858E-2</c:v>
                </c:pt>
                <c:pt idx="755">
                  <c:v>2.8390617394734766E-2</c:v>
                </c:pt>
                <c:pt idx="756">
                  <c:v>2.8398165282360645E-2</c:v>
                </c:pt>
                <c:pt idx="757">
                  <c:v>2.8415673174812583E-2</c:v>
                </c:pt>
                <c:pt idx="758">
                  <c:v>2.8435384550323517E-2</c:v>
                </c:pt>
                <c:pt idx="759">
                  <c:v>2.8450252807033453E-2</c:v>
                </c:pt>
                <c:pt idx="760">
                  <c:v>2.8460327702456909E-2</c:v>
                </c:pt>
                <c:pt idx="761">
                  <c:v>2.8477281191126975E-2</c:v>
                </c:pt>
                <c:pt idx="762">
                  <c:v>2.8494089325445629E-2</c:v>
                </c:pt>
                <c:pt idx="763">
                  <c:v>2.8510752104833337E-2</c:v>
                </c:pt>
                <c:pt idx="764">
                  <c:v>2.8534157633640037E-2</c:v>
                </c:pt>
                <c:pt idx="765">
                  <c:v>2.8550502436098621E-2</c:v>
                </c:pt>
                <c:pt idx="766">
                  <c:v>2.8568978201247708E-2</c:v>
                </c:pt>
                <c:pt idx="767">
                  <c:v>2.8582755873224879E-2</c:v>
                </c:pt>
                <c:pt idx="768">
                  <c:v>2.8600922621524194E-2</c:v>
                </c:pt>
                <c:pt idx="769">
                  <c:v>2.8614427749273131E-2</c:v>
                </c:pt>
                <c:pt idx="770">
                  <c:v>2.8636669967298189E-2</c:v>
                </c:pt>
                <c:pt idx="771">
                  <c:v>2.8645524409222113E-2</c:v>
                </c:pt>
                <c:pt idx="772">
                  <c:v>2.8663127167720681E-2</c:v>
                </c:pt>
                <c:pt idx="773">
                  <c:v>2.8676198242262127E-2</c:v>
                </c:pt>
                <c:pt idx="774">
                  <c:v>2.8691469462736114E-2</c:v>
                </c:pt>
                <c:pt idx="775">
                  <c:v>2.8706746498893515E-2</c:v>
                </c:pt>
                <c:pt idx="776">
                  <c:v>2.8722046363685385E-2</c:v>
                </c:pt>
                <c:pt idx="777">
                  <c:v>2.8739612380156709E-2</c:v>
                </c:pt>
                <c:pt idx="778">
                  <c:v>2.8752716079043721E-2</c:v>
                </c:pt>
                <c:pt idx="779">
                  <c:v>2.8768085929793265E-2</c:v>
                </c:pt>
                <c:pt idx="780">
                  <c:v>2.8783479109383604E-2</c:v>
                </c:pt>
                <c:pt idx="781">
                  <c:v>2.8798895617902408E-2</c:v>
                </c:pt>
                <c:pt idx="782">
                  <c:v>2.8814335455445088E-2</c:v>
                </c:pt>
                <c:pt idx="783">
                  <c:v>2.8829798622101891E-2</c:v>
                </c:pt>
                <c:pt idx="784">
                  <c:v>2.8845285117970805E-2</c:v>
                </c:pt>
                <c:pt idx="785">
                  <c:v>2.8865327376005438E-2</c:v>
                </c:pt>
                <c:pt idx="786">
                  <c:v>2.8878597025724095E-2</c:v>
                </c:pt>
                <c:pt idx="787">
                  <c:v>2.8891884581755293E-2</c:v>
                </c:pt>
                <c:pt idx="788">
                  <c:v>2.8907464395388046E-2</c:v>
                </c:pt>
                <c:pt idx="789">
                  <c:v>2.8923067538697056E-2</c:v>
                </c:pt>
                <c:pt idx="790">
                  <c:v>2.8938694011775148E-2</c:v>
                </c:pt>
                <c:pt idx="791">
                  <c:v>2.8956627334413565E-2</c:v>
                </c:pt>
                <c:pt idx="792">
                  <c:v>2.8970016947612479E-2</c:v>
                </c:pt>
                <c:pt idx="793">
                  <c:v>2.8985713410562535E-2</c:v>
                </c:pt>
                <c:pt idx="794">
                  <c:v>2.9001433203655568E-2</c:v>
                </c:pt>
                <c:pt idx="795">
                  <c:v>2.9017176326992147E-2</c:v>
                </c:pt>
                <c:pt idx="796">
                  <c:v>2.9032942780659939E-2</c:v>
                </c:pt>
                <c:pt idx="797">
                  <c:v>2.9048732564756933E-2</c:v>
                </c:pt>
                <c:pt idx="798">
                  <c:v>2.9064545679378537E-2</c:v>
                </c:pt>
                <c:pt idx="799">
                  <c:v>2.9080382124620156E-2</c:v>
                </c:pt>
                <c:pt idx="800">
                  <c:v>2.9100735284903756E-2</c:v>
                </c:pt>
                <c:pt idx="801">
                  <c:v>2.9112125007339919E-2</c:v>
                </c:pt>
                <c:pt idx="802">
                  <c:v>2.9132663545723213E-2</c:v>
                </c:pt>
                <c:pt idx="803">
                  <c:v>2.9146280015333315E-2</c:v>
                </c:pt>
                <c:pt idx="804">
                  <c:v>2.9159914313447138E-2</c:v>
                </c:pt>
                <c:pt idx="805">
                  <c:v>2.9178215462609958E-2</c:v>
                </c:pt>
                <c:pt idx="806">
                  <c:v>2.9191890506650092E-2</c:v>
                </c:pt>
                <c:pt idx="807">
                  <c:v>2.9210244245453376E-2</c:v>
                </c:pt>
                <c:pt idx="808">
                  <c:v>2.9223960025391311E-2</c:v>
                </c:pt>
                <c:pt idx="809">
                  <c:v>2.9240029782080512E-2</c:v>
                </c:pt>
                <c:pt idx="810">
                  <c:v>2.9258462425649501E-2</c:v>
                </c:pt>
                <c:pt idx="811">
                  <c:v>2.9272239290573134E-2</c:v>
                </c:pt>
                <c:pt idx="812">
                  <c:v>2.928134498246994E-2</c:v>
                </c:pt>
                <c:pt idx="813">
                  <c:v>2.9297499127839886E-2</c:v>
                </c:pt>
                <c:pt idx="814">
                  <c:v>2.9313676597383851E-2</c:v>
                </c:pt>
                <c:pt idx="815">
                  <c:v>2.9329877391196049E-2</c:v>
                </c:pt>
                <c:pt idx="816">
                  <c:v>2.9353171371181968E-2</c:v>
                </c:pt>
                <c:pt idx="817">
                  <c:v>2.9371788221089767E-2</c:v>
                </c:pt>
                <c:pt idx="818">
                  <c:v>2.9385707529215554E-2</c:v>
                </c:pt>
                <c:pt idx="819">
                  <c:v>2.9402010607003971E-2</c:v>
                </c:pt>
                <c:pt idx="820">
                  <c:v>2.9411231227323777E-2</c:v>
                </c:pt>
                <c:pt idx="821">
                  <c:v>2.9441666218390949E-2</c:v>
                </c:pt>
                <c:pt idx="822">
                  <c:v>2.9451059836649595E-2</c:v>
                </c:pt>
                <c:pt idx="823">
                  <c:v>2.9467440772459975E-2</c:v>
                </c:pt>
                <c:pt idx="824">
                  <c:v>2.9488465695526728E-2</c:v>
                </c:pt>
                <c:pt idx="825">
                  <c:v>2.9499901286336817E-2</c:v>
                </c:pt>
                <c:pt idx="826">
                  <c:v>2.9515795184897959E-2</c:v>
                </c:pt>
                <c:pt idx="827">
                  <c:v>2.9531343944504265E-2</c:v>
                </c:pt>
                <c:pt idx="828">
                  <c:v>2.9546506106257486E-2</c:v>
                </c:pt>
                <c:pt idx="829">
                  <c:v>2.9561280450629914E-2</c:v>
                </c:pt>
                <c:pt idx="830">
                  <c:v>2.9575666976149186E-2</c:v>
                </c:pt>
                <c:pt idx="831">
                  <c:v>2.958966568137129E-2</c:v>
                </c:pt>
                <c:pt idx="832">
                  <c:v>2.9603276564903792E-2</c:v>
                </c:pt>
                <c:pt idx="833">
                  <c:v>2.9616499625385203E-2</c:v>
                </c:pt>
                <c:pt idx="834">
                  <c:v>2.9629334861492704E-2</c:v>
                </c:pt>
                <c:pt idx="835">
                  <c:v>2.9641782271942169E-2</c:v>
                </c:pt>
                <c:pt idx="836">
                  <c:v>2.9653841855493298E-2</c:v>
                </c:pt>
                <c:pt idx="837">
                  <c:v>2.966753303144859E-2</c:v>
                </c:pt>
                <c:pt idx="838">
                  <c:v>2.9678790182082748E-2</c:v>
                </c:pt>
                <c:pt idx="839">
                  <c:v>2.9687693632884853E-2</c:v>
                </c:pt>
                <c:pt idx="840">
                  <c:v>2.9698201897166807E-2</c:v>
                </c:pt>
                <c:pt idx="841">
                  <c:v>2.9708322328913642E-2</c:v>
                </c:pt>
                <c:pt idx="842">
                  <c:v>2.9718054927109397E-2</c:v>
                </c:pt>
                <c:pt idx="843">
                  <c:v>2.972925798236159E-2</c:v>
                </c:pt>
                <c:pt idx="844">
                  <c:v>2.9736356619000415E-2</c:v>
                </c:pt>
                <c:pt idx="845">
                  <c:v>2.9744925710864886E-2</c:v>
                </c:pt>
                <c:pt idx="846">
                  <c:v>2.9754884263448744E-2</c:v>
                </c:pt>
                <c:pt idx="847">
                  <c:v>2.976090038215131E-2</c:v>
                </c:pt>
                <c:pt idx="848">
                  <c:v>2.9768305959979698E-2</c:v>
                </c:pt>
                <c:pt idx="849">
                  <c:v>2.9775323698261802E-2</c:v>
                </c:pt>
                <c:pt idx="850">
                  <c:v>2.9781953596298823E-2</c:v>
                </c:pt>
                <c:pt idx="851">
                  <c:v>2.9788195653425487E-2</c:v>
                </c:pt>
                <c:pt idx="852">
                  <c:v>2.9794834809653281E-2</c:v>
                </c:pt>
                <c:pt idx="853">
                  <c:v>2.97995162424981E-2</c:v>
                </c:pt>
                <c:pt idx="854">
                  <c:v>2.9807712076564259E-2</c:v>
                </c:pt>
                <c:pt idx="855">
                  <c:v>2.9810818053455923E-2</c:v>
                </c:pt>
                <c:pt idx="856">
                  <c:v>2.9813588304960486E-2</c:v>
                </c:pt>
                <c:pt idx="857">
                  <c:v>2.981898116622167E-2</c:v>
                </c:pt>
                <c:pt idx="858">
                  <c:v>2.9821030460365969E-2</c:v>
                </c:pt>
                <c:pt idx="859">
                  <c:v>2.9827013235240427E-2</c:v>
                </c:pt>
                <c:pt idx="860">
                  <c:v>2.9826921236555393E-2</c:v>
                </c:pt>
                <c:pt idx="861">
                  <c:v>2.9829284856683402E-2</c:v>
                </c:pt>
                <c:pt idx="862">
                  <c:v>2.9832601103184919E-2</c:v>
                </c:pt>
                <c:pt idx="863">
                  <c:v>2.9832848559827596E-2</c:v>
                </c:pt>
                <c:pt idx="864">
                  <c:v>2.983404864248794E-2</c:v>
                </c:pt>
                <c:pt idx="865">
                  <c:v>2.9834860879031769E-2</c:v>
                </c:pt>
                <c:pt idx="866">
                  <c:v>2.9835285269381728E-2</c:v>
                </c:pt>
                <c:pt idx="867">
                  <c:v>2.9835321813491401E-2</c:v>
                </c:pt>
                <c:pt idx="868">
                  <c:v>2.9836145056882923E-2</c:v>
                </c:pt>
                <c:pt idx="869">
                  <c:v>2.9834231363018257E-2</c:v>
                </c:pt>
                <c:pt idx="870">
                  <c:v>2.9833104368548899E-2</c:v>
                </c:pt>
                <c:pt idx="871">
                  <c:v>2.9831589528058432E-2</c:v>
                </c:pt>
                <c:pt idx="872">
                  <c:v>2.9827375506678244E-2</c:v>
                </c:pt>
                <c:pt idx="873">
                  <c:v>2.9828431700486824E-2</c:v>
                </c:pt>
                <c:pt idx="874">
                  <c:v>2.9824717932167424E-2</c:v>
                </c:pt>
                <c:pt idx="875">
                  <c:v>2.9821672125200784E-2</c:v>
                </c:pt>
                <c:pt idx="876">
                  <c:v>2.9819400426140952E-2</c:v>
                </c:pt>
                <c:pt idx="877">
                  <c:v>2.9815111866686297E-2</c:v>
                </c:pt>
                <c:pt idx="878">
                  <c:v>2.9811986353178936E-2</c:v>
                </c:pt>
                <c:pt idx="879">
                  <c:v>2.9809220719567781E-2</c:v>
                </c:pt>
                <c:pt idx="880">
                  <c:v>2.9806922620504474E-2</c:v>
                </c:pt>
                <c:pt idx="881">
                  <c:v>2.9801679891621191E-2</c:v>
                </c:pt>
                <c:pt idx="882">
                  <c:v>2.9803747172225958E-2</c:v>
                </c:pt>
                <c:pt idx="883">
                  <c:v>2.9802869822629113E-2</c:v>
                </c:pt>
                <c:pt idx="884">
                  <c:v>2.9802466055895517E-2</c:v>
                </c:pt>
                <c:pt idx="885">
                  <c:v>2.9805101294210316E-2</c:v>
                </c:pt>
                <c:pt idx="886">
                  <c:v>2.9803079270883982E-2</c:v>
                </c:pt>
                <c:pt idx="887">
                  <c:v>2.9804096252680823E-2</c:v>
                </c:pt>
                <c:pt idx="888">
                  <c:v>2.9805586817490466E-2</c:v>
                </c:pt>
                <c:pt idx="889">
                  <c:v>2.9808967762875171E-2</c:v>
                </c:pt>
                <c:pt idx="890">
                  <c:v>2.9811439526121752E-2</c:v>
                </c:pt>
                <c:pt idx="891">
                  <c:v>2.9812900012120988E-2</c:v>
                </c:pt>
                <c:pt idx="892">
                  <c:v>2.9816284911385094E-2</c:v>
                </c:pt>
                <c:pt idx="893">
                  <c:v>2.9820143395152428E-2</c:v>
                </c:pt>
                <c:pt idx="894">
                  <c:v>2.9824475463889707E-2</c:v>
                </c:pt>
                <c:pt idx="895">
                  <c:v>2.9829281118133287E-2</c:v>
                </c:pt>
                <c:pt idx="896">
                  <c:v>2.9836216202522303E-2</c:v>
                </c:pt>
                <c:pt idx="897">
                  <c:v>2.9840313185519357E-2</c:v>
                </c:pt>
                <c:pt idx="898">
                  <c:v>2.9846539600013027E-2</c:v>
                </c:pt>
                <c:pt idx="899">
                  <c:v>2.9853239602702454E-2</c:v>
                </c:pt>
                <c:pt idx="900">
                  <c:v>2.9862206501480304E-2</c:v>
                </c:pt>
                <c:pt idx="901">
                  <c:v>2.986806037598979E-2</c:v>
                </c:pt>
                <c:pt idx="902">
                  <c:v>2.9876181148395287E-2</c:v>
                </c:pt>
                <c:pt idx="903">
                  <c:v>2.9884775512611712E-2</c:v>
                </c:pt>
                <c:pt idx="904">
                  <c:v>2.989384346968597E-2</c:v>
                </c:pt>
                <c:pt idx="905">
                  <c:v>2.9903385020729433E-2</c:v>
                </c:pt>
                <c:pt idx="906">
                  <c:v>2.9913400166899883E-2</c:v>
                </c:pt>
                <c:pt idx="907">
                  <c:v>2.992592429724994E-2</c:v>
                </c:pt>
                <c:pt idx="908">
                  <c:v>2.9934851249585507E-2</c:v>
                </c:pt>
                <c:pt idx="909">
                  <c:v>2.994628718871279E-2</c:v>
                </c:pt>
                <c:pt idx="910">
                  <c:v>2.9960336460084225E-2</c:v>
                </c:pt>
                <c:pt idx="911">
                  <c:v>2.9977868588399154E-2</c:v>
                </c:pt>
                <c:pt idx="912">
                  <c:v>2.999099596422037E-2</c:v>
                </c:pt>
                <c:pt idx="913">
                  <c:v>3.0004596945861953E-2</c:v>
                </c:pt>
                <c:pt idx="914">
                  <c:v>3.0018671534981931E-2</c:v>
                </c:pt>
                <c:pt idx="915">
                  <c:v>3.0033219733302797E-2</c:v>
                </c:pt>
                <c:pt idx="916">
                  <c:v>3.0041153749048113E-2</c:v>
                </c:pt>
                <c:pt idx="917">
                  <c:v>3.00565438326699E-2</c:v>
                </c:pt>
                <c:pt idx="918">
                  <c:v>3.0072407410073013E-2</c:v>
                </c:pt>
                <c:pt idx="919">
                  <c:v>3.008874448300463E-2</c:v>
                </c:pt>
                <c:pt idx="920">
                  <c:v>3.0113064927052409E-2</c:v>
                </c:pt>
                <c:pt idx="921">
                  <c:v>3.0130454819871054E-2</c:v>
                </c:pt>
                <c:pt idx="922">
                  <c:v>3.0158663040098382E-2</c:v>
                </c:pt>
                <c:pt idx="923">
                  <c:v>3.0166655476206863E-2</c:v>
                </c:pt>
                <c:pt idx="924">
                  <c:v>3.0182818087827634E-2</c:v>
                </c:pt>
                <c:pt idx="925">
                  <c:v>3.0202067042106151E-2</c:v>
                </c:pt>
                <c:pt idx="926">
                  <c:v>3.0221789504561336E-2</c:v>
                </c:pt>
                <c:pt idx="927">
                  <c:v>3.0255982505818162E-2</c:v>
                </c:pt>
                <c:pt idx="928">
                  <c:v>3.0273719646695119E-2</c:v>
                </c:pt>
                <c:pt idx="929">
                  <c:v>3.0294237240214295E-2</c:v>
                </c:pt>
                <c:pt idx="930">
                  <c:v>3.0314634947914698E-2</c:v>
                </c:pt>
                <c:pt idx="931">
                  <c:v>3.0334792471322647E-2</c:v>
                </c:pt>
                <c:pt idx="932">
                  <c:v>3.0354693034217728E-2</c:v>
                </c:pt>
                <c:pt idx="933">
                  <c:v>3.0374336635236032E-2</c:v>
                </c:pt>
                <c:pt idx="934">
                  <c:v>3.0393723273036133E-2</c:v>
                </c:pt>
                <c:pt idx="935">
                  <c:v>3.0412852946296587E-2</c:v>
                </c:pt>
                <c:pt idx="936">
                  <c:v>3.0431725653705943E-2</c:v>
                </c:pt>
                <c:pt idx="937">
                  <c:v>3.0450341393975233E-2</c:v>
                </c:pt>
                <c:pt idx="938">
                  <c:v>3.0468700165830476E-2</c:v>
                </c:pt>
                <c:pt idx="939">
                  <c:v>3.048680196802267E-2</c:v>
                </c:pt>
                <c:pt idx="940">
                  <c:v>3.0507188775400387E-2</c:v>
                </c:pt>
                <c:pt idx="941">
                  <c:v>3.0514650537381845E-2</c:v>
                </c:pt>
                <c:pt idx="942">
                  <c:v>3.0539565544310809E-2</c:v>
                </c:pt>
                <c:pt idx="943">
                  <c:v>3.0556639455638079E-2</c:v>
                </c:pt>
                <c:pt idx="944">
                  <c:v>3.0573456391287113E-2</c:v>
                </c:pt>
                <c:pt idx="945">
                  <c:v>3.0590016350111326E-2</c:v>
                </c:pt>
                <c:pt idx="946">
                  <c:v>3.0606319330976628E-2</c:v>
                </c:pt>
                <c:pt idx="947">
                  <c:v>3.0624788791089524E-2</c:v>
                </c:pt>
                <c:pt idx="948">
                  <c:v>3.0638154354394043E-2</c:v>
                </c:pt>
                <c:pt idx="949">
                  <c:v>3.0653686394767898E-2</c:v>
                </c:pt>
                <c:pt idx="950">
                  <c:v>3.0668961452836319E-2</c:v>
                </c:pt>
                <c:pt idx="951">
                  <c:v>3.0683979527545147E-2</c:v>
                </c:pt>
                <c:pt idx="952">
                  <c:v>3.0698740617880194E-2</c:v>
                </c:pt>
                <c:pt idx="953">
                  <c:v>3.0713244722822275E-2</c:v>
                </c:pt>
                <c:pt idx="954">
                  <c:v>3.072057111323067E-2</c:v>
                </c:pt>
                <c:pt idx="955">
                  <c:v>3.0741481972593188E-2</c:v>
                </c:pt>
                <c:pt idx="956">
                  <c:v>3.0755215115491064E-2</c:v>
                </c:pt>
                <c:pt idx="957">
                  <c:v>3.0768691269139059E-2</c:v>
                </c:pt>
                <c:pt idx="958">
                  <c:v>3.0786010555169083E-2</c:v>
                </c:pt>
                <c:pt idx="959">
                  <c:v>3.0794872605023338E-2</c:v>
                </c:pt>
                <c:pt idx="960">
                  <c:v>3.0807577785468554E-2</c:v>
                </c:pt>
                <c:pt idx="961">
                  <c:v>3.0822209267984201E-2</c:v>
                </c:pt>
                <c:pt idx="962">
                  <c:v>3.0836910573841882E-2</c:v>
                </c:pt>
                <c:pt idx="963">
                  <c:v>3.0843687578195708E-2</c:v>
                </c:pt>
                <c:pt idx="964">
                  <c:v>3.0855828570558463E-2</c:v>
                </c:pt>
                <c:pt idx="965">
                  <c:v>3.0869362680484874E-2</c:v>
                </c:pt>
                <c:pt idx="966">
                  <c:v>3.0878411989603283E-2</c:v>
                </c:pt>
                <c:pt idx="967">
                  <c:v>3.088307171997794E-2</c:v>
                </c:pt>
                <c:pt idx="968">
                  <c:v>3.08917054431498E-2</c:v>
                </c:pt>
                <c:pt idx="969">
                  <c:v>3.0902167499519604E-2</c:v>
                </c:pt>
                <c:pt idx="970">
                  <c:v>3.0912372643175447E-2</c:v>
                </c:pt>
                <c:pt idx="971">
                  <c:v>3.0922320873503533E-2</c:v>
                </c:pt>
                <c:pt idx="972">
                  <c:v>3.0941985907165695E-2</c:v>
                </c:pt>
                <c:pt idx="973">
                  <c:v>3.0949358491841328E-2</c:v>
                </c:pt>
                <c:pt idx="974">
                  <c:v>3.0958465701670101E-2</c:v>
                </c:pt>
                <c:pt idx="975">
                  <c:v>3.0967315908357607E-2</c:v>
                </c:pt>
                <c:pt idx="976">
                  <c:v>3.0977830387574977E-2</c:v>
                </c:pt>
                <c:pt idx="977">
                  <c:v>3.0984245309913228E-2</c:v>
                </c:pt>
                <c:pt idx="978">
                  <c:v>3.0992324503622271E-2</c:v>
                </c:pt>
                <c:pt idx="979">
                  <c:v>3.1002014974419661E-2</c:v>
                </c:pt>
                <c:pt idx="980">
                  <c:v>3.1002150656617423E-2</c:v>
                </c:pt>
                <c:pt idx="981">
                  <c:v>3.1015020049897091E-2</c:v>
                </c:pt>
                <c:pt idx="982">
                  <c:v>3.1022071218650971E-2</c:v>
                </c:pt>
                <c:pt idx="983">
                  <c:v>3.1028865379914561E-2</c:v>
                </c:pt>
                <c:pt idx="984">
                  <c:v>3.1035402533225731E-2</c:v>
                </c:pt>
                <c:pt idx="985">
                  <c:v>3.1041682678139837E-2</c:v>
                </c:pt>
                <c:pt idx="986">
                  <c:v>3.1047705814222226E-2</c:v>
                </c:pt>
                <c:pt idx="987">
                  <c:v>3.1053471941070721E-2</c:v>
                </c:pt>
                <c:pt idx="988">
                  <c:v>3.1058981058280644E-2</c:v>
                </c:pt>
                <c:pt idx="989">
                  <c:v>3.1064233165482291E-2</c:v>
                </c:pt>
                <c:pt idx="990">
                  <c:v>3.1069228262313453E-2</c:v>
                </c:pt>
                <c:pt idx="991">
                  <c:v>3.1073966348434401E-2</c:v>
                </c:pt>
                <c:pt idx="992">
                  <c:v>3.1078447423522892E-2</c:v>
                </c:pt>
                <c:pt idx="993">
                  <c:v>3.1077806676640011E-2</c:v>
                </c:pt>
                <c:pt idx="994">
                  <c:v>3.1088238879485211E-2</c:v>
                </c:pt>
                <c:pt idx="995">
                  <c:v>3.1090348579596028E-2</c:v>
                </c:pt>
                <c:pt idx="996">
                  <c:v>3.1093801607657012E-2</c:v>
                </c:pt>
                <c:pt idx="997">
                  <c:v>3.1096997623326628E-2</c:v>
                </c:pt>
                <c:pt idx="998">
                  <c:v>3.1099936626387548E-2</c:v>
                </c:pt>
                <c:pt idx="999">
                  <c:v>3.1104128537055527E-2</c:v>
                </c:pt>
                <c:pt idx="1000">
                  <c:v>3.1105043593898929E-2</c:v>
                </c:pt>
                <c:pt idx="1001">
                  <c:v>3.110721155799967E-2</c:v>
                </c:pt>
                <c:pt idx="1002">
                  <c:v>3.1109122508789777E-2</c:v>
                </c:pt>
                <c:pt idx="1003">
                  <c:v>3.111077644614435E-2</c:v>
                </c:pt>
                <c:pt idx="1004">
                  <c:v>3.1112173369948481E-2</c:v>
                </c:pt>
                <c:pt idx="1005">
                  <c:v>3.1113313280109745E-2</c:v>
                </c:pt>
                <c:pt idx="1006">
                  <c:v>3.1114196176545705E-2</c:v>
                </c:pt>
                <c:pt idx="1007">
                  <c:v>3.1114822059196412E-2</c:v>
                </c:pt>
                <c:pt idx="1008">
                  <c:v>3.11151909280169E-2</c:v>
                </c:pt>
                <c:pt idx="1009">
                  <c:v>3.1115302782987186E-2</c:v>
                </c:pt>
                <c:pt idx="1010">
                  <c:v>3.1115115906392987E-2</c:v>
                </c:pt>
                <c:pt idx="1011">
                  <c:v>3.1114755451364662E-2</c:v>
                </c:pt>
                <c:pt idx="1012">
                  <c:v>3.1114096264801827E-2</c:v>
                </c:pt>
                <c:pt idx="1013">
                  <c:v>3.1114433860447738E-2</c:v>
                </c:pt>
                <c:pt idx="1014">
                  <c:v>3.1112006850407825E-2</c:v>
                </c:pt>
                <c:pt idx="1015">
                  <c:v>3.1106915912414931E-2</c:v>
                </c:pt>
                <c:pt idx="1016">
                  <c:v>3.1108889381494809E-2</c:v>
                </c:pt>
                <c:pt idx="1017">
                  <c:v>3.1108124945987796E-2</c:v>
                </c:pt>
                <c:pt idx="1018">
                  <c:v>3.1104743858912098E-2</c:v>
                </c:pt>
                <c:pt idx="1019">
                  <c:v>3.1098847253589714E-2</c:v>
                </c:pt>
                <c:pt idx="1020">
                  <c:v>3.1095056786442563E-2</c:v>
                </c:pt>
                <c:pt idx="1021">
                  <c:v>3.1092158911939345E-2</c:v>
                </c:pt>
                <c:pt idx="1022">
                  <c:v>3.1089004113356973E-2</c:v>
                </c:pt>
                <c:pt idx="1023">
                  <c:v>3.1085592390889576E-2</c:v>
                </c:pt>
                <c:pt idx="1024">
                  <c:v>3.108613898189061E-2</c:v>
                </c:pt>
                <c:pt idx="1025">
                  <c:v>3.1082138626131461E-2</c:v>
                </c:pt>
                <c:pt idx="1026">
                  <c:v>3.1077881258777806E-2</c:v>
                </c:pt>
                <c:pt idx="1027">
                  <c:v>3.1073366880121911E-2</c:v>
                </c:pt>
                <c:pt idx="1028">
                  <c:v>3.1069570046903555E-2</c:v>
                </c:pt>
                <c:pt idx="1029">
                  <c:v>3.1063567090157396E-2</c:v>
                </c:pt>
                <c:pt idx="1030">
                  <c:v>3.1058282543577065E-2</c:v>
                </c:pt>
                <c:pt idx="1031">
                  <c:v>3.1052771261174117E-2</c:v>
                </c:pt>
                <c:pt idx="1032">
                  <c:v>3.1044328463621658E-2</c:v>
                </c:pt>
                <c:pt idx="1033">
                  <c:v>3.1041325788142282E-2</c:v>
                </c:pt>
                <c:pt idx="1034">
                  <c:v>3.1035523319049574E-2</c:v>
                </c:pt>
                <c:pt idx="1035">
                  <c:v>3.1029748596556883E-2</c:v>
                </c:pt>
                <c:pt idx="1036">
                  <c:v>3.1024017909739299E-2</c:v>
                </c:pt>
                <c:pt idx="1037">
                  <c:v>3.1019264303717913E-2</c:v>
                </c:pt>
                <c:pt idx="1038">
                  <c:v>3.1012688738855376E-2</c:v>
                </c:pt>
                <c:pt idx="1039">
                  <c:v>3.1007090254656644E-2</c:v>
                </c:pt>
                <c:pt idx="1040">
                  <c:v>3.1001535837867633E-2</c:v>
                </c:pt>
                <c:pt idx="1041">
                  <c:v>3.0996025488418399E-2</c:v>
                </c:pt>
                <c:pt idx="1042">
                  <c:v>3.0990559206251489E-2</c:v>
                </c:pt>
                <c:pt idx="1043">
                  <c:v>3.0985136991299456E-2</c:v>
                </c:pt>
                <c:pt idx="1044">
                  <c:v>3.0979758843494853E-2</c:v>
                </c:pt>
                <c:pt idx="1045">
                  <c:v>3.0975379184111744E-2</c:v>
                </c:pt>
                <c:pt idx="1046">
                  <c:v>3.0970091863830748E-2</c:v>
                </c:pt>
                <c:pt idx="1047">
                  <c:v>3.0963888802363615E-2</c:v>
                </c:pt>
                <c:pt idx="1048">
                  <c:v>3.0958686922541723E-2</c:v>
                </c:pt>
                <c:pt idx="1049">
                  <c:v>3.0953529109557509E-2</c:v>
                </c:pt>
                <c:pt idx="1050">
                  <c:v>3.0948415363353521E-2</c:v>
                </c:pt>
                <c:pt idx="1051">
                  <c:v>3.0944316323488638E-2</c:v>
                </c:pt>
                <c:pt idx="1052">
                  <c:v>3.0938320071051406E-2</c:v>
                </c:pt>
                <c:pt idx="1053">
                  <c:v>3.0933338524833376E-2</c:v>
                </c:pt>
                <c:pt idx="1054">
                  <c:v>3.0925466537841114E-2</c:v>
                </c:pt>
                <c:pt idx="1055">
                  <c:v>3.0923507631971103E-2</c:v>
                </c:pt>
                <c:pt idx="1056">
                  <c:v>3.0918658285209455E-2</c:v>
                </c:pt>
                <c:pt idx="1057">
                  <c:v>3.0913853004820857E-2</c:v>
                </c:pt>
                <c:pt idx="1058">
                  <c:v>3.0909091790750354E-2</c:v>
                </c:pt>
                <c:pt idx="1059">
                  <c:v>3.0904374642935495E-2</c:v>
                </c:pt>
                <c:pt idx="1060">
                  <c:v>3.089804227499339E-2</c:v>
                </c:pt>
                <c:pt idx="1061">
                  <c:v>3.0895072545870372E-2</c:v>
                </c:pt>
                <c:pt idx="1062">
                  <c:v>3.0890837327590279E-2</c:v>
                </c:pt>
                <c:pt idx="1063">
                  <c:v>3.088695020468309E-2</c:v>
                </c:pt>
                <c:pt idx="1064">
                  <c:v>3.088144989585484E-2</c:v>
                </c:pt>
                <c:pt idx="1065">
                  <c:v>3.0878006164941532E-2</c:v>
                </c:pt>
                <c:pt idx="1066">
                  <c:v>3.087258845894808E-2</c:v>
                </c:pt>
                <c:pt idx="1067">
                  <c:v>3.0864117007167447E-2</c:v>
                </c:pt>
                <c:pt idx="1068">
                  <c:v>3.0862272243919481E-2</c:v>
                </c:pt>
                <c:pt idx="1069">
                  <c:v>3.0857999269122263E-2</c:v>
                </c:pt>
                <c:pt idx="1070">
                  <c:v>3.0854793340117093E-2</c:v>
                </c:pt>
                <c:pt idx="1071">
                  <c:v>3.0849585505041976E-2</c:v>
                </c:pt>
                <c:pt idx="1072">
                  <c:v>3.0845444715663497E-2</c:v>
                </c:pt>
                <c:pt idx="1073">
                  <c:v>3.0841347987999295E-2</c:v>
                </c:pt>
                <c:pt idx="1074">
                  <c:v>3.0837295321997801E-2</c:v>
                </c:pt>
                <c:pt idx="1075">
                  <c:v>3.0833286717615174E-2</c:v>
                </c:pt>
                <c:pt idx="1076">
                  <c:v>3.0829322174810159E-2</c:v>
                </c:pt>
                <c:pt idx="1077">
                  <c:v>3.0825401693531186E-2</c:v>
                </c:pt>
                <c:pt idx="1078">
                  <c:v>3.0822570679342465E-2</c:v>
                </c:pt>
                <c:pt idx="1079">
                  <c:v>3.0817692915383752E-2</c:v>
                </c:pt>
                <c:pt idx="1080">
                  <c:v>3.0810753446263953E-2</c:v>
                </c:pt>
                <c:pt idx="1081">
                  <c:v>3.0810160382827346E-2</c:v>
                </c:pt>
                <c:pt idx="1082">
                  <c:v>3.0803307609031272E-2</c:v>
                </c:pt>
                <c:pt idx="1083">
                  <c:v>3.0802804095513853E-2</c:v>
                </c:pt>
                <c:pt idx="1084">
                  <c:v>3.0801317138551682E-2</c:v>
                </c:pt>
                <c:pt idx="1085">
                  <c:v>3.0795624053115797E-2</c:v>
                </c:pt>
                <c:pt idx="1086">
                  <c:v>3.0792100123655304E-2</c:v>
                </c:pt>
                <c:pt idx="1087">
                  <c:v>3.0788620255303122E-2</c:v>
                </c:pt>
                <c:pt idx="1088">
                  <c:v>3.078518444801541E-2</c:v>
                </c:pt>
                <c:pt idx="1089">
                  <c:v>3.0781792701756076E-2</c:v>
                </c:pt>
                <c:pt idx="1090">
                  <c:v>3.0778445016486435E-2</c:v>
                </c:pt>
                <c:pt idx="1091">
                  <c:v>3.0775141392170392E-2</c:v>
                </c:pt>
                <c:pt idx="1092">
                  <c:v>3.0771881828764107E-2</c:v>
                </c:pt>
                <c:pt idx="1093">
                  <c:v>3.0768666326239216E-2</c:v>
                </c:pt>
                <c:pt idx="1094">
                  <c:v>3.0765494884549306E-2</c:v>
                </c:pt>
                <c:pt idx="1095">
                  <c:v>3.0762367503671173E-2</c:v>
                </c:pt>
                <c:pt idx="1096">
                  <c:v>3.0759284183555814E-2</c:v>
                </c:pt>
                <c:pt idx="1097">
                  <c:v>3.0757344556132382E-2</c:v>
                </c:pt>
                <c:pt idx="1098">
                  <c:v>3.0754352249362515E-2</c:v>
                </c:pt>
                <c:pt idx="1099">
                  <c:v>3.0750298587482155E-2</c:v>
                </c:pt>
                <c:pt idx="1100">
                  <c:v>3.0747391510100756E-2</c:v>
                </c:pt>
                <c:pt idx="1101">
                  <c:v>3.0744528493314528E-2</c:v>
                </c:pt>
                <c:pt idx="1102">
                  <c:v>3.0741709537100266E-2</c:v>
                </c:pt>
                <c:pt idx="1103">
                  <c:v>3.0740051681522607E-2</c:v>
                </c:pt>
                <c:pt idx="1104">
                  <c:v>3.0736203806235499E-2</c:v>
                </c:pt>
                <c:pt idx="1105">
                  <c:v>3.0733517031525687E-2</c:v>
                </c:pt>
                <c:pt idx="1106">
                  <c:v>3.0732000112433655E-2</c:v>
                </c:pt>
                <c:pt idx="1107">
                  <c:v>3.0728275663404227E-2</c:v>
                </c:pt>
                <c:pt idx="1108">
                  <c:v>3.0725721069930694E-2</c:v>
                </c:pt>
                <c:pt idx="1109">
                  <c:v>3.0723210536809948E-2</c:v>
                </c:pt>
                <c:pt idx="1110">
                  <c:v>3.0720744064016203E-2</c:v>
                </c:pt>
                <c:pt idx="1111">
                  <c:v>3.0718321651513354E-2</c:v>
                </c:pt>
                <c:pt idx="1112">
                  <c:v>3.0713793169005577E-2</c:v>
                </c:pt>
                <c:pt idx="1113">
                  <c:v>3.0713609007295264E-2</c:v>
                </c:pt>
                <c:pt idx="1114">
                  <c:v>3.071361773840971E-2</c:v>
                </c:pt>
                <c:pt idx="1115">
                  <c:v>3.07102248679611E-2</c:v>
                </c:pt>
                <c:pt idx="1116">
                  <c:v>3.0706870492514259E-2</c:v>
                </c:pt>
                <c:pt idx="1117">
                  <c:v>3.0705870628666976E-2</c:v>
                </c:pt>
                <c:pt idx="1118">
                  <c:v>3.0702598450068012E-2</c:v>
                </c:pt>
                <c:pt idx="1119">
                  <c:v>3.0702857120352499E-2</c:v>
                </c:pt>
                <c:pt idx="1120">
                  <c:v>3.0698502647980842E-2</c:v>
                </c:pt>
                <c:pt idx="1121">
                  <c:v>3.0696520837012607E-2</c:v>
                </c:pt>
                <c:pt idx="1122">
                  <c:v>3.0695756147881559E-2</c:v>
                </c:pt>
                <c:pt idx="1123">
                  <c:v>3.0692689395126267E-2</c:v>
                </c:pt>
                <c:pt idx="1124">
                  <c:v>3.0687304762756971E-2</c:v>
                </c:pt>
                <c:pt idx="1125">
                  <c:v>3.0685490213854409E-2</c:v>
                </c:pt>
                <c:pt idx="1126">
                  <c:v>3.0683719713610849E-2</c:v>
                </c:pt>
                <c:pt idx="1127">
                  <c:v>3.0681993262012024E-2</c:v>
                </c:pt>
                <c:pt idx="1128">
                  <c:v>3.0685072874812869E-2</c:v>
                </c:pt>
                <c:pt idx="1129">
                  <c:v>3.0682252508269576E-2</c:v>
                </c:pt>
                <c:pt idx="1130">
                  <c:v>3.0680667236745202E-2</c:v>
                </c:pt>
                <c:pt idx="1131">
                  <c:v>3.0679126025065631E-2</c:v>
                </c:pt>
                <c:pt idx="1132">
                  <c:v>3.0675588676494669E-2</c:v>
                </c:pt>
                <c:pt idx="1133">
                  <c:v>3.0677381897420419E-2</c:v>
                </c:pt>
                <c:pt idx="1134">
                  <c:v>3.0674766748894623E-2</c:v>
                </c:pt>
                <c:pt idx="1135">
                  <c:v>3.0673401776411195E-2</c:v>
                </c:pt>
                <c:pt idx="1136">
                  <c:v>3.0673296073663592E-2</c:v>
                </c:pt>
                <c:pt idx="1137">
                  <c:v>3.0670804010700266E-2</c:v>
                </c:pt>
                <c:pt idx="1138">
                  <c:v>3.0669571217446977E-2</c:v>
                </c:pt>
                <c:pt idx="1139">
                  <c:v>3.0668382483906988E-2</c:v>
                </c:pt>
                <c:pt idx="1140">
                  <c:v>3.0667237810072558E-2</c:v>
                </c:pt>
                <c:pt idx="1141">
                  <c:v>3.0666137195923062E-2</c:v>
                </c:pt>
                <c:pt idx="1142">
                  <c:v>3.0665080641453343E-2</c:v>
                </c:pt>
                <c:pt idx="1143">
                  <c:v>3.0664068146645348E-2</c:v>
                </c:pt>
                <c:pt idx="1144">
                  <c:v>3.0663099711493922E-2</c:v>
                </c:pt>
                <c:pt idx="1145">
                  <c:v>3.0663418029713285E-2</c:v>
                </c:pt>
                <c:pt idx="1146">
                  <c:v>3.0661295020101467E-2</c:v>
                </c:pt>
                <c:pt idx="1147">
                  <c:v>3.0660458763842387E-2</c:v>
                </c:pt>
                <c:pt idx="1148">
                  <c:v>3.0659666567196042E-2</c:v>
                </c:pt>
                <c:pt idx="1149">
                  <c:v>3.0660173436386773E-2</c:v>
                </c:pt>
                <c:pt idx="1150">
                  <c:v>3.0659472446435687E-2</c:v>
                </c:pt>
                <c:pt idx="1151">
                  <c:v>3.0657554334843146E-2</c:v>
                </c:pt>
                <c:pt idx="1152">
                  <c:v>3.0656938376560056E-2</c:v>
                </c:pt>
                <c:pt idx="1153">
                  <c:v>3.0656366477848442E-2</c:v>
                </c:pt>
                <c:pt idx="1154">
                  <c:v>3.0652029402364254E-2</c:v>
                </c:pt>
                <c:pt idx="1155">
                  <c:v>3.0656628446547596E-2</c:v>
                </c:pt>
                <c:pt idx="1156">
                  <c:v>3.0654915139085723E-2</c:v>
                </c:pt>
                <c:pt idx="1157">
                  <c:v>3.0654519478603284E-2</c:v>
                </c:pt>
                <c:pt idx="1158">
                  <c:v>3.0656734105040009E-2</c:v>
                </c:pt>
                <c:pt idx="1159">
                  <c:v>3.0653860336265153E-2</c:v>
                </c:pt>
                <c:pt idx="1160">
                  <c:v>3.0654886029217177E-2</c:v>
                </c:pt>
                <c:pt idx="1161">
                  <c:v>3.0653377432078837E-2</c:v>
                </c:pt>
                <c:pt idx="1162">
                  <c:v>3.0653202069286161E-2</c:v>
                </c:pt>
                <c:pt idx="1163">
                  <c:v>3.0653070766018548E-2</c:v>
                </c:pt>
                <c:pt idx="1164">
                  <c:v>3.0652983522283732E-2</c:v>
                </c:pt>
                <c:pt idx="1165">
                  <c:v>3.0652940338073975E-2</c:v>
                </c:pt>
                <c:pt idx="1166">
                  <c:v>3.06529412133867E-2</c:v>
                </c:pt>
                <c:pt idx="1167">
                  <c:v>3.0652986148232222E-2</c:v>
                </c:pt>
                <c:pt idx="1168">
                  <c:v>3.0653075142600225E-2</c:v>
                </c:pt>
                <c:pt idx="1169">
                  <c:v>3.0653208196503606E-2</c:v>
                </c:pt>
                <c:pt idx="1170">
                  <c:v>3.0654705940523219E-2</c:v>
                </c:pt>
                <c:pt idx="1171">
                  <c:v>3.0653714758913687E-2</c:v>
                </c:pt>
                <c:pt idx="1172">
                  <c:v>3.0653998874068316E-2</c:v>
                </c:pt>
                <c:pt idx="1173">
                  <c:v>3.06543270487609E-2</c:v>
                </c:pt>
                <c:pt idx="1174">
                  <c:v>3.065475605601127E-2</c:v>
                </c:pt>
                <c:pt idx="1175">
                  <c:v>3.0655115576772817E-2</c:v>
                </c:pt>
                <c:pt idx="1176">
                  <c:v>3.0651555059268025E-2</c:v>
                </c:pt>
                <c:pt idx="1177">
                  <c:v>3.0652049904558481E-2</c:v>
                </c:pt>
                <c:pt idx="1178">
                  <c:v>3.0652669378753279E-2</c:v>
                </c:pt>
                <c:pt idx="1179">
                  <c:v>3.0653171740100085E-2</c:v>
                </c:pt>
                <c:pt idx="1180">
                  <c:v>3.0657857939061041E-2</c:v>
                </c:pt>
                <c:pt idx="1181">
                  <c:v>3.0658538590240331E-2</c:v>
                </c:pt>
                <c:pt idx="1182">
                  <c:v>3.0659263301006566E-2</c:v>
                </c:pt>
                <c:pt idx="1183">
                  <c:v>3.0660032071372644E-2</c:v>
                </c:pt>
                <c:pt idx="1184">
                  <c:v>3.065947860837781E-2</c:v>
                </c:pt>
                <c:pt idx="1185">
                  <c:v>3.0660332278235281E-2</c:v>
                </c:pt>
                <c:pt idx="1186">
                  <c:v>3.0661229995575745E-2</c:v>
                </c:pt>
                <c:pt idx="1187">
                  <c:v>3.0662440564532822E-2</c:v>
                </c:pt>
                <c:pt idx="1188">
                  <c:v>3.0663129295322555E-2</c:v>
                </c:pt>
                <c:pt idx="1189">
                  <c:v>3.0665608834852039E-2</c:v>
                </c:pt>
                <c:pt idx="1190">
                  <c:v>3.0666427802904125E-2</c:v>
                </c:pt>
                <c:pt idx="1191">
                  <c:v>3.0667358663312234E-2</c:v>
                </c:pt>
                <c:pt idx="1192">
                  <c:v>3.0668385807008782E-2</c:v>
                </c:pt>
                <c:pt idx="1193">
                  <c:v>3.0667765619223353E-2</c:v>
                </c:pt>
                <c:pt idx="1194">
                  <c:v>3.0668608627369309E-2</c:v>
                </c:pt>
                <c:pt idx="1195">
                  <c:v>3.0669421661430718E-2</c:v>
                </c:pt>
                <c:pt idx="1196">
                  <c:v>3.0670204721410244E-2</c:v>
                </c:pt>
                <c:pt idx="1197">
                  <c:v>3.0672314365473127E-2</c:v>
                </c:pt>
                <c:pt idx="1198">
                  <c:v>3.0673035397605193E-2</c:v>
                </c:pt>
                <c:pt idx="1199">
                  <c:v>3.0673726453086417E-2</c:v>
                </c:pt>
                <c:pt idx="1200">
                  <c:v>3.0674387531911648E-2</c:v>
                </c:pt>
                <c:pt idx="1201">
                  <c:v>3.0675018634070569E-2</c:v>
                </c:pt>
                <c:pt idx="1202">
                  <c:v>3.0675619759563177E-2</c:v>
                </c:pt>
                <c:pt idx="1203">
                  <c:v>3.0676190908384318E-2</c:v>
                </c:pt>
                <c:pt idx="1204">
                  <c:v>3.0676732080528832E-2</c:v>
                </c:pt>
                <c:pt idx="1205">
                  <c:v>3.067731385684112E-2</c:v>
                </c:pt>
                <c:pt idx="1206">
                  <c:v>3.0676453343992272E-2</c:v>
                </c:pt>
                <c:pt idx="1207">
                  <c:v>3.0676840090011481E-2</c:v>
                </c:pt>
                <c:pt idx="1208">
                  <c:v>3.0677263460571425E-2</c:v>
                </c:pt>
                <c:pt idx="1209">
                  <c:v>3.0677656856985536E-2</c:v>
                </c:pt>
                <c:pt idx="1210">
                  <c:v>3.067934960297021E-2</c:v>
                </c:pt>
                <c:pt idx="1211">
                  <c:v>3.0679680938275208E-2</c:v>
                </c:pt>
                <c:pt idx="1212">
                  <c:v>3.0680022901027518E-2</c:v>
                </c:pt>
                <c:pt idx="1213">
                  <c:v>3.0680253678770239E-2</c:v>
                </c:pt>
                <c:pt idx="1214">
                  <c:v>3.0681815813811963E-2</c:v>
                </c:pt>
                <c:pt idx="1215">
                  <c:v>3.067938777829049E-2</c:v>
                </c:pt>
                <c:pt idx="1216">
                  <c:v>3.0679595134092352E-2</c:v>
                </c:pt>
                <c:pt idx="1217">
                  <c:v>3.0679724958800669E-2</c:v>
                </c:pt>
                <c:pt idx="1218">
                  <c:v>3.0682473158620549E-2</c:v>
                </c:pt>
                <c:pt idx="1219">
                  <c:v>3.0681252459219554E-2</c:v>
                </c:pt>
                <c:pt idx="1220">
                  <c:v>3.0681314004128078E-2</c:v>
                </c:pt>
                <c:pt idx="1221">
                  <c:v>3.0681345572321297E-2</c:v>
                </c:pt>
                <c:pt idx="1222">
                  <c:v>3.0681347163799215E-2</c:v>
                </c:pt>
                <c:pt idx="1223">
                  <c:v>3.0681312276444276E-2</c:v>
                </c:pt>
                <c:pt idx="1224">
                  <c:v>3.0681249632102947E-2</c:v>
                </c:pt>
                <c:pt idx="1225">
                  <c:v>3.0681157011041158E-2</c:v>
                </c:pt>
                <c:pt idx="1226">
                  <c:v>3.0681034413266646E-2</c:v>
                </c:pt>
                <c:pt idx="1227">
                  <c:v>3.0680881838776829E-2</c:v>
                </c:pt>
                <c:pt idx="1228">
                  <c:v>3.067682710682838E-2</c:v>
                </c:pt>
                <c:pt idx="1229">
                  <c:v>3.067662105511269E-2</c:v>
                </c:pt>
                <c:pt idx="1230">
                  <c:v>3.0676385034344049E-2</c:v>
                </c:pt>
                <c:pt idx="1231">
                  <c:v>3.0676119044519595E-2</c:v>
                </c:pt>
                <c:pt idx="1232">
                  <c:v>3.0679669315678129E-2</c:v>
                </c:pt>
                <c:pt idx="1233">
                  <c:v>3.0684454631580187E-2</c:v>
                </c:pt>
                <c:pt idx="1234">
                  <c:v>3.0678974469497536E-2</c:v>
                </c:pt>
                <c:pt idx="1235">
                  <c:v>3.0678582081360071E-2</c:v>
                </c:pt>
                <c:pt idx="1236">
                  <c:v>3.0676886466223685E-2</c:v>
                </c:pt>
                <c:pt idx="1237">
                  <c:v>3.0676436304204024E-2</c:v>
                </c:pt>
                <c:pt idx="1238">
                  <c:v>3.0678349874259103E-2</c:v>
                </c:pt>
                <c:pt idx="1239">
                  <c:v>3.0679092635136455E-2</c:v>
                </c:pt>
                <c:pt idx="1240">
                  <c:v>3.0677273804298466E-2</c:v>
                </c:pt>
                <c:pt idx="1241">
                  <c:v>3.0676690800480744E-2</c:v>
                </c:pt>
                <c:pt idx="1242">
                  <c:v>3.0676077817441416E-2</c:v>
                </c:pt>
                <c:pt idx="1243">
                  <c:v>3.0675434855185479E-2</c:v>
                </c:pt>
                <c:pt idx="1244">
                  <c:v>3.0674761913720427E-2</c:v>
                </c:pt>
                <c:pt idx="1245">
                  <c:v>3.0674058993048758E-2</c:v>
                </c:pt>
                <c:pt idx="1246">
                  <c:v>3.0673326093177966E-2</c:v>
                </c:pt>
                <c:pt idx="1247">
                  <c:v>3.0672563214118043E-2</c:v>
                </c:pt>
                <c:pt idx="1248">
                  <c:v>3.067177035586649E-2</c:v>
                </c:pt>
                <c:pt idx="1249">
                  <c:v>3.0670947518430802E-2</c:v>
                </c:pt>
                <c:pt idx="1250">
                  <c:v>3.0670094701828465E-2</c:v>
                </c:pt>
                <c:pt idx="1251">
                  <c:v>3.0669211906051985E-2</c:v>
                </c:pt>
                <c:pt idx="1252">
                  <c:v>3.0669536286454375E-2</c:v>
                </c:pt>
                <c:pt idx="1253">
                  <c:v>3.0663650725530896E-2</c:v>
                </c:pt>
                <c:pt idx="1254">
                  <c:v>3.0666383643795092E-2</c:v>
                </c:pt>
                <c:pt idx="1255">
                  <c:v>3.0665380931421959E-2</c:v>
                </c:pt>
                <c:pt idx="1256">
                  <c:v>3.066434823991715E-2</c:v>
                </c:pt>
                <c:pt idx="1257">
                  <c:v>3.0663285569295651E-2</c:v>
                </c:pt>
                <c:pt idx="1258">
                  <c:v>3.0662192919554965E-2</c:v>
                </c:pt>
                <c:pt idx="1259">
                  <c:v>3.0662291840274462E-2</c:v>
                </c:pt>
                <c:pt idx="1260">
                  <c:v>3.0659917682773485E-2</c:v>
                </c:pt>
                <c:pt idx="1261">
                  <c:v>3.065873509574768E-2</c:v>
                </c:pt>
                <c:pt idx="1262">
                  <c:v>3.0657522529647652E-2</c:v>
                </c:pt>
                <c:pt idx="1263">
                  <c:v>3.0656279984475898E-2</c:v>
                </c:pt>
                <c:pt idx="1264">
                  <c:v>3.0655007460247408E-2</c:v>
                </c:pt>
                <c:pt idx="1265">
                  <c:v>3.0653704956972172E-2</c:v>
                </c:pt>
                <c:pt idx="1266">
                  <c:v>3.064875413773863E-2</c:v>
                </c:pt>
                <c:pt idx="1267">
                  <c:v>3.0651010013321434E-2</c:v>
                </c:pt>
                <c:pt idx="1268">
                  <c:v>3.0649617572968413E-2</c:v>
                </c:pt>
                <c:pt idx="1269">
                  <c:v>3.0648195153608615E-2</c:v>
                </c:pt>
                <c:pt idx="1270">
                  <c:v>3.0647729272957589E-2</c:v>
                </c:pt>
                <c:pt idx="1271">
                  <c:v>3.0645260377921146E-2</c:v>
                </c:pt>
                <c:pt idx="1272">
                  <c:v>3.0643748021618455E-2</c:v>
                </c:pt>
                <c:pt idx="1273">
                  <c:v>3.0643395650272645E-2</c:v>
                </c:pt>
                <c:pt idx="1274">
                  <c:v>3.0638534909613557E-2</c:v>
                </c:pt>
                <c:pt idx="1275">
                  <c:v>3.0637614497245301E-2</c:v>
                </c:pt>
                <c:pt idx="1276">
                  <c:v>3.0637398806951932E-2</c:v>
                </c:pt>
                <c:pt idx="1277">
                  <c:v>3.0636917403918738E-2</c:v>
                </c:pt>
                <c:pt idx="1278">
                  <c:v>3.0634044326123822E-2</c:v>
                </c:pt>
                <c:pt idx="1279">
                  <c:v>3.0628792384313236E-2</c:v>
                </c:pt>
                <c:pt idx="1280">
                  <c:v>3.062704706571738E-2</c:v>
                </c:pt>
                <c:pt idx="1281">
                  <c:v>3.0625271775879488E-2</c:v>
                </c:pt>
                <c:pt idx="1282">
                  <c:v>3.0623466514816091E-2</c:v>
                </c:pt>
                <c:pt idx="1283">
                  <c:v>3.0626300591694227E-2</c:v>
                </c:pt>
                <c:pt idx="1284">
                  <c:v>3.0623261390964052E-2</c:v>
                </c:pt>
                <c:pt idx="1285">
                  <c:v>3.0621359309236929E-2</c:v>
                </c:pt>
                <c:pt idx="1286">
                  <c:v>3.0619427248732844E-2</c:v>
                </c:pt>
                <c:pt idx="1287">
                  <c:v>3.0617465209461792E-2</c:v>
                </c:pt>
                <c:pt idx="1288">
                  <c:v>3.0616628761043915E-2</c:v>
                </c:pt>
                <c:pt idx="1289">
                  <c:v>3.0613451194693719E-2</c:v>
                </c:pt>
                <c:pt idx="1290">
                  <c:v>3.0611399219229174E-2</c:v>
                </c:pt>
                <c:pt idx="1291">
                  <c:v>3.0609317265062608E-2</c:v>
                </c:pt>
                <c:pt idx="1292">
                  <c:v>3.0603765489629692E-2</c:v>
                </c:pt>
                <c:pt idx="1293">
                  <c:v>3.0605063420700851E-2</c:v>
                </c:pt>
                <c:pt idx="1294">
                  <c:v>3.0602891530533138E-2</c:v>
                </c:pt>
                <c:pt idx="1295">
                  <c:v>3.0600689661738345E-2</c:v>
                </c:pt>
                <c:pt idx="1296">
                  <c:v>3.0598457814328961E-2</c:v>
                </c:pt>
                <c:pt idx="1297">
                  <c:v>3.0597330647582736E-2</c:v>
                </c:pt>
                <c:pt idx="1298">
                  <c:v>3.0593904183733867E-2</c:v>
                </c:pt>
                <c:pt idx="1299">
                  <c:v>3.0591582400588124E-2</c:v>
                </c:pt>
                <c:pt idx="1300">
                  <c:v>3.0589230638900233E-2</c:v>
                </c:pt>
                <c:pt idx="1301">
                  <c:v>3.058684889868768E-2</c:v>
                </c:pt>
                <c:pt idx="1302">
                  <c:v>3.0584437179972945E-2</c:v>
                </c:pt>
                <c:pt idx="1303">
                  <c:v>3.0581995482771018E-2</c:v>
                </c:pt>
                <c:pt idx="1304">
                  <c:v>3.0579523807106879E-2</c:v>
                </c:pt>
                <c:pt idx="1305">
                  <c:v>3.0578138053322206E-2</c:v>
                </c:pt>
                <c:pt idx="1306">
                  <c:v>3.057560406455551E-2</c:v>
                </c:pt>
                <c:pt idx="1307">
                  <c:v>3.0571928909516044E-2</c:v>
                </c:pt>
                <c:pt idx="1308">
                  <c:v>3.0569337320187906E-2</c:v>
                </c:pt>
                <c:pt idx="1309">
                  <c:v>3.0566715752497475E-2</c:v>
                </c:pt>
                <c:pt idx="1310">
                  <c:v>3.056406420645974E-2</c:v>
                </c:pt>
                <c:pt idx="1311">
                  <c:v>3.0562484407209538E-2</c:v>
                </c:pt>
                <c:pt idx="1312">
                  <c:v>3.0558671179444774E-2</c:v>
                </c:pt>
                <c:pt idx="1313">
                  <c:v>3.0555929698505013E-2</c:v>
                </c:pt>
                <c:pt idx="1314">
                  <c:v>3.0549873440662803E-2</c:v>
                </c:pt>
                <c:pt idx="1315">
                  <c:v>3.0550356801878342E-2</c:v>
                </c:pt>
                <c:pt idx="1316">
                  <c:v>3.05475253862314E-2</c:v>
                </c:pt>
                <c:pt idx="1317">
                  <c:v>3.0544663992397025E-2</c:v>
                </c:pt>
                <c:pt idx="1318">
                  <c:v>3.0541772620392704E-2</c:v>
                </c:pt>
                <c:pt idx="1319">
                  <c:v>3.0538851270245915E-2</c:v>
                </c:pt>
                <c:pt idx="1320">
                  <c:v>3.0534395758999675E-2</c:v>
                </c:pt>
                <c:pt idx="1321">
                  <c:v>3.0532918635609863E-2</c:v>
                </c:pt>
                <c:pt idx="1322">
                  <c:v>3.0530549879629637E-2</c:v>
                </c:pt>
                <c:pt idx="1323">
                  <c:v>3.0527939191350745E-2</c:v>
                </c:pt>
                <c:pt idx="1324">
                  <c:v>3.0523794848161812E-2</c:v>
                </c:pt>
                <c:pt idx="1325">
                  <c:v>3.0521761926721232E-2</c:v>
                </c:pt>
                <c:pt idx="1326">
                  <c:v>3.0517562433147738E-2</c:v>
                </c:pt>
                <c:pt idx="1327">
                  <c:v>3.0511062994015042E-2</c:v>
                </c:pt>
                <c:pt idx="1328">
                  <c:v>3.0509690884966724E-2</c:v>
                </c:pt>
                <c:pt idx="1329">
                  <c:v>3.0506467886198211E-2</c:v>
                </c:pt>
                <c:pt idx="1330">
                  <c:v>3.0504270976709769E-2</c:v>
                </c:pt>
                <c:pt idx="1331">
                  <c:v>3.0499931962592007E-2</c:v>
                </c:pt>
                <c:pt idx="1332">
                  <c:v>3.0493464336458179E-2</c:v>
                </c:pt>
                <c:pt idx="1333">
                  <c:v>3.0490128706331783E-2</c:v>
                </c:pt>
                <c:pt idx="1334">
                  <c:v>3.0486763108451394E-2</c:v>
                </c:pt>
                <c:pt idx="1335">
                  <c:v>3.0483367542842706E-2</c:v>
                </c:pt>
                <c:pt idx="1336">
                  <c:v>3.0483067586015496E-2</c:v>
                </c:pt>
                <c:pt idx="1337">
                  <c:v>3.0479604785037924E-2</c:v>
                </c:pt>
                <c:pt idx="1338">
                  <c:v>3.0477148650889518E-2</c:v>
                </c:pt>
                <c:pt idx="1339">
                  <c:v>3.0472589257640199E-2</c:v>
                </c:pt>
                <c:pt idx="1340">
                  <c:v>3.0470068292584862E-2</c:v>
                </c:pt>
                <c:pt idx="1341">
                  <c:v>3.0465453829825139E-2</c:v>
                </c:pt>
                <c:pt idx="1342">
                  <c:v>3.0458737661448687E-2</c:v>
                </c:pt>
                <c:pt idx="1343">
                  <c:v>3.0458198501814502E-2</c:v>
                </c:pt>
                <c:pt idx="1344">
                  <c:v>3.0455547845340269E-2</c:v>
                </c:pt>
                <c:pt idx="1345">
                  <c:v>3.0450823273832622E-2</c:v>
                </c:pt>
                <c:pt idx="1346">
                  <c:v>3.0447090697424666E-2</c:v>
                </c:pt>
                <c:pt idx="1347">
                  <c:v>3.0443328146108992E-2</c:v>
                </c:pt>
                <c:pt idx="1348">
                  <c:v>3.043953561991139E-2</c:v>
                </c:pt>
                <c:pt idx="1349">
                  <c:v>3.0436722793725224E-2</c:v>
                </c:pt>
                <c:pt idx="1350">
                  <c:v>3.0431860643007052E-2</c:v>
                </c:pt>
                <c:pt idx="1351">
                  <c:v>3.0427978192357048E-2</c:v>
                </c:pt>
                <c:pt idx="1352">
                  <c:v>3.0424065766946305E-2</c:v>
                </c:pt>
                <c:pt idx="1353">
                  <c:v>3.0420123366805767E-2</c:v>
                </c:pt>
                <c:pt idx="1354">
                  <c:v>3.0416150991966377E-2</c:v>
                </c:pt>
                <c:pt idx="1355">
                  <c:v>3.0412148642461657E-2</c:v>
                </c:pt>
                <c:pt idx="1356">
                  <c:v>3.0408116318317392E-2</c:v>
                </c:pt>
                <c:pt idx="1357">
                  <c:v>3.0406033584834707E-2</c:v>
                </c:pt>
                <c:pt idx="1358">
                  <c:v>3.0400949133108923E-2</c:v>
                </c:pt>
                <c:pt idx="1359">
                  <c:v>3.0395839498374808E-2</c:v>
                </c:pt>
                <c:pt idx="1360">
                  <c:v>3.0391687275994689E-2</c:v>
                </c:pt>
                <c:pt idx="1361">
                  <c:v>3.0387505079137473E-2</c:v>
                </c:pt>
                <c:pt idx="1362">
                  <c:v>3.0383292907831528E-2</c:v>
                </c:pt>
                <c:pt idx="1363">
                  <c:v>3.0380025679956346E-2</c:v>
                </c:pt>
                <c:pt idx="1364">
                  <c:v>3.0374778642010117E-2</c:v>
                </c:pt>
                <c:pt idx="1365">
                  <c:v>3.0370476547561694E-2</c:v>
                </c:pt>
                <c:pt idx="1366">
                  <c:v>3.0366144478793468E-2</c:v>
                </c:pt>
                <c:pt idx="1367">
                  <c:v>3.0361782435749277E-2</c:v>
                </c:pt>
                <c:pt idx="1368">
                  <c:v>3.0357390418457489E-2</c:v>
                </c:pt>
                <c:pt idx="1369">
                  <c:v>3.0352968426941306E-2</c:v>
                </c:pt>
                <c:pt idx="1370">
                  <c:v>3.0348516461257458E-2</c:v>
                </c:pt>
                <c:pt idx="1371">
                  <c:v>3.0344034521421419E-2</c:v>
                </c:pt>
                <c:pt idx="1372">
                  <c:v>3.0336628330559279E-2</c:v>
                </c:pt>
                <c:pt idx="1373">
                  <c:v>3.0334980719450056E-2</c:v>
                </c:pt>
                <c:pt idx="1374">
                  <c:v>3.0332303206680358E-2</c:v>
                </c:pt>
                <c:pt idx="1375">
                  <c:v>3.0326751761467208E-2</c:v>
                </c:pt>
                <c:pt idx="1376">
                  <c:v>3.0321175211278566E-2</c:v>
                </c:pt>
                <c:pt idx="1377">
                  <c:v>3.0317453103341219E-2</c:v>
                </c:pt>
                <c:pt idx="1378">
                  <c:v>3.0311821669427835E-2</c:v>
                </c:pt>
                <c:pt idx="1379">
                  <c:v>3.0308034539794637E-2</c:v>
                </c:pt>
                <c:pt idx="1380">
                  <c:v>3.0302348232133854E-2</c:v>
                </c:pt>
                <c:pt idx="1381">
                  <c:v>3.0297566552784604E-2</c:v>
                </c:pt>
                <c:pt idx="1382">
                  <c:v>3.0293681872455014E-2</c:v>
                </c:pt>
                <c:pt idx="1383">
                  <c:v>3.0287913272864671E-2</c:v>
                </c:pt>
                <c:pt idx="1384">
                  <c:v>3.0280274900527728E-2</c:v>
                </c:pt>
                <c:pt idx="1385">
                  <c:v>3.0275380982822356E-2</c:v>
                </c:pt>
                <c:pt idx="1386">
                  <c:v>3.0270457098858942E-2</c:v>
                </c:pt>
                <c:pt idx="1387">
                  <c:v>3.026550324867459E-2</c:v>
                </c:pt>
                <c:pt idx="1388">
                  <c:v>3.0263255534365905E-2</c:v>
                </c:pt>
                <c:pt idx="1389">
                  <c:v>3.0259143151316892E-2</c:v>
                </c:pt>
                <c:pt idx="1390">
                  <c:v>3.025318262428825E-2</c:v>
                </c:pt>
                <c:pt idx="1391">
                  <c:v>3.0248101209118323E-2</c:v>
                </c:pt>
                <c:pt idx="1392">
                  <c:v>3.0240284505600772E-2</c:v>
                </c:pt>
                <c:pt idx="1393">
                  <c:v>3.0233999546035228E-2</c:v>
                </c:pt>
                <c:pt idx="1394">
                  <c:v>3.0232677123535379E-2</c:v>
                </c:pt>
                <c:pt idx="1395">
                  <c:v>3.0227475815124309E-2</c:v>
                </c:pt>
                <c:pt idx="1396">
                  <c:v>3.022402649340011E-2</c:v>
                </c:pt>
                <c:pt idx="1397">
                  <c:v>3.0216983278697502E-2</c:v>
                </c:pt>
                <c:pt idx="1398">
                  <c:v>3.0211692050772017E-2</c:v>
                </c:pt>
                <c:pt idx="1399">
                  <c:v>3.0206370849754138E-2</c:v>
                </c:pt>
                <c:pt idx="1400">
                  <c:v>3.0201019675692855E-2</c:v>
                </c:pt>
                <c:pt idx="1401">
                  <c:v>3.019563852862427E-2</c:v>
                </c:pt>
                <c:pt idx="1402">
                  <c:v>3.0190227408587064E-2</c:v>
                </c:pt>
                <c:pt idx="1403">
                  <c:v>3.0184786315630225E-2</c:v>
                </c:pt>
                <c:pt idx="1404">
                  <c:v>3.0179315249789857E-2</c:v>
                </c:pt>
                <c:pt idx="1405">
                  <c:v>3.0173814211109793E-2</c:v>
                </c:pt>
                <c:pt idx="1406">
                  <c:v>3.0168283199633873E-2</c:v>
                </c:pt>
                <c:pt idx="1407">
                  <c:v>3.016272221540851E-2</c:v>
                </c:pt>
                <c:pt idx="1408">
                  <c:v>3.0157131258467224E-2</c:v>
                </c:pt>
                <c:pt idx="1409">
                  <c:v>3.015236764890461E-2</c:v>
                </c:pt>
                <c:pt idx="1410">
                  <c:v>3.0146714132949226E-2</c:v>
                </c:pt>
                <c:pt idx="1411">
                  <c:v>3.0140178551817137E-2</c:v>
                </c:pt>
                <c:pt idx="1412">
                  <c:v>3.013446770447115E-2</c:v>
                </c:pt>
                <c:pt idx="1413">
                  <c:v>3.0128726884628421E-2</c:v>
                </c:pt>
                <c:pt idx="1414">
                  <c:v>3.0122956092337942E-2</c:v>
                </c:pt>
                <c:pt idx="1415">
                  <c:v>3.0117996929176771E-2</c:v>
                </c:pt>
                <c:pt idx="1416">
                  <c:v>3.0111324590596816E-2</c:v>
                </c:pt>
                <c:pt idx="1417">
                  <c:v>3.0105463881231261E-2</c:v>
                </c:pt>
                <c:pt idx="1418">
                  <c:v>3.0100406909346067E-2</c:v>
                </c:pt>
                <c:pt idx="1419">
                  <c:v>3.0093652545739664E-2</c:v>
                </c:pt>
                <c:pt idx="1420">
                  <c:v>3.0087701919706448E-2</c:v>
                </c:pt>
                <c:pt idx="1421">
                  <c:v>3.0081721321540071E-2</c:v>
                </c:pt>
                <c:pt idx="1422">
                  <c:v>3.0075710751286944E-2</c:v>
                </c:pt>
                <c:pt idx="1423">
                  <c:v>3.0069670208998645E-2</c:v>
                </c:pt>
                <c:pt idx="1424">
                  <c:v>3.0060171937535962E-2</c:v>
                </c:pt>
                <c:pt idx="1425">
                  <c:v>3.0057499208491857E-2</c:v>
                </c:pt>
                <c:pt idx="1426">
                  <c:v>3.0052993661437585E-2</c:v>
                </c:pt>
                <c:pt idx="1427">
                  <c:v>3.0046018225227122E-2</c:v>
                </c:pt>
                <c:pt idx="1428">
                  <c:v>3.0039017918612743E-2</c:v>
                </c:pt>
                <c:pt idx="1429">
                  <c:v>3.0033602133614778E-2</c:v>
                </c:pt>
                <c:pt idx="1430">
                  <c:v>3.0026547199837685E-2</c:v>
                </c:pt>
                <c:pt idx="1431">
                  <c:v>3.0021865198658047E-2</c:v>
                </c:pt>
                <c:pt idx="1432">
                  <c:v>3.001395659442524E-2</c:v>
                </c:pt>
                <c:pt idx="1433">
                  <c:v>3.0007616334353442E-2</c:v>
                </c:pt>
                <c:pt idx="1434">
                  <c:v>3.0002037358823341E-2</c:v>
                </c:pt>
                <c:pt idx="1435">
                  <c:v>2.9994845899718514E-2</c:v>
                </c:pt>
                <c:pt idx="1436">
                  <c:v>2.9986056737092426E-2</c:v>
                </c:pt>
                <c:pt idx="1437">
                  <c:v>2.9979604624122809E-2</c:v>
                </c:pt>
                <c:pt idx="1438">
                  <c:v>2.9973122546953501E-2</c:v>
                </c:pt>
                <c:pt idx="1439">
                  <c:v>2.9969723238004176E-2</c:v>
                </c:pt>
                <c:pt idx="1440">
                  <c:v>2.996239531425331E-2</c:v>
                </c:pt>
                <c:pt idx="1441">
                  <c:v>2.9955815283467264E-2</c:v>
                </c:pt>
                <c:pt idx="1442">
                  <c:v>2.9949205281571752E-2</c:v>
                </c:pt>
                <c:pt idx="1443">
                  <c:v>2.9938757581970812E-2</c:v>
                </c:pt>
                <c:pt idx="1444">
                  <c:v>2.9935895364640568E-2</c:v>
                </c:pt>
                <c:pt idx="1445">
                  <c:v>2.9929957165336918E-2</c:v>
                </c:pt>
                <c:pt idx="1446">
                  <c:v>2.9922465563877489E-2</c:v>
                </c:pt>
                <c:pt idx="1447">
                  <c:v>2.9915707947111972E-2</c:v>
                </c:pt>
                <c:pt idx="1448">
                  <c:v>2.9909690842297165E-2</c:v>
                </c:pt>
                <c:pt idx="1449">
                  <c:v>2.9902156559419982E-2</c:v>
                </c:pt>
                <c:pt idx="1450">
                  <c:v>2.9895389667622108E-2</c:v>
                </c:pt>
                <c:pt idx="1451">
                  <c:v>2.9888646145269971E-2</c:v>
                </c:pt>
                <c:pt idx="1452">
                  <c:v>2.9881931993751339E-2</c:v>
                </c:pt>
                <c:pt idx="1453">
                  <c:v>2.9875247389338114E-2</c:v>
                </c:pt>
                <c:pt idx="1454">
                  <c:v>2.9868592331970992E-2</c:v>
                </c:pt>
                <c:pt idx="1455">
                  <c:v>2.9861966821603553E-2</c:v>
                </c:pt>
                <c:pt idx="1456">
                  <c:v>2.9855370858186805E-2</c:v>
                </c:pt>
                <c:pt idx="1457">
                  <c:v>2.9849574494010267E-2</c:v>
                </c:pt>
                <c:pt idx="1458">
                  <c:v>2.9842267571996525E-2</c:v>
                </c:pt>
                <c:pt idx="1459">
                  <c:v>2.9835760249130164E-2</c:v>
                </c:pt>
                <c:pt idx="1460">
                  <c:v>2.9829282473010785E-2</c:v>
                </c:pt>
                <c:pt idx="1461">
                  <c:v>2.9823610588921856E-2</c:v>
                </c:pt>
                <c:pt idx="1462">
                  <c:v>2.9817193485790483E-2</c:v>
                </c:pt>
                <c:pt idx="1463">
                  <c:v>2.9810026424657524E-2</c:v>
                </c:pt>
                <c:pt idx="1464">
                  <c:v>2.9803666835043888E-2</c:v>
                </c:pt>
                <c:pt idx="1465">
                  <c:v>2.9797336791940007E-2</c:v>
                </c:pt>
                <c:pt idx="1466">
                  <c:v>2.9788684657369644E-2</c:v>
                </c:pt>
                <c:pt idx="1467">
                  <c:v>2.9785551206503724E-2</c:v>
                </c:pt>
                <c:pt idx="1468">
                  <c:v>2.9778523941168606E-2</c:v>
                </c:pt>
                <c:pt idx="1469">
                  <c:v>2.9772312083603501E-2</c:v>
                </c:pt>
                <c:pt idx="1470">
                  <c:v>2.9767711276372084E-2</c:v>
                </c:pt>
                <c:pt idx="1471">
                  <c:v>2.9759977007231559E-2</c:v>
                </c:pt>
                <c:pt idx="1472">
                  <c:v>2.9754647649922472E-2</c:v>
                </c:pt>
                <c:pt idx="1473">
                  <c:v>2.9747760115544884E-2</c:v>
                </c:pt>
                <c:pt idx="1474">
                  <c:v>2.9741695988847319E-2</c:v>
                </c:pt>
                <c:pt idx="1475">
                  <c:v>2.973566140818247E-2</c:v>
                </c:pt>
                <c:pt idx="1476">
                  <c:v>2.9729656373503922E-2</c:v>
                </c:pt>
                <c:pt idx="1477">
                  <c:v>2.9723680884767845E-2</c:v>
                </c:pt>
                <c:pt idx="1478">
                  <c:v>2.9717734941930397E-2</c:v>
                </c:pt>
                <c:pt idx="1479">
                  <c:v>2.9711818544942589E-2</c:v>
                </c:pt>
                <c:pt idx="1480">
                  <c:v>2.9705931693760578E-2</c:v>
                </c:pt>
                <c:pt idx="1481">
                  <c:v>2.9700074388337959E-2</c:v>
                </c:pt>
                <c:pt idx="1482">
                  <c:v>2.9695056680758281E-2</c:v>
                </c:pt>
                <c:pt idx="1483">
                  <c:v>2.968597251031652E-2</c:v>
                </c:pt>
                <c:pt idx="1484">
                  <c:v>2.9680216504311782E-2</c:v>
                </c:pt>
                <c:pt idx="1485">
                  <c:v>2.9674490043873042E-2</c:v>
                </c:pt>
                <c:pt idx="1486">
                  <c:v>2.9667981695847369E-2</c:v>
                </c:pt>
                <c:pt idx="1487">
                  <c:v>2.96631257595182E-2</c:v>
                </c:pt>
                <c:pt idx="1488">
                  <c:v>2.9655847354380607E-2</c:v>
                </c:pt>
                <c:pt idx="1489">
                  <c:v>2.9650235778423597E-2</c:v>
                </c:pt>
                <c:pt idx="1490">
                  <c:v>2.964385872057905E-2</c:v>
                </c:pt>
                <c:pt idx="1491">
                  <c:v>2.9639101247438095E-2</c:v>
                </c:pt>
                <c:pt idx="1492">
                  <c:v>2.9635232093008727E-2</c:v>
                </c:pt>
                <c:pt idx="1493">
                  <c:v>2.9629741995543048E-2</c:v>
                </c:pt>
                <c:pt idx="1494">
                  <c:v>2.9624281443264316E-2</c:v>
                </c:pt>
                <c:pt idx="1495">
                  <c:v>2.9618850436120954E-2</c:v>
                </c:pt>
                <c:pt idx="1496">
                  <c:v>2.9612615321482849E-2</c:v>
                </c:pt>
                <c:pt idx="1497">
                  <c:v>2.9607241735589263E-2</c:v>
                </c:pt>
                <c:pt idx="1498">
                  <c:v>2.9600376248839488E-2</c:v>
                </c:pt>
                <c:pt idx="1499">
                  <c:v>2.9596583191296766E-2</c:v>
                </c:pt>
                <c:pt idx="1500">
                  <c:v>2.959129823281792E-2</c:v>
                </c:pt>
                <c:pt idx="1501">
                  <c:v>2.9586136716846817E-2</c:v>
                </c:pt>
                <c:pt idx="1502">
                  <c:v>2.9581660646594305E-2</c:v>
                </c:pt>
                <c:pt idx="1503">
                  <c:v>2.9576465999102793E-2</c:v>
                </c:pt>
                <c:pt idx="1504">
                  <c:v>2.9570565436383072E-2</c:v>
                </c:pt>
                <c:pt idx="1505">
                  <c:v>2.95653165756109E-2</c:v>
                </c:pt>
                <c:pt idx="1506">
                  <c:v>2.9560208870935689E-2</c:v>
                </c:pt>
                <c:pt idx="1507">
                  <c:v>2.9555130708421196E-2</c:v>
                </c:pt>
                <c:pt idx="1508">
                  <c:v>2.9550082088043439E-2</c:v>
                </c:pt>
                <c:pt idx="1509">
                  <c:v>2.954591855306429E-2</c:v>
                </c:pt>
                <c:pt idx="1510">
                  <c:v>2.9540930718183683E-2</c:v>
                </c:pt>
                <c:pt idx="1511">
                  <c:v>2.9535972427809275E-2</c:v>
                </c:pt>
                <c:pt idx="1512">
                  <c:v>2.9531043681902385E-2</c:v>
                </c:pt>
                <c:pt idx="1513">
                  <c:v>2.9526144480424333E-2</c:v>
                </c:pt>
                <c:pt idx="1514">
                  <c:v>2.9521274823339019E-2</c:v>
                </c:pt>
                <c:pt idx="1515">
                  <c:v>2.9516434710612924E-2</c:v>
                </c:pt>
                <c:pt idx="1516">
                  <c:v>2.9511624142202209E-2</c:v>
                </c:pt>
                <c:pt idx="1517">
                  <c:v>2.9506162526402591E-2</c:v>
                </c:pt>
                <c:pt idx="1518">
                  <c:v>2.950054407609759E-2</c:v>
                </c:pt>
                <c:pt idx="1519">
                  <c:v>2.9496497033886904E-2</c:v>
                </c:pt>
                <c:pt idx="1520">
                  <c:v>2.9491802916216336E-2</c:v>
                </c:pt>
                <c:pt idx="1521">
                  <c:v>2.9487138340210883E-2</c:v>
                </c:pt>
                <c:pt idx="1522">
                  <c:v>2.9482503305827912E-2</c:v>
                </c:pt>
                <c:pt idx="1523">
                  <c:v>2.9478777401205403E-2</c:v>
                </c:pt>
                <c:pt idx="1524">
                  <c:v>2.9473552138495143E-2</c:v>
                </c:pt>
                <c:pt idx="1525">
                  <c:v>2.9469658514885807E-2</c:v>
                </c:pt>
                <c:pt idx="1526">
                  <c:v>2.9466028405813194E-2</c:v>
                </c:pt>
                <c:pt idx="1527">
                  <c:v>2.9459771257165812E-2</c:v>
                </c:pt>
                <c:pt idx="1528">
                  <c:v>2.9455313471843603E-2</c:v>
                </c:pt>
                <c:pt idx="1529">
                  <c:v>2.9450885227917389E-2</c:v>
                </c:pt>
                <c:pt idx="1530">
                  <c:v>2.9446486525355198E-2</c:v>
                </c:pt>
                <c:pt idx="1531">
                  <c:v>2.9443904671720977E-2</c:v>
                </c:pt>
                <c:pt idx="1532">
                  <c:v>2.9438673045802371E-2</c:v>
                </c:pt>
                <c:pt idx="1533">
                  <c:v>2.9434364725392265E-2</c:v>
                </c:pt>
                <c:pt idx="1534">
                  <c:v>2.9430085948676101E-2</c:v>
                </c:pt>
                <c:pt idx="1535">
                  <c:v>2.9423726987394261E-2</c:v>
                </c:pt>
                <c:pt idx="1536">
                  <c:v>2.9422223188827382E-2</c:v>
                </c:pt>
                <c:pt idx="1537">
                  <c:v>2.9418950299903223E-2</c:v>
                </c:pt>
                <c:pt idx="1538">
                  <c:v>2.9413896404849899E-2</c:v>
                </c:pt>
                <c:pt idx="1539">
                  <c:v>2.9407052175084658E-2</c:v>
                </c:pt>
                <c:pt idx="1540">
                  <c:v>2.9401138092712831E-2</c:v>
                </c:pt>
                <c:pt idx="1541">
                  <c:v>2.9397069227022739E-2</c:v>
                </c:pt>
                <c:pt idx="1542">
                  <c:v>2.9393029897417655E-2</c:v>
                </c:pt>
                <c:pt idx="1543">
                  <c:v>2.9389020103854753E-2</c:v>
                </c:pt>
                <c:pt idx="1544">
                  <c:v>2.9390542948803552E-2</c:v>
                </c:pt>
                <c:pt idx="1545">
                  <c:v>2.9385683434938095E-2</c:v>
                </c:pt>
                <c:pt idx="1546">
                  <c:v>2.9381771203751812E-2</c:v>
                </c:pt>
                <c:pt idx="1547">
                  <c:v>2.9377888520742766E-2</c:v>
                </c:pt>
                <c:pt idx="1548">
                  <c:v>2.9371261995230213E-2</c:v>
                </c:pt>
                <c:pt idx="1549">
                  <c:v>2.9368741243352148E-2</c:v>
                </c:pt>
                <c:pt idx="1550">
                  <c:v>2.9364949624166026E-2</c:v>
                </c:pt>
                <c:pt idx="1551">
                  <c:v>2.936211789755238E-2</c:v>
                </c:pt>
                <c:pt idx="1552">
                  <c:v>2.935465989950628E-2</c:v>
                </c:pt>
                <c:pt idx="1553">
                  <c:v>2.935375204011853E-2</c:v>
                </c:pt>
                <c:pt idx="1554">
                  <c:v>2.9350078603168905E-2</c:v>
                </c:pt>
                <c:pt idx="1555">
                  <c:v>2.9346434711705338E-2</c:v>
                </c:pt>
                <c:pt idx="1556">
                  <c:v>2.9342820365705347E-2</c:v>
                </c:pt>
                <c:pt idx="1557">
                  <c:v>2.9339235565126465E-2</c:v>
                </c:pt>
                <c:pt idx="1558">
                  <c:v>2.9335680309951206E-2</c:v>
                </c:pt>
                <c:pt idx="1559">
                  <c:v>2.9332154600149596E-2</c:v>
                </c:pt>
                <c:pt idx="1560">
                  <c:v>2.9328658435694155E-2</c:v>
                </c:pt>
                <c:pt idx="1561">
                  <c:v>2.9325191816552409E-2</c:v>
                </c:pt>
                <c:pt idx="1562">
                  <c:v>2.9321754742701878E-2</c:v>
                </c:pt>
                <c:pt idx="1563">
                  <c:v>2.9318347214120077E-2</c:v>
                </c:pt>
                <c:pt idx="1564">
                  <c:v>2.9314969230769539E-2</c:v>
                </c:pt>
                <c:pt idx="1565">
                  <c:v>2.9308754573444489E-2</c:v>
                </c:pt>
                <c:pt idx="1566">
                  <c:v>2.9309259601010176E-2</c:v>
                </c:pt>
                <c:pt idx="1567">
                  <c:v>2.9305012551878173E-2</c:v>
                </c:pt>
                <c:pt idx="1568">
                  <c:v>2.9301752749210375E-2</c:v>
                </c:pt>
                <c:pt idx="1569">
                  <c:v>2.9298522491651435E-2</c:v>
                </c:pt>
                <c:pt idx="1570">
                  <c:v>2.9295321779171379E-2</c:v>
                </c:pt>
                <c:pt idx="1571">
                  <c:v>2.9293117552882917E-2</c:v>
                </c:pt>
                <c:pt idx="1572">
                  <c:v>2.9289008989360488E-2</c:v>
                </c:pt>
                <c:pt idx="1573">
                  <c:v>2.9285896911972198E-2</c:v>
                </c:pt>
                <c:pt idx="1574">
                  <c:v>2.9282814379570365E-2</c:v>
                </c:pt>
                <c:pt idx="1575">
                  <c:v>2.9279761392122516E-2</c:v>
                </c:pt>
                <c:pt idx="1576">
                  <c:v>2.9276737949608667E-2</c:v>
                </c:pt>
                <c:pt idx="1577">
                  <c:v>2.9273744052003836E-2</c:v>
                </c:pt>
                <c:pt idx="1578">
                  <c:v>2.9270779699285543E-2</c:v>
                </c:pt>
                <c:pt idx="1579">
                  <c:v>2.9267844891428807E-2</c:v>
                </c:pt>
                <c:pt idx="1580">
                  <c:v>2.9264939628413644E-2</c:v>
                </c:pt>
                <c:pt idx="1581">
                  <c:v>2.9262063910215075E-2</c:v>
                </c:pt>
                <c:pt idx="1582">
                  <c:v>2.9258813552429652E-2</c:v>
                </c:pt>
                <c:pt idx="1583">
                  <c:v>2.9256401108180285E-2</c:v>
                </c:pt>
                <c:pt idx="1584">
                  <c:v>2.9253614024296604E-2</c:v>
                </c:pt>
                <c:pt idx="1585">
                  <c:v>2.9251849620168198E-2</c:v>
                </c:pt>
                <c:pt idx="1586">
                  <c:v>2.9248128490694247E-2</c:v>
                </c:pt>
                <c:pt idx="1587">
                  <c:v>2.9242440699667461E-2</c:v>
                </c:pt>
                <c:pt idx="1588">
                  <c:v>2.9242761135831186E-2</c:v>
                </c:pt>
                <c:pt idx="1589">
                  <c:v>2.9241122481458767E-2</c:v>
                </c:pt>
                <c:pt idx="1590">
                  <c:v>2.923751195954255E-2</c:v>
                </c:pt>
                <c:pt idx="1591">
                  <c:v>2.923191958377723E-2</c:v>
                </c:pt>
                <c:pt idx="1592">
                  <c:v>2.9228357682142506E-2</c:v>
                </c:pt>
                <c:pt idx="1593">
                  <c:v>2.9225828879166915E-2</c:v>
                </c:pt>
                <c:pt idx="1594">
                  <c:v>2.9223329611091562E-2</c:v>
                </c:pt>
                <c:pt idx="1595">
                  <c:v>2.92208598778879E-2</c:v>
                </c:pt>
                <c:pt idx="1596">
                  <c:v>2.9222473500459534E-2</c:v>
                </c:pt>
                <c:pt idx="1597">
                  <c:v>2.9220070496416284E-2</c:v>
                </c:pt>
                <c:pt idx="1598">
                  <c:v>2.9217697036839907E-2</c:v>
                </c:pt>
                <c:pt idx="1599">
                  <c:v>2.9216372924342308E-2</c:v>
                </c:pt>
                <c:pt idx="1600">
                  <c:v>2.9214060476543E-2</c:v>
                </c:pt>
                <c:pt idx="1601">
                  <c:v>2.9210753924702182E-2</c:v>
                </c:pt>
                <c:pt idx="1602">
                  <c:v>2.9208498642798453E-2</c:v>
                </c:pt>
                <c:pt idx="1603">
                  <c:v>2.9206272905266673E-2</c:v>
                </c:pt>
                <c:pt idx="1604">
                  <c:v>2.920098982770504E-2</c:v>
                </c:pt>
                <c:pt idx="1605">
                  <c:v>2.9201910063254011E-2</c:v>
                </c:pt>
                <c:pt idx="1606">
                  <c:v>2.9199772958735659E-2</c:v>
                </c:pt>
                <c:pt idx="1607">
                  <c:v>2.9197665398526806E-2</c:v>
                </c:pt>
                <c:pt idx="1608">
                  <c:v>2.9195587382602473E-2</c:v>
                </c:pt>
                <c:pt idx="1609">
                  <c:v>2.9194578050979268E-2</c:v>
                </c:pt>
                <c:pt idx="1610">
                  <c:v>2.9191519983557401E-2</c:v>
                </c:pt>
                <c:pt idx="1611">
                  <c:v>2.918953060040419E-2</c:v>
                </c:pt>
                <c:pt idx="1612">
                  <c:v>2.9187570761473047E-2</c:v>
                </c:pt>
                <c:pt idx="1613">
                  <c:v>2.9185640466751483E-2</c:v>
                </c:pt>
                <c:pt idx="1614">
                  <c:v>2.918373971622451E-2</c:v>
                </c:pt>
                <c:pt idx="1615">
                  <c:v>2.9181868509879638E-2</c:v>
                </c:pt>
                <c:pt idx="1616">
                  <c:v>2.9180026847694385E-2</c:v>
                </c:pt>
                <c:pt idx="1617">
                  <c:v>2.9179269512651377E-2</c:v>
                </c:pt>
                <c:pt idx="1618">
                  <c:v>2.9177488904922236E-2</c:v>
                </c:pt>
                <c:pt idx="1619">
                  <c:v>2.9174679125981429E-2</c:v>
                </c:pt>
                <c:pt idx="1620">
                  <c:v>2.9172955640312248E-2</c:v>
                </c:pt>
                <c:pt idx="1621">
                  <c:v>2.9171261698737738E-2</c:v>
                </c:pt>
                <c:pt idx="1622">
                  <c:v>2.9169597301240413E-2</c:v>
                </c:pt>
                <c:pt idx="1623">
                  <c:v>2.9169029063820646E-2</c:v>
                </c:pt>
                <c:pt idx="1624">
                  <c:v>2.9166357138439847E-2</c:v>
                </c:pt>
                <c:pt idx="1625">
                  <c:v>2.9164781373109128E-2</c:v>
                </c:pt>
                <c:pt idx="1626">
                  <c:v>2.916001894021961E-2</c:v>
                </c:pt>
                <c:pt idx="1627">
                  <c:v>2.9161718474524367E-2</c:v>
                </c:pt>
                <c:pt idx="1628">
                  <c:v>2.9160231341250342E-2</c:v>
                </c:pt>
                <c:pt idx="1629">
                  <c:v>2.9158773751966072E-2</c:v>
                </c:pt>
                <c:pt idx="1630">
                  <c:v>2.9157345706664062E-2</c:v>
                </c:pt>
                <c:pt idx="1631">
                  <c:v>2.9155947205336818E-2</c:v>
                </c:pt>
                <c:pt idx="1632">
                  <c:v>2.915330053045748E-2</c:v>
                </c:pt>
                <c:pt idx="1633">
                  <c:v>2.9153238834549178E-2</c:v>
                </c:pt>
                <c:pt idx="1634">
                  <c:v>2.915283307310481E-2</c:v>
                </c:pt>
                <c:pt idx="1635">
                  <c:v>2.9151739180365996E-2</c:v>
                </c:pt>
                <c:pt idx="1636">
                  <c:v>2.9149397857889947E-2</c:v>
                </c:pt>
                <c:pt idx="1637">
                  <c:v>2.9149271182005169E-2</c:v>
                </c:pt>
                <c:pt idx="1638">
                  <c:v>2.9146984926345376E-2</c:v>
                </c:pt>
                <c:pt idx="1639">
                  <c:v>2.9143910974988852E-2</c:v>
                </c:pt>
                <c:pt idx="1640">
                  <c:v>2.9143430133294651E-2</c:v>
                </c:pt>
                <c:pt idx="1641">
                  <c:v>2.9142329270399614E-2</c:v>
                </c:pt>
                <c:pt idx="1642">
                  <c:v>2.9142362641847719E-2</c:v>
                </c:pt>
                <c:pt idx="1643">
                  <c:v>2.9140216169020579E-2</c:v>
                </c:pt>
                <c:pt idx="1644">
                  <c:v>2.9135879207510103E-2</c:v>
                </c:pt>
                <c:pt idx="1645">
                  <c:v>2.9134890419969688E-2</c:v>
                </c:pt>
                <c:pt idx="1646">
                  <c:v>2.9133931166704295E-2</c:v>
                </c:pt>
                <c:pt idx="1647">
                  <c:v>2.9133001447696798E-2</c:v>
                </c:pt>
                <c:pt idx="1648">
                  <c:v>2.9135450390887156E-2</c:v>
                </c:pt>
                <c:pt idx="1649">
                  <c:v>2.9135704784951921E-2</c:v>
                </c:pt>
                <c:pt idx="1650">
                  <c:v>2.9133750869615057E-2</c:v>
                </c:pt>
                <c:pt idx="1651">
                  <c:v>2.9132945421091693E-2</c:v>
                </c:pt>
                <c:pt idx="1652">
                  <c:v>2.9133294574875401E-2</c:v>
                </c:pt>
                <c:pt idx="1653">
                  <c:v>2.9129881890110454E-2</c:v>
                </c:pt>
                <c:pt idx="1654">
                  <c:v>2.9130706323889848E-2</c:v>
                </c:pt>
                <c:pt idx="1655">
                  <c:v>2.9130019040931564E-2</c:v>
                </c:pt>
                <c:pt idx="1656">
                  <c:v>2.9130494574368948E-2</c:v>
                </c:pt>
                <c:pt idx="1657">
                  <c:v>2.9128733099132068E-2</c:v>
                </c:pt>
                <c:pt idx="1658">
                  <c:v>2.9128134440288278E-2</c:v>
                </c:pt>
                <c:pt idx="1659">
                  <c:v>2.9127565322809974E-2</c:v>
                </c:pt>
                <c:pt idx="1660">
                  <c:v>2.9127025746684257E-2</c:v>
                </c:pt>
                <c:pt idx="1661">
                  <c:v>2.9127659308322007E-2</c:v>
                </c:pt>
                <c:pt idx="1662">
                  <c:v>2.9126035218495754E-2</c:v>
                </c:pt>
                <c:pt idx="1663">
                  <c:v>2.912558426642781E-2</c:v>
                </c:pt>
                <c:pt idx="1664">
                  <c:v>2.9125162855699559E-2</c:v>
                </c:pt>
                <c:pt idx="1665">
                  <c:v>2.9124770986316165E-2</c:v>
                </c:pt>
                <c:pt idx="1666">
                  <c:v>2.9124408658264732E-2</c:v>
                </c:pt>
                <c:pt idx="1667">
                  <c:v>2.9124075871550418E-2</c:v>
                </c:pt>
                <c:pt idx="1668">
                  <c:v>2.9123772626168064E-2</c:v>
                </c:pt>
                <c:pt idx="1669">
                  <c:v>2.9125819653324961E-2</c:v>
                </c:pt>
                <c:pt idx="1670">
                  <c:v>2.9124417084679943E-2</c:v>
                </c:pt>
                <c:pt idx="1671">
                  <c:v>2.9123040137984408E-2</c:v>
                </c:pt>
                <c:pt idx="1672">
                  <c:v>2.9122855057909271E-2</c:v>
                </c:pt>
                <c:pt idx="1673">
                  <c:v>2.9122699519155783E-2</c:v>
                </c:pt>
                <c:pt idx="1674">
                  <c:v>2.9122573521726518E-2</c:v>
                </c:pt>
                <c:pt idx="1675">
                  <c:v>2.9123649879398139E-2</c:v>
                </c:pt>
                <c:pt idx="1676">
                  <c:v>2.9122410150822616E-2</c:v>
                </c:pt>
                <c:pt idx="1677">
                  <c:v>2.9122372777353137E-2</c:v>
                </c:pt>
                <c:pt idx="1678">
                  <c:v>2.9122364945197567E-2</c:v>
                </c:pt>
                <c:pt idx="1679">
                  <c:v>2.9122386654363643E-2</c:v>
                </c:pt>
                <c:pt idx="1680">
                  <c:v>2.9122437904848791E-2</c:v>
                </c:pt>
                <c:pt idx="1681">
                  <c:v>2.9122518696655584E-2</c:v>
                </c:pt>
                <c:pt idx="1682">
                  <c:v>2.9122629029776286E-2</c:v>
                </c:pt>
                <c:pt idx="1683">
                  <c:v>2.9122768904221219E-2</c:v>
                </c:pt>
                <c:pt idx="1684">
                  <c:v>2.9121827482473606E-2</c:v>
                </c:pt>
                <c:pt idx="1685">
                  <c:v>2.9123137277083752E-2</c:v>
                </c:pt>
                <c:pt idx="1686">
                  <c:v>2.9125758239997204E-2</c:v>
                </c:pt>
                <c:pt idx="1687">
                  <c:v>2.912482204486283E-2</c:v>
                </c:pt>
                <c:pt idx="1688">
                  <c:v>2.9123911396311829E-2</c:v>
                </c:pt>
                <c:pt idx="1689">
                  <c:v>2.9125431017724968E-2</c:v>
                </c:pt>
                <c:pt idx="1690">
                  <c:v>2.9124575182444986E-2</c:v>
                </c:pt>
                <c:pt idx="1691">
                  <c:v>2.9126158165474481E-2</c:v>
                </c:pt>
                <c:pt idx="1692">
                  <c:v>2.9125357133929192E-2</c:v>
                </c:pt>
                <c:pt idx="1693">
                  <c:v>2.9125792421678263E-2</c:v>
                </c:pt>
                <c:pt idx="1694">
                  <c:v>2.9127470465050986E-2</c:v>
                </c:pt>
                <c:pt idx="1695">
                  <c:v>2.9126751621216126E-2</c:v>
                </c:pt>
                <c:pt idx="1696">
                  <c:v>2.9127275533017812E-2</c:v>
                </c:pt>
                <c:pt idx="1697">
                  <c:v>2.9127828986172083E-2</c:v>
                </c:pt>
                <c:pt idx="1698">
                  <c:v>2.9128411980686685E-2</c:v>
                </c:pt>
                <c:pt idx="1699">
                  <c:v>2.9129024516566765E-2</c:v>
                </c:pt>
                <c:pt idx="1700">
                  <c:v>2.913089274521774E-2</c:v>
                </c:pt>
                <c:pt idx="1701">
                  <c:v>2.913033821243885E-2</c:v>
                </c:pt>
                <c:pt idx="1702">
                  <c:v>2.9131039372441169E-2</c:v>
                </c:pt>
                <c:pt idx="1703">
                  <c:v>2.9131770073827019E-2</c:v>
                </c:pt>
                <c:pt idx="1704">
                  <c:v>2.9131742212382683E-2</c:v>
                </c:pt>
                <c:pt idx="1705">
                  <c:v>2.9134557098823288E-2</c:v>
                </c:pt>
                <c:pt idx="1706">
                  <c:v>2.9134139426357966E-2</c:v>
                </c:pt>
                <c:pt idx="1707">
                  <c:v>2.9134986665382709E-2</c:v>
                </c:pt>
                <c:pt idx="1708">
                  <c:v>2.9137094717163747E-2</c:v>
                </c:pt>
                <c:pt idx="1709">
                  <c:v>2.9136730696506099E-2</c:v>
                </c:pt>
                <c:pt idx="1710">
                  <c:v>2.9137607953031584E-2</c:v>
                </c:pt>
                <c:pt idx="1711">
                  <c:v>2.9138475983566777E-2</c:v>
                </c:pt>
                <c:pt idx="1712">
                  <c:v>2.9139330426305274E-2</c:v>
                </c:pt>
                <c:pt idx="1713">
                  <c:v>2.9140171153086373E-2</c:v>
                </c:pt>
                <c:pt idx="1714">
                  <c:v>2.9140998163920379E-2</c:v>
                </c:pt>
                <c:pt idx="1715">
                  <c:v>2.9141811458794409E-2</c:v>
                </c:pt>
                <c:pt idx="1716">
                  <c:v>2.9142611037708453E-2</c:v>
                </c:pt>
                <c:pt idx="1717">
                  <c:v>2.9144630460280763E-2</c:v>
                </c:pt>
                <c:pt idx="1718">
                  <c:v>2.9144169047646291E-2</c:v>
                </c:pt>
                <c:pt idx="1719">
                  <c:v>2.9144927478662347E-2</c:v>
                </c:pt>
                <c:pt idx="1720">
                  <c:v>2.9145672193705528E-2</c:v>
                </c:pt>
                <c:pt idx="1721">
                  <c:v>2.9147633076321566E-2</c:v>
                </c:pt>
                <c:pt idx="1722">
                  <c:v>2.9148349437629339E-2</c:v>
                </c:pt>
                <c:pt idx="1723">
                  <c:v>2.9147824042992671E-2</c:v>
                </c:pt>
                <c:pt idx="1724">
                  <c:v>2.9148513894126309E-2</c:v>
                </c:pt>
                <c:pt idx="1725">
                  <c:v>2.9149190029279334E-2</c:v>
                </c:pt>
                <c:pt idx="1726">
                  <c:v>2.9146176524377867E-2</c:v>
                </c:pt>
                <c:pt idx="1727">
                  <c:v>2.9151725487811253E-2</c:v>
                </c:pt>
                <c:pt idx="1728">
                  <c:v>2.9151136138808348E-2</c:v>
                </c:pt>
                <c:pt idx="1729">
                  <c:v>2.915175741000026E-2</c:v>
                </c:pt>
                <c:pt idx="1730">
                  <c:v>2.9154808037406003E-2</c:v>
                </c:pt>
                <c:pt idx="1731">
                  <c:v>2.9152958804398416E-2</c:v>
                </c:pt>
                <c:pt idx="1732">
                  <c:v>2.9154758610519249E-2</c:v>
                </c:pt>
                <c:pt idx="1733">
                  <c:v>2.915410533479678E-2</c:v>
                </c:pt>
                <c:pt idx="1734">
                  <c:v>2.9154658025995393E-2</c:v>
                </c:pt>
                <c:pt idx="1735">
                  <c:v>2.9155197001185035E-2</c:v>
                </c:pt>
                <c:pt idx="1736">
                  <c:v>2.9155722260368281E-2</c:v>
                </c:pt>
                <c:pt idx="1737">
                  <c:v>2.9156233803539971E-2</c:v>
                </c:pt>
                <c:pt idx="1738">
                  <c:v>2.915673163070269E-2</c:v>
                </c:pt>
                <c:pt idx="1739">
                  <c:v>2.9157215741853856E-2</c:v>
                </c:pt>
                <c:pt idx="1740">
                  <c:v>2.9157686136988315E-2</c:v>
                </c:pt>
                <c:pt idx="1741">
                  <c:v>2.9158142816106063E-2</c:v>
                </c:pt>
                <c:pt idx="1742">
                  <c:v>2.9159796072429356E-2</c:v>
                </c:pt>
                <c:pt idx="1743">
                  <c:v>2.9159194790541368E-2</c:v>
                </c:pt>
                <c:pt idx="1744">
                  <c:v>2.9159604443309849E-2</c:v>
                </c:pt>
                <c:pt idx="1745">
                  <c:v>2.9160000380051305E-2</c:v>
                </c:pt>
                <c:pt idx="1746">
                  <c:v>2.9160436084053217E-2</c:v>
                </c:pt>
                <c:pt idx="1747">
                  <c:v>2.9160751105460885E-2</c:v>
                </c:pt>
                <c:pt idx="1748">
                  <c:v>2.9157493144496005E-2</c:v>
                </c:pt>
                <c:pt idx="1749">
                  <c:v>2.9157837072798985E-2</c:v>
                </c:pt>
                <c:pt idx="1750">
                  <c:v>2.9158213342654258E-2</c:v>
                </c:pt>
                <c:pt idx="1751">
                  <c:v>2.9158483791297738E-2</c:v>
                </c:pt>
                <c:pt idx="1752">
                  <c:v>2.9162387888492576E-2</c:v>
                </c:pt>
                <c:pt idx="1753">
                  <c:v>2.9162674097004949E-2</c:v>
                </c:pt>
                <c:pt idx="1754">
                  <c:v>2.9162946589482566E-2</c:v>
                </c:pt>
                <c:pt idx="1755">
                  <c:v>2.916320536592542E-2</c:v>
                </c:pt>
                <c:pt idx="1756">
                  <c:v>2.9162253849599473E-2</c:v>
                </c:pt>
                <c:pt idx="1757">
                  <c:v>2.916248615488648E-2</c:v>
                </c:pt>
                <c:pt idx="1758">
                  <c:v>2.916270474525362E-2</c:v>
                </c:pt>
                <c:pt idx="1759">
                  <c:v>2.916296563746279E-2</c:v>
                </c:pt>
                <c:pt idx="1760">
                  <c:v>2.9163100781196327E-2</c:v>
                </c:pt>
                <c:pt idx="1761">
                  <c:v>2.9164494079590233E-2</c:v>
                </c:pt>
                <c:pt idx="1762">
                  <c:v>2.9164632751985092E-2</c:v>
                </c:pt>
                <c:pt idx="1763">
                  <c:v>2.9164781800121505E-2</c:v>
                </c:pt>
                <c:pt idx="1764">
                  <c:v>2.916493534569518E-2</c:v>
                </c:pt>
                <c:pt idx="1765">
                  <c:v>2.9163850859768914E-2</c:v>
                </c:pt>
                <c:pt idx="1766">
                  <c:v>2.9163959730686528E-2</c:v>
                </c:pt>
                <c:pt idx="1767">
                  <c:v>2.9164054886673618E-2</c:v>
                </c:pt>
                <c:pt idx="1768">
                  <c:v>2.9164136327724854E-2</c:v>
                </c:pt>
                <c:pt idx="1769">
                  <c:v>2.9165388052055322E-2</c:v>
                </c:pt>
                <c:pt idx="1770">
                  <c:v>2.9165441087894269E-2</c:v>
                </c:pt>
                <c:pt idx="1771">
                  <c:v>2.9165480407688141E-2</c:v>
                </c:pt>
                <c:pt idx="1772">
                  <c:v>2.9165506011439517E-2</c:v>
                </c:pt>
                <c:pt idx="1773">
                  <c:v>2.91655178991484E-2</c:v>
                </c:pt>
                <c:pt idx="1774">
                  <c:v>2.9165516070812206E-2</c:v>
                </c:pt>
                <c:pt idx="1775">
                  <c:v>2.9165500526428363E-2</c:v>
                </c:pt>
                <c:pt idx="1776">
                  <c:v>2.916547126600718E-2</c:v>
                </c:pt>
                <c:pt idx="1777">
                  <c:v>2.9165421030367015E-2</c:v>
                </c:pt>
                <c:pt idx="1778">
                  <c:v>2.9164187338978742E-2</c:v>
                </c:pt>
                <c:pt idx="1779">
                  <c:v>2.9164126993671324E-2</c:v>
                </c:pt>
                <c:pt idx="1780">
                  <c:v>2.9164043855518962E-2</c:v>
                </c:pt>
                <c:pt idx="1781">
                  <c:v>2.9163947002430746E-2</c:v>
                </c:pt>
                <c:pt idx="1782">
                  <c:v>2.9165007666549003E-2</c:v>
                </c:pt>
                <c:pt idx="1783">
                  <c:v>2.9164882393822616E-2</c:v>
                </c:pt>
                <c:pt idx="1784">
                  <c:v>2.9164722429839911E-2</c:v>
                </c:pt>
                <c:pt idx="1785">
                  <c:v>2.9164590700250095E-2</c:v>
                </c:pt>
                <c:pt idx="1786">
                  <c:v>2.9165591514040967E-2</c:v>
                </c:pt>
                <c:pt idx="1787">
                  <c:v>2.9163077870336451E-2</c:v>
                </c:pt>
                <c:pt idx="1788">
                  <c:v>2.9162856342058063E-2</c:v>
                </c:pt>
                <c:pt idx="1789">
                  <c:v>2.9162678440194156E-2</c:v>
                </c:pt>
                <c:pt idx="1790">
                  <c:v>2.9164784686106504E-2</c:v>
                </c:pt>
                <c:pt idx="1791">
                  <c:v>2.916338643456937E-2</c:v>
                </c:pt>
                <c:pt idx="1792">
                  <c:v>2.916313771748889E-2</c:v>
                </c:pt>
                <c:pt idx="1793">
                  <c:v>2.9162875284376229E-2</c:v>
                </c:pt>
                <c:pt idx="1794">
                  <c:v>2.916259913522623E-2</c:v>
                </c:pt>
                <c:pt idx="1795">
                  <c:v>2.9162266741057267E-2</c:v>
                </c:pt>
                <c:pt idx="1796">
                  <c:v>2.9161961200409002E-2</c:v>
                </c:pt>
                <c:pt idx="1797">
                  <c:v>2.9161641943728556E-2</c:v>
                </c:pt>
                <c:pt idx="1798">
                  <c:v>2.9161308971018506E-2</c:v>
                </c:pt>
                <c:pt idx="1799">
                  <c:v>2.9160962282281433E-2</c:v>
                </c:pt>
                <c:pt idx="1800">
                  <c:v>2.9157142468741855E-2</c:v>
                </c:pt>
                <c:pt idx="1801">
                  <c:v>2.9156771377172954E-2</c:v>
                </c:pt>
                <c:pt idx="1802">
                  <c:v>2.9156386572904505E-2</c:v>
                </c:pt>
                <c:pt idx="1803">
                  <c:v>2.9155988055936506E-2</c:v>
                </c:pt>
                <c:pt idx="1804">
                  <c:v>2.9163618975495607E-2</c:v>
                </c:pt>
                <c:pt idx="1805">
                  <c:v>2.915859411331212E-2</c:v>
                </c:pt>
                <c:pt idx="1806">
                  <c:v>2.9158151412406508E-2</c:v>
                </c:pt>
                <c:pt idx="1807">
                  <c:v>2.9157694995486767E-2</c:v>
                </c:pt>
                <c:pt idx="1808">
                  <c:v>2.9156079870540808E-2</c:v>
                </c:pt>
                <c:pt idx="1809">
                  <c:v>2.9157743898211297E-2</c:v>
                </c:pt>
                <c:pt idx="1810">
                  <c:v>2.9157241394023037E-2</c:v>
                </c:pt>
                <c:pt idx="1811">
                  <c:v>2.9157866741481478E-2</c:v>
                </c:pt>
                <c:pt idx="1812">
                  <c:v>2.9156195234294191E-2</c:v>
                </c:pt>
                <c:pt idx="1813">
                  <c:v>2.9155651578753605E-2</c:v>
                </c:pt>
                <c:pt idx="1814">
                  <c:v>2.9155094206103072E-2</c:v>
                </c:pt>
                <c:pt idx="1815">
                  <c:v>2.9154523116340092E-2</c:v>
                </c:pt>
                <c:pt idx="1816">
                  <c:v>2.9153938309467164E-2</c:v>
                </c:pt>
                <c:pt idx="1817">
                  <c:v>2.9153339785486787E-2</c:v>
                </c:pt>
                <c:pt idx="1818">
                  <c:v>2.915272754439896E-2</c:v>
                </c:pt>
                <c:pt idx="1819">
                  <c:v>2.9152101586211177E-2</c:v>
                </c:pt>
                <c:pt idx="1820">
                  <c:v>2.9151461910920939E-2</c:v>
                </c:pt>
                <c:pt idx="1821">
                  <c:v>2.9150808518533244E-2</c:v>
                </c:pt>
                <c:pt idx="1822">
                  <c:v>2.9150141409050589E-2</c:v>
                </c:pt>
                <c:pt idx="1823">
                  <c:v>2.9149460582477971E-2</c:v>
                </c:pt>
                <c:pt idx="1824">
                  <c:v>2.9149894225512861E-2</c:v>
                </c:pt>
                <c:pt idx="1825">
                  <c:v>2.9144676100718657E-2</c:v>
                </c:pt>
                <c:pt idx="1826">
                  <c:v>2.9147335800212837E-2</c:v>
                </c:pt>
                <c:pt idx="1827">
                  <c:v>2.9146600105290354E-2</c:v>
                </c:pt>
                <c:pt idx="1828">
                  <c:v>2.9145850693282904E-2</c:v>
                </c:pt>
                <c:pt idx="1829">
                  <c:v>2.9145087564200478E-2</c:v>
                </c:pt>
                <c:pt idx="1830">
                  <c:v>2.9144310718043076E-2</c:v>
                </c:pt>
                <c:pt idx="1831">
                  <c:v>2.9144641058244408E-2</c:v>
                </c:pt>
                <c:pt idx="1832">
                  <c:v>2.9142715874515834E-2</c:v>
                </c:pt>
                <c:pt idx="1833">
                  <c:v>2.9141897877150991E-2</c:v>
                </c:pt>
                <c:pt idx="1834">
                  <c:v>2.9141066162723661E-2</c:v>
                </c:pt>
                <c:pt idx="1835">
                  <c:v>2.9140220731236344E-2</c:v>
                </c:pt>
                <c:pt idx="1836">
                  <c:v>2.9139361582689038E-2</c:v>
                </c:pt>
                <c:pt idx="1837">
                  <c:v>2.9138488717089239E-2</c:v>
                </c:pt>
                <c:pt idx="1838">
                  <c:v>2.913426119531435E-2</c:v>
                </c:pt>
                <c:pt idx="1839">
                  <c:v>2.9136701834742151E-2</c:v>
                </c:pt>
                <c:pt idx="1840">
                  <c:v>2.9135787817999859E-2</c:v>
                </c:pt>
                <c:pt idx="1841">
                  <c:v>2.9134860084215064E-2</c:v>
                </c:pt>
                <c:pt idx="1842">
                  <c:v>2.9134892218414459E-2</c:v>
                </c:pt>
                <c:pt idx="1843">
                  <c:v>2.9132963465537953E-2</c:v>
                </c:pt>
                <c:pt idx="1844">
                  <c:v>2.9131994580655629E-2</c:v>
                </c:pt>
                <c:pt idx="1845">
                  <c:v>2.9132118152911089E-2</c:v>
                </c:pt>
                <c:pt idx="1846">
                  <c:v>2.9128335627025225E-2</c:v>
                </c:pt>
                <c:pt idx="1847">
                  <c:v>2.9127756270931802E-2</c:v>
                </c:pt>
                <c:pt idx="1848">
                  <c:v>2.9127981870876174E-2</c:v>
                </c:pt>
                <c:pt idx="1849">
                  <c:v>2.9128046326885645E-2</c:v>
                </c:pt>
                <c:pt idx="1850">
                  <c:v>2.9125893213898801E-2</c:v>
                </c:pt>
                <c:pt idx="1851">
                  <c:v>2.9121528669839015E-2</c:v>
                </c:pt>
                <c:pt idx="1852">
                  <c:v>2.9119354350558728E-2</c:v>
                </c:pt>
                <c:pt idx="1853">
                  <c:v>2.9118266283396643E-2</c:v>
                </c:pt>
                <c:pt idx="1854">
                  <c:v>2.9117164503660625E-2</c:v>
                </c:pt>
                <c:pt idx="1855">
                  <c:v>2.9116049011353531E-2</c:v>
                </c:pt>
                <c:pt idx="1856">
                  <c:v>2.9119298034968322E-2</c:v>
                </c:pt>
                <c:pt idx="1857">
                  <c:v>2.9118150829023082E-2</c:v>
                </c:pt>
                <c:pt idx="1858">
                  <c:v>2.9116989906102786E-2</c:v>
                </c:pt>
                <c:pt idx="1859">
                  <c:v>2.9115815266207434E-2</c:v>
                </c:pt>
                <c:pt idx="1860">
                  <c:v>2.9115717061715625E-2</c:v>
                </c:pt>
                <c:pt idx="1861">
                  <c:v>2.911342483552154E-2</c:v>
                </c:pt>
                <c:pt idx="1862">
                  <c:v>2.9112209044735993E-2</c:v>
                </c:pt>
                <c:pt idx="1863">
                  <c:v>2.9112066455188251E-2</c:v>
                </c:pt>
                <c:pt idx="1864">
                  <c:v>2.9106478531393174E-2</c:v>
                </c:pt>
                <c:pt idx="1865">
                  <c:v>2.9108479370668905E-2</c:v>
                </c:pt>
                <c:pt idx="1866">
                  <c:v>2.9107208712093047E-2</c:v>
                </c:pt>
                <c:pt idx="1867">
                  <c:v>2.9105924336574607E-2</c:v>
                </c:pt>
                <c:pt idx="1868">
                  <c:v>2.9104626244131071E-2</c:v>
                </c:pt>
                <c:pt idx="1869">
                  <c:v>2.9103314434754946E-2</c:v>
                </c:pt>
                <c:pt idx="1870">
                  <c:v>2.9101988908461218E-2</c:v>
                </c:pt>
                <c:pt idx="1871">
                  <c:v>2.9100649665244893E-2</c:v>
                </c:pt>
                <c:pt idx="1872">
                  <c:v>2.909929670511846E-2</c:v>
                </c:pt>
                <c:pt idx="1873">
                  <c:v>2.9097930028084418E-2</c:v>
                </c:pt>
                <c:pt idx="1874">
                  <c:v>2.9096549634147761E-2</c:v>
                </c:pt>
                <c:pt idx="1875">
                  <c:v>2.9095155523310989E-2</c:v>
                </c:pt>
                <c:pt idx="1876">
                  <c:v>2.9093747695581595E-2</c:v>
                </c:pt>
                <c:pt idx="1877">
                  <c:v>2.908911078840044E-2</c:v>
                </c:pt>
                <c:pt idx="1878">
                  <c:v>2.9091961487936017E-2</c:v>
                </c:pt>
                <c:pt idx="1879">
                  <c:v>2.9089441911092639E-2</c:v>
                </c:pt>
                <c:pt idx="1880">
                  <c:v>2.9087979215845217E-2</c:v>
                </c:pt>
                <c:pt idx="1881">
                  <c:v>2.9086502803730152E-2</c:v>
                </c:pt>
                <c:pt idx="1882">
                  <c:v>2.9085012674757438E-2</c:v>
                </c:pt>
                <c:pt idx="1883">
                  <c:v>2.9084573932411123E-2</c:v>
                </c:pt>
                <c:pt idx="1884">
                  <c:v>2.9081991266244056E-2</c:v>
                </c:pt>
                <c:pt idx="1885">
                  <c:v>2.9080459986718377E-2</c:v>
                </c:pt>
                <c:pt idx="1886">
                  <c:v>2.9078914990355031E-2</c:v>
                </c:pt>
                <c:pt idx="1887">
                  <c:v>2.9077356277156519E-2</c:v>
                </c:pt>
                <c:pt idx="1888">
                  <c:v>2.9075783847130332E-2</c:v>
                </c:pt>
                <c:pt idx="1889">
                  <c:v>2.9074197700281468E-2</c:v>
                </c:pt>
                <c:pt idx="1890">
                  <c:v>2.9072597836614922E-2</c:v>
                </c:pt>
                <c:pt idx="1891">
                  <c:v>2.9070984256143184E-2</c:v>
                </c:pt>
                <c:pt idx="1892">
                  <c:v>2.9069356958863757E-2</c:v>
                </c:pt>
                <c:pt idx="1893">
                  <c:v>2.9067715944784134E-2</c:v>
                </c:pt>
                <c:pt idx="1894">
                  <c:v>2.9065823704052529E-2</c:v>
                </c:pt>
                <c:pt idx="1895">
                  <c:v>2.9064392766254277E-2</c:v>
                </c:pt>
                <c:pt idx="1896">
                  <c:v>2.9062710601816533E-2</c:v>
                </c:pt>
                <c:pt idx="1897">
                  <c:v>2.9062064291912909E-2</c:v>
                </c:pt>
                <c:pt idx="1898">
                  <c:v>2.905930512262539E-2</c:v>
                </c:pt>
                <c:pt idx="1899">
                  <c:v>2.9054439501152333E-2</c:v>
                </c:pt>
                <c:pt idx="1900">
                  <c:v>2.9055844776385842E-2</c:v>
                </c:pt>
                <c:pt idx="1901">
                  <c:v>2.9055139122146786E-2</c:v>
                </c:pt>
                <c:pt idx="1902">
                  <c:v>2.905232956314785E-2</c:v>
                </c:pt>
                <c:pt idx="1903">
                  <c:v>2.9050551381420986E-2</c:v>
                </c:pt>
                <c:pt idx="1904">
                  <c:v>2.9045634002174088E-2</c:v>
                </c:pt>
                <c:pt idx="1905">
                  <c:v>2.9043831762048673E-2</c:v>
                </c:pt>
                <c:pt idx="1906">
                  <c:v>2.9042015808490113E-2</c:v>
                </c:pt>
                <c:pt idx="1907">
                  <c:v>2.9040186141509432E-2</c:v>
                </c:pt>
                <c:pt idx="1908">
                  <c:v>2.9041454721967785E-2</c:v>
                </c:pt>
                <c:pt idx="1909">
                  <c:v>2.9039594239959332E-2</c:v>
                </c:pt>
                <c:pt idx="1910">
                  <c:v>2.9038754997229403E-2</c:v>
                </c:pt>
                <c:pt idx="1911">
                  <c:v>2.9035832125881567E-2</c:v>
                </c:pt>
                <c:pt idx="1912">
                  <c:v>2.9030832105461625E-2</c:v>
                </c:pt>
                <c:pt idx="1913">
                  <c:v>2.9032015145095125E-2</c:v>
                </c:pt>
                <c:pt idx="1914">
                  <c:v>2.9030086079707695E-2</c:v>
                </c:pt>
                <c:pt idx="1915">
                  <c:v>2.9028143297662456E-2</c:v>
                </c:pt>
                <c:pt idx="1916">
                  <c:v>2.9027214946970987E-2</c:v>
                </c:pt>
                <c:pt idx="1917">
                  <c:v>2.902421658363602E-2</c:v>
                </c:pt>
                <c:pt idx="1918">
                  <c:v>2.9022232651667312E-2</c:v>
                </c:pt>
                <c:pt idx="1919">
                  <c:v>2.9020235003075767E-2</c:v>
                </c:pt>
                <c:pt idx="1920">
                  <c:v>2.9018223637861384E-2</c:v>
                </c:pt>
                <c:pt idx="1921">
                  <c:v>2.9017221000658049E-2</c:v>
                </c:pt>
                <c:pt idx="1922">
                  <c:v>2.9014159757604074E-2</c:v>
                </c:pt>
                <c:pt idx="1923">
                  <c:v>2.9012107242573637E-2</c:v>
                </c:pt>
                <c:pt idx="1924">
                  <c:v>2.9010041010957832E-2</c:v>
                </c:pt>
                <c:pt idx="1925">
                  <c:v>2.9004907147485388E-2</c:v>
                </c:pt>
                <c:pt idx="1926">
                  <c:v>2.900586739798261E-2</c:v>
                </c:pt>
                <c:pt idx="1927">
                  <c:v>2.9003760016643176E-2</c:v>
                </c:pt>
                <c:pt idx="1928">
                  <c:v>2.9001638918740857E-2</c:v>
                </c:pt>
                <c:pt idx="1929">
                  <c:v>2.90005173667299E-2</c:v>
                </c:pt>
                <c:pt idx="1930">
                  <c:v>2.8998367683052771E-2</c:v>
                </c:pt>
                <c:pt idx="1931">
                  <c:v>2.8995193325761504E-2</c:v>
                </c:pt>
                <c:pt idx="1932">
                  <c:v>2.8993017361702567E-2</c:v>
                </c:pt>
                <c:pt idx="1933">
                  <c:v>2.8990827681120712E-2</c:v>
                </c:pt>
                <c:pt idx="1934">
                  <c:v>2.898862428402843E-2</c:v>
                </c:pt>
                <c:pt idx="1935">
                  <c:v>2.898741350043724E-2</c:v>
                </c:pt>
                <c:pt idx="1936">
                  <c:v>2.8984176340340062E-2</c:v>
                </c:pt>
                <c:pt idx="1937">
                  <c:v>2.8981931793761462E-2</c:v>
                </c:pt>
                <c:pt idx="1938">
                  <c:v>2.897967353070241E-2</c:v>
                </c:pt>
                <c:pt idx="1939">
                  <c:v>2.8977401551167903E-2</c:v>
                </c:pt>
                <c:pt idx="1940">
                  <c:v>2.8975115855175426E-2</c:v>
                </c:pt>
                <c:pt idx="1941">
                  <c:v>2.897281644272498E-2</c:v>
                </c:pt>
                <c:pt idx="1942">
                  <c:v>2.8970503313829055E-2</c:v>
                </c:pt>
                <c:pt idx="1943">
                  <c:v>2.8968176468495144E-2</c:v>
                </c:pt>
                <c:pt idx="1944">
                  <c:v>2.8965835906733239E-2</c:v>
                </c:pt>
                <c:pt idx="1945">
                  <c:v>2.8963481628550836E-2</c:v>
                </c:pt>
                <c:pt idx="1946">
                  <c:v>2.8961767580845628E-2</c:v>
                </c:pt>
                <c:pt idx="1947">
                  <c:v>2.8959724270563442E-2</c:v>
                </c:pt>
                <c:pt idx="1948">
                  <c:v>2.8956336495558066E-2</c:v>
                </c:pt>
                <c:pt idx="1949">
                  <c:v>2.8954917353778826E-2</c:v>
                </c:pt>
                <c:pt idx="1950">
                  <c:v>2.8951504491618596E-2</c:v>
                </c:pt>
                <c:pt idx="1951">
                  <c:v>2.8948718713028287E-2</c:v>
                </c:pt>
                <c:pt idx="1952">
                  <c:v>2.8945280094004412E-2</c:v>
                </c:pt>
                <c:pt idx="1953">
                  <c:v>2.8942815302962176E-2</c:v>
                </c:pt>
                <c:pt idx="1954">
                  <c:v>2.8941320806888104E-2</c:v>
                </c:pt>
                <c:pt idx="1955">
                  <c:v>2.8937844575107046E-2</c:v>
                </c:pt>
                <c:pt idx="1956">
                  <c:v>2.8932393329736641E-2</c:v>
                </c:pt>
                <c:pt idx="1957">
                  <c:v>2.8929877222699636E-2</c:v>
                </c:pt>
                <c:pt idx="1958">
                  <c:v>2.8927347403688217E-2</c:v>
                </c:pt>
                <c:pt idx="1959">
                  <c:v>2.8924803872713803E-2</c:v>
                </c:pt>
                <c:pt idx="1960">
                  <c:v>2.8925177738941276E-2</c:v>
                </c:pt>
                <c:pt idx="1961">
                  <c:v>2.8923578954723195E-2</c:v>
                </c:pt>
                <c:pt idx="1962">
                  <c:v>2.8920014998050993E-2</c:v>
                </c:pt>
                <c:pt idx="1963">
                  <c:v>2.8917413054837849E-2</c:v>
                </c:pt>
                <c:pt idx="1964">
                  <c:v>2.8911880538625225E-2</c:v>
                </c:pt>
                <c:pt idx="1965">
                  <c:v>2.8909689012613704E-2</c:v>
                </c:pt>
                <c:pt idx="1966">
                  <c:v>2.8909524934229533E-2</c:v>
                </c:pt>
                <c:pt idx="1967">
                  <c:v>2.8906868292520333E-2</c:v>
                </c:pt>
                <c:pt idx="1968">
                  <c:v>2.8906134156333578E-2</c:v>
                </c:pt>
                <c:pt idx="1969">
                  <c:v>2.8901517754497369E-2</c:v>
                </c:pt>
                <c:pt idx="1970">
                  <c:v>2.8898825803592602E-2</c:v>
                </c:pt>
                <c:pt idx="1971">
                  <c:v>2.8896123998113903E-2</c:v>
                </c:pt>
                <c:pt idx="1972">
                  <c:v>2.8893412772420919E-2</c:v>
                </c:pt>
                <c:pt idx="1973">
                  <c:v>2.8890692139285367E-2</c:v>
                </c:pt>
                <c:pt idx="1974">
                  <c:v>2.8887962098709825E-2</c:v>
                </c:pt>
                <c:pt idx="1975">
                  <c:v>2.888522265070461E-2</c:v>
                </c:pt>
                <c:pt idx="1976">
                  <c:v>2.8882473795277457E-2</c:v>
                </c:pt>
                <c:pt idx="1977">
                  <c:v>2.8879715532430947E-2</c:v>
                </c:pt>
                <c:pt idx="1978">
                  <c:v>2.8876947862172809E-2</c:v>
                </c:pt>
                <c:pt idx="1979">
                  <c:v>2.8874170784510787E-2</c:v>
                </c:pt>
                <c:pt idx="1980">
                  <c:v>2.8871384299452608E-2</c:v>
                </c:pt>
                <c:pt idx="1981">
                  <c:v>2.8869544386893042E-2</c:v>
                </c:pt>
                <c:pt idx="1982">
                  <c:v>2.8866738190372887E-2</c:v>
                </c:pt>
                <c:pt idx="1983">
                  <c:v>2.8862968399955315E-2</c:v>
                </c:pt>
                <c:pt idx="1984">
                  <c:v>2.8860144285374416E-2</c:v>
                </c:pt>
                <c:pt idx="1985">
                  <c:v>2.8857310763430885E-2</c:v>
                </c:pt>
                <c:pt idx="1986">
                  <c:v>2.88544678341273E-2</c:v>
                </c:pt>
                <c:pt idx="1987">
                  <c:v>2.8852566086295106E-2</c:v>
                </c:pt>
                <c:pt idx="1988">
                  <c:v>2.8848753753481237E-2</c:v>
                </c:pt>
                <c:pt idx="1989">
                  <c:v>2.8845882602151648E-2</c:v>
                </c:pt>
                <c:pt idx="1990">
                  <c:v>2.8843949926919132E-2</c:v>
                </c:pt>
                <c:pt idx="1991">
                  <c:v>2.8840112077512876E-2</c:v>
                </c:pt>
                <c:pt idx="1992">
                  <c:v>2.8837212704214008E-2</c:v>
                </c:pt>
                <c:pt idx="1993">
                  <c:v>2.8834303923611818E-2</c:v>
                </c:pt>
                <c:pt idx="1994">
                  <c:v>2.8831385735706302E-2</c:v>
                </c:pt>
                <c:pt idx="1995">
                  <c:v>2.882845814050778E-2</c:v>
                </c:pt>
                <c:pt idx="1996">
                  <c:v>2.8823317442581597E-2</c:v>
                </c:pt>
                <c:pt idx="1997">
                  <c:v>2.8822574728257489E-2</c:v>
                </c:pt>
                <c:pt idx="1998">
                  <c:v>2.8821500148720508E-2</c:v>
                </c:pt>
                <c:pt idx="1999">
                  <c:v>2.8817593414816323E-2</c:v>
                </c:pt>
                <c:pt idx="2000">
                  <c:v>2.8813679055359833E-2</c:v>
                </c:pt>
                <c:pt idx="2001">
                  <c:v>2.8811632924100328E-2</c:v>
                </c:pt>
                <c:pt idx="2002">
                  <c:v>2.8807701570491465E-2</c:v>
                </c:pt>
                <c:pt idx="2003">
                  <c:v>2.8806570848727894E-2</c:v>
                </c:pt>
                <c:pt idx="2004">
                  <c:v>2.8801686456683129E-2</c:v>
                </c:pt>
                <c:pt idx="2005">
                  <c:v>2.8798664788938725E-2</c:v>
                </c:pt>
                <c:pt idx="2006">
                  <c:v>2.8796567057958189E-2</c:v>
                </c:pt>
                <c:pt idx="2007">
                  <c:v>2.8792593231818431E-2</c:v>
                </c:pt>
                <c:pt idx="2008">
                  <c:v>2.8786748576104922E-2</c:v>
                </c:pt>
                <c:pt idx="2009">
                  <c:v>2.8783692027839005E-2</c:v>
                </c:pt>
                <c:pt idx="2010">
                  <c:v>2.878062607456203E-2</c:v>
                </c:pt>
                <c:pt idx="2011">
                  <c:v>2.8781265993505223E-2</c:v>
                </c:pt>
                <c:pt idx="2012">
                  <c:v>2.8777249713153784E-2</c:v>
                </c:pt>
                <c:pt idx="2013">
                  <c:v>2.8774152787903347E-2</c:v>
                </c:pt>
                <c:pt idx="2014">
                  <c:v>2.8771046455496562E-2</c:v>
                </c:pt>
                <c:pt idx="2015">
                  <c:v>2.8766146069727137E-2</c:v>
                </c:pt>
                <c:pt idx="2016">
                  <c:v>2.8764805569250065E-2</c:v>
                </c:pt>
                <c:pt idx="2017">
                  <c:v>2.8762594255736795E-2</c:v>
                </c:pt>
                <c:pt idx="2018">
                  <c:v>2.8758527054476176E-2</c:v>
                </c:pt>
                <c:pt idx="2019">
                  <c:v>2.8755373686408865E-2</c:v>
                </c:pt>
                <c:pt idx="2020">
                  <c:v>2.8753131380805652E-2</c:v>
                </c:pt>
                <c:pt idx="2021">
                  <c:v>2.8749038728952188E-2</c:v>
                </c:pt>
                <c:pt idx="2022">
                  <c:v>2.8745857139580874E-2</c:v>
                </c:pt>
                <c:pt idx="2023">
                  <c:v>2.8742666143120259E-2</c:v>
                </c:pt>
                <c:pt idx="2024">
                  <c:v>2.8739465739583234E-2</c:v>
                </c:pt>
                <c:pt idx="2025">
                  <c:v>2.8736255928972384E-2</c:v>
                </c:pt>
                <c:pt idx="2026">
                  <c:v>2.8733036711303173E-2</c:v>
                </c:pt>
                <c:pt idx="2027">
                  <c:v>2.8729808086573022E-2</c:v>
                </c:pt>
                <c:pt idx="2028">
                  <c:v>2.8726570054799987E-2</c:v>
                </c:pt>
                <c:pt idx="2029">
                  <c:v>2.8724234734382459E-2</c:v>
                </c:pt>
                <c:pt idx="2030">
                  <c:v>2.8720065770138154E-2</c:v>
                </c:pt>
                <c:pt idx="2031">
                  <c:v>2.8716799517269982E-2</c:v>
                </c:pt>
                <c:pt idx="2032">
                  <c:v>2.8713523857384706E-2</c:v>
                </c:pt>
                <c:pt idx="2033">
                  <c:v>2.8711147178530905E-2</c:v>
                </c:pt>
                <c:pt idx="2034">
                  <c:v>2.870785177024715E-2</c:v>
                </c:pt>
                <c:pt idx="2035">
                  <c:v>2.8703640435708798E-2</c:v>
                </c:pt>
                <c:pt idx="2036">
                  <c:v>2.8700327147837636E-2</c:v>
                </c:pt>
                <c:pt idx="2037">
                  <c:v>2.8697004452993207E-2</c:v>
                </c:pt>
                <c:pt idx="2038">
                  <c:v>2.8690960976247251E-2</c:v>
                </c:pt>
                <c:pt idx="2039">
                  <c:v>2.8691233613349076E-2</c:v>
                </c:pt>
                <c:pt idx="2040">
                  <c:v>2.868697992667707E-2</c:v>
                </c:pt>
                <c:pt idx="2041">
                  <c:v>2.8683619604009204E-2</c:v>
                </c:pt>
                <c:pt idx="2042">
                  <c:v>2.8682049737945355E-2</c:v>
                </c:pt>
                <c:pt idx="2043">
                  <c:v>2.8676870737869717E-2</c:v>
                </c:pt>
                <c:pt idx="2044">
                  <c:v>2.8674380264724908E-2</c:v>
                </c:pt>
                <c:pt idx="2045">
                  <c:v>2.8670084244053772E-2</c:v>
                </c:pt>
                <c:pt idx="2046">
                  <c:v>2.8666676886787756E-2</c:v>
                </c:pt>
                <c:pt idx="2047">
                  <c:v>2.8663260122630988E-2</c:v>
                </c:pt>
                <c:pt idx="2048">
                  <c:v>2.8659833951580893E-2</c:v>
                </c:pt>
                <c:pt idx="2049">
                  <c:v>2.8656398373658097E-2</c:v>
                </c:pt>
                <c:pt idx="2050">
                  <c:v>2.8652953388862604E-2</c:v>
                </c:pt>
                <c:pt idx="2051">
                  <c:v>2.8649498997207298E-2</c:v>
                </c:pt>
                <c:pt idx="2052">
                  <c:v>2.8646035198702503E-2</c:v>
                </c:pt>
                <c:pt idx="2053">
                  <c:v>2.8642561993350794E-2</c:v>
                </c:pt>
                <c:pt idx="2054">
                  <c:v>2.8639967996542393E-2</c:v>
                </c:pt>
                <c:pt idx="2055">
                  <c:v>2.8634087902930452E-2</c:v>
                </c:pt>
                <c:pt idx="2056">
                  <c:v>2.8630582445602168E-2</c:v>
                </c:pt>
                <c:pt idx="2057">
                  <c:v>2.8627067581470808E-2</c:v>
                </c:pt>
                <c:pt idx="2058">
                  <c:v>2.8623039075361463E-2</c:v>
                </c:pt>
                <c:pt idx="2059">
                  <c:v>2.8620009632816898E-2</c:v>
                </c:pt>
                <c:pt idx="2060">
                  <c:v>2.8613818784872472E-2</c:v>
                </c:pt>
                <c:pt idx="2061">
                  <c:v>2.8610269154842563E-2</c:v>
                </c:pt>
                <c:pt idx="2062">
                  <c:v>2.8606200918937268E-2</c:v>
                </c:pt>
                <c:pt idx="2063">
                  <c:v>2.8603141680902944E-2</c:v>
                </c:pt>
                <c:pt idx="2064">
                  <c:v>2.8602200142660735E-2</c:v>
                </c:pt>
                <c:pt idx="2065">
                  <c:v>2.8598610024380654E-2</c:v>
                </c:pt>
                <c:pt idx="2066">
                  <c:v>2.8595010499372273E-2</c:v>
                </c:pt>
                <c:pt idx="2067">
                  <c:v>2.8591401567643327E-2</c:v>
                </c:pt>
                <c:pt idx="2068">
                  <c:v>2.8586908336394323E-2</c:v>
                </c:pt>
                <c:pt idx="2069">
                  <c:v>2.8583281550799811E-2</c:v>
                </c:pt>
                <c:pt idx="2070">
                  <c:v>2.8578604719717404E-2</c:v>
                </c:pt>
                <c:pt idx="2071">
                  <c:v>2.8575999761670801E-2</c:v>
                </c:pt>
                <c:pt idx="2072">
                  <c:v>2.8572344758146961E-2</c:v>
                </c:pt>
                <c:pt idx="2073">
                  <c:v>2.8569026044173135E-2</c:v>
                </c:pt>
                <c:pt idx="2074">
                  <c:v>2.8565875658089518E-2</c:v>
                </c:pt>
                <c:pt idx="2075">
                  <c:v>2.8562191472908071E-2</c:v>
                </c:pt>
                <c:pt idx="2076">
                  <c:v>2.8557969457226492E-2</c:v>
                </c:pt>
                <c:pt idx="2077">
                  <c:v>2.8553928651304794E-2</c:v>
                </c:pt>
                <c:pt idx="2078">
                  <c:v>2.8550217212154116E-2</c:v>
                </c:pt>
                <c:pt idx="2079">
                  <c:v>2.8546496367087393E-2</c:v>
                </c:pt>
                <c:pt idx="2080">
                  <c:v>2.8542766116128604E-2</c:v>
                </c:pt>
                <c:pt idx="2081">
                  <c:v>2.8539888822683383E-2</c:v>
                </c:pt>
                <c:pt idx="2082">
                  <c:v>2.8536138791205777E-2</c:v>
                </c:pt>
                <c:pt idx="2083">
                  <c:v>2.8532379353149433E-2</c:v>
                </c:pt>
                <c:pt idx="2084">
                  <c:v>2.8528610508524659E-2</c:v>
                </c:pt>
                <c:pt idx="2085">
                  <c:v>2.8524832257339195E-2</c:v>
                </c:pt>
                <c:pt idx="2086">
                  <c:v>2.8521044599603355E-2</c:v>
                </c:pt>
                <c:pt idx="2087">
                  <c:v>2.8517247535324874E-2</c:v>
                </c:pt>
                <c:pt idx="2088">
                  <c:v>2.8513441064516643E-2</c:v>
                </c:pt>
                <c:pt idx="2089">
                  <c:v>2.8509079293971895E-2</c:v>
                </c:pt>
                <c:pt idx="2090">
                  <c:v>2.850439918625014E-2</c:v>
                </c:pt>
                <c:pt idx="2091">
                  <c:v>2.8501112568720011E-2</c:v>
                </c:pt>
                <c:pt idx="2092">
                  <c:v>2.8497269447661289E-2</c:v>
                </c:pt>
                <c:pt idx="2093">
                  <c:v>2.8493416920809089E-2</c:v>
                </c:pt>
                <c:pt idx="2094">
                  <c:v>2.8490404703001519E-2</c:v>
                </c:pt>
                <c:pt idx="2095">
                  <c:v>2.8486532386727433E-2</c:v>
                </c:pt>
                <c:pt idx="2096">
                  <c:v>2.848209536430054E-2</c:v>
                </c:pt>
                <c:pt idx="2097">
                  <c:v>2.847875953481693E-2</c:v>
                </c:pt>
                <c:pt idx="2098">
                  <c:v>2.8475704749383046E-2</c:v>
                </c:pt>
                <c:pt idx="2099">
                  <c:v>2.8470104238773608E-2</c:v>
                </c:pt>
                <c:pt idx="2100">
                  <c:v>2.8465625337150691E-2</c:v>
                </c:pt>
                <c:pt idx="2101">
                  <c:v>2.8462258098899795E-2</c:v>
                </c:pt>
                <c:pt idx="2102">
                  <c:v>2.8460004615252776E-2</c:v>
                </c:pt>
                <c:pt idx="2103">
                  <c:v>2.8455215224841738E-2</c:v>
                </c:pt>
                <c:pt idx="2104">
                  <c:v>2.8451258250787512E-2</c:v>
                </c:pt>
                <c:pt idx="2105">
                  <c:v>2.8447291870360832E-2</c:v>
                </c:pt>
                <c:pt idx="2106">
                  <c:v>2.8443316083572007E-2</c:v>
                </c:pt>
                <c:pt idx="2107">
                  <c:v>2.8438760809259413E-2</c:v>
                </c:pt>
                <c:pt idx="2108">
                  <c:v>2.8434764866010862E-2</c:v>
                </c:pt>
                <c:pt idx="2109">
                  <c:v>2.8430759516431117E-2</c:v>
                </c:pt>
                <c:pt idx="2110">
                  <c:v>2.8426744760530486E-2</c:v>
                </c:pt>
                <c:pt idx="2111">
                  <c:v>2.8422720598314129E-2</c:v>
                </c:pt>
                <c:pt idx="2112">
                  <c:v>2.841702325041344E-2</c:v>
                </c:pt>
                <c:pt idx="2113">
                  <c:v>2.8412982256592494E-2</c:v>
                </c:pt>
                <c:pt idx="2114">
                  <c:v>2.8408931857883648E-2</c:v>
                </c:pt>
                <c:pt idx="2115">
                  <c:v>2.8404872054286899E-2</c:v>
                </c:pt>
                <c:pt idx="2116">
                  <c:v>2.8405769773355009E-2</c:v>
                </c:pt>
                <c:pt idx="2117">
                  <c:v>2.8398378093002014E-2</c:v>
                </c:pt>
                <c:pt idx="2118">
                  <c:v>2.8394288086869529E-2</c:v>
                </c:pt>
                <c:pt idx="2119">
                  <c:v>2.8390188674506413E-2</c:v>
                </c:pt>
                <c:pt idx="2120">
                  <c:v>2.8385255935451603E-2</c:v>
                </c:pt>
                <c:pt idx="2121">
                  <c:v>2.8381605855618552E-2</c:v>
                </c:pt>
                <c:pt idx="2122">
                  <c:v>2.837747453999645E-2</c:v>
                </c:pt>
                <c:pt idx="2123">
                  <c:v>2.8374154358321784E-2</c:v>
                </c:pt>
                <c:pt idx="2124">
                  <c:v>2.8366724748536791E-2</c:v>
                </c:pt>
                <c:pt idx="2125">
                  <c:v>2.8365024151875973E-2</c:v>
                </c:pt>
                <c:pt idx="2126">
                  <c:v>2.8360855208780233E-2</c:v>
                </c:pt>
                <c:pt idx="2127">
                  <c:v>2.835667685884169E-2</c:v>
                </c:pt>
                <c:pt idx="2128">
                  <c:v>2.8352489102075329E-2</c:v>
                </c:pt>
                <c:pt idx="2129">
                  <c:v>2.8348291938491144E-2</c:v>
                </c:pt>
                <c:pt idx="2130">
                  <c:v>2.8344085368089134E-2</c:v>
                </c:pt>
                <c:pt idx="2131">
                  <c:v>2.8339869390886785E-2</c:v>
                </c:pt>
                <c:pt idx="2132">
                  <c:v>2.8335644006901584E-2</c:v>
                </c:pt>
                <c:pt idx="2133">
                  <c:v>2.833140921613353E-2</c:v>
                </c:pt>
                <c:pt idx="2134">
                  <c:v>2.8327165018592615E-2</c:v>
                </c:pt>
                <c:pt idx="2135">
                  <c:v>2.8322911414298824E-2</c:v>
                </c:pt>
                <c:pt idx="2136">
                  <c:v>2.8318648403257152E-2</c:v>
                </c:pt>
                <c:pt idx="2137">
                  <c:v>2.831195617153354E-2</c:v>
                </c:pt>
                <c:pt idx="2138">
                  <c:v>2.8310899649757398E-2</c:v>
                </c:pt>
                <c:pt idx="2139">
                  <c:v>2.8305802929754764E-2</c:v>
                </c:pt>
                <c:pt idx="2140">
                  <c:v>2.8301502291828984E-2</c:v>
                </c:pt>
                <c:pt idx="2141">
                  <c:v>2.8297192247210279E-2</c:v>
                </c:pt>
                <c:pt idx="2142">
                  <c:v>2.8292872795908641E-2</c:v>
                </c:pt>
                <c:pt idx="2143">
                  <c:v>2.8289344374955956E-2</c:v>
                </c:pt>
                <c:pt idx="2144">
                  <c:v>2.8284205673301532E-2</c:v>
                </c:pt>
                <c:pt idx="2145">
                  <c:v>2.8279858002016045E-2</c:v>
                </c:pt>
                <c:pt idx="2146">
                  <c:v>2.8275500924095087E-2</c:v>
                </c:pt>
                <c:pt idx="2147">
                  <c:v>2.8271134439541157E-2</c:v>
                </c:pt>
                <c:pt idx="2148">
                  <c:v>2.8266758548369242E-2</c:v>
                </c:pt>
                <c:pt idx="2149">
                  <c:v>2.8262373250591832E-2</c:v>
                </c:pt>
                <c:pt idx="2150">
                  <c:v>2.8257978546221418E-2</c:v>
                </c:pt>
                <c:pt idx="2151">
                  <c:v>2.8253574435265494E-2</c:v>
                </c:pt>
                <c:pt idx="2152">
                  <c:v>2.8249160917729055E-2</c:v>
                </c:pt>
                <c:pt idx="2153">
                  <c:v>2.8244737993637081E-2</c:v>
                </c:pt>
                <c:pt idx="2154">
                  <c:v>2.8239671705015956E-2</c:v>
                </c:pt>
                <c:pt idx="2155">
                  <c:v>2.8235863925801519E-2</c:v>
                </c:pt>
                <c:pt idx="2156">
                  <c:v>2.8231412782087906E-2</c:v>
                </c:pt>
                <c:pt idx="2157">
                  <c:v>2.8227738432920934E-2</c:v>
                </c:pt>
                <c:pt idx="2158">
                  <c:v>2.822248227511398E-2</c:v>
                </c:pt>
                <c:pt idx="2159">
                  <c:v>2.8215650103365027E-2</c:v>
                </c:pt>
                <c:pt idx="2160">
                  <c:v>2.8213514142152729E-2</c:v>
                </c:pt>
                <c:pt idx="2161">
                  <c:v>2.8209798075064671E-2</c:v>
                </c:pt>
                <c:pt idx="2162">
                  <c:v>2.8204508383301574E-2</c:v>
                </c:pt>
                <c:pt idx="2163">
                  <c:v>2.8197650874873918E-2</c:v>
                </c:pt>
                <c:pt idx="2164">
                  <c:v>2.8192348295160867E-2</c:v>
                </c:pt>
                <c:pt idx="2165">
                  <c:v>2.8187816598834101E-2</c:v>
                </c:pt>
                <c:pt idx="2166">
                  <c:v>2.8183275498800953E-2</c:v>
                </c:pt>
                <c:pt idx="2167">
                  <c:v>2.8178724995069983E-2</c:v>
                </c:pt>
                <c:pt idx="2168">
                  <c:v>2.8177265352280489E-2</c:v>
                </c:pt>
                <c:pt idx="2169">
                  <c:v>2.8172691924706339E-2</c:v>
                </c:pt>
                <c:pt idx="2170">
                  <c:v>2.8168881953260054E-2</c:v>
                </c:pt>
                <c:pt idx="2171">
                  <c:v>2.8163516850448489E-2</c:v>
                </c:pt>
                <c:pt idx="2172">
                  <c:v>2.8159686004050662E-2</c:v>
                </c:pt>
                <c:pt idx="2173">
                  <c:v>2.8154304150800336E-2</c:v>
                </c:pt>
                <c:pt idx="2174">
                  <c:v>2.8149683691480187E-2</c:v>
                </c:pt>
                <c:pt idx="2175">
                  <c:v>2.8145053825851807E-2</c:v>
                </c:pt>
                <c:pt idx="2176">
                  <c:v>2.8138114199033528E-2</c:v>
                </c:pt>
                <c:pt idx="2177">
                  <c:v>2.8135765875690333E-2</c:v>
                </c:pt>
                <c:pt idx="2178">
                  <c:v>2.8131107791187215E-2</c:v>
                </c:pt>
                <c:pt idx="2179">
                  <c:v>2.8126440300418332E-2</c:v>
                </c:pt>
                <c:pt idx="2180">
                  <c:v>2.8121763403391176E-2</c:v>
                </c:pt>
                <c:pt idx="2181">
                  <c:v>2.8117838586894903E-2</c:v>
                </c:pt>
                <c:pt idx="2182">
                  <c:v>2.8112381390619501E-2</c:v>
                </c:pt>
                <c:pt idx="2183">
                  <c:v>2.8107676274894966E-2</c:v>
                </c:pt>
                <c:pt idx="2184">
                  <c:v>2.8102961752962119E-2</c:v>
                </c:pt>
                <c:pt idx="2185">
                  <c:v>2.809823782483345E-2</c:v>
                </c:pt>
                <c:pt idx="2186">
                  <c:v>2.8093504490521448E-2</c:v>
                </c:pt>
                <c:pt idx="2187">
                  <c:v>2.8088761750036106E-2</c:v>
                </c:pt>
                <c:pt idx="2188">
                  <c:v>2.8084009603387416E-2</c:v>
                </c:pt>
                <c:pt idx="2189">
                  <c:v>2.8080001213011133E-2</c:v>
                </c:pt>
                <c:pt idx="2190">
                  <c:v>2.8075229210516157E-2</c:v>
                </c:pt>
                <c:pt idx="2191">
                  <c:v>2.8069696726596149E-2</c:v>
                </c:pt>
                <c:pt idx="2192">
                  <c:v>2.8064906955418967E-2</c:v>
                </c:pt>
                <c:pt idx="2193">
                  <c:v>2.8060107778145882E-2</c:v>
                </c:pt>
                <c:pt idx="2194">
                  <c:v>2.8055299194781891E-2</c:v>
                </c:pt>
                <c:pt idx="2195">
                  <c:v>2.8051228096387281E-2</c:v>
                </c:pt>
                <c:pt idx="2196">
                  <c:v>2.8045653809828652E-2</c:v>
                </c:pt>
                <c:pt idx="2197">
                  <c:v>2.8040817008269381E-2</c:v>
                </c:pt>
                <c:pt idx="2198">
                  <c:v>2.8033739193266929E-2</c:v>
                </c:pt>
                <c:pt idx="2199">
                  <c:v>2.8031115187030498E-2</c:v>
                </c:pt>
                <c:pt idx="2200">
                  <c:v>2.802625016738336E-2</c:v>
                </c:pt>
                <c:pt idx="2201">
                  <c:v>2.802137574172775E-2</c:v>
                </c:pt>
                <c:pt idx="2202">
                  <c:v>2.8016491910078656E-2</c:v>
                </c:pt>
                <c:pt idx="2203">
                  <c:v>2.8011598672451066E-2</c:v>
                </c:pt>
                <c:pt idx="2204">
                  <c:v>2.8005257532652171E-2</c:v>
                </c:pt>
                <c:pt idx="2205">
                  <c:v>2.8001783979307859E-2</c:v>
                </c:pt>
                <c:pt idx="2206">
                  <c:v>2.7996893871515223E-2</c:v>
                </c:pt>
                <c:pt idx="2207">
                  <c:v>2.7992665938774346E-2</c:v>
                </c:pt>
                <c:pt idx="2208">
                  <c:v>2.7986991395037852E-2</c:v>
                </c:pt>
                <c:pt idx="2209">
                  <c:v>2.798277388644799E-2</c:v>
                </c:pt>
                <c:pt idx="2210">
                  <c:v>2.7977082642639262E-2</c:v>
                </c:pt>
                <c:pt idx="2211">
                  <c:v>2.7967830123423545E-2</c:v>
                </c:pt>
                <c:pt idx="2212">
                  <c:v>2.7965695467575331E-2</c:v>
                </c:pt>
                <c:pt idx="2213">
                  <c:v>2.7960707885939892E-2</c:v>
                </c:pt>
                <c:pt idx="2214">
                  <c:v>2.795643768488093E-2</c:v>
                </c:pt>
                <c:pt idx="2215">
                  <c:v>2.7950704507122989E-2</c:v>
                </c:pt>
                <c:pt idx="2216">
                  <c:v>2.794351433366498E-2</c:v>
                </c:pt>
                <c:pt idx="2217">
                  <c:v>2.7938492314955519E-2</c:v>
                </c:pt>
                <c:pt idx="2218">
                  <c:v>2.7933460893084953E-2</c:v>
                </c:pt>
                <c:pt idx="2219">
                  <c:v>2.7928420068067554E-2</c:v>
                </c:pt>
                <c:pt idx="2220">
                  <c:v>2.7925531470020436E-2</c:v>
                </c:pt>
                <c:pt idx="2221">
                  <c:v>2.7921187998306285E-2</c:v>
                </c:pt>
                <c:pt idx="2222">
                  <c:v>2.7915396419412642E-2</c:v>
                </c:pt>
                <c:pt idx="2223">
                  <c:v>2.7910314786486576E-2</c:v>
                </c:pt>
                <c:pt idx="2224">
                  <c:v>2.7905939903392074E-2</c:v>
                </c:pt>
                <c:pt idx="2225">
                  <c:v>2.7896490000753005E-2</c:v>
                </c:pt>
                <c:pt idx="2226">
                  <c:v>2.7895013457410529E-2</c:v>
                </c:pt>
                <c:pt idx="2227">
                  <c:v>2.788989420431684E-2</c:v>
                </c:pt>
                <c:pt idx="2228">
                  <c:v>2.7885477430381056E-2</c:v>
                </c:pt>
                <c:pt idx="2229">
                  <c:v>2.7879627483114618E-2</c:v>
                </c:pt>
                <c:pt idx="2230">
                  <c:v>2.7874480015029294E-2</c:v>
                </c:pt>
                <c:pt idx="2231">
                  <c:v>2.7869323141969105E-2</c:v>
                </c:pt>
                <c:pt idx="2232">
                  <c:v>2.7864156863946946E-2</c:v>
                </c:pt>
                <c:pt idx="2233">
                  <c:v>2.7859687712025183E-2</c:v>
                </c:pt>
                <c:pt idx="2234">
                  <c:v>2.7853796093065711E-2</c:v>
                </c:pt>
                <c:pt idx="2235">
                  <c:v>2.784860160023242E-2</c:v>
                </c:pt>
                <c:pt idx="2236">
                  <c:v>2.7843397702486151E-2</c:v>
                </c:pt>
                <c:pt idx="2237">
                  <c:v>2.7838184399847535E-2</c:v>
                </c:pt>
                <c:pt idx="2238">
                  <c:v>2.7832961692321728E-2</c:v>
                </c:pt>
                <c:pt idx="2239">
                  <c:v>2.7827729579919042E-2</c:v>
                </c:pt>
                <c:pt idx="2240">
                  <c:v>2.782248806265495E-2</c:v>
                </c:pt>
                <c:pt idx="2241">
                  <c:v>2.7818632938218263E-2</c:v>
                </c:pt>
                <c:pt idx="2242">
                  <c:v>2.78126736680398E-2</c:v>
                </c:pt>
                <c:pt idx="2243">
                  <c:v>2.7806707081836062E-2</c:v>
                </c:pt>
                <c:pt idx="2244">
                  <c:v>2.7801427945257855E-2</c:v>
                </c:pt>
                <c:pt idx="2245">
                  <c:v>2.7796139403882706E-2</c:v>
                </c:pt>
                <c:pt idx="2246">
                  <c:v>2.779084145772609E-2</c:v>
                </c:pt>
                <c:pt idx="2247">
                  <c:v>2.7786225562639044E-2</c:v>
                </c:pt>
                <c:pt idx="2248">
                  <c:v>2.7780217351107122E-2</c:v>
                </c:pt>
                <c:pt idx="2249">
                  <c:v>2.7774891190673136E-2</c:v>
                </c:pt>
                <c:pt idx="2250">
                  <c:v>2.7769555625511835E-2</c:v>
                </c:pt>
                <c:pt idx="2251">
                  <c:v>2.7764210655623209E-2</c:v>
                </c:pt>
                <c:pt idx="2252">
                  <c:v>2.7758856281033053E-2</c:v>
                </c:pt>
                <c:pt idx="2253">
                  <c:v>2.775349250174652E-2</c:v>
                </c:pt>
                <c:pt idx="2254">
                  <c:v>2.7748119317779082E-2</c:v>
                </c:pt>
                <c:pt idx="2255">
                  <c:v>2.7742736729146209E-2</c:v>
                </c:pt>
                <c:pt idx="2256">
                  <c:v>2.773434970222155E-2</c:v>
                </c:pt>
                <c:pt idx="2257">
                  <c:v>2.7731943337928004E-2</c:v>
                </c:pt>
                <c:pt idx="2258">
                  <c:v>2.7727891510840118E-2</c:v>
                </c:pt>
                <c:pt idx="2259">
                  <c:v>2.772179076162673E-2</c:v>
                </c:pt>
                <c:pt idx="2260">
                  <c:v>2.7715682716415502E-2</c:v>
                </c:pt>
                <c:pt idx="2261">
                  <c:v>2.7710919954095081E-2</c:v>
                </c:pt>
                <c:pt idx="2262">
                  <c:v>2.7704795279112824E-2</c:v>
                </c:pt>
                <c:pt idx="2263">
                  <c:v>2.770001152569701E-2</c:v>
                </c:pt>
                <c:pt idx="2264">
                  <c:v>2.7693870223555829E-2</c:v>
                </c:pt>
                <c:pt idx="2265">
                  <c:v>2.7688393588964837E-2</c:v>
                </c:pt>
                <c:pt idx="2266">
                  <c:v>2.7683578344218918E-2</c:v>
                </c:pt>
                <c:pt idx="2267">
                  <c:v>2.7677412106232653E-2</c:v>
                </c:pt>
                <c:pt idx="2268">
                  <c:v>2.7669901019602108E-2</c:v>
                </c:pt>
                <c:pt idx="2269">
                  <c:v>2.7664390051631571E-2</c:v>
                </c:pt>
                <c:pt idx="2270">
                  <c:v>2.7658869681102299E-2</c:v>
                </c:pt>
                <c:pt idx="2271">
                  <c:v>2.7653339908025716E-2</c:v>
                </c:pt>
                <c:pt idx="2272">
                  <c:v>2.7650458042660087E-2</c:v>
                </c:pt>
                <c:pt idx="2273">
                  <c:v>2.7644241950549847E-2</c:v>
                </c:pt>
                <c:pt idx="2274">
                  <c:v>2.763868067573113E-2</c:v>
                </c:pt>
                <c:pt idx="2275">
                  <c:v>2.7633109996517725E-2</c:v>
                </c:pt>
                <c:pt idx="2276">
                  <c:v>2.7623677801567048E-2</c:v>
                </c:pt>
                <c:pt idx="2277">
                  <c:v>2.7621940424930082E-2</c:v>
                </c:pt>
                <c:pt idx="2278">
                  <c:v>2.7616341532584205E-2</c:v>
                </c:pt>
                <c:pt idx="2279">
                  <c:v>2.7610733235895218E-2</c:v>
                </c:pt>
                <c:pt idx="2280">
                  <c:v>2.7606426308536575E-2</c:v>
                </c:pt>
                <c:pt idx="2281">
                  <c:v>2.7599488429521431E-2</c:v>
                </c:pt>
                <c:pt idx="2282">
                  <c:v>2.7593851919870155E-2</c:v>
                </c:pt>
                <c:pt idx="2283">
                  <c:v>2.758820600592218E-2</c:v>
                </c:pt>
                <c:pt idx="2284">
                  <c:v>2.7582550687698139E-2</c:v>
                </c:pt>
                <c:pt idx="2285">
                  <c:v>2.7576885965200609E-2</c:v>
                </c:pt>
                <c:pt idx="2286">
                  <c:v>2.7571211838455376E-2</c:v>
                </c:pt>
                <c:pt idx="2287">
                  <c:v>2.7565528307467599E-2</c:v>
                </c:pt>
                <c:pt idx="2288">
                  <c:v>2.7559835372257903E-2</c:v>
                </c:pt>
                <c:pt idx="2289">
                  <c:v>2.7554133032836603E-2</c:v>
                </c:pt>
                <c:pt idx="2290">
                  <c:v>2.7548421289214014E-2</c:v>
                </c:pt>
                <c:pt idx="2291">
                  <c:v>2.7542700141413346E-2</c:v>
                </c:pt>
                <c:pt idx="2292">
                  <c:v>2.7536969589444911E-2</c:v>
                </c:pt>
                <c:pt idx="2293">
                  <c:v>2.7531870671292369E-2</c:v>
                </c:pt>
                <c:pt idx="2294">
                  <c:v>2.7526120200113136E-2</c:v>
                </c:pt>
                <c:pt idx="2295">
                  <c:v>2.7519721508646455E-2</c:v>
                </c:pt>
                <c:pt idx="2296">
                  <c:v>2.7513953340133301E-2</c:v>
                </c:pt>
                <c:pt idx="2297">
                  <c:v>2.7508175767524581E-2</c:v>
                </c:pt>
                <c:pt idx="2298">
                  <c:v>2.7502388790825449E-2</c:v>
                </c:pt>
                <c:pt idx="2299">
                  <c:v>2.7497226773229577E-2</c:v>
                </c:pt>
                <c:pt idx="2300">
                  <c:v>2.7490786625225583E-2</c:v>
                </c:pt>
                <c:pt idx="2301">
                  <c:v>2.748497143635063E-2</c:v>
                </c:pt>
                <c:pt idx="2302">
                  <c:v>2.7479777860807131E-2</c:v>
                </c:pt>
                <c:pt idx="2303">
                  <c:v>2.7473312846535782E-2</c:v>
                </c:pt>
                <c:pt idx="2304">
                  <c:v>2.7467469445613939E-2</c:v>
                </c:pt>
                <c:pt idx="2305">
                  <c:v>2.7461616640707408E-2</c:v>
                </c:pt>
                <c:pt idx="2306">
                  <c:v>2.7455754431829082E-2</c:v>
                </c:pt>
                <c:pt idx="2307">
                  <c:v>2.744988281899443E-2</c:v>
                </c:pt>
                <c:pt idx="2308">
                  <c:v>2.7440854583722363E-2</c:v>
                </c:pt>
                <c:pt idx="2309">
                  <c:v>2.7438111381497418E-2</c:v>
                </c:pt>
                <c:pt idx="2310">
                  <c:v>2.74334556172901E-2</c:v>
                </c:pt>
                <c:pt idx="2311">
                  <c:v>2.7426923274709303E-2</c:v>
                </c:pt>
                <c:pt idx="2312">
                  <c:v>2.7420383695917268E-2</c:v>
                </c:pt>
                <c:pt idx="2313">
                  <c:v>2.7415074361196445E-2</c:v>
                </c:pt>
                <c:pt idx="2314">
                  <c:v>2.7408518219473304E-2</c:v>
                </c:pt>
                <c:pt idx="2315">
                  <c:v>2.7403804208199618E-2</c:v>
                </c:pt>
                <c:pt idx="2316">
                  <c:v>2.7396615127657876E-2</c:v>
                </c:pt>
                <c:pt idx="2317">
                  <c:v>2.7390649476015518E-2</c:v>
                </c:pt>
                <c:pt idx="2318">
                  <c:v>2.7385287499349376E-2</c:v>
                </c:pt>
                <c:pt idx="2319">
                  <c:v>2.7378689961341445E-2</c:v>
                </c:pt>
                <c:pt idx="2320">
                  <c:v>2.7372696098343256E-2</c:v>
                </c:pt>
                <c:pt idx="2321">
                  <c:v>2.7366692831584716E-2</c:v>
                </c:pt>
                <c:pt idx="2322">
                  <c:v>2.736068016108387E-2</c:v>
                </c:pt>
                <c:pt idx="2323">
                  <c:v>2.73546580868562E-2</c:v>
                </c:pt>
                <c:pt idx="2324">
                  <c:v>2.7348626608912012E-2</c:v>
                </c:pt>
                <c:pt idx="2325">
                  <c:v>2.7342585727266781E-2</c:v>
                </c:pt>
                <c:pt idx="2326">
                  <c:v>2.7336535441943713E-2</c:v>
                </c:pt>
                <c:pt idx="2327">
                  <c:v>2.7331078672034881E-2</c:v>
                </c:pt>
                <c:pt idx="2328">
                  <c:v>2.7325008447474375E-2</c:v>
                </c:pt>
                <c:pt idx="2329">
                  <c:v>2.7318928818661492E-2</c:v>
                </c:pt>
                <c:pt idx="2330">
                  <c:v>2.7312240264081945E-2</c:v>
                </c:pt>
                <c:pt idx="2331">
                  <c:v>2.7302056747529946E-2</c:v>
                </c:pt>
                <c:pt idx="2332">
                  <c:v>2.7300633506870953E-2</c:v>
                </c:pt>
                <c:pt idx="2333">
                  <c:v>2.7293920142718784E-2</c:v>
                </c:pt>
                <c:pt idx="2334">
                  <c:v>2.7287794628444904E-2</c:v>
                </c:pt>
                <c:pt idx="2335">
                  <c:v>2.7281659710616964E-2</c:v>
                </c:pt>
                <c:pt idx="2336">
                  <c:v>2.7275515389258164E-2</c:v>
                </c:pt>
                <c:pt idx="2337">
                  <c:v>2.7267586475320398E-2</c:v>
                </c:pt>
                <c:pt idx="2338">
                  <c:v>2.7263198535978934E-2</c:v>
                </c:pt>
                <c:pt idx="2339">
                  <c:v>2.7257026004097185E-2</c:v>
                </c:pt>
                <c:pt idx="2340">
                  <c:v>2.7250844068733571E-2</c:v>
                </c:pt>
                <c:pt idx="2341">
                  <c:v>2.7245826684937864E-2</c:v>
                </c:pt>
                <c:pt idx="2342">
                  <c:v>2.7238451987643266E-2</c:v>
                </c:pt>
                <c:pt idx="2343">
                  <c:v>2.7232241841937201E-2</c:v>
                </c:pt>
                <c:pt idx="2344">
                  <c:v>2.7226022292818897E-2</c:v>
                </c:pt>
                <c:pt idx="2345">
                  <c:v>2.7220375792111895E-2</c:v>
                </c:pt>
                <c:pt idx="2346">
                  <c:v>2.7214136293396696E-2</c:v>
                </c:pt>
                <c:pt idx="2347">
                  <c:v>2.7207307225106562E-2</c:v>
                </c:pt>
                <c:pt idx="2348">
                  <c:v>2.7201050062468216E-2</c:v>
                </c:pt>
                <c:pt idx="2349">
                  <c:v>2.7194783496489829E-2</c:v>
                </c:pt>
                <c:pt idx="2350">
                  <c:v>2.7188507527186868E-2</c:v>
                </c:pt>
                <c:pt idx="2351">
                  <c:v>2.718222215457481E-2</c:v>
                </c:pt>
                <c:pt idx="2352">
                  <c:v>2.7176501818202969E-2</c:v>
                </c:pt>
                <c:pt idx="2353">
                  <c:v>2.7169623199467235E-2</c:v>
                </c:pt>
                <c:pt idx="2354">
                  <c:v>2.7163309617007816E-2</c:v>
                </c:pt>
                <c:pt idx="2355">
                  <c:v>2.7156986631298605E-2</c:v>
                </c:pt>
                <c:pt idx="2356">
                  <c:v>2.7151224090294634E-2</c:v>
                </c:pt>
                <c:pt idx="2357">
                  <c:v>2.7144312450195274E-2</c:v>
                </c:pt>
                <c:pt idx="2358">
                  <c:v>2.7137961254829514E-2</c:v>
                </c:pt>
                <c:pt idx="2359">
                  <c:v>2.7131600656273274E-2</c:v>
                </c:pt>
                <c:pt idx="2360">
                  <c:v>2.7125230654547177E-2</c:v>
                </c:pt>
                <c:pt idx="2361">
                  <c:v>2.7118851249664119E-2</c:v>
                </c:pt>
                <c:pt idx="2362">
                  <c:v>2.7112462441636988E-2</c:v>
                </c:pt>
                <c:pt idx="2363">
                  <c:v>2.7106626020185209E-2</c:v>
                </c:pt>
                <c:pt idx="2364">
                  <c:v>2.7099656616214982E-2</c:v>
                </c:pt>
                <c:pt idx="2365">
                  <c:v>2.7093239598853631E-2</c:v>
                </c:pt>
                <c:pt idx="2366">
                  <c:v>2.7087371505689906E-2</c:v>
                </c:pt>
                <c:pt idx="2367">
                  <c:v>2.7076695519696676E-2</c:v>
                </c:pt>
                <c:pt idx="2368">
                  <c:v>2.7070244919975204E-2</c:v>
                </c:pt>
                <c:pt idx="2369">
                  <c:v>2.7063784917236013E-2</c:v>
                </c:pt>
                <c:pt idx="2370">
                  <c:v>2.7057315511486837E-2</c:v>
                </c:pt>
                <c:pt idx="2371">
                  <c:v>2.7050836702737995E-2</c:v>
                </c:pt>
                <c:pt idx="2372">
                  <c:v>2.7042695820870107E-2</c:v>
                </c:pt>
                <c:pt idx="2373">
                  <c:v>2.7036201683048322E-2</c:v>
                </c:pt>
                <c:pt idx="2374">
                  <c:v>2.7029698144040992E-2</c:v>
                </c:pt>
                <c:pt idx="2375">
                  <c:v>2.7023185203868101E-2</c:v>
                </c:pt>
                <c:pt idx="2376">
                  <c:v>2.7020485450644265E-2</c:v>
                </c:pt>
                <c:pt idx="2377">
                  <c:v>2.7011766388296204E-2</c:v>
                </c:pt>
                <c:pt idx="2378">
                  <c:v>2.7005221759042186E-2</c:v>
                </c:pt>
                <c:pt idx="2379">
                  <c:v>2.6998667726920007E-2</c:v>
                </c:pt>
                <c:pt idx="2380">
                  <c:v>2.6991562773739375E-2</c:v>
                </c:pt>
                <c:pt idx="2381">
                  <c:v>2.6984191711291461E-2</c:v>
                </c:pt>
                <c:pt idx="2382">
                  <c:v>2.6977605619514511E-2</c:v>
                </c:pt>
                <c:pt idx="2383">
                  <c:v>2.6971547648155795E-2</c:v>
                </c:pt>
                <c:pt idx="2384">
                  <c:v>2.696440522585386E-2</c:v>
                </c:pt>
                <c:pt idx="2385">
                  <c:v>2.6957790923990144E-2</c:v>
                </c:pt>
                <c:pt idx="2386">
                  <c:v>2.6951167218793315E-2</c:v>
                </c:pt>
                <c:pt idx="2387">
                  <c:v>2.6944534110283358E-2</c:v>
                </c:pt>
                <c:pt idx="2388">
                  <c:v>2.6937891598477759E-2</c:v>
                </c:pt>
                <c:pt idx="2389">
                  <c:v>2.693123968338651E-2</c:v>
                </c:pt>
                <c:pt idx="2390">
                  <c:v>2.6924578365032092E-2</c:v>
                </c:pt>
                <c:pt idx="2391">
                  <c:v>2.6917907643434491E-2</c:v>
                </c:pt>
                <c:pt idx="2392">
                  <c:v>2.6911227518598702E-2</c:v>
                </c:pt>
                <c:pt idx="2393">
                  <c:v>2.6904537990552202E-2</c:v>
                </c:pt>
                <c:pt idx="2394">
                  <c:v>2.6897839059302486E-2</c:v>
                </c:pt>
                <c:pt idx="2395">
                  <c:v>2.6891130724877033E-2</c:v>
                </c:pt>
                <c:pt idx="2396">
                  <c:v>2.6884935309048948E-2</c:v>
                </c:pt>
                <c:pt idx="2397">
                  <c:v>2.6876121886123306E-2</c:v>
                </c:pt>
                <c:pt idx="2398">
                  <c:v>2.6870949302676139E-2</c:v>
                </c:pt>
                <c:pt idx="2399">
                  <c:v>2.6864203355692617E-2</c:v>
                </c:pt>
                <c:pt idx="2400">
                  <c:v>2.6857448005608298E-2</c:v>
                </c:pt>
                <c:pt idx="2401">
                  <c:v>2.685068325244816E-2</c:v>
                </c:pt>
                <c:pt idx="2402">
                  <c:v>2.6843909096227192E-2</c:v>
                </c:pt>
                <c:pt idx="2403">
                  <c:v>2.6837639632691822E-2</c:v>
                </c:pt>
                <c:pt idx="2404">
                  <c:v>2.6830332574652727E-2</c:v>
                </c:pt>
                <c:pt idx="2405">
                  <c:v>2.6823530209341695E-2</c:v>
                </c:pt>
                <c:pt idx="2406">
                  <c:v>2.6816718441032283E-2</c:v>
                </c:pt>
                <c:pt idx="2407">
                  <c:v>2.6809897269744476E-2</c:v>
                </c:pt>
                <c:pt idx="2408">
                  <c:v>2.6803066695495759E-2</c:v>
                </c:pt>
                <c:pt idx="2409">
                  <c:v>2.6796226718306115E-2</c:v>
                </c:pt>
                <c:pt idx="2410">
                  <c:v>2.6787859288305252E-2</c:v>
                </c:pt>
                <c:pt idx="2411">
                  <c:v>2.6782518555156509E-2</c:v>
                </c:pt>
                <c:pt idx="2412">
                  <c:v>2.6775650369236514E-2</c:v>
                </c:pt>
                <c:pt idx="2413">
                  <c:v>2.676877278044304E-2</c:v>
                </c:pt>
                <c:pt idx="2414">
                  <c:v>2.6761402108841575E-2</c:v>
                </c:pt>
                <c:pt idx="2415">
                  <c:v>2.6754989394293105E-2</c:v>
                </c:pt>
                <c:pt idx="2416">
                  <c:v>2.6748083596974115E-2</c:v>
                </c:pt>
                <c:pt idx="2417">
                  <c:v>2.6741665956751991E-2</c:v>
                </c:pt>
                <c:pt idx="2418">
                  <c:v>2.6729786870929379E-2</c:v>
                </c:pt>
                <c:pt idx="2419">
                  <c:v>2.67258233407595E-2</c:v>
                </c:pt>
                <c:pt idx="2420">
                  <c:v>2.6720366379800187E-2</c:v>
                </c:pt>
                <c:pt idx="2421">
                  <c:v>2.6713906383648772E-2</c:v>
                </c:pt>
                <c:pt idx="2422">
                  <c:v>2.6706451354725491E-2</c:v>
                </c:pt>
                <c:pt idx="2423">
                  <c:v>2.66980078865133E-2</c:v>
                </c:pt>
                <c:pt idx="2424">
                  <c:v>2.6690540825896773E-2</c:v>
                </c:pt>
                <c:pt idx="2425">
                  <c:v>2.6683555159982473E-2</c:v>
                </c:pt>
                <c:pt idx="2426">
                  <c:v>2.6676560093656296E-2</c:v>
                </c:pt>
                <c:pt idx="2427">
                  <c:v>2.6669555626938228E-2</c:v>
                </c:pt>
                <c:pt idx="2428">
                  <c:v>2.6664480615196662E-2</c:v>
                </c:pt>
                <c:pt idx="2429">
                  <c:v>2.6657452582745655E-2</c:v>
                </c:pt>
                <c:pt idx="2430">
                  <c:v>2.6650415147718431E-2</c:v>
                </c:pt>
                <c:pt idx="2431">
                  <c:v>2.6643368310134974E-2</c:v>
                </c:pt>
                <c:pt idx="2432">
                  <c:v>2.6636791790385059E-2</c:v>
                </c:pt>
                <c:pt idx="2433">
                  <c:v>2.6629246427331832E-2</c:v>
                </c:pt>
                <c:pt idx="2434">
                  <c:v>2.6622171382167104E-2</c:v>
                </c:pt>
                <c:pt idx="2435">
                  <c:v>2.6615563071929221E-2</c:v>
                </c:pt>
                <c:pt idx="2436">
                  <c:v>2.6606567715183344E-2</c:v>
                </c:pt>
                <c:pt idx="2437">
                  <c:v>2.6600889831775165E-2</c:v>
                </c:pt>
                <c:pt idx="2438">
                  <c:v>2.6593777176747713E-2</c:v>
                </c:pt>
                <c:pt idx="2439">
                  <c:v>2.6586655119298919E-2</c:v>
                </c:pt>
                <c:pt idx="2440">
                  <c:v>2.6579523659443771E-2</c:v>
                </c:pt>
                <c:pt idx="2441">
                  <c:v>2.6572382797204752E-2</c:v>
                </c:pt>
                <c:pt idx="2442">
                  <c:v>2.6565232532604344E-2</c:v>
                </c:pt>
                <c:pt idx="2443">
                  <c:v>2.655807286565004E-2</c:v>
                </c:pt>
                <c:pt idx="2444">
                  <c:v>2.6550903796361824E-2</c:v>
                </c:pt>
                <c:pt idx="2445">
                  <c:v>2.6543725324769674E-2</c:v>
                </c:pt>
                <c:pt idx="2446">
                  <c:v>2.6536537450878583E-2</c:v>
                </c:pt>
                <c:pt idx="2447">
                  <c:v>2.6529340174703542E-2</c:v>
                </c:pt>
                <c:pt idx="2448">
                  <c:v>2.6522133496277023E-2</c:v>
                </c:pt>
                <c:pt idx="2449">
                  <c:v>2.6513538809374244E-2</c:v>
                </c:pt>
                <c:pt idx="2450">
                  <c:v>2.6508150080889369E-2</c:v>
                </c:pt>
                <c:pt idx="2451">
                  <c:v>2.6500457047616E-2</c:v>
                </c:pt>
                <c:pt idx="2452">
                  <c:v>2.6493212760333451E-2</c:v>
                </c:pt>
                <c:pt idx="2453">
                  <c:v>2.6485959070881859E-2</c:v>
                </c:pt>
                <c:pt idx="2454">
                  <c:v>2.6478695979273714E-2</c:v>
                </c:pt>
                <c:pt idx="2455">
                  <c:v>2.6471875609932676E-2</c:v>
                </c:pt>
                <c:pt idx="2456">
                  <c:v>2.6464141589687684E-2</c:v>
                </c:pt>
                <c:pt idx="2457">
                  <c:v>2.6456850291739775E-2</c:v>
                </c:pt>
                <c:pt idx="2458">
                  <c:v>2.6449549591712751E-2</c:v>
                </c:pt>
                <c:pt idx="2459">
                  <c:v>2.6442239489626596E-2</c:v>
                </c:pt>
                <c:pt idx="2460">
                  <c:v>2.6434919985503791E-2</c:v>
                </c:pt>
                <c:pt idx="2461">
                  <c:v>2.6427591079354329E-2</c:v>
                </c:pt>
                <c:pt idx="2462">
                  <c:v>2.6420252771198194E-2</c:v>
                </c:pt>
                <c:pt idx="2463">
                  <c:v>2.6412905061065362E-2</c:v>
                </c:pt>
                <c:pt idx="2464">
                  <c:v>2.6405547948955832E-2</c:v>
                </c:pt>
                <c:pt idx="2465">
                  <c:v>2.6398181434894585E-2</c:v>
                </c:pt>
                <c:pt idx="2466">
                  <c:v>2.6389751049122612E-2</c:v>
                </c:pt>
                <c:pt idx="2467">
                  <c:v>2.6383420201009367E-2</c:v>
                </c:pt>
                <c:pt idx="2468">
                  <c:v>2.6376025481220366E-2</c:v>
                </c:pt>
                <c:pt idx="2469">
                  <c:v>2.6369056545453195E-2</c:v>
                </c:pt>
                <c:pt idx="2470">
                  <c:v>2.6361207836022027E-2</c:v>
                </c:pt>
                <c:pt idx="2471">
                  <c:v>2.63524860703203E-2</c:v>
                </c:pt>
                <c:pt idx="2472">
                  <c:v>2.6346352583468957E-2</c:v>
                </c:pt>
                <c:pt idx="2473">
                  <c:v>2.6339341181514025E-2</c:v>
                </c:pt>
                <c:pt idx="2474">
                  <c:v>2.6331459723713535E-2</c:v>
                </c:pt>
                <c:pt idx="2475">
                  <c:v>2.6322714937473055E-2</c:v>
                </c:pt>
                <c:pt idx="2476">
                  <c:v>2.6314821595808828E-2</c:v>
                </c:pt>
                <c:pt idx="2477">
                  <c:v>2.6307347129220306E-2</c:v>
                </c:pt>
                <c:pt idx="2478">
                  <c:v>2.629986326303925E-2</c:v>
                </c:pt>
                <c:pt idx="2479">
                  <c:v>2.6292369997294212E-2</c:v>
                </c:pt>
                <c:pt idx="2480">
                  <c:v>2.6286555502706976E-2</c:v>
                </c:pt>
                <c:pt idx="2481">
                  <c:v>2.6279038559983703E-2</c:v>
                </c:pt>
                <c:pt idx="2482">
                  <c:v>2.6271931579119438E-2</c:v>
                </c:pt>
                <c:pt idx="2483">
                  <c:v>2.6263976469653727E-2</c:v>
                </c:pt>
                <c:pt idx="2484">
                  <c:v>2.6256848243431111E-2</c:v>
                </c:pt>
                <c:pt idx="2485">
                  <c:v>2.624887677294574E-2</c:v>
                </c:pt>
                <c:pt idx="2486">
                  <c:v>2.6241312890959989E-2</c:v>
                </c:pt>
                <c:pt idx="2487">
                  <c:v>2.6233742015003836E-2</c:v>
                </c:pt>
                <c:pt idx="2488">
                  <c:v>2.6224927748751441E-2</c:v>
                </c:pt>
                <c:pt idx="2489">
                  <c:v>2.6218599743047521E-2</c:v>
                </c:pt>
                <c:pt idx="2490">
                  <c:v>2.6211038822250565E-2</c:v>
                </c:pt>
                <c:pt idx="2491">
                  <c:v>2.6203491145302127E-2</c:v>
                </c:pt>
                <c:pt idx="2492">
                  <c:v>2.6195958007581011E-2</c:v>
                </c:pt>
                <c:pt idx="2493">
                  <c:v>2.6188855522527893E-2</c:v>
                </c:pt>
                <c:pt idx="2494">
                  <c:v>2.6180935357329738E-2</c:v>
                </c:pt>
                <c:pt idx="2495">
                  <c:v>2.6173445844742127E-2</c:v>
                </c:pt>
                <c:pt idx="2496">
                  <c:v>2.616597087381739E-2</c:v>
                </c:pt>
                <c:pt idx="2497">
                  <c:v>2.6158510444508065E-2</c:v>
                </c:pt>
                <c:pt idx="2498">
                  <c:v>2.6151064556796666E-2</c:v>
                </c:pt>
                <c:pt idx="2499">
                  <c:v>2.6143633210660711E-2</c:v>
                </c:pt>
                <c:pt idx="2500">
                  <c:v>2.6136216406060231E-2</c:v>
                </c:pt>
                <c:pt idx="2501">
                  <c:v>2.6129234236394312E-2</c:v>
                </c:pt>
                <c:pt idx="2502">
                  <c:v>2.6121847018022754E-2</c:v>
                </c:pt>
                <c:pt idx="2503">
                  <c:v>2.6114053241196866E-2</c:v>
                </c:pt>
                <c:pt idx="2504">
                  <c:v>2.6106694602466007E-2</c:v>
                </c:pt>
                <c:pt idx="2505">
                  <c:v>2.6099350505130736E-2</c:v>
                </c:pt>
                <c:pt idx="2506">
                  <c:v>2.6092020949158579E-2</c:v>
                </c:pt>
                <c:pt idx="2507">
                  <c:v>2.6085129065414655E-2</c:v>
                </c:pt>
                <c:pt idx="2508">
                  <c:v>2.6077405461213676E-2</c:v>
                </c:pt>
                <c:pt idx="2509">
                  <c:v>2.6070119529175984E-2</c:v>
                </c:pt>
                <c:pt idx="2510">
                  <c:v>2.6061574557559745E-2</c:v>
                </c:pt>
                <c:pt idx="2511">
                  <c:v>2.6055591288842717E-2</c:v>
                </c:pt>
                <c:pt idx="2512">
                  <c:v>2.604834898048719E-2</c:v>
                </c:pt>
                <c:pt idx="2513">
                  <c:v>2.6041121213297436E-2</c:v>
                </c:pt>
                <c:pt idx="2514">
                  <c:v>2.6033907987260962E-2</c:v>
                </c:pt>
                <c:pt idx="2515">
                  <c:v>2.6026709302332807E-2</c:v>
                </c:pt>
                <c:pt idx="2516">
                  <c:v>2.6018072267223514E-2</c:v>
                </c:pt>
                <c:pt idx="2517">
                  <c:v>2.6012355555706523E-2</c:v>
                </c:pt>
                <c:pt idx="2518">
                  <c:v>2.600460841548272E-2</c:v>
                </c:pt>
                <c:pt idx="2519">
                  <c:v>2.5998489308232727E-2</c:v>
                </c:pt>
                <c:pt idx="2520">
                  <c:v>2.5990933993434995E-2</c:v>
                </c:pt>
                <c:pt idx="2521">
                  <c:v>2.5984252940337269E-2</c:v>
                </c:pt>
                <c:pt idx="2522">
                  <c:v>2.5976725656710331E-2</c:v>
                </c:pt>
                <c:pt idx="2523">
                  <c:v>2.5964161627841188E-2</c:v>
                </c:pt>
                <c:pt idx="2524">
                  <c:v>2.5961135007454617E-2</c:v>
                </c:pt>
                <c:pt idx="2525">
                  <c:v>2.5954083278694983E-2</c:v>
                </c:pt>
                <c:pt idx="2526">
                  <c:v>2.5947479127264583E-2</c:v>
                </c:pt>
                <c:pt idx="2527">
                  <c:v>2.594002344002103E-2</c:v>
                </c:pt>
                <c:pt idx="2528">
                  <c:v>2.5933015330049981E-2</c:v>
                </c:pt>
                <c:pt idx="2529">
                  <c:v>2.5926021759633006E-2</c:v>
                </c:pt>
                <c:pt idx="2530">
                  <c:v>2.5919042728731433E-2</c:v>
                </c:pt>
                <c:pt idx="2531">
                  <c:v>2.5912078237327205E-2</c:v>
                </c:pt>
                <c:pt idx="2532">
                  <c:v>2.5905564539276671E-2</c:v>
                </c:pt>
                <c:pt idx="2533">
                  <c:v>2.5898192872887024E-2</c:v>
                </c:pt>
                <c:pt idx="2534">
                  <c:v>2.5891271999804653E-2</c:v>
                </c:pt>
                <c:pt idx="2535">
                  <c:v>2.5884365666108751E-2</c:v>
                </c:pt>
                <c:pt idx="2536">
                  <c:v>2.5873103571653289E-2</c:v>
                </c:pt>
                <c:pt idx="2537">
                  <c:v>2.5870596616786107E-2</c:v>
                </c:pt>
                <c:pt idx="2538">
                  <c:v>2.586373390111037E-2</c:v>
                </c:pt>
                <c:pt idx="2539">
                  <c:v>2.58568857247128E-2</c:v>
                </c:pt>
                <c:pt idx="2540">
                  <c:v>2.5850933377054828E-2</c:v>
                </c:pt>
                <c:pt idx="2541">
                  <c:v>2.5843232989682548E-2</c:v>
                </c:pt>
                <c:pt idx="2542">
                  <c:v>2.5836428430990554E-2</c:v>
                </c:pt>
                <c:pt idx="2543">
                  <c:v>2.582963841148906E-2</c:v>
                </c:pt>
                <c:pt idx="2544">
                  <c:v>2.5822862931141961E-2</c:v>
                </c:pt>
                <c:pt idx="2545">
                  <c:v>2.5816101989926048E-2</c:v>
                </c:pt>
                <c:pt idx="2546">
                  <c:v>2.5809355587820701E-2</c:v>
                </c:pt>
                <c:pt idx="2547">
                  <c:v>2.5802623724797549E-2</c:v>
                </c:pt>
                <c:pt idx="2548">
                  <c:v>2.5795906400835962E-2</c:v>
                </c:pt>
                <c:pt idx="2549">
                  <c:v>2.5789203615902423E-2</c:v>
                </c:pt>
                <c:pt idx="2550">
                  <c:v>2.5782515369973724E-2</c:v>
                </c:pt>
                <c:pt idx="2551">
                  <c:v>2.5775841663026655E-2</c:v>
                </c:pt>
                <c:pt idx="2552">
                  <c:v>2.5769182495040587E-2</c:v>
                </c:pt>
                <c:pt idx="2553">
                  <c:v>2.5762985709001929E-2</c:v>
                </c:pt>
                <c:pt idx="2554">
                  <c:v>2.5756356183528339E-2</c:v>
                </c:pt>
                <c:pt idx="2555">
                  <c:v>2.5749292224569918E-2</c:v>
                </c:pt>
                <c:pt idx="2556">
                  <c:v>2.5742691212162272E-2</c:v>
                </c:pt>
                <c:pt idx="2557">
                  <c:v>2.5736104738589272E-2</c:v>
                </c:pt>
                <c:pt idx="2558">
                  <c:v>2.5729532803819986E-2</c:v>
                </c:pt>
                <c:pt idx="2559">
                  <c:v>2.5723426656283355E-2</c:v>
                </c:pt>
                <c:pt idx="2560">
                  <c:v>2.5716432550607446E-2</c:v>
                </c:pt>
                <c:pt idx="2561">
                  <c:v>2.5709904232117782E-2</c:v>
                </c:pt>
                <c:pt idx="2562">
                  <c:v>2.5703843419103978E-2</c:v>
                </c:pt>
                <c:pt idx="2563">
                  <c:v>2.5696891211237565E-2</c:v>
                </c:pt>
                <c:pt idx="2564">
                  <c:v>2.569040650880576E-2</c:v>
                </c:pt>
                <c:pt idx="2565">
                  <c:v>2.5683936345002323E-2</c:v>
                </c:pt>
                <c:pt idx="2566">
                  <c:v>2.5677480719822093E-2</c:v>
                </c:pt>
                <c:pt idx="2567">
                  <c:v>2.5671039633226391E-2</c:v>
                </c:pt>
                <c:pt idx="2568">
                  <c:v>2.5661406694283961E-2</c:v>
                </c:pt>
                <c:pt idx="2569">
                  <c:v>2.5658201075700909E-2</c:v>
                </c:pt>
                <c:pt idx="2570">
                  <c:v>2.5652718881309482E-2</c:v>
                </c:pt>
                <c:pt idx="2571">
                  <c:v>2.5645878856107029E-2</c:v>
                </c:pt>
                <c:pt idx="2572">
                  <c:v>2.5639052278224213E-2</c:v>
                </c:pt>
                <c:pt idx="2573">
                  <c:v>2.563315777849573E-2</c:v>
                </c:pt>
                <c:pt idx="2574">
                  <c:v>2.5626359105502278E-2</c:v>
                </c:pt>
                <c:pt idx="2575">
                  <c:v>2.5620955469585611E-2</c:v>
                </c:pt>
                <c:pt idx="2576">
                  <c:v>2.561372408636552E-2</c:v>
                </c:pt>
                <c:pt idx="2577">
                  <c:v>2.5607428384333563E-2</c:v>
                </c:pt>
                <c:pt idx="2578">
                  <c:v>2.5601609526419988E-2</c:v>
                </c:pt>
                <c:pt idx="2579">
                  <c:v>2.5594880595226452E-2</c:v>
                </c:pt>
                <c:pt idx="2580">
                  <c:v>2.5587238498863445E-2</c:v>
                </c:pt>
                <c:pt idx="2581">
                  <c:v>2.5580999163706344E-2</c:v>
                </c:pt>
                <c:pt idx="2582">
                  <c:v>2.5574774363374013E-2</c:v>
                </c:pt>
                <c:pt idx="2583">
                  <c:v>2.5568564097835048E-2</c:v>
                </c:pt>
                <c:pt idx="2584">
                  <c:v>2.556376554192611E-2</c:v>
                </c:pt>
                <c:pt idx="2585">
                  <c:v>2.5557586145847411E-2</c:v>
                </c:pt>
                <c:pt idx="2586">
                  <c:v>2.5551421287904563E-2</c:v>
                </c:pt>
                <c:pt idx="2587">
                  <c:v>2.5545738655545214E-2</c:v>
                </c:pt>
                <c:pt idx="2588">
                  <c:v>2.5539135186349083E-2</c:v>
                </c:pt>
                <c:pt idx="2589">
                  <c:v>2.5533482838561439E-2</c:v>
                </c:pt>
                <c:pt idx="2590">
                  <c:v>2.5526907237071433E-2</c:v>
                </c:pt>
                <c:pt idx="2591">
                  <c:v>2.5516869982125101E-2</c:v>
                </c:pt>
                <c:pt idx="2592">
                  <c:v>2.5515208156876024E-2</c:v>
                </c:pt>
                <c:pt idx="2593">
                  <c:v>2.5508674348282984E-2</c:v>
                </c:pt>
                <c:pt idx="2594">
                  <c:v>2.5502625794627629E-2</c:v>
                </c:pt>
                <c:pt idx="2595">
                  <c:v>2.5496591778907004E-2</c:v>
                </c:pt>
                <c:pt idx="2596">
                  <c:v>2.5490572301097893E-2</c:v>
                </c:pt>
                <c:pt idx="2597">
                  <c:v>2.548456736117452E-2</c:v>
                </c:pt>
                <c:pt idx="2598">
                  <c:v>2.5478576959118829E-2</c:v>
                </c:pt>
                <c:pt idx="2599">
                  <c:v>2.5472601094905036E-2</c:v>
                </c:pt>
                <c:pt idx="2600">
                  <c:v>2.5466639768512513E-2</c:v>
                </c:pt>
                <c:pt idx="2601">
                  <c:v>2.5461169221152324E-2</c:v>
                </c:pt>
                <c:pt idx="2602">
                  <c:v>2.5454760729101026E-2</c:v>
                </c:pt>
                <c:pt idx="2603">
                  <c:v>2.5448843016033069E-2</c:v>
                </c:pt>
                <c:pt idx="2604">
                  <c:v>2.5442939840701288E-2</c:v>
                </c:pt>
                <c:pt idx="2605">
                  <c:v>2.5437529928771241E-2</c:v>
                </c:pt>
                <c:pt idx="2606">
                  <c:v>2.5431656452755691E-2</c:v>
                </c:pt>
                <c:pt idx="2607">
                  <c:v>2.5425317540872874E-2</c:v>
                </c:pt>
                <c:pt idx="2608">
                  <c:v>2.5419472516248567E-2</c:v>
                </c:pt>
                <c:pt idx="2609">
                  <c:v>2.5413642029239243E-2</c:v>
                </c:pt>
                <c:pt idx="2610">
                  <c:v>2.5406381006035809E-2</c:v>
                </c:pt>
                <c:pt idx="2611">
                  <c:v>2.5402507153985954E-2</c:v>
                </c:pt>
                <c:pt idx="2612">
                  <c:v>2.5396237793741297E-2</c:v>
                </c:pt>
                <c:pt idx="2613">
                  <c:v>2.5390465456998509E-2</c:v>
                </c:pt>
                <c:pt idx="2614">
                  <c:v>2.5385676503334152E-2</c:v>
                </c:pt>
                <c:pt idx="2615">
                  <c:v>2.5378964396045877E-2</c:v>
                </c:pt>
                <c:pt idx="2616">
                  <c:v>2.5373721322037857E-2</c:v>
                </c:pt>
                <c:pt idx="2617">
                  <c:v>2.5367521484972993E-2</c:v>
                </c:pt>
                <c:pt idx="2618">
                  <c:v>2.5361821835583116E-2</c:v>
                </c:pt>
                <c:pt idx="2619">
                  <c:v>2.5356136723607096E-2</c:v>
                </c:pt>
                <c:pt idx="2620">
                  <c:v>2.5350466149008825E-2</c:v>
                </c:pt>
                <c:pt idx="2621">
                  <c:v>2.5344810111775418E-2</c:v>
                </c:pt>
                <c:pt idx="2622">
                  <c:v>2.5339168611881083E-2</c:v>
                </c:pt>
                <c:pt idx="2623">
                  <c:v>2.5333541649315509E-2</c:v>
                </c:pt>
                <c:pt idx="2624">
                  <c:v>2.5327929224042593E-2</c:v>
                </c:pt>
                <c:pt idx="2625">
                  <c:v>2.5322331336049445E-2</c:v>
                </c:pt>
                <c:pt idx="2626">
                  <c:v>2.5317240047472989E-2</c:v>
                </c:pt>
                <c:pt idx="2627">
                  <c:v>2.5308796987633251E-2</c:v>
                </c:pt>
                <c:pt idx="2628">
                  <c:v>2.5303248941579714E-2</c:v>
                </c:pt>
                <c:pt idx="2629">
                  <c:v>2.5297715432718269E-2</c:v>
                </c:pt>
                <c:pt idx="2630">
                  <c:v>2.529140922319208E-2</c:v>
                </c:pt>
                <c:pt idx="2631">
                  <c:v>2.5286692026455629E-2</c:v>
                </c:pt>
                <c:pt idx="2632">
                  <c:v>2.527971391458296E-2</c:v>
                </c:pt>
                <c:pt idx="2633">
                  <c:v>2.527423659190469E-2</c:v>
                </c:pt>
                <c:pt idx="2634">
                  <c:v>2.5267994591022802E-2</c:v>
                </c:pt>
                <c:pt idx="2635">
                  <c:v>2.5263325547864986E-2</c:v>
                </c:pt>
                <c:pt idx="2636">
                  <c:v>2.525938791013289E-2</c:v>
                </c:pt>
                <c:pt idx="2637">
                  <c:v>2.5253970698011424E-2</c:v>
                </c:pt>
                <c:pt idx="2638">
                  <c:v>2.5248568022893821E-2</c:v>
                </c:pt>
                <c:pt idx="2639">
                  <c:v>2.5243179884759444E-2</c:v>
                </c:pt>
                <c:pt idx="2640">
                  <c:v>2.5237304861818188E-2</c:v>
                </c:pt>
                <c:pt idx="2641">
                  <c:v>2.5231945134542855E-2</c:v>
                </c:pt>
                <c:pt idx="2642">
                  <c:v>2.5225075415386655E-2</c:v>
                </c:pt>
                <c:pt idx="2643">
                  <c:v>2.5221269287459158E-2</c:v>
                </c:pt>
                <c:pt idx="2644">
                  <c:v>2.5215953167605498E-2</c:v>
                </c:pt>
                <c:pt idx="2645">
                  <c:v>2.5210400244294221E-2</c:v>
                </c:pt>
                <c:pt idx="2646">
                  <c:v>2.5205869951595822E-2</c:v>
                </c:pt>
                <c:pt idx="2647">
                  <c:v>2.5200598108589812E-2</c:v>
                </c:pt>
                <c:pt idx="2648">
                  <c:v>2.5194590945314614E-2</c:v>
                </c:pt>
                <c:pt idx="2649">
                  <c:v>2.5189590604462353E-2</c:v>
                </c:pt>
                <c:pt idx="2650">
                  <c:v>2.5184361698929791E-2</c:v>
                </c:pt>
                <c:pt idx="2651">
                  <c:v>2.5179147329047247E-2</c:v>
                </c:pt>
                <c:pt idx="2652">
                  <c:v>2.5173947494793403E-2</c:v>
                </c:pt>
                <c:pt idx="2653">
                  <c:v>2.5169272322689069E-2</c:v>
                </c:pt>
                <c:pt idx="2654">
                  <c:v>2.5164102236884436E-2</c:v>
                </c:pt>
                <c:pt idx="2655">
                  <c:v>2.515894668774071E-2</c:v>
                </c:pt>
                <c:pt idx="2656">
                  <c:v>2.5153805675242415E-2</c:v>
                </c:pt>
                <c:pt idx="2657">
                  <c:v>2.5148679199371509E-2</c:v>
                </c:pt>
                <c:pt idx="2658">
                  <c:v>2.5143567260104784E-2</c:v>
                </c:pt>
                <c:pt idx="2659">
                  <c:v>2.5138469857431921E-2</c:v>
                </c:pt>
                <c:pt idx="2660">
                  <c:v>2.5133386991321977E-2</c:v>
                </c:pt>
                <c:pt idx="2661">
                  <c:v>2.51275958013428E-2</c:v>
                </c:pt>
                <c:pt idx="2662">
                  <c:v>2.5122027726167673E-2</c:v>
                </c:pt>
                <c:pt idx="2663">
                  <c:v>2.511770866450469E-2</c:v>
                </c:pt>
                <c:pt idx="2664">
                  <c:v>2.5112683256404367E-2</c:v>
                </c:pt>
                <c:pt idx="2665">
                  <c:v>2.5107672383698265E-2</c:v>
                </c:pt>
                <c:pt idx="2666">
                  <c:v>2.5103195061563114E-2</c:v>
                </c:pt>
                <c:pt idx="2667">
                  <c:v>2.509821395090369E-2</c:v>
                </c:pt>
                <c:pt idx="2668">
                  <c:v>2.5092539052708456E-2</c:v>
                </c:pt>
                <c:pt idx="2669">
                  <c:v>2.5088295338830086E-2</c:v>
                </c:pt>
                <c:pt idx="2670">
                  <c:v>2.5083879714825341E-2</c:v>
                </c:pt>
                <c:pt idx="2671">
                  <c:v>2.5077912389679824E-2</c:v>
                </c:pt>
                <c:pt idx="2672">
                  <c:v>2.5072303147124053E-2</c:v>
                </c:pt>
                <c:pt idx="2673">
                  <c:v>2.5068108673995226E-2</c:v>
                </c:pt>
                <c:pt idx="2674">
                  <c:v>2.5064277861959472E-2</c:v>
                </c:pt>
                <c:pt idx="2675">
                  <c:v>2.5058888375153035E-2</c:v>
                </c:pt>
                <c:pt idx="2676">
                  <c:v>2.5054038091589865E-2</c:v>
                </c:pt>
                <c:pt idx="2677">
                  <c:v>2.5049202344280184E-2</c:v>
                </c:pt>
                <c:pt idx="2678">
                  <c:v>2.5044381133211099E-2</c:v>
                </c:pt>
                <c:pt idx="2679">
                  <c:v>2.5038888977144392E-2</c:v>
                </c:pt>
                <c:pt idx="2680">
                  <c:v>2.5034098915086424E-2</c:v>
                </c:pt>
                <c:pt idx="2681">
                  <c:v>2.502932338920201E-2</c:v>
                </c:pt>
                <c:pt idx="2682">
                  <c:v>2.5024562399480834E-2</c:v>
                </c:pt>
                <c:pt idx="2683">
                  <c:v>2.5019815945904852E-2</c:v>
                </c:pt>
                <c:pt idx="2684">
                  <c:v>2.5013489129942661E-2</c:v>
                </c:pt>
                <c:pt idx="2685">
                  <c:v>2.5008769616534008E-2</c:v>
                </c:pt>
                <c:pt idx="2686">
                  <c:v>2.5004064636003114E-2</c:v>
                </c:pt>
                <c:pt idx="2687">
                  <c:v>2.4999374188341417E-2</c:v>
                </c:pt>
                <c:pt idx="2688">
                  <c:v>2.4996301719511737E-2</c:v>
                </c:pt>
                <c:pt idx="2689">
                  <c:v>2.4991642482412375E-2</c:v>
                </c:pt>
                <c:pt idx="2690">
                  <c:v>2.4986997781331854E-2</c:v>
                </c:pt>
                <c:pt idx="2691">
                  <c:v>2.4982367616254702E-2</c:v>
                </c:pt>
                <c:pt idx="2692">
                  <c:v>2.4977511480118834E-2</c:v>
                </c:pt>
                <c:pt idx="2693">
                  <c:v>2.4972377426060732E-2</c:v>
                </c:pt>
                <c:pt idx="2694">
                  <c:v>2.4967795742862897E-2</c:v>
                </c:pt>
                <c:pt idx="2695">
                  <c:v>2.4963768593438056E-2</c:v>
                </c:pt>
                <c:pt idx="2696">
                  <c:v>2.4958675987409584E-2</c:v>
                </c:pt>
                <c:pt idx="2697">
                  <c:v>2.4954137915131624E-2</c:v>
                </c:pt>
                <c:pt idx="2698">
                  <c:v>2.4949614379787821E-2</c:v>
                </c:pt>
                <c:pt idx="2699">
                  <c:v>2.4945105381360688E-2</c:v>
                </c:pt>
                <c:pt idx="2700">
                  <c:v>2.494061091984523E-2</c:v>
                </c:pt>
                <c:pt idx="2701">
                  <c:v>2.493613099521147E-2</c:v>
                </c:pt>
                <c:pt idx="2702">
                  <c:v>2.4931665607446918E-2</c:v>
                </c:pt>
                <c:pt idx="2703">
                  <c:v>2.492721475653159E-2</c:v>
                </c:pt>
                <c:pt idx="2704">
                  <c:v>2.4922778442457993E-2</c:v>
                </c:pt>
                <c:pt idx="2705">
                  <c:v>2.4918356665193653E-2</c:v>
                </c:pt>
                <c:pt idx="2706">
                  <c:v>2.4913949424731074E-2</c:v>
                </c:pt>
                <c:pt idx="2707">
                  <c:v>2.4909556721050274E-2</c:v>
                </c:pt>
                <c:pt idx="2708">
                  <c:v>2.490572803408788E-2</c:v>
                </c:pt>
                <c:pt idx="2709">
                  <c:v>2.4899164847246646E-2</c:v>
                </c:pt>
                <c:pt idx="2710">
                  <c:v>2.4896465830543668E-2</c:v>
                </c:pt>
                <c:pt idx="2711">
                  <c:v>2.4892131273825113E-2</c:v>
                </c:pt>
                <c:pt idx="2712">
                  <c:v>2.4887811253808401E-2</c:v>
                </c:pt>
                <c:pt idx="2713">
                  <c:v>2.4883505770471048E-2</c:v>
                </c:pt>
                <c:pt idx="2714">
                  <c:v>2.4879214823798068E-2</c:v>
                </c:pt>
                <c:pt idx="2715">
                  <c:v>2.4875493074061342E-2</c:v>
                </c:pt>
                <c:pt idx="2716">
                  <c:v>2.4870676540387771E-2</c:v>
                </c:pt>
                <c:pt idx="2717">
                  <c:v>2.4866429203610485E-2</c:v>
                </c:pt>
                <c:pt idx="2718">
                  <c:v>2.4862196403435122E-2</c:v>
                </c:pt>
                <c:pt idx="2719">
                  <c:v>2.4857978139841697E-2</c:v>
                </c:pt>
                <c:pt idx="2720">
                  <c:v>2.485377441281772E-2</c:v>
                </c:pt>
                <c:pt idx="2721">
                  <c:v>2.4849585222335713E-2</c:v>
                </c:pt>
                <c:pt idx="2722">
                  <c:v>2.4843731475720516E-2</c:v>
                </c:pt>
                <c:pt idx="2723">
                  <c:v>2.4841250450970132E-2</c:v>
                </c:pt>
                <c:pt idx="2724">
                  <c:v>2.4837104870046589E-2</c:v>
                </c:pt>
                <c:pt idx="2725">
                  <c:v>2.4832973825607563E-2</c:v>
                </c:pt>
                <c:pt idx="2726">
                  <c:v>2.4828833444589679E-2</c:v>
                </c:pt>
                <c:pt idx="2727">
                  <c:v>2.4824755346125604E-2</c:v>
                </c:pt>
                <c:pt idx="2728">
                  <c:v>2.4820667911050198E-2</c:v>
                </c:pt>
                <c:pt idx="2729">
                  <c:v>2.4817160187918092E-2</c:v>
                </c:pt>
                <c:pt idx="2730">
                  <c:v>2.4809657842378752E-2</c:v>
                </c:pt>
                <c:pt idx="2731">
                  <c:v>2.4807349616938291E-2</c:v>
                </c:pt>
                <c:pt idx="2732">
                  <c:v>2.4804463534809362E-2</c:v>
                </c:pt>
                <c:pt idx="2733">
                  <c:v>2.4801016999265586E-2</c:v>
                </c:pt>
                <c:pt idx="2734">
                  <c:v>2.479644856490909E-2</c:v>
                </c:pt>
                <c:pt idx="2735">
                  <c:v>2.4790754243930121E-2</c:v>
                </c:pt>
                <c:pt idx="2736">
                  <c:v>2.4786780804939873E-2</c:v>
                </c:pt>
                <c:pt idx="2737">
                  <c:v>2.4782821899124289E-2</c:v>
                </c:pt>
                <c:pt idx="2738">
                  <c:v>2.4778877526464071E-2</c:v>
                </c:pt>
                <c:pt idx="2739">
                  <c:v>2.4774947686948198E-2</c:v>
                </c:pt>
                <c:pt idx="2740">
                  <c:v>2.4772752526595054E-2</c:v>
                </c:pt>
                <c:pt idx="2741">
                  <c:v>2.4768854063797474E-2</c:v>
                </c:pt>
                <c:pt idx="2742">
                  <c:v>2.4765545260429664E-2</c:v>
                </c:pt>
                <c:pt idx="2743">
                  <c:v>2.4761100746841513E-2</c:v>
                </c:pt>
                <c:pt idx="2744">
                  <c:v>2.4757822561910201E-2</c:v>
                </c:pt>
                <c:pt idx="2745">
                  <c:v>2.475340557465705E-2</c:v>
                </c:pt>
                <c:pt idx="2746">
                  <c:v>2.4749579792815724E-2</c:v>
                </c:pt>
                <c:pt idx="2747">
                  <c:v>2.4745768547119185E-2</c:v>
                </c:pt>
                <c:pt idx="2748">
                  <c:v>2.4740233120485396E-2</c:v>
                </c:pt>
                <c:pt idx="2749">
                  <c:v>2.4738189664115506E-2</c:v>
                </c:pt>
                <c:pt idx="2750">
                  <c:v>2.4734422026770897E-2</c:v>
                </c:pt>
                <c:pt idx="2751">
                  <c:v>2.4730668925518617E-2</c:v>
                </c:pt>
                <c:pt idx="2752">
                  <c:v>2.4726930360338684E-2</c:v>
                </c:pt>
                <c:pt idx="2753">
                  <c:v>2.4723790008964745E-2</c:v>
                </c:pt>
                <c:pt idx="2754">
                  <c:v>2.4719496838140897E-2</c:v>
                </c:pt>
                <c:pt idx="2755">
                  <c:v>2.4715801881103061E-2</c:v>
                </c:pt>
                <c:pt idx="2756">
                  <c:v>2.4712121460072622E-2</c:v>
                </c:pt>
                <c:pt idx="2757">
                  <c:v>2.4708455575047084E-2</c:v>
                </c:pt>
                <c:pt idx="2758">
                  <c:v>2.4704804226011456E-2</c:v>
                </c:pt>
                <c:pt idx="2759">
                  <c:v>2.4701167412948255E-2</c:v>
                </c:pt>
                <c:pt idx="2760">
                  <c:v>2.4697545135847487E-2</c:v>
                </c:pt>
                <c:pt idx="2761">
                  <c:v>2.4694527372565875E-2</c:v>
                </c:pt>
                <c:pt idx="2762">
                  <c:v>2.4690934959500671E-2</c:v>
                </c:pt>
                <c:pt idx="2763">
                  <c:v>2.4686765520157417E-2</c:v>
                </c:pt>
                <c:pt idx="2764">
                  <c:v>2.4683201386754006E-2</c:v>
                </c:pt>
                <c:pt idx="2765">
                  <c:v>2.4679651789243084E-2</c:v>
                </c:pt>
                <c:pt idx="2766">
                  <c:v>2.4676116727609665E-2</c:v>
                </c:pt>
                <c:pt idx="2767">
                  <c:v>2.4673190948118033E-2</c:v>
                </c:pt>
                <c:pt idx="2768">
                  <c:v>2.4669090211910383E-2</c:v>
                </c:pt>
                <c:pt idx="2769">
                  <c:v>2.4665598757827034E-2</c:v>
                </c:pt>
                <c:pt idx="2770">
                  <c:v>2.4660331027871345E-2</c:v>
                </c:pt>
                <c:pt idx="2771">
                  <c:v>2.4658659457105492E-2</c:v>
                </c:pt>
                <c:pt idx="2772">
                  <c:v>2.4655211610444816E-2</c:v>
                </c:pt>
                <c:pt idx="2773">
                  <c:v>2.465177829956422E-2</c:v>
                </c:pt>
                <c:pt idx="2774">
                  <c:v>2.4648359524458707E-2</c:v>
                </c:pt>
                <c:pt idx="2775">
                  <c:v>2.46449552851008E-2</c:v>
                </c:pt>
                <c:pt idx="2776">
                  <c:v>2.4640480545507906E-2</c:v>
                </c:pt>
                <c:pt idx="2777">
                  <c:v>2.4638190413610317E-2</c:v>
                </c:pt>
                <c:pt idx="2778">
                  <c:v>2.4634954577778988E-2</c:v>
                </c:pt>
                <c:pt idx="2779">
                  <c:v>2.4632088079060598E-2</c:v>
                </c:pt>
                <c:pt idx="2780">
                  <c:v>2.4628152124213099E-2</c:v>
                </c:pt>
                <c:pt idx="2781">
                  <c:v>2.4625441115511331E-2</c:v>
                </c:pt>
                <c:pt idx="2782">
                  <c:v>2.4621532609689079E-2</c:v>
                </c:pt>
                <c:pt idx="2783">
                  <c:v>2.4615296897610529E-2</c:v>
                </c:pt>
                <c:pt idx="2784">
                  <c:v>2.4613896324626489E-2</c:v>
                </c:pt>
                <c:pt idx="2785">
                  <c:v>2.4610638702861887E-2</c:v>
                </c:pt>
                <c:pt idx="2786">
                  <c:v>2.4608005716820758E-2</c:v>
                </c:pt>
                <c:pt idx="2787">
                  <c:v>2.4604167063093294E-2</c:v>
                </c:pt>
                <c:pt idx="2788">
                  <c:v>2.4599118467288746E-2</c:v>
                </c:pt>
                <c:pt idx="2789">
                  <c:v>2.4595916525037405E-2</c:v>
                </c:pt>
                <c:pt idx="2790">
                  <c:v>2.4592729114279215E-2</c:v>
                </c:pt>
                <c:pt idx="2791">
                  <c:v>2.4589556234991341E-2</c:v>
                </c:pt>
                <c:pt idx="2792">
                  <c:v>2.4588242318378136E-2</c:v>
                </c:pt>
                <c:pt idx="2793">
                  <c:v>2.4585716820244852E-2</c:v>
                </c:pt>
                <c:pt idx="2794">
                  <c:v>2.4581974162131183E-2</c:v>
                </c:pt>
                <c:pt idx="2795">
                  <c:v>2.4578861885735874E-2</c:v>
                </c:pt>
                <c:pt idx="2796">
                  <c:v>2.4576382468935454E-2</c:v>
                </c:pt>
                <c:pt idx="2797">
                  <c:v>2.4570306109660045E-2</c:v>
                </c:pt>
                <c:pt idx="2798">
                  <c:v>2.4569612263341409E-2</c:v>
                </c:pt>
                <c:pt idx="2799">
                  <c:v>2.4566558124768396E-2</c:v>
                </c:pt>
                <c:pt idx="2800">
                  <c:v>2.4564140163828296E-2</c:v>
                </c:pt>
                <c:pt idx="2801">
                  <c:v>2.4560493450885307E-2</c:v>
                </c:pt>
                <c:pt idx="2802">
                  <c:v>2.4557482915552025E-2</c:v>
                </c:pt>
                <c:pt idx="2803">
                  <c:v>2.4554486914613073E-2</c:v>
                </c:pt>
                <c:pt idx="2804">
                  <c:v>2.4551505448055566E-2</c:v>
                </c:pt>
                <c:pt idx="2805">
                  <c:v>2.4549164329528139E-2</c:v>
                </c:pt>
                <c:pt idx="2806">
                  <c:v>2.4545586118035874E-2</c:v>
                </c:pt>
                <c:pt idx="2807">
                  <c:v>2.4542648254555641E-2</c:v>
                </c:pt>
                <c:pt idx="2808">
                  <c:v>2.4539724925407857E-2</c:v>
                </c:pt>
                <c:pt idx="2809">
                  <c:v>2.453681613058736E-2</c:v>
                </c:pt>
                <c:pt idx="2810">
                  <c:v>2.4533921870083842E-2</c:v>
                </c:pt>
                <c:pt idx="2811">
                  <c:v>2.4531042143879248E-2</c:v>
                </c:pt>
                <c:pt idx="2812">
                  <c:v>2.4528176951968423E-2</c:v>
                </c:pt>
                <c:pt idx="2813">
                  <c:v>2.452659148173356E-2</c:v>
                </c:pt>
                <c:pt idx="2814">
                  <c:v>2.452312355529368E-2</c:v>
                </c:pt>
                <c:pt idx="2815">
                  <c:v>2.4519668581895419E-2</c:v>
                </c:pt>
                <c:pt idx="2816">
                  <c:v>2.4516861527048787E-2</c:v>
                </c:pt>
                <c:pt idx="2817">
                  <c:v>2.4514069006441777E-2</c:v>
                </c:pt>
                <c:pt idx="2818">
                  <c:v>2.4511291020066647E-2</c:v>
                </c:pt>
                <c:pt idx="2819">
                  <c:v>2.4509165193512261E-2</c:v>
                </c:pt>
                <c:pt idx="2820">
                  <c:v>2.4505778649963044E-2</c:v>
                </c:pt>
                <c:pt idx="2821">
                  <c:v>2.4503044266213941E-2</c:v>
                </c:pt>
                <c:pt idx="2822">
                  <c:v>2.4500324416655464E-2</c:v>
                </c:pt>
                <c:pt idx="2823">
                  <c:v>2.4497619101266983E-2</c:v>
                </c:pt>
                <c:pt idx="2824">
                  <c:v>2.4494928320053653E-2</c:v>
                </c:pt>
                <c:pt idx="2825">
                  <c:v>2.4492252072994852E-2</c:v>
                </c:pt>
                <c:pt idx="2826">
                  <c:v>2.4489590360085418E-2</c:v>
                </c:pt>
                <c:pt idx="2827">
                  <c:v>2.4486943181312459E-2</c:v>
                </c:pt>
                <c:pt idx="2828">
                  <c:v>2.4482541128798552E-2</c:v>
                </c:pt>
                <c:pt idx="2829">
                  <c:v>2.4481692426137285E-2</c:v>
                </c:pt>
                <c:pt idx="2830">
                  <c:v>2.4480383051516827E-2</c:v>
                </c:pt>
                <c:pt idx="2831">
                  <c:v>2.4477147714923875E-2</c:v>
                </c:pt>
                <c:pt idx="2832">
                  <c:v>2.4473925299167306E-2</c:v>
                </c:pt>
                <c:pt idx="2833">
                  <c:v>2.4472014960275068E-2</c:v>
                </c:pt>
                <c:pt idx="2834">
                  <c:v>2.4468819884928838E-2</c:v>
                </c:pt>
                <c:pt idx="2835">
                  <c:v>2.446694034592134E-2</c:v>
                </c:pt>
                <c:pt idx="2836">
                  <c:v>2.4463772606934574E-2</c:v>
                </c:pt>
                <c:pt idx="2837">
                  <c:v>2.4461270769002914E-2</c:v>
                </c:pt>
                <c:pt idx="2838">
                  <c:v>2.4459437437271969E-2</c:v>
                </c:pt>
                <c:pt idx="2839">
                  <c:v>2.4456310695221535E-2</c:v>
                </c:pt>
                <c:pt idx="2840">
                  <c:v>2.4451885993984148E-2</c:v>
                </c:pt>
                <c:pt idx="2841">
                  <c:v>2.4449439675727609E-2</c:v>
                </c:pt>
                <c:pt idx="2842">
                  <c:v>2.4447007888450348E-2</c:v>
                </c:pt>
                <c:pt idx="2843">
                  <c:v>2.4447223289900955E-2</c:v>
                </c:pt>
                <c:pt idx="2844">
                  <c:v>2.4444164855836965E-2</c:v>
                </c:pt>
                <c:pt idx="2845">
                  <c:v>2.4441779289893467E-2</c:v>
                </c:pt>
                <c:pt idx="2846">
                  <c:v>2.4439408257916261E-2</c:v>
                </c:pt>
                <c:pt idx="2847">
                  <c:v>2.4435711715027699E-2</c:v>
                </c:pt>
                <c:pt idx="2848">
                  <c:v>2.4432722315123216E-2</c:v>
                </c:pt>
                <c:pt idx="2849">
                  <c:v>2.4432382365635393E-2</c:v>
                </c:pt>
                <c:pt idx="2850">
                  <c:v>2.4430069469404726E-2</c:v>
                </c:pt>
                <c:pt idx="2851">
                  <c:v>2.4427771107083617E-2</c:v>
                </c:pt>
                <c:pt idx="2852">
                  <c:v>2.4426819890625916E-2</c:v>
                </c:pt>
                <c:pt idx="2853">
                  <c:v>2.4423217984154609E-2</c:v>
                </c:pt>
                <c:pt idx="2854">
                  <c:v>2.4420963223528661E-2</c:v>
                </c:pt>
                <c:pt idx="2855">
                  <c:v>2.4418722996778747E-2</c:v>
                </c:pt>
                <c:pt idx="2856">
                  <c:v>2.4416497303907454E-2</c:v>
                </c:pt>
                <c:pt idx="2857">
                  <c:v>2.4414286144896723E-2</c:v>
                </c:pt>
                <c:pt idx="2858">
                  <c:v>2.4412089519741404E-2</c:v>
                </c:pt>
                <c:pt idx="2859">
                  <c:v>2.4409907428433759E-2</c:v>
                </c:pt>
                <c:pt idx="2860">
                  <c:v>2.440773987096605E-2</c:v>
                </c:pt>
                <c:pt idx="2861">
                  <c:v>2.440558684732539E-2</c:v>
                </c:pt>
                <c:pt idx="2862">
                  <c:v>2.4403448357514353E-2</c:v>
                </c:pt>
                <c:pt idx="2863">
                  <c:v>2.4401324401512308E-2</c:v>
                </c:pt>
                <c:pt idx="2864">
                  <c:v>2.439921497931926E-2</c:v>
                </c:pt>
                <c:pt idx="2865">
                  <c:v>2.4397797914753327E-2</c:v>
                </c:pt>
                <c:pt idx="2866">
                  <c:v>2.4395718457514426E-2</c:v>
                </c:pt>
                <c:pt idx="2867">
                  <c:v>2.4392973915503834E-2</c:v>
                </c:pt>
                <c:pt idx="2868">
                  <c:v>2.4390922628459093E-2</c:v>
                </c:pt>
                <c:pt idx="2869">
                  <c:v>2.438888587518467E-2</c:v>
                </c:pt>
                <c:pt idx="2870">
                  <c:v>2.4386863655667668E-2</c:v>
                </c:pt>
                <c:pt idx="2871">
                  <c:v>2.4385539192828265E-2</c:v>
                </c:pt>
                <c:pt idx="2872">
                  <c:v>2.4382862817887888E-2</c:v>
                </c:pt>
                <c:pt idx="2873">
                  <c:v>2.4380884199607055E-2</c:v>
                </c:pt>
                <c:pt idx="2874">
                  <c:v>2.437960605095546E-2</c:v>
                </c:pt>
                <c:pt idx="2875">
                  <c:v>2.4376970564235149E-2</c:v>
                </c:pt>
                <c:pt idx="2876">
                  <c:v>2.4375035547123447E-2</c:v>
                </c:pt>
                <c:pt idx="2877">
                  <c:v>2.4373115063720172E-2</c:v>
                </c:pt>
                <c:pt idx="2878">
                  <c:v>2.437120911402017E-2</c:v>
                </c:pt>
                <c:pt idx="2879">
                  <c:v>2.4369317698015709E-2</c:v>
                </c:pt>
                <c:pt idx="2880">
                  <c:v>2.4365949225264139E-2</c:v>
                </c:pt>
                <c:pt idx="2881">
                  <c:v>2.4365578467052135E-2</c:v>
                </c:pt>
                <c:pt idx="2882">
                  <c:v>2.4365117198794844E-2</c:v>
                </c:pt>
                <c:pt idx="2883">
                  <c:v>2.436259149921044E-2</c:v>
                </c:pt>
                <c:pt idx="2884">
                  <c:v>2.4360078623147964E-2</c:v>
                </c:pt>
                <c:pt idx="2885">
                  <c:v>2.4358970369052213E-2</c:v>
                </c:pt>
                <c:pt idx="2886">
                  <c:v>2.4356484728812286E-2</c:v>
                </c:pt>
                <c:pt idx="2887">
                  <c:v>2.4356105291792381E-2</c:v>
                </c:pt>
                <c:pt idx="2888">
                  <c:v>2.4352948969034421E-2</c:v>
                </c:pt>
                <c:pt idx="2889">
                  <c:v>2.435120288959081E-2</c:v>
                </c:pt>
                <c:pt idx="2890">
                  <c:v>2.4350171899671647E-2</c:v>
                </c:pt>
                <c:pt idx="2891">
                  <c:v>2.4347754331550387E-2</c:v>
                </c:pt>
                <c:pt idx="2892">
                  <c:v>2.4343945367130297E-2</c:v>
                </c:pt>
                <c:pt idx="2893">
                  <c:v>2.434225465046648E-2</c:v>
                </c:pt>
                <c:pt idx="2894">
                  <c:v>2.4340578464430798E-2</c:v>
                </c:pt>
                <c:pt idx="2895">
                  <c:v>2.4338916809014677E-2</c:v>
                </c:pt>
                <c:pt idx="2896">
                  <c:v>2.4339387274441293E-2</c:v>
                </c:pt>
                <c:pt idx="2897">
                  <c:v>2.4337757463772935E-2</c:v>
                </c:pt>
                <c:pt idx="2898">
                  <c:v>2.4336850147660127E-2</c:v>
                </c:pt>
                <c:pt idx="2899">
                  <c:v>2.433454144313088E-2</c:v>
                </c:pt>
                <c:pt idx="2900">
                  <c:v>2.4332955233146877E-2</c:v>
                </c:pt>
                <c:pt idx="2901">
                  <c:v>2.4332094310923202E-2</c:v>
                </c:pt>
                <c:pt idx="2902">
                  <c:v>2.4328231043366344E-2</c:v>
                </c:pt>
                <c:pt idx="2903">
                  <c:v>2.432828380447331E-2</c:v>
                </c:pt>
                <c:pt idx="2904">
                  <c:v>2.4327469284968484E-2</c:v>
                </c:pt>
                <c:pt idx="2905">
                  <c:v>2.4325242186372699E-2</c:v>
                </c:pt>
                <c:pt idx="2906">
                  <c:v>2.4323743177607843E-2</c:v>
                </c:pt>
                <c:pt idx="2907">
                  <c:v>2.4322258702355444E-2</c:v>
                </c:pt>
                <c:pt idx="2908">
                  <c:v>2.4320788760615501E-2</c:v>
                </c:pt>
                <c:pt idx="2909">
                  <c:v>2.4319333352385439E-2</c:v>
                </c:pt>
                <c:pt idx="2910">
                  <c:v>2.4317892477649785E-2</c:v>
                </c:pt>
                <c:pt idx="2911">
                  <c:v>2.4316466136411117E-2</c:v>
                </c:pt>
                <c:pt idx="2912">
                  <c:v>2.431505432865912E-2</c:v>
                </c:pt>
                <c:pt idx="2913">
                  <c:v>2.4314379070301262E-2</c:v>
                </c:pt>
                <c:pt idx="2914">
                  <c:v>2.4312274313602254E-2</c:v>
                </c:pt>
                <c:pt idx="2915">
                  <c:v>2.4310906106289644E-2</c:v>
                </c:pt>
                <c:pt idx="2916">
                  <c:v>2.430955243244308E-2</c:v>
                </c:pt>
                <c:pt idx="2917">
                  <c:v>2.4308939093422299E-2</c:v>
                </c:pt>
                <c:pt idx="2918">
                  <c:v>2.4307615435321672E-2</c:v>
                </c:pt>
                <c:pt idx="2919">
                  <c:v>2.430557861166097E-2</c:v>
                </c:pt>
                <c:pt idx="2920">
                  <c:v>2.4304283071634746E-2</c:v>
                </c:pt>
                <c:pt idx="2921">
                  <c:v>2.4303002065053935E-2</c:v>
                </c:pt>
                <c:pt idx="2922">
                  <c:v>2.4299544667972954E-2</c:v>
                </c:pt>
                <c:pt idx="2923">
                  <c:v>2.430121516129341E-2</c:v>
                </c:pt>
                <c:pt idx="2924">
                  <c:v>2.4299246245922102E-2</c:v>
                </c:pt>
                <c:pt idx="2925">
                  <c:v>2.4298023373071381E-2</c:v>
                </c:pt>
                <c:pt idx="2926">
                  <c:v>2.429828391036408E-2</c:v>
                </c:pt>
                <c:pt idx="2927">
                  <c:v>2.4295621227615929E-2</c:v>
                </c:pt>
                <c:pt idx="2928">
                  <c:v>2.4295178247589477E-2</c:v>
                </c:pt>
                <c:pt idx="2929">
                  <c:v>2.4293277215802891E-2</c:v>
                </c:pt>
                <c:pt idx="2930">
                  <c:v>2.4292127010003901E-2</c:v>
                </c:pt>
                <c:pt idx="2931">
                  <c:v>2.4290991337598749E-2</c:v>
                </c:pt>
                <c:pt idx="2932">
                  <c:v>2.4289870198592602E-2</c:v>
                </c:pt>
                <c:pt idx="2933">
                  <c:v>2.4288763592972561E-2</c:v>
                </c:pt>
                <c:pt idx="2934">
                  <c:v>2.4287671520736048E-2</c:v>
                </c:pt>
                <c:pt idx="2935">
                  <c:v>2.4286593981883063E-2</c:v>
                </c:pt>
                <c:pt idx="2936">
                  <c:v>2.4285530976411032E-2</c:v>
                </c:pt>
                <c:pt idx="2937">
                  <c:v>2.4284482504307054E-2</c:v>
                </c:pt>
                <c:pt idx="2938">
                  <c:v>2.4284194498881417E-2</c:v>
                </c:pt>
                <c:pt idx="2939">
                  <c:v>2.4281996721176754E-2</c:v>
                </c:pt>
                <c:pt idx="2940">
                  <c:v>2.4280998077750734E-2</c:v>
                </c:pt>
                <c:pt idx="2941">
                  <c:v>2.428001396767988E-2</c:v>
                </c:pt>
                <c:pt idx="2942">
                  <c:v>2.4278907066404728E-2</c:v>
                </c:pt>
                <c:pt idx="2943">
                  <c:v>2.4278089347603667E-2</c:v>
                </c:pt>
                <c:pt idx="2944">
                  <c:v>2.4275644852193214E-2</c:v>
                </c:pt>
                <c:pt idx="2945">
                  <c:v>2.427471692434555E-2</c:v>
                </c:pt>
                <c:pt idx="2946">
                  <c:v>2.4273674228909348E-2</c:v>
                </c:pt>
                <c:pt idx="2947">
                  <c:v>2.4272904662782663E-2</c:v>
                </c:pt>
                <c:pt idx="2948">
                  <c:v>2.4273532130873233E-2</c:v>
                </c:pt>
                <c:pt idx="2949">
                  <c:v>2.4272664287527657E-2</c:v>
                </c:pt>
                <c:pt idx="2950">
                  <c:v>2.4271810977501151E-2</c:v>
                </c:pt>
                <c:pt idx="2951">
                  <c:v>2.4270972200804018E-2</c:v>
                </c:pt>
                <c:pt idx="2952">
                  <c:v>2.4269388068710818E-2</c:v>
                </c:pt>
                <c:pt idx="2953">
                  <c:v>2.4268348417617602E-2</c:v>
                </c:pt>
                <c:pt idx="2954">
                  <c:v>2.4267781213917594E-2</c:v>
                </c:pt>
                <c:pt idx="2955">
                  <c:v>2.4266999585017324E-2</c:v>
                </c:pt>
                <c:pt idx="2956">
                  <c:v>2.4266232488444395E-2</c:v>
                </c:pt>
                <c:pt idx="2957">
                  <c:v>2.4266138558455705E-2</c:v>
                </c:pt>
                <c:pt idx="2958">
                  <c:v>2.4265507696646461E-2</c:v>
                </c:pt>
                <c:pt idx="2959">
                  <c:v>2.4264785186409017E-2</c:v>
                </c:pt>
                <c:pt idx="2960">
                  <c:v>2.4263977256299106E-2</c:v>
                </c:pt>
                <c:pt idx="2961">
                  <c:v>2.4262614990372633E-2</c:v>
                </c:pt>
                <c:pt idx="2962">
                  <c:v>2.4261935087699804E-2</c:v>
                </c:pt>
                <c:pt idx="2963">
                  <c:v>2.426126971733833E-2</c:v>
                </c:pt>
                <c:pt idx="2964">
                  <c:v>2.426061887928288E-2</c:v>
                </c:pt>
                <c:pt idx="2965">
                  <c:v>2.4260755324107094E-2</c:v>
                </c:pt>
                <c:pt idx="2966">
                  <c:v>2.4260134546886497E-2</c:v>
                </c:pt>
                <c:pt idx="2967">
                  <c:v>2.4259528302943711E-2</c:v>
                </c:pt>
                <c:pt idx="2968">
                  <c:v>2.4258936592270991E-2</c:v>
                </c:pt>
                <c:pt idx="2969">
                  <c:v>2.4258359414881237E-2</c:v>
                </c:pt>
                <c:pt idx="2970">
                  <c:v>2.4257796770756401E-2</c:v>
                </c:pt>
                <c:pt idx="2971">
                  <c:v>2.4257248659901632E-2</c:v>
                </c:pt>
                <c:pt idx="2972">
                  <c:v>2.4256715082314358E-2</c:v>
                </c:pt>
                <c:pt idx="2973">
                  <c:v>2.4256123075192322E-2</c:v>
                </c:pt>
                <c:pt idx="2974">
                  <c:v>2.4254838744877105E-2</c:v>
                </c:pt>
                <c:pt idx="2975">
                  <c:v>2.4254418792177823E-2</c:v>
                </c:pt>
                <c:pt idx="2976">
                  <c:v>2.4253942341610824E-2</c:v>
                </c:pt>
                <c:pt idx="2977">
                  <c:v>2.4253480423333862E-2</c:v>
                </c:pt>
                <c:pt idx="2978">
                  <c:v>2.4253033037333616E-2</c:v>
                </c:pt>
                <c:pt idx="2979">
                  <c:v>2.4253386970523039E-2</c:v>
                </c:pt>
                <c:pt idx="2980">
                  <c:v>2.4252911229463589E-2</c:v>
                </c:pt>
                <c:pt idx="2981">
                  <c:v>2.4252566880738572E-2</c:v>
                </c:pt>
                <c:pt idx="2982">
                  <c:v>2.4252968587322454E-2</c:v>
                </c:pt>
                <c:pt idx="2983">
                  <c:v>2.425101409142183E-2</c:v>
                </c:pt>
                <c:pt idx="2984">
                  <c:v>2.4250653899052566E-2</c:v>
                </c:pt>
                <c:pt idx="2985">
                  <c:v>2.4250308238949358E-2</c:v>
                </c:pt>
                <c:pt idx="2986">
                  <c:v>2.4249977111109544E-2</c:v>
                </c:pt>
                <c:pt idx="2987">
                  <c:v>2.4251250435758931E-2</c:v>
                </c:pt>
                <c:pt idx="2988">
                  <c:v>2.4250154363785911E-2</c:v>
                </c:pt>
                <c:pt idx="2989">
                  <c:v>2.4249867851480415E-2</c:v>
                </c:pt>
                <c:pt idx="2990">
                  <c:v>2.4249595872411472E-2</c:v>
                </c:pt>
                <c:pt idx="2991">
                  <c:v>2.4248468277483504E-2</c:v>
                </c:pt>
                <c:pt idx="2992">
                  <c:v>2.4250629748813909E-2</c:v>
                </c:pt>
                <c:pt idx="2993">
                  <c:v>2.4251209276048881E-2</c:v>
                </c:pt>
                <c:pt idx="2994">
                  <c:v>2.4250199922554477E-2</c:v>
                </c:pt>
                <c:pt idx="2995">
                  <c:v>2.4247596342271471E-2</c:v>
                </c:pt>
                <c:pt idx="2996">
                  <c:v>2.4245806326638988E-2</c:v>
                </c:pt>
                <c:pt idx="2997">
                  <c:v>2.4245637152458612E-2</c:v>
                </c:pt>
                <c:pt idx="2998">
                  <c:v>2.4245482508583764E-2</c:v>
                </c:pt>
                <c:pt idx="2999">
                  <c:v>2.4245342395003026E-2</c:v>
                </c:pt>
                <c:pt idx="3000">
                  <c:v>2.4249259288341533E-2</c:v>
                </c:pt>
                <c:pt idx="3001">
                  <c:v>2.4249153389134553E-2</c:v>
                </c:pt>
                <c:pt idx="3002">
                  <c:v>2.4249062025107904E-2</c:v>
                </c:pt>
                <c:pt idx="3003">
                  <c:v>2.4248985196273703E-2</c:v>
                </c:pt>
                <c:pt idx="3004">
                  <c:v>2.4248915190071656E-2</c:v>
                </c:pt>
                <c:pt idx="3005">
                  <c:v>2.4248055430923232E-2</c:v>
                </c:pt>
                <c:pt idx="3006">
                  <c:v>2.4248023149165965E-2</c:v>
                </c:pt>
                <c:pt idx="3007">
                  <c:v>2.4248819160765933E-2</c:v>
                </c:pt>
                <c:pt idx="3008">
                  <c:v>2.4245545981616601E-2</c:v>
                </c:pt>
                <c:pt idx="3009">
                  <c:v>2.4247989765902311E-2</c:v>
                </c:pt>
                <c:pt idx="3010">
                  <c:v>2.4247989236013678E-2</c:v>
                </c:pt>
                <c:pt idx="3011">
                  <c:v>2.4247989236016176E-2</c:v>
                </c:pt>
                <c:pt idx="3012">
                  <c:v>2.424798923601118E-2</c:v>
                </c:pt>
                <c:pt idx="3013">
                  <c:v>2.424798923601118E-2</c:v>
                </c:pt>
                <c:pt idx="3014">
                  <c:v>2.4247989236016176E-2</c:v>
                </c:pt>
                <c:pt idx="3015">
                  <c:v>2.4247989236013678E-2</c:v>
                </c:pt>
                <c:pt idx="3016">
                  <c:v>2.424798923601118E-2</c:v>
                </c:pt>
                <c:pt idx="3017">
                  <c:v>2.424798923601118E-2</c:v>
                </c:pt>
                <c:pt idx="3018">
                  <c:v>2.4247989236013678E-2</c:v>
                </c:pt>
                <c:pt idx="3019">
                  <c:v>2.4247989236013678E-2</c:v>
                </c:pt>
                <c:pt idx="3020">
                  <c:v>2.424798923601118E-2</c:v>
                </c:pt>
                <c:pt idx="3021">
                  <c:v>2.4245541304883118E-2</c:v>
                </c:pt>
                <c:pt idx="3022">
                  <c:v>2.4248805286274076E-2</c:v>
                </c:pt>
                <c:pt idx="3023">
                  <c:v>2.4247989236013678E-2</c:v>
                </c:pt>
                <c:pt idx="3024">
                  <c:v>2.424798923601118E-2</c:v>
                </c:pt>
                <c:pt idx="3025">
                  <c:v>2.4247989236013678E-2</c:v>
                </c:pt>
                <c:pt idx="3026">
                  <c:v>2.4247989236013678E-2</c:v>
                </c:pt>
                <c:pt idx="3027">
                  <c:v>2.4248805286271654E-2</c:v>
                </c:pt>
                <c:pt idx="3028">
                  <c:v>2.424798923601118E-2</c:v>
                </c:pt>
                <c:pt idx="3029">
                  <c:v>2.4247989236016176E-2</c:v>
                </c:pt>
                <c:pt idx="3030">
                  <c:v>2.4247989236013678E-2</c:v>
                </c:pt>
                <c:pt idx="3031">
                  <c:v>2.4247989236013678E-2</c:v>
                </c:pt>
                <c:pt idx="3032">
                  <c:v>2.4247989236016176E-2</c:v>
                </c:pt>
                <c:pt idx="3033">
                  <c:v>2.424798923601118E-2</c:v>
                </c:pt>
                <c:pt idx="3034">
                  <c:v>2.424798923601118E-2</c:v>
                </c:pt>
                <c:pt idx="3035">
                  <c:v>2.4247989236013678E-2</c:v>
                </c:pt>
                <c:pt idx="3036">
                  <c:v>2.4247989236013678E-2</c:v>
                </c:pt>
                <c:pt idx="3037">
                  <c:v>2.424798923601118E-2</c:v>
                </c:pt>
                <c:pt idx="3038">
                  <c:v>2.4247989236013678E-2</c:v>
                </c:pt>
                <c:pt idx="3039">
                  <c:v>2.4247989236013678E-2</c:v>
                </c:pt>
                <c:pt idx="3040">
                  <c:v>2.4247989236013678E-2</c:v>
                </c:pt>
                <c:pt idx="3041">
                  <c:v>2.4248805286271654E-2</c:v>
                </c:pt>
                <c:pt idx="3042">
                  <c:v>2.424798923601118E-2</c:v>
                </c:pt>
                <c:pt idx="3043">
                  <c:v>2.4245541304885876E-2</c:v>
                </c:pt>
                <c:pt idx="3044">
                  <c:v>2.424798923601118E-2</c:v>
                </c:pt>
                <c:pt idx="3045">
                  <c:v>2.4248805286274076E-2</c:v>
                </c:pt>
                <c:pt idx="3046">
                  <c:v>2.424798923601118E-2</c:v>
                </c:pt>
                <c:pt idx="3047">
                  <c:v>2.4245541304883118E-2</c:v>
                </c:pt>
                <c:pt idx="3048">
                  <c:v>2.4244725401052807E-2</c:v>
                </c:pt>
                <c:pt idx="3049">
                  <c:v>2.4244725401049952E-2</c:v>
                </c:pt>
                <c:pt idx="3050">
                  <c:v>2.4244725401049952E-2</c:v>
                </c:pt>
                <c:pt idx="3051">
                  <c:v>2.4244725401049952E-2</c:v>
                </c:pt>
                <c:pt idx="3052">
                  <c:v>2.424798923601118E-2</c:v>
                </c:pt>
                <c:pt idx="3053">
                  <c:v>2.4248805286274076E-2</c:v>
                </c:pt>
                <c:pt idx="3054">
                  <c:v>2.4247989236013678E-2</c:v>
                </c:pt>
                <c:pt idx="3055">
                  <c:v>2.4247989236013678E-2</c:v>
                </c:pt>
                <c:pt idx="3056">
                  <c:v>2.4248805286271654E-2</c:v>
                </c:pt>
                <c:pt idx="3057">
                  <c:v>2.424798923601118E-2</c:v>
                </c:pt>
                <c:pt idx="3058">
                  <c:v>2.4247989236013678E-2</c:v>
                </c:pt>
                <c:pt idx="3059">
                  <c:v>2.424798923601118E-2</c:v>
                </c:pt>
                <c:pt idx="3060">
                  <c:v>2.4245541304880363E-2</c:v>
                </c:pt>
                <c:pt idx="3061">
                  <c:v>2.4247989236013678E-2</c:v>
                </c:pt>
                <c:pt idx="3062">
                  <c:v>2.4247989236013678E-2</c:v>
                </c:pt>
                <c:pt idx="3063">
                  <c:v>2.424798923601118E-2</c:v>
                </c:pt>
                <c:pt idx="3064">
                  <c:v>2.424798923601118E-2</c:v>
                </c:pt>
                <c:pt idx="3065">
                  <c:v>2.4248805286274076E-2</c:v>
                </c:pt>
                <c:pt idx="3066">
                  <c:v>2.4247989236013678E-2</c:v>
                </c:pt>
                <c:pt idx="3067">
                  <c:v>2.4247989236013678E-2</c:v>
                </c:pt>
                <c:pt idx="3068">
                  <c:v>2.4247989236013678E-2</c:v>
                </c:pt>
                <c:pt idx="3069">
                  <c:v>2.4247989236013678E-2</c:v>
                </c:pt>
                <c:pt idx="3070">
                  <c:v>2.424798923601118E-2</c:v>
                </c:pt>
                <c:pt idx="3071">
                  <c:v>2.424798923601118E-2</c:v>
                </c:pt>
                <c:pt idx="3072">
                  <c:v>2.4247989236013678E-2</c:v>
                </c:pt>
                <c:pt idx="3073">
                  <c:v>2.4248805286276497E-2</c:v>
                </c:pt>
                <c:pt idx="3074">
                  <c:v>2.4248805286271654E-2</c:v>
                </c:pt>
                <c:pt idx="3075">
                  <c:v>2.4247989236013678E-2</c:v>
                </c:pt>
                <c:pt idx="3076">
                  <c:v>2.424798923601118E-2</c:v>
                </c:pt>
                <c:pt idx="3077">
                  <c:v>2.4247989236013678E-2</c:v>
                </c:pt>
                <c:pt idx="3078">
                  <c:v>2.424798923601118E-2</c:v>
                </c:pt>
                <c:pt idx="3079">
                  <c:v>2.4248805286274076E-2</c:v>
                </c:pt>
                <c:pt idx="3080">
                  <c:v>2.4247989236013678E-2</c:v>
                </c:pt>
                <c:pt idx="3081">
                  <c:v>2.4247989236013678E-2</c:v>
                </c:pt>
                <c:pt idx="3082">
                  <c:v>2.4245541304883118E-2</c:v>
                </c:pt>
                <c:pt idx="3083">
                  <c:v>2.4247989236013678E-2</c:v>
                </c:pt>
                <c:pt idx="3084">
                  <c:v>2.4247989236013678E-2</c:v>
                </c:pt>
                <c:pt idx="3085">
                  <c:v>2.424798923601118E-2</c:v>
                </c:pt>
                <c:pt idx="3086">
                  <c:v>2.4247989236013678E-2</c:v>
                </c:pt>
                <c:pt idx="3087">
                  <c:v>2.4247989236013678E-2</c:v>
                </c:pt>
                <c:pt idx="3088">
                  <c:v>2.4247173222361869E-2</c:v>
                </c:pt>
                <c:pt idx="3089">
                  <c:v>2.424798923601118E-2</c:v>
                </c:pt>
                <c:pt idx="3090">
                  <c:v>2.4248805286274076E-2</c:v>
                </c:pt>
                <c:pt idx="3091">
                  <c:v>2.4248805286274076E-2</c:v>
                </c:pt>
                <c:pt idx="3092">
                  <c:v>2.424798923601118E-2</c:v>
                </c:pt>
                <c:pt idx="3093">
                  <c:v>2.4248805286271654E-2</c:v>
                </c:pt>
                <c:pt idx="3094">
                  <c:v>2.4247989236013678E-2</c:v>
                </c:pt>
                <c:pt idx="3095">
                  <c:v>2.4247173222359288E-2</c:v>
                </c:pt>
                <c:pt idx="3096">
                  <c:v>2.4247173222361869E-2</c:v>
                </c:pt>
                <c:pt idx="3097">
                  <c:v>2.4247173222361869E-2</c:v>
                </c:pt>
                <c:pt idx="3098">
                  <c:v>2.424798923601118E-2</c:v>
                </c:pt>
                <c:pt idx="3099">
                  <c:v>2.4247173222361869E-2</c:v>
                </c:pt>
                <c:pt idx="3100">
                  <c:v>2.4244725401052807E-2</c:v>
                </c:pt>
                <c:pt idx="3101">
                  <c:v>2.4244725401049952E-2</c:v>
                </c:pt>
                <c:pt idx="3102">
                  <c:v>2.4244725401049952E-2</c:v>
                </c:pt>
                <c:pt idx="3103">
                  <c:v>2.4244725401049952E-2</c:v>
                </c:pt>
                <c:pt idx="3104">
                  <c:v>2.424798923601118E-2</c:v>
                </c:pt>
                <c:pt idx="3105">
                  <c:v>2.4247173222361869E-2</c:v>
                </c:pt>
                <c:pt idx="3106">
                  <c:v>2.4247173222361869E-2</c:v>
                </c:pt>
                <c:pt idx="3107">
                  <c:v>2.4247173222361869E-2</c:v>
                </c:pt>
                <c:pt idx="3108">
                  <c:v>2.4246357245318428E-2</c:v>
                </c:pt>
                <c:pt idx="3109">
                  <c:v>2.4247173222361869E-2</c:v>
                </c:pt>
                <c:pt idx="3110">
                  <c:v>2.4247173222361869E-2</c:v>
                </c:pt>
                <c:pt idx="3111">
                  <c:v>2.4247173222359288E-2</c:v>
                </c:pt>
                <c:pt idx="3112">
                  <c:v>2.424798923601118E-2</c:v>
                </c:pt>
                <c:pt idx="3113">
                  <c:v>2.4247173222359288E-2</c:v>
                </c:pt>
                <c:pt idx="3114">
                  <c:v>2.4247173222361869E-2</c:v>
                </c:pt>
                <c:pt idx="3115">
                  <c:v>2.4247173222361869E-2</c:v>
                </c:pt>
                <c:pt idx="3116">
                  <c:v>2.4247173222359288E-2</c:v>
                </c:pt>
                <c:pt idx="3117">
                  <c:v>2.4247989236013678E-2</c:v>
                </c:pt>
                <c:pt idx="3118">
                  <c:v>2.4247173222361869E-2</c:v>
                </c:pt>
                <c:pt idx="3119">
                  <c:v>2.4247173222364447E-2</c:v>
                </c:pt>
                <c:pt idx="3120">
                  <c:v>2.4247173222361869E-2</c:v>
                </c:pt>
                <c:pt idx="3121">
                  <c:v>2.4247173222361869E-2</c:v>
                </c:pt>
                <c:pt idx="3122">
                  <c:v>2.4247173222359288E-2</c:v>
                </c:pt>
                <c:pt idx="3123">
                  <c:v>2.4247173222361869E-2</c:v>
                </c:pt>
                <c:pt idx="3124">
                  <c:v>2.4247173222361869E-2</c:v>
                </c:pt>
                <c:pt idx="3125">
                  <c:v>2.4248805286274076E-2</c:v>
                </c:pt>
                <c:pt idx="3126">
                  <c:v>2.424798923601118E-2</c:v>
                </c:pt>
                <c:pt idx="3127">
                  <c:v>2.4247173222361869E-2</c:v>
                </c:pt>
                <c:pt idx="3128">
                  <c:v>2.4247173222361869E-2</c:v>
                </c:pt>
                <c:pt idx="3129">
                  <c:v>2.4247173222361869E-2</c:v>
                </c:pt>
                <c:pt idx="3130">
                  <c:v>2.4247173222361869E-2</c:v>
                </c:pt>
                <c:pt idx="3131">
                  <c:v>2.4247989236013678E-2</c:v>
                </c:pt>
                <c:pt idx="3132">
                  <c:v>2.4247173222361869E-2</c:v>
                </c:pt>
                <c:pt idx="3133">
                  <c:v>2.4247173222361869E-2</c:v>
                </c:pt>
                <c:pt idx="3134">
                  <c:v>2.4247173222361869E-2</c:v>
                </c:pt>
                <c:pt idx="3135">
                  <c:v>2.4247173222361869E-2</c:v>
                </c:pt>
                <c:pt idx="3136">
                  <c:v>2.4247173222359288E-2</c:v>
                </c:pt>
                <c:pt idx="3137">
                  <c:v>2.4247173222361869E-2</c:v>
                </c:pt>
                <c:pt idx="3138">
                  <c:v>2.4247173222361869E-2</c:v>
                </c:pt>
                <c:pt idx="3139">
                  <c:v>2.4247173222361869E-2</c:v>
                </c:pt>
                <c:pt idx="3140">
                  <c:v>2.4246357245321093E-2</c:v>
                </c:pt>
                <c:pt idx="3141">
                  <c:v>2.4247173222361869E-2</c:v>
                </c:pt>
                <c:pt idx="3142">
                  <c:v>2.4248805286271654E-2</c:v>
                </c:pt>
                <c:pt idx="3143">
                  <c:v>2.4247989236013678E-2</c:v>
                </c:pt>
                <c:pt idx="3144">
                  <c:v>2.4247173222361869E-2</c:v>
                </c:pt>
                <c:pt idx="3145">
                  <c:v>2.4247989236013678E-2</c:v>
                </c:pt>
                <c:pt idx="3146">
                  <c:v>2.4247173222361869E-2</c:v>
                </c:pt>
                <c:pt idx="3147">
                  <c:v>2.4247989236013678E-2</c:v>
                </c:pt>
                <c:pt idx="3148">
                  <c:v>2.4247173222361869E-2</c:v>
                </c:pt>
                <c:pt idx="3149">
                  <c:v>2.4247173222361869E-2</c:v>
                </c:pt>
                <c:pt idx="3150">
                  <c:v>2.4247989236013678E-2</c:v>
                </c:pt>
                <c:pt idx="3151">
                  <c:v>2.4247173222361869E-2</c:v>
                </c:pt>
                <c:pt idx="3152">
                  <c:v>2.4247173222361869E-2</c:v>
                </c:pt>
                <c:pt idx="3153">
                  <c:v>2.4247173222361869E-2</c:v>
                </c:pt>
                <c:pt idx="3154">
                  <c:v>2.4247173222361869E-2</c:v>
                </c:pt>
                <c:pt idx="3155">
                  <c:v>2.4247173222361869E-2</c:v>
                </c:pt>
                <c:pt idx="3156">
                  <c:v>2.4247173222359288E-2</c:v>
                </c:pt>
                <c:pt idx="3157">
                  <c:v>2.4247173222359288E-2</c:v>
                </c:pt>
                <c:pt idx="3158">
                  <c:v>2.4247173222361869E-2</c:v>
                </c:pt>
                <c:pt idx="3159">
                  <c:v>2.424798923601118E-2</c:v>
                </c:pt>
                <c:pt idx="3160">
                  <c:v>2.4247173222361869E-2</c:v>
                </c:pt>
                <c:pt idx="3161">
                  <c:v>2.4247989236013678E-2</c:v>
                </c:pt>
                <c:pt idx="3162">
                  <c:v>2.4247173222361869E-2</c:v>
                </c:pt>
                <c:pt idx="3163">
                  <c:v>2.4246357245321093E-2</c:v>
                </c:pt>
                <c:pt idx="3164">
                  <c:v>2.4247989236013678E-2</c:v>
                </c:pt>
                <c:pt idx="3165">
                  <c:v>2.4247173222361869E-2</c:v>
                </c:pt>
                <c:pt idx="3166">
                  <c:v>2.4247173222361869E-2</c:v>
                </c:pt>
                <c:pt idx="3167">
                  <c:v>2.4247173222361869E-2</c:v>
                </c:pt>
                <c:pt idx="3168">
                  <c:v>2.4247173222361869E-2</c:v>
                </c:pt>
                <c:pt idx="3169">
                  <c:v>2.4247173222359288E-2</c:v>
                </c:pt>
                <c:pt idx="3170">
                  <c:v>2.4247173222361869E-2</c:v>
                </c:pt>
                <c:pt idx="3171">
                  <c:v>2.4247173222361869E-2</c:v>
                </c:pt>
                <c:pt idx="3172">
                  <c:v>2.4247173222361869E-2</c:v>
                </c:pt>
                <c:pt idx="3173">
                  <c:v>2.424798923601118E-2</c:v>
                </c:pt>
                <c:pt idx="3174">
                  <c:v>2.4247173222361869E-2</c:v>
                </c:pt>
                <c:pt idx="3175">
                  <c:v>2.4247173222361869E-2</c:v>
                </c:pt>
                <c:pt idx="3176">
                  <c:v>2.4247173222361869E-2</c:v>
                </c:pt>
                <c:pt idx="3177">
                  <c:v>2.424798923601118E-2</c:v>
                </c:pt>
                <c:pt idx="3178">
                  <c:v>2.4247989236013678E-2</c:v>
                </c:pt>
                <c:pt idx="3179">
                  <c:v>2.4247173222364447E-2</c:v>
                </c:pt>
                <c:pt idx="3180">
                  <c:v>2.4247173222361869E-2</c:v>
                </c:pt>
                <c:pt idx="3181">
                  <c:v>2.4247173222359288E-2</c:v>
                </c:pt>
                <c:pt idx="3182">
                  <c:v>2.4244725401049952E-2</c:v>
                </c:pt>
                <c:pt idx="3183">
                  <c:v>2.4247989236013678E-2</c:v>
                </c:pt>
                <c:pt idx="3184">
                  <c:v>2.4247173222361869E-2</c:v>
                </c:pt>
                <c:pt idx="3185">
                  <c:v>2.4247173222361869E-2</c:v>
                </c:pt>
                <c:pt idx="3186">
                  <c:v>2.4248805286274076E-2</c:v>
                </c:pt>
                <c:pt idx="3187">
                  <c:v>2.4247173222359288E-2</c:v>
                </c:pt>
                <c:pt idx="3188">
                  <c:v>2.424798923601118E-2</c:v>
                </c:pt>
                <c:pt idx="3189">
                  <c:v>2.4247173222361869E-2</c:v>
                </c:pt>
                <c:pt idx="3190">
                  <c:v>2.4247173222361869E-2</c:v>
                </c:pt>
                <c:pt idx="3191">
                  <c:v>2.4247173222361869E-2</c:v>
                </c:pt>
                <c:pt idx="3192">
                  <c:v>2.4247173222361869E-2</c:v>
                </c:pt>
                <c:pt idx="3193">
                  <c:v>2.4247173222361869E-2</c:v>
                </c:pt>
                <c:pt idx="3194">
                  <c:v>2.4247173222361869E-2</c:v>
                </c:pt>
                <c:pt idx="3195">
                  <c:v>2.4247173222361869E-2</c:v>
                </c:pt>
                <c:pt idx="3196">
                  <c:v>2.4247173222361869E-2</c:v>
                </c:pt>
                <c:pt idx="3197">
                  <c:v>2.4247173222361869E-2</c:v>
                </c:pt>
                <c:pt idx="3198">
                  <c:v>2.424798923601118E-2</c:v>
                </c:pt>
                <c:pt idx="3199">
                  <c:v>2.4247173222361869E-2</c:v>
                </c:pt>
                <c:pt idx="3200">
                  <c:v>2.4247173222361869E-2</c:v>
                </c:pt>
                <c:pt idx="3201">
                  <c:v>2.4247173222361869E-2</c:v>
                </c:pt>
                <c:pt idx="3202">
                  <c:v>2.4247173222364447E-2</c:v>
                </c:pt>
                <c:pt idx="3203">
                  <c:v>2.4247173222361869E-2</c:v>
                </c:pt>
                <c:pt idx="3204">
                  <c:v>2.4244725401049952E-2</c:v>
                </c:pt>
                <c:pt idx="3205">
                  <c:v>2.4244725401049952E-2</c:v>
                </c:pt>
                <c:pt idx="3206">
                  <c:v>2.4244725401052807E-2</c:v>
                </c:pt>
                <c:pt idx="3207">
                  <c:v>2.4244725401049952E-2</c:v>
                </c:pt>
                <c:pt idx="3208">
                  <c:v>2.4247173222361869E-2</c:v>
                </c:pt>
                <c:pt idx="3209">
                  <c:v>2.4247173222359288E-2</c:v>
                </c:pt>
                <c:pt idx="3210">
                  <c:v>2.4247173222361869E-2</c:v>
                </c:pt>
                <c:pt idx="3211">
                  <c:v>2.4247173222361869E-2</c:v>
                </c:pt>
                <c:pt idx="3212">
                  <c:v>2.4246357245321093E-2</c:v>
                </c:pt>
                <c:pt idx="3213">
                  <c:v>2.4246357245318428E-2</c:v>
                </c:pt>
                <c:pt idx="3214">
                  <c:v>2.4246357245315764E-2</c:v>
                </c:pt>
                <c:pt idx="3215">
                  <c:v>2.4246357245315764E-2</c:v>
                </c:pt>
                <c:pt idx="3216">
                  <c:v>2.4246357245321093E-2</c:v>
                </c:pt>
                <c:pt idx="3217">
                  <c:v>2.4247173222361869E-2</c:v>
                </c:pt>
                <c:pt idx="3218">
                  <c:v>2.4247173222361869E-2</c:v>
                </c:pt>
                <c:pt idx="3219">
                  <c:v>2.4247173222361869E-2</c:v>
                </c:pt>
                <c:pt idx="3220">
                  <c:v>2.4247173222361869E-2</c:v>
                </c:pt>
                <c:pt idx="3221">
                  <c:v>2.4246357245318428E-2</c:v>
                </c:pt>
                <c:pt idx="3222">
                  <c:v>2.4246357245318428E-2</c:v>
                </c:pt>
                <c:pt idx="3223">
                  <c:v>2.4246357245321093E-2</c:v>
                </c:pt>
                <c:pt idx="3224">
                  <c:v>2.4246357245318428E-2</c:v>
                </c:pt>
                <c:pt idx="3225">
                  <c:v>2.4247173222361869E-2</c:v>
                </c:pt>
                <c:pt idx="3226">
                  <c:v>2.4247173222361869E-2</c:v>
                </c:pt>
                <c:pt idx="3227">
                  <c:v>2.4247173222361869E-2</c:v>
                </c:pt>
                <c:pt idx="3228">
                  <c:v>2.4247173222364447E-2</c:v>
                </c:pt>
                <c:pt idx="3229">
                  <c:v>2.4247173222359288E-2</c:v>
                </c:pt>
                <c:pt idx="3230">
                  <c:v>2.4247173222361869E-2</c:v>
                </c:pt>
                <c:pt idx="3231">
                  <c:v>2.4247173222361869E-2</c:v>
                </c:pt>
                <c:pt idx="3232">
                  <c:v>2.4247173222361869E-2</c:v>
                </c:pt>
                <c:pt idx="3233">
                  <c:v>2.4247173222361869E-2</c:v>
                </c:pt>
                <c:pt idx="3234">
                  <c:v>2.4246357245318428E-2</c:v>
                </c:pt>
                <c:pt idx="3235">
                  <c:v>2.4246357245318428E-2</c:v>
                </c:pt>
                <c:pt idx="3236">
                  <c:v>2.4246357245318428E-2</c:v>
                </c:pt>
                <c:pt idx="3237">
                  <c:v>2.4246357245321093E-2</c:v>
                </c:pt>
                <c:pt idx="3238">
                  <c:v>2.4247173222361869E-2</c:v>
                </c:pt>
                <c:pt idx="3239">
                  <c:v>2.4247173222359288E-2</c:v>
                </c:pt>
                <c:pt idx="3240">
                  <c:v>2.4247173222361869E-2</c:v>
                </c:pt>
                <c:pt idx="3241">
                  <c:v>2.4247173222361869E-2</c:v>
                </c:pt>
                <c:pt idx="3242">
                  <c:v>2.424798923601118E-2</c:v>
                </c:pt>
                <c:pt idx="3243">
                  <c:v>2.4246357245318428E-2</c:v>
                </c:pt>
                <c:pt idx="3244">
                  <c:v>2.4246357245318428E-2</c:v>
                </c:pt>
                <c:pt idx="3245">
                  <c:v>2.4246357245321093E-2</c:v>
                </c:pt>
                <c:pt idx="3246">
                  <c:v>2.424798923601118E-2</c:v>
                </c:pt>
                <c:pt idx="3247">
                  <c:v>2.4247173222361869E-2</c:v>
                </c:pt>
                <c:pt idx="3248">
                  <c:v>2.4247173222359288E-2</c:v>
                </c:pt>
                <c:pt idx="3249">
                  <c:v>2.4247173222359288E-2</c:v>
                </c:pt>
                <c:pt idx="3250">
                  <c:v>2.4247173222361869E-2</c:v>
                </c:pt>
                <c:pt idx="3251">
                  <c:v>2.4247173222364447E-2</c:v>
                </c:pt>
                <c:pt idx="3252">
                  <c:v>2.4247173222361869E-2</c:v>
                </c:pt>
                <c:pt idx="3253">
                  <c:v>2.4247173222361869E-2</c:v>
                </c:pt>
                <c:pt idx="3254">
                  <c:v>2.4247173222361869E-2</c:v>
                </c:pt>
                <c:pt idx="3255">
                  <c:v>2.4247173222361869E-2</c:v>
                </c:pt>
                <c:pt idx="3256">
                  <c:v>2.4244725401049952E-2</c:v>
                </c:pt>
                <c:pt idx="3257">
                  <c:v>2.4244725401049952E-2</c:v>
                </c:pt>
                <c:pt idx="3258">
                  <c:v>2.4244725401049952E-2</c:v>
                </c:pt>
                <c:pt idx="3259">
                  <c:v>2.4244725401052807E-2</c:v>
                </c:pt>
                <c:pt idx="3260">
                  <c:v>2.4247173222361869E-2</c:v>
                </c:pt>
                <c:pt idx="3261">
                  <c:v>2.4247173222361869E-2</c:v>
                </c:pt>
                <c:pt idx="3262">
                  <c:v>2.4247173222361869E-2</c:v>
                </c:pt>
                <c:pt idx="3263">
                  <c:v>2.4247173222361869E-2</c:v>
                </c:pt>
                <c:pt idx="3264">
                  <c:v>2.4248805286271654E-2</c:v>
                </c:pt>
                <c:pt idx="3265">
                  <c:v>2.4247989236013678E-2</c:v>
                </c:pt>
                <c:pt idx="3266">
                  <c:v>2.4247989236013678E-2</c:v>
                </c:pt>
                <c:pt idx="3267">
                  <c:v>2.4248805286274076E-2</c:v>
                </c:pt>
                <c:pt idx="3268">
                  <c:v>2.424798923601118E-2</c:v>
                </c:pt>
                <c:pt idx="3269">
                  <c:v>2.424798923601118E-2</c:v>
                </c:pt>
                <c:pt idx="3270">
                  <c:v>2.4247989236013678E-2</c:v>
                </c:pt>
                <c:pt idx="3271">
                  <c:v>2.424798923601118E-2</c:v>
                </c:pt>
                <c:pt idx="3272">
                  <c:v>2.424798923601118E-2</c:v>
                </c:pt>
                <c:pt idx="3273">
                  <c:v>2.4247989236013678E-2</c:v>
                </c:pt>
                <c:pt idx="3274">
                  <c:v>2.4247989236013678E-2</c:v>
                </c:pt>
                <c:pt idx="3275">
                  <c:v>2.424798923601118E-2</c:v>
                </c:pt>
                <c:pt idx="3276">
                  <c:v>2.424798923601118E-2</c:v>
                </c:pt>
                <c:pt idx="3277">
                  <c:v>2.424798923601118E-2</c:v>
                </c:pt>
                <c:pt idx="3278">
                  <c:v>2.4247989236013678E-2</c:v>
                </c:pt>
                <c:pt idx="3279">
                  <c:v>2.424798923601118E-2</c:v>
                </c:pt>
                <c:pt idx="3280">
                  <c:v>2.4248805286271654E-2</c:v>
                </c:pt>
                <c:pt idx="3281">
                  <c:v>2.4245541304883118E-2</c:v>
                </c:pt>
                <c:pt idx="3282">
                  <c:v>2.4247989236013678E-2</c:v>
                </c:pt>
                <c:pt idx="3283">
                  <c:v>2.424798923601118E-2</c:v>
                </c:pt>
                <c:pt idx="3284">
                  <c:v>2.4247989236013678E-2</c:v>
                </c:pt>
                <c:pt idx="3285">
                  <c:v>2.4247989236013678E-2</c:v>
                </c:pt>
                <c:pt idx="3286">
                  <c:v>2.424798923601118E-2</c:v>
                </c:pt>
                <c:pt idx="3287">
                  <c:v>2.4248805286274076E-2</c:v>
                </c:pt>
                <c:pt idx="3288">
                  <c:v>2.4247989236013678E-2</c:v>
                </c:pt>
                <c:pt idx="3289">
                  <c:v>2.4247989236013678E-2</c:v>
                </c:pt>
                <c:pt idx="3290">
                  <c:v>2.424798923601118E-2</c:v>
                </c:pt>
                <c:pt idx="3291">
                  <c:v>2.4247989236013678E-2</c:v>
                </c:pt>
                <c:pt idx="3292">
                  <c:v>2.4247989236013678E-2</c:v>
                </c:pt>
                <c:pt idx="3293">
                  <c:v>2.424798923601118E-2</c:v>
                </c:pt>
                <c:pt idx="3294">
                  <c:v>2.4245541304883118E-2</c:v>
                </c:pt>
                <c:pt idx="3295">
                  <c:v>2.4247989236013678E-2</c:v>
                </c:pt>
                <c:pt idx="3296">
                  <c:v>2.4247989236016176E-2</c:v>
                </c:pt>
                <c:pt idx="3297">
                  <c:v>2.424798923601118E-2</c:v>
                </c:pt>
                <c:pt idx="3298">
                  <c:v>2.4248805286274076E-2</c:v>
                </c:pt>
                <c:pt idx="3299">
                  <c:v>2.4247989236013678E-2</c:v>
                </c:pt>
                <c:pt idx="3300">
                  <c:v>2.4247989236013678E-2</c:v>
                </c:pt>
                <c:pt idx="3301">
                  <c:v>2.4248805286271654E-2</c:v>
                </c:pt>
                <c:pt idx="3302">
                  <c:v>2.4247173222361869E-2</c:v>
                </c:pt>
                <c:pt idx="3303">
                  <c:v>2.4247173222364447E-2</c:v>
                </c:pt>
                <c:pt idx="3304">
                  <c:v>2.424798923601118E-2</c:v>
                </c:pt>
                <c:pt idx="3305">
                  <c:v>2.4248805286271654E-2</c:v>
                </c:pt>
                <c:pt idx="3306">
                  <c:v>2.4247989236013678E-2</c:v>
                </c:pt>
                <c:pt idx="3307">
                  <c:v>2.4245541304883118E-2</c:v>
                </c:pt>
                <c:pt idx="3308">
                  <c:v>2.4244725401049952E-2</c:v>
                </c:pt>
                <c:pt idx="3309">
                  <c:v>2.4244725401049952E-2</c:v>
                </c:pt>
                <c:pt idx="3310">
                  <c:v>2.4244725401049952E-2</c:v>
                </c:pt>
                <c:pt idx="3311">
                  <c:v>2.4244725401049952E-2</c:v>
                </c:pt>
                <c:pt idx="3312">
                  <c:v>2.424798923601118E-2</c:v>
                </c:pt>
                <c:pt idx="3313">
                  <c:v>2.424798923601118E-2</c:v>
                </c:pt>
                <c:pt idx="3314">
                  <c:v>2.4248805286276497E-2</c:v>
                </c:pt>
                <c:pt idx="3315">
                  <c:v>2.424798923601118E-2</c:v>
                </c:pt>
                <c:pt idx="3316">
                  <c:v>2.4248805286274076E-2</c:v>
                </c:pt>
                <c:pt idx="3317">
                  <c:v>2.424798923601118E-2</c:v>
                </c:pt>
                <c:pt idx="3318">
                  <c:v>2.4247989236013678E-2</c:v>
                </c:pt>
                <c:pt idx="3319">
                  <c:v>2.4248805286271654E-2</c:v>
                </c:pt>
                <c:pt idx="3320">
                  <c:v>2.4245541304883118E-2</c:v>
                </c:pt>
                <c:pt idx="3321">
                  <c:v>2.4247989236013678E-2</c:v>
                </c:pt>
                <c:pt idx="3322">
                  <c:v>2.424798923601118E-2</c:v>
                </c:pt>
                <c:pt idx="3323">
                  <c:v>2.424798923601118E-2</c:v>
                </c:pt>
                <c:pt idx="3324">
                  <c:v>2.4247989236013678E-2</c:v>
                </c:pt>
                <c:pt idx="3325">
                  <c:v>2.4247989236013678E-2</c:v>
                </c:pt>
                <c:pt idx="3326">
                  <c:v>2.424798923601118E-2</c:v>
                </c:pt>
                <c:pt idx="3327">
                  <c:v>2.424798923601118E-2</c:v>
                </c:pt>
                <c:pt idx="3328">
                  <c:v>2.4247989236013678E-2</c:v>
                </c:pt>
                <c:pt idx="3329">
                  <c:v>2.4247989236013678E-2</c:v>
                </c:pt>
                <c:pt idx="3330">
                  <c:v>2.424798923601118E-2</c:v>
                </c:pt>
                <c:pt idx="3331">
                  <c:v>2.4247989236013678E-2</c:v>
                </c:pt>
                <c:pt idx="3332">
                  <c:v>2.4247989236013678E-2</c:v>
                </c:pt>
                <c:pt idx="3333">
                  <c:v>2.4245541304880363E-2</c:v>
                </c:pt>
                <c:pt idx="3334">
                  <c:v>2.4248805286271654E-2</c:v>
                </c:pt>
                <c:pt idx="3335">
                  <c:v>2.4247989236013678E-2</c:v>
                </c:pt>
                <c:pt idx="3336">
                  <c:v>2.4247989236013678E-2</c:v>
                </c:pt>
                <c:pt idx="3337">
                  <c:v>2.4247989236013678E-2</c:v>
                </c:pt>
                <c:pt idx="3338">
                  <c:v>2.424798923601118E-2</c:v>
                </c:pt>
                <c:pt idx="3339">
                  <c:v>2.4248805286271654E-2</c:v>
                </c:pt>
                <c:pt idx="3340">
                  <c:v>2.424798923601118E-2</c:v>
                </c:pt>
                <c:pt idx="3341">
                  <c:v>2.4247989236013678E-2</c:v>
                </c:pt>
                <c:pt idx="3342">
                  <c:v>2.4247989236013678E-2</c:v>
                </c:pt>
                <c:pt idx="3343">
                  <c:v>2.4247989236013678E-2</c:v>
                </c:pt>
                <c:pt idx="3344">
                  <c:v>2.4247989236013678E-2</c:v>
                </c:pt>
                <c:pt idx="3345">
                  <c:v>2.424798923601118E-2</c:v>
                </c:pt>
                <c:pt idx="3346">
                  <c:v>2.4247989236013678E-2</c:v>
                </c:pt>
                <c:pt idx="3347">
                  <c:v>2.4247989236013678E-2</c:v>
                </c:pt>
                <c:pt idx="3348">
                  <c:v>2.424798923601118E-2</c:v>
                </c:pt>
                <c:pt idx="3349">
                  <c:v>2.4247989236013678E-2</c:v>
                </c:pt>
                <c:pt idx="3350">
                  <c:v>2.424798923601118E-2</c:v>
                </c:pt>
                <c:pt idx="3351">
                  <c:v>2.424798923601118E-2</c:v>
                </c:pt>
                <c:pt idx="3352">
                  <c:v>2.424798923601118E-2</c:v>
                </c:pt>
                <c:pt idx="3353">
                  <c:v>2.4248805286274076E-2</c:v>
                </c:pt>
                <c:pt idx="3354">
                  <c:v>2.4247989236013678E-2</c:v>
                </c:pt>
                <c:pt idx="3355">
                  <c:v>2.4245541304880363E-2</c:v>
                </c:pt>
                <c:pt idx="3356">
                  <c:v>2.4247989236013678E-2</c:v>
                </c:pt>
                <c:pt idx="3357">
                  <c:v>2.4248805286274076E-2</c:v>
                </c:pt>
                <c:pt idx="3358">
                  <c:v>2.424798923601118E-2</c:v>
                </c:pt>
                <c:pt idx="3359">
                  <c:v>2.424798923601118E-2</c:v>
                </c:pt>
                <c:pt idx="3360">
                  <c:v>2.4245541304883118E-2</c:v>
                </c:pt>
                <c:pt idx="3361">
                  <c:v>2.4245541304883118E-2</c:v>
                </c:pt>
                <c:pt idx="3362">
                  <c:v>2.4245541304880363E-2</c:v>
                </c:pt>
                <c:pt idx="3363">
                  <c:v>2.4245541304883118E-2</c:v>
                </c:pt>
                <c:pt idx="3364">
                  <c:v>2.4247989236013678E-2</c:v>
                </c:pt>
                <c:pt idx="3365">
                  <c:v>2.4248805286276497E-2</c:v>
                </c:pt>
                <c:pt idx="3366">
                  <c:v>2.424798923601118E-2</c:v>
                </c:pt>
                <c:pt idx="3367">
                  <c:v>2.4247989236013678E-2</c:v>
                </c:pt>
                <c:pt idx="3368">
                  <c:v>2.4245541304883118E-2</c:v>
                </c:pt>
                <c:pt idx="3369">
                  <c:v>2.424798923601118E-2</c:v>
                </c:pt>
                <c:pt idx="3370">
                  <c:v>2.424798923601118E-2</c:v>
                </c:pt>
                <c:pt idx="3371">
                  <c:v>2.424798923601118E-2</c:v>
                </c:pt>
                <c:pt idx="3372">
                  <c:v>2.4248805286276497E-2</c:v>
                </c:pt>
                <c:pt idx="3373">
                  <c:v>2.424798923601118E-2</c:v>
                </c:pt>
                <c:pt idx="3374">
                  <c:v>2.4247989236013678E-2</c:v>
                </c:pt>
                <c:pt idx="3375">
                  <c:v>2.4247989236013678E-2</c:v>
                </c:pt>
                <c:pt idx="3376">
                  <c:v>2.4247989236013678E-2</c:v>
                </c:pt>
                <c:pt idx="3377">
                  <c:v>2.4248805286274076E-2</c:v>
                </c:pt>
                <c:pt idx="3378">
                  <c:v>2.4247989236013678E-2</c:v>
                </c:pt>
                <c:pt idx="3379">
                  <c:v>2.4247989236013678E-2</c:v>
                </c:pt>
                <c:pt idx="3380">
                  <c:v>2.4247989236013678E-2</c:v>
                </c:pt>
                <c:pt idx="3381">
                  <c:v>2.4245541304883118E-2</c:v>
                </c:pt>
                <c:pt idx="3382">
                  <c:v>2.424798923601118E-2</c:v>
                </c:pt>
                <c:pt idx="3383">
                  <c:v>2.4247989236016176E-2</c:v>
                </c:pt>
                <c:pt idx="3384">
                  <c:v>2.4247989236008682E-2</c:v>
                </c:pt>
                <c:pt idx="3385">
                  <c:v>2.4248805286274076E-2</c:v>
                </c:pt>
                <c:pt idx="3386">
                  <c:v>2.4248805286274076E-2</c:v>
                </c:pt>
                <c:pt idx="3387">
                  <c:v>2.424798923601118E-2</c:v>
                </c:pt>
                <c:pt idx="3388">
                  <c:v>2.424798923601118E-2</c:v>
                </c:pt>
                <c:pt idx="3389">
                  <c:v>2.4247989236013678E-2</c:v>
                </c:pt>
                <c:pt idx="3390">
                  <c:v>2.4247989236016176E-2</c:v>
                </c:pt>
                <c:pt idx="3391">
                  <c:v>2.4248805286271654E-2</c:v>
                </c:pt>
                <c:pt idx="3392">
                  <c:v>2.424798923601118E-2</c:v>
                </c:pt>
                <c:pt idx="3393">
                  <c:v>2.424798923601118E-2</c:v>
                </c:pt>
                <c:pt idx="3394">
                  <c:v>2.4247989236013678E-2</c:v>
                </c:pt>
                <c:pt idx="3395">
                  <c:v>2.424798923601118E-2</c:v>
                </c:pt>
                <c:pt idx="3396">
                  <c:v>2.4247989236013678E-2</c:v>
                </c:pt>
                <c:pt idx="3397">
                  <c:v>2.424798923601118E-2</c:v>
                </c:pt>
                <c:pt idx="3398">
                  <c:v>2.424798923601118E-2</c:v>
                </c:pt>
                <c:pt idx="3399">
                  <c:v>2.424798923601118E-2</c:v>
                </c:pt>
                <c:pt idx="3400">
                  <c:v>2.4247989236013678E-2</c:v>
                </c:pt>
                <c:pt idx="3401">
                  <c:v>2.4247989236013678E-2</c:v>
                </c:pt>
                <c:pt idx="3402">
                  <c:v>2.4248805286271654E-2</c:v>
                </c:pt>
                <c:pt idx="3403">
                  <c:v>2.4248805286274076E-2</c:v>
                </c:pt>
                <c:pt idx="3404">
                  <c:v>2.4247989236013678E-2</c:v>
                </c:pt>
                <c:pt idx="3405">
                  <c:v>2.4248805286274076E-2</c:v>
                </c:pt>
                <c:pt idx="3406">
                  <c:v>2.424798923601118E-2</c:v>
                </c:pt>
                <c:pt idx="3407">
                  <c:v>2.424798923601118E-2</c:v>
                </c:pt>
                <c:pt idx="3408">
                  <c:v>2.4247173222361869E-2</c:v>
                </c:pt>
                <c:pt idx="3409">
                  <c:v>2.4247173222359288E-2</c:v>
                </c:pt>
                <c:pt idx="3410">
                  <c:v>2.424798923601118E-2</c:v>
                </c:pt>
                <c:pt idx="3411">
                  <c:v>2.4247173222361869E-2</c:v>
                </c:pt>
                <c:pt idx="3412">
                  <c:v>2.4244725401049952E-2</c:v>
                </c:pt>
                <c:pt idx="3413">
                  <c:v>2.4244725401052807E-2</c:v>
                </c:pt>
                <c:pt idx="3414">
                  <c:v>2.4244725401049952E-2</c:v>
                </c:pt>
                <c:pt idx="3415">
                  <c:v>2.4247989236008682E-2</c:v>
                </c:pt>
                <c:pt idx="3416">
                  <c:v>2.4247173222361869E-2</c:v>
                </c:pt>
                <c:pt idx="3417">
                  <c:v>2.4247173222361869E-2</c:v>
                </c:pt>
                <c:pt idx="3418">
                  <c:v>2.4247173222364447E-2</c:v>
                </c:pt>
                <c:pt idx="3419">
                  <c:v>2.4247173222361869E-2</c:v>
                </c:pt>
                <c:pt idx="3420">
                  <c:v>2.4244725401049952E-2</c:v>
                </c:pt>
                <c:pt idx="3421">
                  <c:v>2.4247173222359288E-2</c:v>
                </c:pt>
                <c:pt idx="3422">
                  <c:v>2.4247173222361869E-2</c:v>
                </c:pt>
                <c:pt idx="3423">
                  <c:v>2.4247173222361869E-2</c:v>
                </c:pt>
                <c:pt idx="3424">
                  <c:v>2.4248805286276497E-2</c:v>
                </c:pt>
                <c:pt idx="3425">
                  <c:v>2.4247173222361869E-2</c:v>
                </c:pt>
                <c:pt idx="3426">
                  <c:v>2.4247173222361869E-2</c:v>
                </c:pt>
                <c:pt idx="3427">
                  <c:v>2.4247173222364447E-2</c:v>
                </c:pt>
                <c:pt idx="3428">
                  <c:v>2.4247173222361869E-2</c:v>
                </c:pt>
                <c:pt idx="3429">
                  <c:v>2.4247173222359288E-2</c:v>
                </c:pt>
                <c:pt idx="3430">
                  <c:v>2.4247173222361869E-2</c:v>
                </c:pt>
                <c:pt idx="3431">
                  <c:v>2.4247173222361869E-2</c:v>
                </c:pt>
                <c:pt idx="3432">
                  <c:v>2.4247173222361869E-2</c:v>
                </c:pt>
                <c:pt idx="3433">
                  <c:v>2.4247173222361869E-2</c:v>
                </c:pt>
                <c:pt idx="3434">
                  <c:v>2.4247173222361869E-2</c:v>
                </c:pt>
                <c:pt idx="3435">
                  <c:v>2.4247173222361869E-2</c:v>
                </c:pt>
                <c:pt idx="3436">
                  <c:v>2.4247173222361869E-2</c:v>
                </c:pt>
                <c:pt idx="3437">
                  <c:v>2.4247989236013678E-2</c:v>
                </c:pt>
                <c:pt idx="3438">
                  <c:v>2.4247989236013678E-2</c:v>
                </c:pt>
                <c:pt idx="3439">
                  <c:v>2.4247173222359288E-2</c:v>
                </c:pt>
                <c:pt idx="3440">
                  <c:v>2.4247173222361869E-2</c:v>
                </c:pt>
                <c:pt idx="3441">
                  <c:v>2.4247173222361869E-2</c:v>
                </c:pt>
                <c:pt idx="3442">
                  <c:v>2.4247173222361869E-2</c:v>
                </c:pt>
                <c:pt idx="3443">
                  <c:v>2.424798923601118E-2</c:v>
                </c:pt>
                <c:pt idx="3444">
                  <c:v>2.4247173222361869E-2</c:v>
                </c:pt>
                <c:pt idx="3445">
                  <c:v>2.4247173222359288E-2</c:v>
                </c:pt>
                <c:pt idx="3446">
                  <c:v>2.4247989236013678E-2</c:v>
                </c:pt>
                <c:pt idx="3447">
                  <c:v>2.4247173222364447E-2</c:v>
                </c:pt>
                <c:pt idx="3448">
                  <c:v>2.4247173222361869E-2</c:v>
                </c:pt>
                <c:pt idx="3449">
                  <c:v>2.4247173222361869E-2</c:v>
                </c:pt>
                <c:pt idx="3450">
                  <c:v>2.4247173222361869E-2</c:v>
                </c:pt>
                <c:pt idx="3451">
                  <c:v>2.4247173222361869E-2</c:v>
                </c:pt>
                <c:pt idx="3452">
                  <c:v>2.4246357245318428E-2</c:v>
                </c:pt>
                <c:pt idx="3453">
                  <c:v>2.4247173222359288E-2</c:v>
                </c:pt>
                <c:pt idx="3454">
                  <c:v>2.4248805286274076E-2</c:v>
                </c:pt>
                <c:pt idx="3455">
                  <c:v>2.424798923601118E-2</c:v>
                </c:pt>
                <c:pt idx="3456">
                  <c:v>2.4247173222359288E-2</c:v>
                </c:pt>
                <c:pt idx="3457">
                  <c:v>2.4247989236013678E-2</c:v>
                </c:pt>
                <c:pt idx="3458">
                  <c:v>2.4247173222361869E-2</c:v>
                </c:pt>
                <c:pt idx="3459">
                  <c:v>2.4248805286271654E-2</c:v>
                </c:pt>
                <c:pt idx="3460">
                  <c:v>2.4247173222364447E-2</c:v>
                </c:pt>
                <c:pt idx="3461">
                  <c:v>2.4247173222361869E-2</c:v>
                </c:pt>
                <c:pt idx="3462">
                  <c:v>2.424798923601118E-2</c:v>
                </c:pt>
                <c:pt idx="3463">
                  <c:v>2.4247173222361869E-2</c:v>
                </c:pt>
                <c:pt idx="3464">
                  <c:v>2.4244725401055663E-2</c:v>
                </c:pt>
                <c:pt idx="3465">
                  <c:v>2.4244725401049952E-2</c:v>
                </c:pt>
                <c:pt idx="3466">
                  <c:v>2.4244725401049952E-2</c:v>
                </c:pt>
                <c:pt idx="3467">
                  <c:v>2.4244725401049952E-2</c:v>
                </c:pt>
                <c:pt idx="3468">
                  <c:v>2.4247173222361869E-2</c:v>
                </c:pt>
                <c:pt idx="3469">
                  <c:v>2.4247173222361869E-2</c:v>
                </c:pt>
                <c:pt idx="3470">
                  <c:v>2.4247989236013678E-2</c:v>
                </c:pt>
                <c:pt idx="3471">
                  <c:v>2.4247173222359288E-2</c:v>
                </c:pt>
                <c:pt idx="3472">
                  <c:v>2.4247173222359288E-2</c:v>
                </c:pt>
                <c:pt idx="3473">
                  <c:v>2.424798923601118E-2</c:v>
                </c:pt>
                <c:pt idx="3474">
                  <c:v>2.4246357245318428E-2</c:v>
                </c:pt>
                <c:pt idx="3475">
                  <c:v>2.4247173222359288E-2</c:v>
                </c:pt>
                <c:pt idx="3476">
                  <c:v>2.4247989236008682E-2</c:v>
                </c:pt>
                <c:pt idx="3477">
                  <c:v>2.4247173222361869E-2</c:v>
                </c:pt>
                <c:pt idx="3478">
                  <c:v>2.4247173222361869E-2</c:v>
                </c:pt>
                <c:pt idx="3479">
                  <c:v>2.4247173222359288E-2</c:v>
                </c:pt>
                <c:pt idx="3480">
                  <c:v>2.4247173222361869E-2</c:v>
                </c:pt>
                <c:pt idx="3481">
                  <c:v>2.4247173222361869E-2</c:v>
                </c:pt>
                <c:pt idx="3482">
                  <c:v>2.4247173222361869E-2</c:v>
                </c:pt>
                <c:pt idx="3483">
                  <c:v>2.4247173222361869E-2</c:v>
                </c:pt>
                <c:pt idx="3484">
                  <c:v>2.4247173222361869E-2</c:v>
                </c:pt>
                <c:pt idx="3485">
                  <c:v>2.4247989236013678E-2</c:v>
                </c:pt>
                <c:pt idx="3486">
                  <c:v>2.4247173222361869E-2</c:v>
                </c:pt>
                <c:pt idx="3487">
                  <c:v>2.4247173222361869E-2</c:v>
                </c:pt>
                <c:pt idx="3488">
                  <c:v>2.4247173222361869E-2</c:v>
                </c:pt>
                <c:pt idx="3489">
                  <c:v>2.4247989236013678E-2</c:v>
                </c:pt>
                <c:pt idx="3490">
                  <c:v>2.424798923601118E-2</c:v>
                </c:pt>
                <c:pt idx="3491">
                  <c:v>2.4247173222361869E-2</c:v>
                </c:pt>
                <c:pt idx="3492">
                  <c:v>2.4247173222361869E-2</c:v>
                </c:pt>
                <c:pt idx="3493">
                  <c:v>2.4247173222361869E-2</c:v>
                </c:pt>
                <c:pt idx="3494">
                  <c:v>2.4244725401052807E-2</c:v>
                </c:pt>
                <c:pt idx="3495">
                  <c:v>2.4247989236013678E-2</c:v>
                </c:pt>
                <c:pt idx="3496">
                  <c:v>2.4247173222361869E-2</c:v>
                </c:pt>
                <c:pt idx="3497">
                  <c:v>2.4247173222361869E-2</c:v>
                </c:pt>
                <c:pt idx="3498">
                  <c:v>2.4248805286274076E-2</c:v>
                </c:pt>
                <c:pt idx="3499">
                  <c:v>2.4247173222359288E-2</c:v>
                </c:pt>
                <c:pt idx="3500">
                  <c:v>2.4247989236013678E-2</c:v>
                </c:pt>
                <c:pt idx="3501">
                  <c:v>2.4247173222361869E-2</c:v>
                </c:pt>
                <c:pt idx="3502">
                  <c:v>2.4247173222361869E-2</c:v>
                </c:pt>
                <c:pt idx="3503">
                  <c:v>2.4247173222361869E-2</c:v>
                </c:pt>
                <c:pt idx="3504">
                  <c:v>2.4247173222359288E-2</c:v>
                </c:pt>
                <c:pt idx="3505">
                  <c:v>2.4247173222361869E-2</c:v>
                </c:pt>
                <c:pt idx="3506">
                  <c:v>2.4247173222361869E-2</c:v>
                </c:pt>
                <c:pt idx="3507">
                  <c:v>2.4247173222361869E-2</c:v>
                </c:pt>
                <c:pt idx="3508">
                  <c:v>2.4247173222361869E-2</c:v>
                </c:pt>
                <c:pt idx="3509">
                  <c:v>2.4247173222361869E-2</c:v>
                </c:pt>
                <c:pt idx="3510">
                  <c:v>2.4247989236013678E-2</c:v>
                </c:pt>
                <c:pt idx="3511">
                  <c:v>2.4247173222361869E-2</c:v>
                </c:pt>
                <c:pt idx="3512">
                  <c:v>2.4247173222361869E-2</c:v>
                </c:pt>
                <c:pt idx="3513">
                  <c:v>2.4247173222361869E-2</c:v>
                </c:pt>
                <c:pt idx="3514">
                  <c:v>2.4247173222359288E-2</c:v>
                </c:pt>
                <c:pt idx="3515">
                  <c:v>2.4247173222361869E-2</c:v>
                </c:pt>
                <c:pt idx="3516">
                  <c:v>2.4244725401049952E-2</c:v>
                </c:pt>
                <c:pt idx="3517">
                  <c:v>2.4244725401049952E-2</c:v>
                </c:pt>
                <c:pt idx="3518">
                  <c:v>2.4244725401049952E-2</c:v>
                </c:pt>
                <c:pt idx="3519">
                  <c:v>2.4244725401052807E-2</c:v>
                </c:pt>
                <c:pt idx="3520">
                  <c:v>2.4247173222361869E-2</c:v>
                </c:pt>
                <c:pt idx="3521">
                  <c:v>2.4247173222361869E-2</c:v>
                </c:pt>
                <c:pt idx="3522">
                  <c:v>2.4247173222361869E-2</c:v>
                </c:pt>
                <c:pt idx="3523">
                  <c:v>2.4247173222359288E-2</c:v>
                </c:pt>
                <c:pt idx="3524">
                  <c:v>2.4246357245318428E-2</c:v>
                </c:pt>
                <c:pt idx="3525">
                  <c:v>2.4246357245318428E-2</c:v>
                </c:pt>
                <c:pt idx="3526">
                  <c:v>2.4246357245321093E-2</c:v>
                </c:pt>
                <c:pt idx="3527">
                  <c:v>2.4246357245318428E-2</c:v>
                </c:pt>
                <c:pt idx="3528">
                  <c:v>2.4246357245318428E-2</c:v>
                </c:pt>
                <c:pt idx="3529">
                  <c:v>2.4247173222359288E-2</c:v>
                </c:pt>
                <c:pt idx="3530">
                  <c:v>2.4247173222359288E-2</c:v>
                </c:pt>
                <c:pt idx="3531">
                  <c:v>2.4247173222359288E-2</c:v>
                </c:pt>
                <c:pt idx="3532">
                  <c:v>2.4247173222361869E-2</c:v>
                </c:pt>
                <c:pt idx="3533">
                  <c:v>2.4246357245321093E-2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19264"/>
        <c:axId val="547369344"/>
      </c:lineChart>
      <c:dateAx>
        <c:axId val="545819264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7369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736934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581926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42150</c:v>
                </c:pt>
                <c:pt idx="8">
                  <c:v>42151</c:v>
                </c:pt>
                <c:pt idx="9">
                  <c:v>42152</c:v>
                </c:pt>
                <c:pt idx="10">
                  <c:v>42153</c:v>
                </c:pt>
                <c:pt idx="11">
                  <c:v>42156</c:v>
                </c:pt>
                <c:pt idx="12">
                  <c:v>42157</c:v>
                </c:pt>
                <c:pt idx="13">
                  <c:v>42158</c:v>
                </c:pt>
                <c:pt idx="14">
                  <c:v>42159</c:v>
                </c:pt>
                <c:pt idx="15">
                  <c:v>42160</c:v>
                </c:pt>
                <c:pt idx="16">
                  <c:v>42163</c:v>
                </c:pt>
                <c:pt idx="17">
                  <c:v>42164</c:v>
                </c:pt>
                <c:pt idx="18">
                  <c:v>42165</c:v>
                </c:pt>
                <c:pt idx="19">
                  <c:v>42166</c:v>
                </c:pt>
                <c:pt idx="20">
                  <c:v>42167</c:v>
                </c:pt>
                <c:pt idx="21">
                  <c:v>42170</c:v>
                </c:pt>
                <c:pt idx="22">
                  <c:v>42171</c:v>
                </c:pt>
                <c:pt idx="23">
                  <c:v>42172</c:v>
                </c:pt>
                <c:pt idx="24">
                  <c:v>42173</c:v>
                </c:pt>
                <c:pt idx="25">
                  <c:v>42174</c:v>
                </c:pt>
                <c:pt idx="26">
                  <c:v>42177</c:v>
                </c:pt>
                <c:pt idx="27">
                  <c:v>42178</c:v>
                </c:pt>
                <c:pt idx="28">
                  <c:v>42179</c:v>
                </c:pt>
                <c:pt idx="29">
                  <c:v>42180</c:v>
                </c:pt>
                <c:pt idx="30">
                  <c:v>42181</c:v>
                </c:pt>
                <c:pt idx="31">
                  <c:v>42184</c:v>
                </c:pt>
                <c:pt idx="32">
                  <c:v>42185</c:v>
                </c:pt>
                <c:pt idx="33">
                  <c:v>42186</c:v>
                </c:pt>
                <c:pt idx="34">
                  <c:v>42187</c:v>
                </c:pt>
                <c:pt idx="35">
                  <c:v>42191</c:v>
                </c:pt>
                <c:pt idx="36">
                  <c:v>42191</c:v>
                </c:pt>
                <c:pt idx="37">
                  <c:v>42192</c:v>
                </c:pt>
                <c:pt idx="38">
                  <c:v>42193</c:v>
                </c:pt>
                <c:pt idx="39">
                  <c:v>42194</c:v>
                </c:pt>
                <c:pt idx="40">
                  <c:v>42195</c:v>
                </c:pt>
                <c:pt idx="41">
                  <c:v>42198</c:v>
                </c:pt>
                <c:pt idx="42">
                  <c:v>42199</c:v>
                </c:pt>
                <c:pt idx="43">
                  <c:v>42200</c:v>
                </c:pt>
                <c:pt idx="44">
                  <c:v>42201</c:v>
                </c:pt>
                <c:pt idx="45">
                  <c:v>42202</c:v>
                </c:pt>
                <c:pt idx="46">
                  <c:v>42205</c:v>
                </c:pt>
                <c:pt idx="47">
                  <c:v>42206</c:v>
                </c:pt>
                <c:pt idx="48">
                  <c:v>42207</c:v>
                </c:pt>
                <c:pt idx="49">
                  <c:v>42208</c:v>
                </c:pt>
                <c:pt idx="50">
                  <c:v>42209</c:v>
                </c:pt>
                <c:pt idx="51">
                  <c:v>42212</c:v>
                </c:pt>
                <c:pt idx="52">
                  <c:v>42213</c:v>
                </c:pt>
                <c:pt idx="53">
                  <c:v>42214</c:v>
                </c:pt>
                <c:pt idx="54">
                  <c:v>42215</c:v>
                </c:pt>
                <c:pt idx="55">
                  <c:v>42216</c:v>
                </c:pt>
                <c:pt idx="56">
                  <c:v>42219</c:v>
                </c:pt>
                <c:pt idx="57">
                  <c:v>42220</c:v>
                </c:pt>
                <c:pt idx="58">
                  <c:v>42221</c:v>
                </c:pt>
                <c:pt idx="59">
                  <c:v>42222</c:v>
                </c:pt>
                <c:pt idx="60">
                  <c:v>42223</c:v>
                </c:pt>
                <c:pt idx="61">
                  <c:v>42226</c:v>
                </c:pt>
                <c:pt idx="62">
                  <c:v>42227</c:v>
                </c:pt>
                <c:pt idx="63">
                  <c:v>42228</c:v>
                </c:pt>
                <c:pt idx="64">
                  <c:v>42229</c:v>
                </c:pt>
                <c:pt idx="65">
                  <c:v>42230</c:v>
                </c:pt>
                <c:pt idx="66">
                  <c:v>42233</c:v>
                </c:pt>
                <c:pt idx="67">
                  <c:v>42234</c:v>
                </c:pt>
                <c:pt idx="68">
                  <c:v>42235</c:v>
                </c:pt>
                <c:pt idx="69">
                  <c:v>42236</c:v>
                </c:pt>
                <c:pt idx="70">
                  <c:v>42237</c:v>
                </c:pt>
                <c:pt idx="71">
                  <c:v>42240</c:v>
                </c:pt>
                <c:pt idx="72">
                  <c:v>42241</c:v>
                </c:pt>
                <c:pt idx="73">
                  <c:v>42242</c:v>
                </c:pt>
                <c:pt idx="74">
                  <c:v>42243</c:v>
                </c:pt>
                <c:pt idx="75">
                  <c:v>42244</c:v>
                </c:pt>
                <c:pt idx="76">
                  <c:v>42248</c:v>
                </c:pt>
                <c:pt idx="77">
                  <c:v>42249</c:v>
                </c:pt>
                <c:pt idx="78">
                  <c:v>42250</c:v>
                </c:pt>
                <c:pt idx="79">
                  <c:v>42251</c:v>
                </c:pt>
                <c:pt idx="80">
                  <c:v>42255</c:v>
                </c:pt>
                <c:pt idx="81">
                  <c:v>42255</c:v>
                </c:pt>
                <c:pt idx="82">
                  <c:v>42256</c:v>
                </c:pt>
                <c:pt idx="83">
                  <c:v>42257</c:v>
                </c:pt>
                <c:pt idx="84">
                  <c:v>42258</c:v>
                </c:pt>
                <c:pt idx="85">
                  <c:v>42261</c:v>
                </c:pt>
                <c:pt idx="86">
                  <c:v>42262</c:v>
                </c:pt>
                <c:pt idx="87">
                  <c:v>42263</c:v>
                </c:pt>
                <c:pt idx="88">
                  <c:v>42264</c:v>
                </c:pt>
                <c:pt idx="89">
                  <c:v>42265</c:v>
                </c:pt>
                <c:pt idx="90">
                  <c:v>42268</c:v>
                </c:pt>
                <c:pt idx="91">
                  <c:v>42269</c:v>
                </c:pt>
                <c:pt idx="92">
                  <c:v>42270</c:v>
                </c:pt>
                <c:pt idx="93">
                  <c:v>42271</c:v>
                </c:pt>
                <c:pt idx="94">
                  <c:v>42272</c:v>
                </c:pt>
                <c:pt idx="95">
                  <c:v>42275</c:v>
                </c:pt>
                <c:pt idx="96">
                  <c:v>42276</c:v>
                </c:pt>
                <c:pt idx="97">
                  <c:v>42277</c:v>
                </c:pt>
                <c:pt idx="98">
                  <c:v>42278</c:v>
                </c:pt>
                <c:pt idx="99">
                  <c:v>42279</c:v>
                </c:pt>
                <c:pt idx="100">
                  <c:v>42282</c:v>
                </c:pt>
                <c:pt idx="101">
                  <c:v>42283</c:v>
                </c:pt>
                <c:pt idx="102">
                  <c:v>42284</c:v>
                </c:pt>
                <c:pt idx="103">
                  <c:v>42285</c:v>
                </c:pt>
                <c:pt idx="104">
                  <c:v>42286</c:v>
                </c:pt>
                <c:pt idx="105">
                  <c:v>42290</c:v>
                </c:pt>
                <c:pt idx="106">
                  <c:v>42290</c:v>
                </c:pt>
                <c:pt idx="107">
                  <c:v>42291</c:v>
                </c:pt>
                <c:pt idx="108">
                  <c:v>42292</c:v>
                </c:pt>
                <c:pt idx="109">
                  <c:v>42293</c:v>
                </c:pt>
                <c:pt idx="110">
                  <c:v>42296</c:v>
                </c:pt>
                <c:pt idx="111">
                  <c:v>42297</c:v>
                </c:pt>
                <c:pt idx="112">
                  <c:v>42298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42320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42335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42367</c:v>
                </c:pt>
                <c:pt idx="160">
                  <c:v>42368</c:v>
                </c:pt>
                <c:pt idx="161">
                  <c:v>42369</c:v>
                </c:pt>
                <c:pt idx="162">
                  <c:v>42373</c:v>
                </c:pt>
                <c:pt idx="163">
                  <c:v>42374</c:v>
                </c:pt>
                <c:pt idx="164">
                  <c:v>42375</c:v>
                </c:pt>
                <c:pt idx="165">
                  <c:v>42376</c:v>
                </c:pt>
                <c:pt idx="166">
                  <c:v>42377</c:v>
                </c:pt>
                <c:pt idx="167">
                  <c:v>42380</c:v>
                </c:pt>
                <c:pt idx="168">
                  <c:v>42381</c:v>
                </c:pt>
                <c:pt idx="169">
                  <c:v>42382</c:v>
                </c:pt>
                <c:pt idx="170">
                  <c:v>42383</c:v>
                </c:pt>
                <c:pt idx="171">
                  <c:v>42384</c:v>
                </c:pt>
                <c:pt idx="172">
                  <c:v>42388</c:v>
                </c:pt>
                <c:pt idx="173">
                  <c:v>42388</c:v>
                </c:pt>
                <c:pt idx="174">
                  <c:v>42389</c:v>
                </c:pt>
                <c:pt idx="175">
                  <c:v>42390</c:v>
                </c:pt>
                <c:pt idx="176">
                  <c:v>42391</c:v>
                </c:pt>
                <c:pt idx="177">
                  <c:v>42394</c:v>
                </c:pt>
                <c:pt idx="178">
                  <c:v>42395</c:v>
                </c:pt>
                <c:pt idx="179">
                  <c:v>42396</c:v>
                </c:pt>
                <c:pt idx="180">
                  <c:v>42397</c:v>
                </c:pt>
                <c:pt idx="181">
                  <c:v>42398</c:v>
                </c:pt>
                <c:pt idx="182">
                  <c:v>42401</c:v>
                </c:pt>
                <c:pt idx="183">
                  <c:v>42402</c:v>
                </c:pt>
                <c:pt idx="184">
                  <c:v>42403</c:v>
                </c:pt>
                <c:pt idx="185">
                  <c:v>42404</c:v>
                </c:pt>
                <c:pt idx="186">
                  <c:v>42405</c:v>
                </c:pt>
                <c:pt idx="187">
                  <c:v>42408</c:v>
                </c:pt>
                <c:pt idx="188">
                  <c:v>42409</c:v>
                </c:pt>
                <c:pt idx="189">
                  <c:v>42410</c:v>
                </c:pt>
                <c:pt idx="190">
                  <c:v>42411</c:v>
                </c:pt>
                <c:pt idx="191">
                  <c:v>42412</c:v>
                </c:pt>
                <c:pt idx="192">
                  <c:v>42416</c:v>
                </c:pt>
                <c:pt idx="193">
                  <c:v>42416</c:v>
                </c:pt>
                <c:pt idx="194">
                  <c:v>42417</c:v>
                </c:pt>
                <c:pt idx="195">
                  <c:v>42418</c:v>
                </c:pt>
                <c:pt idx="196">
                  <c:v>42419</c:v>
                </c:pt>
                <c:pt idx="197">
                  <c:v>42422</c:v>
                </c:pt>
                <c:pt idx="198">
                  <c:v>42423</c:v>
                </c:pt>
                <c:pt idx="199">
                  <c:v>42424</c:v>
                </c:pt>
                <c:pt idx="200">
                  <c:v>42425</c:v>
                </c:pt>
                <c:pt idx="201">
                  <c:v>42426</c:v>
                </c:pt>
                <c:pt idx="202">
                  <c:v>42429</c:v>
                </c:pt>
                <c:pt idx="203">
                  <c:v>42430</c:v>
                </c:pt>
                <c:pt idx="204">
                  <c:v>42431</c:v>
                </c:pt>
                <c:pt idx="205">
                  <c:v>42432</c:v>
                </c:pt>
                <c:pt idx="206">
                  <c:v>42433</c:v>
                </c:pt>
                <c:pt idx="207">
                  <c:v>42436</c:v>
                </c:pt>
                <c:pt idx="208">
                  <c:v>42437</c:v>
                </c:pt>
                <c:pt idx="209">
                  <c:v>42438</c:v>
                </c:pt>
                <c:pt idx="210">
                  <c:v>42439</c:v>
                </c:pt>
                <c:pt idx="211">
                  <c:v>42440</c:v>
                </c:pt>
                <c:pt idx="212">
                  <c:v>42443</c:v>
                </c:pt>
                <c:pt idx="213">
                  <c:v>42444</c:v>
                </c:pt>
                <c:pt idx="214">
                  <c:v>42445</c:v>
                </c:pt>
                <c:pt idx="215">
                  <c:v>42446</c:v>
                </c:pt>
                <c:pt idx="216">
                  <c:v>42447</c:v>
                </c:pt>
                <c:pt idx="217">
                  <c:v>42450</c:v>
                </c:pt>
                <c:pt idx="218">
                  <c:v>42451</c:v>
                </c:pt>
                <c:pt idx="219">
                  <c:v>42452</c:v>
                </c:pt>
                <c:pt idx="220">
                  <c:v>42453</c:v>
                </c:pt>
                <c:pt idx="221">
                  <c:v>42458</c:v>
                </c:pt>
                <c:pt idx="222">
                  <c:v>42459</c:v>
                </c:pt>
                <c:pt idx="223">
                  <c:v>42460</c:v>
                </c:pt>
                <c:pt idx="224">
                  <c:v>42461</c:v>
                </c:pt>
                <c:pt idx="225">
                  <c:v>42464</c:v>
                </c:pt>
                <c:pt idx="226">
                  <c:v>42465</c:v>
                </c:pt>
                <c:pt idx="227">
                  <c:v>42466</c:v>
                </c:pt>
                <c:pt idx="228">
                  <c:v>42467</c:v>
                </c:pt>
                <c:pt idx="229">
                  <c:v>42468</c:v>
                </c:pt>
                <c:pt idx="230">
                  <c:v>42471</c:v>
                </c:pt>
                <c:pt idx="231">
                  <c:v>42472</c:v>
                </c:pt>
                <c:pt idx="232">
                  <c:v>42473</c:v>
                </c:pt>
                <c:pt idx="233">
                  <c:v>42474</c:v>
                </c:pt>
                <c:pt idx="234">
                  <c:v>42475</c:v>
                </c:pt>
                <c:pt idx="235">
                  <c:v>42478</c:v>
                </c:pt>
                <c:pt idx="236">
                  <c:v>42479</c:v>
                </c:pt>
                <c:pt idx="237">
                  <c:v>42480</c:v>
                </c:pt>
                <c:pt idx="238">
                  <c:v>42481</c:v>
                </c:pt>
                <c:pt idx="239">
                  <c:v>42482</c:v>
                </c:pt>
                <c:pt idx="240">
                  <c:v>42485</c:v>
                </c:pt>
                <c:pt idx="241">
                  <c:v>42486</c:v>
                </c:pt>
                <c:pt idx="242">
                  <c:v>42487</c:v>
                </c:pt>
                <c:pt idx="243">
                  <c:v>42488</c:v>
                </c:pt>
                <c:pt idx="244">
                  <c:v>42489</c:v>
                </c:pt>
                <c:pt idx="245">
                  <c:v>42493</c:v>
                </c:pt>
                <c:pt idx="246">
                  <c:v>42494</c:v>
                </c:pt>
                <c:pt idx="247">
                  <c:v>42495</c:v>
                </c:pt>
                <c:pt idx="248">
                  <c:v>42496</c:v>
                </c:pt>
                <c:pt idx="249">
                  <c:v>42499</c:v>
                </c:pt>
                <c:pt idx="250">
                  <c:v>42500</c:v>
                </c:pt>
                <c:pt idx="251">
                  <c:v>42501</c:v>
                </c:pt>
                <c:pt idx="252">
                  <c:v>42502</c:v>
                </c:pt>
                <c:pt idx="253">
                  <c:v>42503</c:v>
                </c:pt>
                <c:pt idx="254">
                  <c:v>42506</c:v>
                </c:pt>
                <c:pt idx="255">
                  <c:v>42507</c:v>
                </c:pt>
                <c:pt idx="256">
                  <c:v>42508</c:v>
                </c:pt>
                <c:pt idx="257">
                  <c:v>42509</c:v>
                </c:pt>
                <c:pt idx="258">
                  <c:v>42510</c:v>
                </c:pt>
                <c:pt idx="259">
                  <c:v>42513</c:v>
                </c:pt>
                <c:pt idx="260">
                  <c:v>42514</c:v>
                </c:pt>
                <c:pt idx="261">
                  <c:v>42515</c:v>
                </c:pt>
                <c:pt idx="262">
                  <c:v>42516</c:v>
                </c:pt>
                <c:pt idx="263">
                  <c:v>42517</c:v>
                </c:pt>
                <c:pt idx="264">
                  <c:v>42521</c:v>
                </c:pt>
                <c:pt idx="265">
                  <c:v>42522</c:v>
                </c:pt>
                <c:pt idx="266">
                  <c:v>42523</c:v>
                </c:pt>
                <c:pt idx="267">
                  <c:v>42524</c:v>
                </c:pt>
                <c:pt idx="268">
                  <c:v>42527</c:v>
                </c:pt>
                <c:pt idx="269">
                  <c:v>42528</c:v>
                </c:pt>
                <c:pt idx="270">
                  <c:v>42529</c:v>
                </c:pt>
                <c:pt idx="271">
                  <c:v>42530</c:v>
                </c:pt>
                <c:pt idx="272">
                  <c:v>42531</c:v>
                </c:pt>
                <c:pt idx="273">
                  <c:v>42534</c:v>
                </c:pt>
                <c:pt idx="274">
                  <c:v>42535</c:v>
                </c:pt>
                <c:pt idx="275">
                  <c:v>42536</c:v>
                </c:pt>
                <c:pt idx="276">
                  <c:v>42537</c:v>
                </c:pt>
                <c:pt idx="277">
                  <c:v>42538</c:v>
                </c:pt>
                <c:pt idx="278">
                  <c:v>42541</c:v>
                </c:pt>
                <c:pt idx="279">
                  <c:v>42542</c:v>
                </c:pt>
                <c:pt idx="280">
                  <c:v>42543</c:v>
                </c:pt>
                <c:pt idx="281">
                  <c:v>42544</c:v>
                </c:pt>
                <c:pt idx="282">
                  <c:v>42545</c:v>
                </c:pt>
                <c:pt idx="283">
                  <c:v>42548</c:v>
                </c:pt>
                <c:pt idx="284">
                  <c:v>42549</c:v>
                </c:pt>
                <c:pt idx="285">
                  <c:v>42550</c:v>
                </c:pt>
                <c:pt idx="286">
                  <c:v>42551</c:v>
                </c:pt>
                <c:pt idx="287">
                  <c:v>42552</c:v>
                </c:pt>
                <c:pt idx="288">
                  <c:v>42556</c:v>
                </c:pt>
                <c:pt idx="289">
                  <c:v>42556</c:v>
                </c:pt>
                <c:pt idx="290">
                  <c:v>42557</c:v>
                </c:pt>
                <c:pt idx="291">
                  <c:v>42558</c:v>
                </c:pt>
                <c:pt idx="292">
                  <c:v>42559</c:v>
                </c:pt>
                <c:pt idx="293">
                  <c:v>42562</c:v>
                </c:pt>
                <c:pt idx="294">
                  <c:v>42563</c:v>
                </c:pt>
                <c:pt idx="295">
                  <c:v>42564</c:v>
                </c:pt>
                <c:pt idx="296">
                  <c:v>42565</c:v>
                </c:pt>
                <c:pt idx="297">
                  <c:v>42566</c:v>
                </c:pt>
                <c:pt idx="298">
                  <c:v>42569</c:v>
                </c:pt>
                <c:pt idx="299">
                  <c:v>42570</c:v>
                </c:pt>
                <c:pt idx="300">
                  <c:v>42571</c:v>
                </c:pt>
                <c:pt idx="301">
                  <c:v>42572</c:v>
                </c:pt>
                <c:pt idx="302">
                  <c:v>42573</c:v>
                </c:pt>
                <c:pt idx="303">
                  <c:v>42576</c:v>
                </c:pt>
                <c:pt idx="304">
                  <c:v>42577</c:v>
                </c:pt>
                <c:pt idx="305">
                  <c:v>42578</c:v>
                </c:pt>
                <c:pt idx="306">
                  <c:v>42579</c:v>
                </c:pt>
                <c:pt idx="307">
                  <c:v>42580</c:v>
                </c:pt>
                <c:pt idx="308">
                  <c:v>42583</c:v>
                </c:pt>
                <c:pt idx="309">
                  <c:v>42584</c:v>
                </c:pt>
                <c:pt idx="310">
                  <c:v>42585</c:v>
                </c:pt>
                <c:pt idx="311">
                  <c:v>42586</c:v>
                </c:pt>
                <c:pt idx="312">
                  <c:v>42587</c:v>
                </c:pt>
                <c:pt idx="313">
                  <c:v>42590</c:v>
                </c:pt>
                <c:pt idx="314">
                  <c:v>42591</c:v>
                </c:pt>
                <c:pt idx="315">
                  <c:v>42592</c:v>
                </c:pt>
                <c:pt idx="316">
                  <c:v>42593</c:v>
                </c:pt>
                <c:pt idx="317">
                  <c:v>42594</c:v>
                </c:pt>
                <c:pt idx="318">
                  <c:v>42597</c:v>
                </c:pt>
                <c:pt idx="319">
                  <c:v>42598</c:v>
                </c:pt>
                <c:pt idx="320">
                  <c:v>42599</c:v>
                </c:pt>
                <c:pt idx="321">
                  <c:v>42600</c:v>
                </c:pt>
                <c:pt idx="322">
                  <c:v>42601</c:v>
                </c:pt>
                <c:pt idx="323">
                  <c:v>42604</c:v>
                </c:pt>
                <c:pt idx="324">
                  <c:v>42605</c:v>
                </c:pt>
                <c:pt idx="325">
                  <c:v>42606</c:v>
                </c:pt>
                <c:pt idx="326">
                  <c:v>42607</c:v>
                </c:pt>
                <c:pt idx="327">
                  <c:v>42608</c:v>
                </c:pt>
                <c:pt idx="328">
                  <c:v>42612</c:v>
                </c:pt>
                <c:pt idx="329">
                  <c:v>42613</c:v>
                </c:pt>
                <c:pt idx="330">
                  <c:v>42614</c:v>
                </c:pt>
                <c:pt idx="331">
                  <c:v>42615</c:v>
                </c:pt>
                <c:pt idx="332">
                  <c:v>42619</c:v>
                </c:pt>
                <c:pt idx="333">
                  <c:v>42619</c:v>
                </c:pt>
                <c:pt idx="334">
                  <c:v>42620</c:v>
                </c:pt>
                <c:pt idx="335">
                  <c:v>42621</c:v>
                </c:pt>
                <c:pt idx="336">
                  <c:v>42622</c:v>
                </c:pt>
                <c:pt idx="337">
                  <c:v>42625</c:v>
                </c:pt>
                <c:pt idx="338">
                  <c:v>42626</c:v>
                </c:pt>
                <c:pt idx="339">
                  <c:v>42627</c:v>
                </c:pt>
                <c:pt idx="340">
                  <c:v>42628</c:v>
                </c:pt>
                <c:pt idx="341">
                  <c:v>42629</c:v>
                </c:pt>
                <c:pt idx="342">
                  <c:v>42632</c:v>
                </c:pt>
                <c:pt idx="343">
                  <c:v>42633</c:v>
                </c:pt>
                <c:pt idx="344">
                  <c:v>42634</c:v>
                </c:pt>
                <c:pt idx="345">
                  <c:v>42635</c:v>
                </c:pt>
                <c:pt idx="346">
                  <c:v>42636</c:v>
                </c:pt>
                <c:pt idx="347">
                  <c:v>42639</c:v>
                </c:pt>
                <c:pt idx="348">
                  <c:v>42640</c:v>
                </c:pt>
                <c:pt idx="349">
                  <c:v>42641</c:v>
                </c:pt>
                <c:pt idx="350">
                  <c:v>42642</c:v>
                </c:pt>
                <c:pt idx="351">
                  <c:v>42643</c:v>
                </c:pt>
                <c:pt idx="352">
                  <c:v>42646</c:v>
                </c:pt>
                <c:pt idx="353">
                  <c:v>42647</c:v>
                </c:pt>
                <c:pt idx="354">
                  <c:v>42648</c:v>
                </c:pt>
                <c:pt idx="355">
                  <c:v>42649</c:v>
                </c:pt>
                <c:pt idx="356">
                  <c:v>42650</c:v>
                </c:pt>
                <c:pt idx="357">
                  <c:v>42654</c:v>
                </c:pt>
                <c:pt idx="358">
                  <c:v>42654</c:v>
                </c:pt>
                <c:pt idx="359">
                  <c:v>42655</c:v>
                </c:pt>
                <c:pt idx="360">
                  <c:v>42656</c:v>
                </c:pt>
                <c:pt idx="361">
                  <c:v>42657</c:v>
                </c:pt>
                <c:pt idx="362">
                  <c:v>42660</c:v>
                </c:pt>
                <c:pt idx="363">
                  <c:v>42661</c:v>
                </c:pt>
                <c:pt idx="364">
                  <c:v>42662</c:v>
                </c:pt>
                <c:pt idx="365">
                  <c:v>42663</c:v>
                </c:pt>
                <c:pt idx="366">
                  <c:v>42664</c:v>
                </c:pt>
                <c:pt idx="367">
                  <c:v>42667</c:v>
                </c:pt>
                <c:pt idx="368">
                  <c:v>42668</c:v>
                </c:pt>
                <c:pt idx="369">
                  <c:v>42669</c:v>
                </c:pt>
                <c:pt idx="370">
                  <c:v>42670</c:v>
                </c:pt>
                <c:pt idx="371">
                  <c:v>42671</c:v>
                </c:pt>
                <c:pt idx="372">
                  <c:v>42674</c:v>
                </c:pt>
                <c:pt idx="373">
                  <c:v>42675</c:v>
                </c:pt>
                <c:pt idx="374">
                  <c:v>42676</c:v>
                </c:pt>
                <c:pt idx="375">
                  <c:v>42677</c:v>
                </c:pt>
                <c:pt idx="376">
                  <c:v>42678</c:v>
                </c:pt>
                <c:pt idx="377">
                  <c:v>42681</c:v>
                </c:pt>
                <c:pt idx="378">
                  <c:v>42682</c:v>
                </c:pt>
                <c:pt idx="379">
                  <c:v>42683</c:v>
                </c:pt>
                <c:pt idx="380">
                  <c:v>42684</c:v>
                </c:pt>
                <c:pt idx="381">
                  <c:v>42688</c:v>
                </c:pt>
                <c:pt idx="382">
                  <c:v>42688</c:v>
                </c:pt>
                <c:pt idx="383">
                  <c:v>42689</c:v>
                </c:pt>
                <c:pt idx="384">
                  <c:v>42690</c:v>
                </c:pt>
                <c:pt idx="385">
                  <c:v>42691</c:v>
                </c:pt>
                <c:pt idx="386">
                  <c:v>42692</c:v>
                </c:pt>
                <c:pt idx="387">
                  <c:v>42695</c:v>
                </c:pt>
                <c:pt idx="388">
                  <c:v>42696</c:v>
                </c:pt>
                <c:pt idx="389">
                  <c:v>42697</c:v>
                </c:pt>
                <c:pt idx="390">
                  <c:v>42699</c:v>
                </c:pt>
                <c:pt idx="391">
                  <c:v>42699</c:v>
                </c:pt>
                <c:pt idx="392">
                  <c:v>42702</c:v>
                </c:pt>
                <c:pt idx="393">
                  <c:v>42703</c:v>
                </c:pt>
                <c:pt idx="394">
                  <c:v>42704</c:v>
                </c:pt>
                <c:pt idx="395">
                  <c:v>42705</c:v>
                </c:pt>
                <c:pt idx="396">
                  <c:v>42706</c:v>
                </c:pt>
                <c:pt idx="397">
                  <c:v>42709</c:v>
                </c:pt>
                <c:pt idx="398">
                  <c:v>42710</c:v>
                </c:pt>
                <c:pt idx="399">
                  <c:v>42711</c:v>
                </c:pt>
                <c:pt idx="400">
                  <c:v>42712</c:v>
                </c:pt>
                <c:pt idx="401">
                  <c:v>42713</c:v>
                </c:pt>
                <c:pt idx="402">
                  <c:v>42716</c:v>
                </c:pt>
                <c:pt idx="403">
                  <c:v>42717</c:v>
                </c:pt>
                <c:pt idx="404">
                  <c:v>42718</c:v>
                </c:pt>
                <c:pt idx="405">
                  <c:v>42719</c:v>
                </c:pt>
                <c:pt idx="406">
                  <c:v>42720</c:v>
                </c:pt>
                <c:pt idx="407">
                  <c:v>42723</c:v>
                </c:pt>
                <c:pt idx="408">
                  <c:v>42724</c:v>
                </c:pt>
                <c:pt idx="409">
                  <c:v>42725</c:v>
                </c:pt>
                <c:pt idx="410">
                  <c:v>42726</c:v>
                </c:pt>
                <c:pt idx="411">
                  <c:v>42727</c:v>
                </c:pt>
                <c:pt idx="412">
                  <c:v>42732</c:v>
                </c:pt>
                <c:pt idx="413">
                  <c:v>42733</c:v>
                </c:pt>
                <c:pt idx="414">
                  <c:v>42734</c:v>
                </c:pt>
                <c:pt idx="415">
                  <c:v>42738</c:v>
                </c:pt>
                <c:pt idx="416">
                  <c:v>42739</c:v>
                </c:pt>
                <c:pt idx="417">
                  <c:v>42740</c:v>
                </c:pt>
                <c:pt idx="418">
                  <c:v>42741</c:v>
                </c:pt>
                <c:pt idx="419">
                  <c:v>42744</c:v>
                </c:pt>
                <c:pt idx="420">
                  <c:v>42745</c:v>
                </c:pt>
                <c:pt idx="421">
                  <c:v>42746</c:v>
                </c:pt>
                <c:pt idx="422">
                  <c:v>42747</c:v>
                </c:pt>
                <c:pt idx="423">
                  <c:v>42748</c:v>
                </c:pt>
                <c:pt idx="424">
                  <c:v>42752</c:v>
                </c:pt>
                <c:pt idx="425">
                  <c:v>42752</c:v>
                </c:pt>
                <c:pt idx="426">
                  <c:v>42753</c:v>
                </c:pt>
                <c:pt idx="427">
                  <c:v>42754</c:v>
                </c:pt>
                <c:pt idx="428">
                  <c:v>42755</c:v>
                </c:pt>
                <c:pt idx="429">
                  <c:v>42758</c:v>
                </c:pt>
                <c:pt idx="430">
                  <c:v>42759</c:v>
                </c:pt>
                <c:pt idx="431">
                  <c:v>42760</c:v>
                </c:pt>
                <c:pt idx="432">
                  <c:v>42761</c:v>
                </c:pt>
                <c:pt idx="433">
                  <c:v>42762</c:v>
                </c:pt>
                <c:pt idx="434">
                  <c:v>42765</c:v>
                </c:pt>
                <c:pt idx="435">
                  <c:v>42766</c:v>
                </c:pt>
                <c:pt idx="436">
                  <c:v>42767</c:v>
                </c:pt>
                <c:pt idx="437">
                  <c:v>42768</c:v>
                </c:pt>
                <c:pt idx="438">
                  <c:v>42769</c:v>
                </c:pt>
                <c:pt idx="439">
                  <c:v>42772</c:v>
                </c:pt>
                <c:pt idx="440">
                  <c:v>42773</c:v>
                </c:pt>
                <c:pt idx="441">
                  <c:v>42774</c:v>
                </c:pt>
                <c:pt idx="442">
                  <c:v>42775</c:v>
                </c:pt>
                <c:pt idx="443">
                  <c:v>42776</c:v>
                </c:pt>
                <c:pt idx="444">
                  <c:v>42779</c:v>
                </c:pt>
                <c:pt idx="445">
                  <c:v>42780</c:v>
                </c:pt>
                <c:pt idx="446">
                  <c:v>42781</c:v>
                </c:pt>
                <c:pt idx="447">
                  <c:v>42782</c:v>
                </c:pt>
                <c:pt idx="448">
                  <c:v>42783</c:v>
                </c:pt>
                <c:pt idx="449">
                  <c:v>42787</c:v>
                </c:pt>
                <c:pt idx="450">
                  <c:v>42787</c:v>
                </c:pt>
                <c:pt idx="451">
                  <c:v>42788</c:v>
                </c:pt>
                <c:pt idx="452">
                  <c:v>42789</c:v>
                </c:pt>
                <c:pt idx="453">
                  <c:v>42790</c:v>
                </c:pt>
                <c:pt idx="454">
                  <c:v>42793</c:v>
                </c:pt>
                <c:pt idx="455">
                  <c:v>42794</c:v>
                </c:pt>
                <c:pt idx="456">
                  <c:v>42795</c:v>
                </c:pt>
                <c:pt idx="457">
                  <c:v>42796</c:v>
                </c:pt>
                <c:pt idx="458">
                  <c:v>42797</c:v>
                </c:pt>
                <c:pt idx="459">
                  <c:v>42800</c:v>
                </c:pt>
                <c:pt idx="460">
                  <c:v>42801</c:v>
                </c:pt>
                <c:pt idx="461">
                  <c:v>42802</c:v>
                </c:pt>
                <c:pt idx="462">
                  <c:v>42803</c:v>
                </c:pt>
                <c:pt idx="463">
                  <c:v>42804</c:v>
                </c:pt>
                <c:pt idx="464">
                  <c:v>42807</c:v>
                </c:pt>
                <c:pt idx="465">
                  <c:v>42808</c:v>
                </c:pt>
                <c:pt idx="466">
                  <c:v>42809</c:v>
                </c:pt>
                <c:pt idx="467">
                  <c:v>42810</c:v>
                </c:pt>
                <c:pt idx="468">
                  <c:v>42811</c:v>
                </c:pt>
                <c:pt idx="469">
                  <c:v>42814</c:v>
                </c:pt>
                <c:pt idx="470">
                  <c:v>42815</c:v>
                </c:pt>
                <c:pt idx="471">
                  <c:v>42816</c:v>
                </c:pt>
                <c:pt idx="472">
                  <c:v>42817</c:v>
                </c:pt>
                <c:pt idx="473">
                  <c:v>42818</c:v>
                </c:pt>
                <c:pt idx="474">
                  <c:v>42821</c:v>
                </c:pt>
                <c:pt idx="475">
                  <c:v>42822</c:v>
                </c:pt>
                <c:pt idx="476">
                  <c:v>42823</c:v>
                </c:pt>
                <c:pt idx="477">
                  <c:v>42824</c:v>
                </c:pt>
                <c:pt idx="478">
                  <c:v>42825</c:v>
                </c:pt>
                <c:pt idx="479">
                  <c:v>42828</c:v>
                </c:pt>
                <c:pt idx="480">
                  <c:v>42829</c:v>
                </c:pt>
                <c:pt idx="481">
                  <c:v>42830</c:v>
                </c:pt>
                <c:pt idx="482">
                  <c:v>42831</c:v>
                </c:pt>
                <c:pt idx="483">
                  <c:v>42832</c:v>
                </c:pt>
                <c:pt idx="484">
                  <c:v>42835</c:v>
                </c:pt>
                <c:pt idx="485">
                  <c:v>42836</c:v>
                </c:pt>
                <c:pt idx="486">
                  <c:v>42837</c:v>
                </c:pt>
                <c:pt idx="487">
                  <c:v>42838</c:v>
                </c:pt>
                <c:pt idx="488">
                  <c:v>42843</c:v>
                </c:pt>
                <c:pt idx="489">
                  <c:v>42844</c:v>
                </c:pt>
                <c:pt idx="490">
                  <c:v>42845</c:v>
                </c:pt>
                <c:pt idx="491">
                  <c:v>42846</c:v>
                </c:pt>
                <c:pt idx="492">
                  <c:v>42849</c:v>
                </c:pt>
                <c:pt idx="493">
                  <c:v>42850</c:v>
                </c:pt>
                <c:pt idx="494">
                  <c:v>42851</c:v>
                </c:pt>
                <c:pt idx="495">
                  <c:v>42852</c:v>
                </c:pt>
                <c:pt idx="496">
                  <c:v>42853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42885</c:v>
                </c:pt>
                <c:pt idx="517">
                  <c:v>42886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42921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42977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43097</c:v>
                </c:pt>
                <c:pt idx="548">
                  <c:v>43103</c:v>
                </c:pt>
                <c:pt idx="549">
                  <c:v>43109</c:v>
                </c:pt>
                <c:pt idx="550">
                  <c:v>43116</c:v>
                </c:pt>
                <c:pt idx="551">
                  <c:v>43123</c:v>
                </c:pt>
                <c:pt idx="552">
                  <c:v>43130</c:v>
                </c:pt>
                <c:pt idx="553">
                  <c:v>43137</c:v>
                </c:pt>
                <c:pt idx="554">
                  <c:v>43144</c:v>
                </c:pt>
                <c:pt idx="555">
                  <c:v>43151</c:v>
                </c:pt>
                <c:pt idx="556">
                  <c:v>43158</c:v>
                </c:pt>
                <c:pt idx="557">
                  <c:v>43165</c:v>
                </c:pt>
                <c:pt idx="558">
                  <c:v>43172</c:v>
                </c:pt>
                <c:pt idx="559">
                  <c:v>43179</c:v>
                </c:pt>
                <c:pt idx="560">
                  <c:v>43186</c:v>
                </c:pt>
                <c:pt idx="561">
                  <c:v>43195</c:v>
                </c:pt>
                <c:pt idx="562">
                  <c:v>43202</c:v>
                </c:pt>
                <c:pt idx="563">
                  <c:v>43209</c:v>
                </c:pt>
                <c:pt idx="564">
                  <c:v>43216</c:v>
                </c:pt>
                <c:pt idx="565">
                  <c:v>43223</c:v>
                </c:pt>
                <c:pt idx="566">
                  <c:v>43230</c:v>
                </c:pt>
                <c:pt idx="567">
                  <c:v>43237</c:v>
                </c:pt>
                <c:pt idx="568">
                  <c:v>43244</c:v>
                </c:pt>
                <c:pt idx="569">
                  <c:v>43251</c:v>
                </c:pt>
                <c:pt idx="570">
                  <c:v>43258</c:v>
                </c:pt>
                <c:pt idx="571">
                  <c:v>43265</c:v>
                </c:pt>
                <c:pt idx="572">
                  <c:v>43272</c:v>
                </c:pt>
                <c:pt idx="573">
                  <c:v>43279</c:v>
                </c:pt>
                <c:pt idx="574">
                  <c:v>43286</c:v>
                </c:pt>
                <c:pt idx="575">
                  <c:v>43293</c:v>
                </c:pt>
                <c:pt idx="576">
                  <c:v>43300</c:v>
                </c:pt>
                <c:pt idx="577">
                  <c:v>43307</c:v>
                </c:pt>
                <c:pt idx="578">
                  <c:v>43314</c:v>
                </c:pt>
                <c:pt idx="579">
                  <c:v>43321</c:v>
                </c:pt>
                <c:pt idx="580">
                  <c:v>43328</c:v>
                </c:pt>
                <c:pt idx="581">
                  <c:v>43335</c:v>
                </c:pt>
                <c:pt idx="582">
                  <c:v>43342</c:v>
                </c:pt>
                <c:pt idx="583">
                  <c:v>43349</c:v>
                </c:pt>
                <c:pt idx="584">
                  <c:v>43356</c:v>
                </c:pt>
                <c:pt idx="585">
                  <c:v>43363</c:v>
                </c:pt>
                <c:pt idx="586">
                  <c:v>43370</c:v>
                </c:pt>
                <c:pt idx="587">
                  <c:v>43377</c:v>
                </c:pt>
                <c:pt idx="588">
                  <c:v>43384</c:v>
                </c:pt>
                <c:pt idx="589">
                  <c:v>43391</c:v>
                </c:pt>
                <c:pt idx="590">
                  <c:v>43398</c:v>
                </c:pt>
                <c:pt idx="591">
                  <c:v>43405</c:v>
                </c:pt>
                <c:pt idx="592">
                  <c:v>43412</c:v>
                </c:pt>
                <c:pt idx="593">
                  <c:v>43419</c:v>
                </c:pt>
                <c:pt idx="594">
                  <c:v>43427</c:v>
                </c:pt>
                <c:pt idx="595">
                  <c:v>43433</c:v>
                </c:pt>
                <c:pt idx="596">
                  <c:v>43440</c:v>
                </c:pt>
                <c:pt idx="597">
                  <c:v>43447</c:v>
                </c:pt>
                <c:pt idx="598">
                  <c:v>43454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43487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43515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43626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43711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43753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43781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43972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44162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44329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44512</c:v>
                </c:pt>
                <c:pt idx="749">
                  <c:v>44518</c:v>
                </c:pt>
                <c:pt idx="750">
                  <c:v>44526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44565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44879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45243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45778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45806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45989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46024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46156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46353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46513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46703</c:v>
                </c:pt>
                <c:pt idx="1061">
                  <c:v>46709</c:v>
                </c:pt>
                <c:pt idx="1062">
                  <c:v>46717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46756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47070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47505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47533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47644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47729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47771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47799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47969</c:v>
                </c:pt>
                <c:pt idx="1241">
                  <c:v>47976</c:v>
                </c:pt>
                <c:pt idx="1242">
                  <c:v>47983</c:v>
                </c:pt>
                <c:pt idx="1243">
                  <c:v>47990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48180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48215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48340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48530</c:v>
                </c:pt>
                <c:pt idx="1321">
                  <c:v>48536</c:v>
                </c:pt>
                <c:pt idx="1322">
                  <c:v>48544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48583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48897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49261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49696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49724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49828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49920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49962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50174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50371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50559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50721</c:v>
                </c:pt>
                <c:pt idx="1633">
                  <c:v>50727</c:v>
                </c:pt>
                <c:pt idx="1634">
                  <c:v>50735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50774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51088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51523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51551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51662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51747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51789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51817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51987</c:v>
                </c:pt>
                <c:pt idx="1813">
                  <c:v>51994</c:v>
                </c:pt>
                <c:pt idx="1814">
                  <c:v>52001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52198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52233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52358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52562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52743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52926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53279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53714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53742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53846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53938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53980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54008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54192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54389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54570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54739</c:v>
                </c:pt>
                <c:pt idx="2205">
                  <c:v>54745</c:v>
                </c:pt>
                <c:pt idx="2206">
                  <c:v>54753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54792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55106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55470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56005</c:v>
                </c:pt>
                <c:pt idx="2385">
                  <c:v>56012</c:v>
                </c:pt>
                <c:pt idx="2386">
                  <c:v>56019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56216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56251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56376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56580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56761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56930</c:v>
                </c:pt>
                <c:pt idx="2517">
                  <c:v>56936</c:v>
                </c:pt>
                <c:pt idx="2518">
                  <c:v>56944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56983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57297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57732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57760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57864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57956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57998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58026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58196</c:v>
                </c:pt>
                <c:pt idx="2697">
                  <c:v>58203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58407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58442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58588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58757</c:v>
                </c:pt>
                <c:pt idx="2777">
                  <c:v>58763</c:v>
                </c:pt>
                <c:pt idx="2778">
                  <c:v>58771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58810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59124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59488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59923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59951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60147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60189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60394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60598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60772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60948</c:v>
                </c:pt>
                <c:pt idx="3089">
                  <c:v>60954</c:v>
                </c:pt>
                <c:pt idx="3090">
                  <c:v>60962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61001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61315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61750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61778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61882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61974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62016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62044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62214</c:v>
                </c:pt>
                <c:pt idx="3269">
                  <c:v>62221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62425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62460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62606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62789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62963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63153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63506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63941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63969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1.9475366799248661E-3</c:v>
                </c:pt>
                <c:pt idx="1">
                  <c:v>1.9389576780159956E-3</c:v>
                </c:pt>
                <c:pt idx="2">
                  <c:v>1.9286628759651592E-3</c:v>
                </c:pt>
                <c:pt idx="3">
                  <c:v>1.91702849354769E-3</c:v>
                </c:pt>
                <c:pt idx="4">
                  <c:v>1.8897244548576886E-3</c:v>
                </c:pt>
                <c:pt idx="5">
                  <c:v>1.865098245046326E-3</c:v>
                </c:pt>
                <c:pt idx="6">
                  <c:v>1.8563367473589665E-3</c:v>
                </c:pt>
                <c:pt idx="7">
                  <c:v>1.8481167668227272E-3</c:v>
                </c:pt>
                <c:pt idx="8">
                  <c:v>1.8334912010509186E-3</c:v>
                </c:pt>
                <c:pt idx="9">
                  <c:v>1.8206520165886531E-3</c:v>
                </c:pt>
                <c:pt idx="10">
                  <c:v>1.8151396217280791E-3</c:v>
                </c:pt>
                <c:pt idx="11">
                  <c:v>1.8101687439386893E-3</c:v>
                </c:pt>
                <c:pt idx="12">
                  <c:v>1.8057393832204838E-3</c:v>
                </c:pt>
                <c:pt idx="13">
                  <c:v>1.7986947052062163E-3</c:v>
                </c:pt>
                <c:pt idx="14">
                  <c:v>1.793437110020335E-3</c:v>
                </c:pt>
                <c:pt idx="15">
                  <c:v>1.7917153341784342E-3</c:v>
                </c:pt>
                <c:pt idx="16">
                  <c:v>1.7905350752478455E-3</c:v>
                </c:pt>
                <c:pt idx="17">
                  <c:v>1.7898963332285689E-3</c:v>
                </c:pt>
                <c:pt idx="18">
                  <c:v>1.7904328101714384E-3</c:v>
                </c:pt>
                <c:pt idx="19">
                  <c:v>1.7926899587994427E-3</c:v>
                </c:pt>
                <c:pt idx="20">
                  <c:v>1.7943593473468411E-3</c:v>
                </c:pt>
                <c:pt idx="21">
                  <c:v>1.7961707984959219E-3</c:v>
                </c:pt>
                <c:pt idx="22">
                  <c:v>1.7981243124065571E-3</c:v>
                </c:pt>
                <c:pt idx="23">
                  <c:v>1.8025139077870733E-3</c:v>
                </c:pt>
                <c:pt idx="24">
                  <c:v>1.8073589955047709E-3</c:v>
                </c:pt>
                <c:pt idx="25">
                  <c:v>1.8100228231432425E-3</c:v>
                </c:pt>
                <c:pt idx="26">
                  <c:v>1.8128287134633325E-3</c:v>
                </c:pt>
                <c:pt idx="27">
                  <c:v>1.8157766666249131E-3</c:v>
                </c:pt>
                <c:pt idx="28">
                  <c:v>1.8221553382424815E-3</c:v>
                </c:pt>
                <c:pt idx="29">
                  <c:v>1.8289891067269082E-3</c:v>
                </c:pt>
                <c:pt idx="30">
                  <c:v>1.8326473736962612E-3</c:v>
                </c:pt>
                <c:pt idx="31">
                  <c:v>1.8364477034271687E-3</c:v>
                </c:pt>
                <c:pt idx="32">
                  <c:v>1.8403900959995667E-3</c:v>
                </c:pt>
                <c:pt idx="33">
                  <c:v>1.8487579176618141E-3</c:v>
                </c:pt>
                <c:pt idx="34">
                  <c:v>1.8575802938247676E-3</c:v>
                </c:pt>
                <c:pt idx="35">
                  <c:v>1.8670277696664073E-3</c:v>
                </c:pt>
                <c:pt idx="36">
                  <c:v>1.8670277696664073E-3</c:v>
                </c:pt>
                <c:pt idx="37">
                  <c:v>1.8719646017295588E-3</c:v>
                </c:pt>
                <c:pt idx="38">
                  <c:v>1.8823216507080076E-3</c:v>
                </c:pt>
                <c:pt idx="39">
                  <c:v>1.8931325585569425E-3</c:v>
                </c:pt>
                <c:pt idx="40">
                  <c:v>1.8987797048275468E-3</c:v>
                </c:pt>
                <c:pt idx="41">
                  <c:v>1.9045689139396416E-3</c:v>
                </c:pt>
                <c:pt idx="42">
                  <c:v>1.910500185973163E-3</c:v>
                </c:pt>
                <c:pt idx="43">
                  <c:v>1.9228465431631037E-3</c:v>
                </c:pt>
                <c:pt idx="44">
                  <c:v>1.9356459027619621E-3</c:v>
                </c:pt>
                <c:pt idx="45">
                  <c:v>1.9422874892427444E-3</c:v>
                </c:pt>
                <c:pt idx="46">
                  <c:v>1.9490711384850812E-3</c:v>
                </c:pt>
                <c:pt idx="47">
                  <c:v>1.9559968507287806E-3</c:v>
                </c:pt>
                <c:pt idx="48">
                  <c:v>1.970332602114766E-3</c:v>
                </c:pt>
                <c:pt idx="49">
                  <c:v>1.9851203290777164E-3</c:v>
                </c:pt>
                <c:pt idx="50">
                  <c:v>1.9927563559285488E-3</c:v>
                </c:pt>
                <c:pt idx="51">
                  <c:v>2.000534445940616E-3</c:v>
                </c:pt>
                <c:pt idx="52">
                  <c:v>2.0084545987941738E-3</c:v>
                </c:pt>
                <c:pt idx="53">
                  <c:v>2.024779835823054E-3</c:v>
                </c:pt>
                <c:pt idx="54">
                  <c:v>2.0415558402220313E-3</c:v>
                </c:pt>
                <c:pt idx="55">
                  <c:v>2.0501863081623384E-3</c:v>
                </c:pt>
                <c:pt idx="56">
                  <c:v>2.0589588391040081E-3</c:v>
                </c:pt>
                <c:pt idx="57">
                  <c:v>2.0678734330470405E-3</c:v>
                </c:pt>
                <c:pt idx="58">
                  <c:v>2.0861882537737131E-3</c:v>
                </c:pt>
                <c:pt idx="59">
                  <c:v>2.1049524397120933E-3</c:v>
                </c:pt>
                <c:pt idx="60">
                  <c:v>2.1145773489816833E-3</c:v>
                </c:pt>
                <c:pt idx="61">
                  <c:v>2.124344321492444E-3</c:v>
                </c:pt>
                <c:pt idx="62">
                  <c:v>2.1342533570845035E-3</c:v>
                </c:pt>
                <c:pt idx="63">
                  <c:v>2.154484567791215E-3</c:v>
                </c:pt>
                <c:pt idx="64">
                  <c:v>2.1750087948291252E-3</c:v>
                </c:pt>
                <c:pt idx="65">
                  <c:v>2.1854326849801708E-3</c:v>
                </c:pt>
                <c:pt idx="66">
                  <c:v>2.1959497729806543E-3</c:v>
                </c:pt>
                <c:pt idx="67">
                  <c:v>2.2065600588305756E-3</c:v>
                </c:pt>
                <c:pt idx="68">
                  <c:v>2.2281050800909696E-3</c:v>
                </c:pt>
                <c:pt idx="69">
                  <c:v>2.2499331812042556E-3</c:v>
                </c:pt>
                <c:pt idx="70">
                  <c:v>2.2610094566211103E-3</c:v>
                </c:pt>
                <c:pt idx="71">
                  <c:v>2.2721789298874029E-3</c:v>
                </c:pt>
                <c:pt idx="72">
                  <c:v>2.2834416011630054E-3</c:v>
                </c:pt>
                <c:pt idx="73">
                  <c:v>2.3120865423620351E-3</c:v>
                </c:pt>
                <c:pt idx="74">
                  <c:v>2.3411529267214348E-3</c:v>
                </c:pt>
                <c:pt idx="75">
                  <c:v>2.3529747857331529E-3</c:v>
                </c:pt>
                <c:pt idx="76">
                  <c:v>2.3648898427541809E-3</c:v>
                </c:pt>
                <c:pt idx="77">
                  <c:v>2.3890464708387071E-3</c:v>
                </c:pt>
                <c:pt idx="78">
                  <c:v>2.4134820510912647E-3</c:v>
                </c:pt>
                <c:pt idx="79">
                  <c:v>2.4258630982387785E-3</c:v>
                </c:pt>
                <c:pt idx="80">
                  <c:v>2.4509047868015443E-3</c:v>
                </c:pt>
                <c:pt idx="81">
                  <c:v>2.4509047868015443E-3</c:v>
                </c:pt>
                <c:pt idx="82">
                  <c:v>2.4763673676719833E-3</c:v>
                </c:pt>
                <c:pt idx="83">
                  <c:v>2.5021065407582199E-3</c:v>
                </c:pt>
                <c:pt idx="84">
                  <c:v>2.5151399745304559E-3</c:v>
                </c:pt>
                <c:pt idx="85">
                  <c:v>2.528266606471874E-3</c:v>
                </c:pt>
                <c:pt idx="86">
                  <c:v>2.541486436422602E-3</c:v>
                </c:pt>
                <c:pt idx="87">
                  <c:v>2.5682550786321201E-3</c:v>
                </c:pt>
                <c:pt idx="88">
                  <c:v>2.5952977379972708E-3</c:v>
                </c:pt>
                <c:pt idx="89">
                  <c:v>2.6089835589537813E-3</c:v>
                </c:pt>
                <c:pt idx="90">
                  <c:v>2.6227625779196018E-3</c:v>
                </c:pt>
                <c:pt idx="91">
                  <c:v>2.6366347952144764E-3</c:v>
                </c:pt>
                <c:pt idx="92">
                  <c:v>2.6647096141374504E-3</c:v>
                </c:pt>
                <c:pt idx="93">
                  <c:v>2.693055646485476E-3</c:v>
                </c:pt>
                <c:pt idx="94">
                  <c:v>2.7073938550259413E-3</c:v>
                </c:pt>
                <c:pt idx="95">
                  <c:v>2.7218252617355887E-3</c:v>
                </c:pt>
                <c:pt idx="96">
                  <c:v>2.7363498666943542E-3</c:v>
                </c:pt>
                <c:pt idx="97">
                  <c:v>2.765730985272441E-3</c:v>
                </c:pt>
                <c:pt idx="98">
                  <c:v>2.7953802698998942E-3</c:v>
                </c:pt>
                <c:pt idx="99">
                  <c:v>2.8103708665039306E-3</c:v>
                </c:pt>
                <c:pt idx="100">
                  <c:v>2.8254546614370213E-3</c:v>
                </c:pt>
                <c:pt idx="101">
                  <c:v>2.8406316547791022E-3</c:v>
                </c:pt>
                <c:pt idx="102">
                  <c:v>2.8713192035212387E-3</c:v>
                </c:pt>
                <c:pt idx="103">
                  <c:v>2.90227161199752E-3</c:v>
                </c:pt>
                <c:pt idx="104">
                  <c:v>2.9179145973046161E-3</c:v>
                </c:pt>
                <c:pt idx="105">
                  <c:v>2.9494801633056511E-3</c:v>
                </c:pt>
                <c:pt idx="106">
                  <c:v>2.9494801633056511E-3</c:v>
                </c:pt>
                <c:pt idx="107">
                  <c:v>2.981474280927543E-3</c:v>
                </c:pt>
                <c:pt idx="108">
                  <c:v>3.0137296770149646E-3</c:v>
                </c:pt>
                <c:pt idx="109">
                  <c:v>3.0300250515846727E-3</c:v>
                </c:pt>
                <c:pt idx="110">
                  <c:v>3.0464136248031792E-3</c:v>
                </c:pt>
                <c:pt idx="111">
                  <c:v>3.062895396510612E-3</c:v>
                </c:pt>
                <c:pt idx="112">
                  <c:v>3.0961962301478962E-3</c:v>
                </c:pt>
                <c:pt idx="113">
                  <c:v>3.1297544690289669E-3</c:v>
                </c:pt>
                <c:pt idx="114">
                  <c:v>3.1467022335807115E-3</c:v>
                </c:pt>
                <c:pt idx="115">
                  <c:v>3.1637431967812546E-3</c:v>
                </c:pt>
                <c:pt idx="116">
                  <c:v>3.1808773586305961E-3</c:v>
                </c:pt>
                <c:pt idx="117">
                  <c:v>3.2154850641852306E-3</c:v>
                </c:pt>
                <c:pt idx="118">
                  <c:v>3.2503459925958822E-3</c:v>
                </c:pt>
                <c:pt idx="119">
                  <c:v>3.2679461477691518E-3</c:v>
                </c:pt>
                <c:pt idx="120">
                  <c:v>3.2856395015912199E-3</c:v>
                </c:pt>
                <c:pt idx="121">
                  <c:v>3.3034260542219585E-3</c:v>
                </c:pt>
                <c:pt idx="122">
                  <c:v>3.3393407967086119E-3</c:v>
                </c:pt>
                <c:pt idx="123">
                  <c:v>3.3755042521921297E-3</c:v>
                </c:pt>
                <c:pt idx="124">
                  <c:v>3.3937567986264128E-3</c:v>
                </c:pt>
                <c:pt idx="125">
                  <c:v>3.4121025438693664E-3</c:v>
                </c:pt>
                <c:pt idx="126">
                  <c:v>3.4305414879209906E-3</c:v>
                </c:pt>
                <c:pt idx="127">
                  <c:v>3.5052113877842572E-3</c:v>
                </c:pt>
                <c:pt idx="128">
                  <c:v>3.5052113877842572E-3</c:v>
                </c:pt>
                <c:pt idx="129">
                  <c:v>3.5240091366617321E-3</c:v>
                </c:pt>
                <c:pt idx="130">
                  <c:v>3.5427928948905674E-3</c:v>
                </c:pt>
                <c:pt idx="131">
                  <c:v>3.5615626626306351E-3</c:v>
                </c:pt>
                <c:pt idx="132">
                  <c:v>3.5990915435135662E-3</c:v>
                </c:pt>
                <c:pt idx="133">
                  <c:v>3.6365018271844463E-3</c:v>
                </c:pt>
                <c:pt idx="134">
                  <c:v>3.6552016418411881E-3</c:v>
                </c:pt>
                <c:pt idx="135">
                  <c:v>3.6738874657693543E-3</c:v>
                </c:pt>
                <c:pt idx="136">
                  <c:v>3.692559299208753E-3</c:v>
                </c:pt>
                <c:pt idx="137">
                  <c:v>3.7298949742403664E-3</c:v>
                </c:pt>
                <c:pt idx="138">
                  <c:v>3.7857086065962164E-3</c:v>
                </c:pt>
                <c:pt idx="139">
                  <c:v>3.7857086065962164E-3</c:v>
                </c:pt>
                <c:pt idx="140">
                  <c:v>3.8042964961437775E-3</c:v>
                </c:pt>
                <c:pt idx="141">
                  <c:v>3.822870395122635E-3</c:v>
                </c:pt>
                <c:pt idx="142">
                  <c:v>3.8600129445054421E-3</c:v>
                </c:pt>
                <c:pt idx="143">
                  <c:v>3.897026084471733E-3</c:v>
                </c:pt>
                <c:pt idx="144">
                  <c:v>3.9155300301274565E-3</c:v>
                </c:pt>
                <c:pt idx="145">
                  <c:v>3.9340199852944124E-3</c:v>
                </c:pt>
                <c:pt idx="146">
                  <c:v>3.9524959496528567E-3</c:v>
                </c:pt>
                <c:pt idx="147">
                  <c:v>3.9894454520705835E-3</c:v>
                </c:pt>
                <c:pt idx="148">
                  <c:v>4.0262599007601096E-3</c:v>
                </c:pt>
                <c:pt idx="149">
                  <c:v>4.0446659118753558E-3</c:v>
                </c:pt>
                <c:pt idx="150">
                  <c:v>4.0630579323419624E-3</c:v>
                </c:pt>
                <c:pt idx="151">
                  <c:v>4.0814359621599294E-3</c:v>
                </c:pt>
                <c:pt idx="152">
                  <c:v>4.1181924946975812E-3</c:v>
                </c:pt>
                <c:pt idx="153">
                  <c:v>4.1548081746256571E-3</c:v>
                </c:pt>
                <c:pt idx="154">
                  <c:v>4.1731162510405539E-3</c:v>
                </c:pt>
                <c:pt idx="155">
                  <c:v>4.1914103367268751E-3</c:v>
                </c:pt>
                <c:pt idx="156">
                  <c:v>4.2462948270554079E-3</c:v>
                </c:pt>
                <c:pt idx="157">
                  <c:v>4.3008810467437542E-3</c:v>
                </c:pt>
                <c:pt idx="158">
                  <c:v>4.319077197729726E-3</c:v>
                </c:pt>
                <c:pt idx="159">
                  <c:v>4.3645769917222133E-3</c:v>
                </c:pt>
                <c:pt idx="160">
                  <c:v>4.4098480917309502E-3</c:v>
                </c:pt>
                <c:pt idx="161">
                  <c:v>4.4279602985053401E-3</c:v>
                </c:pt>
                <c:pt idx="162">
                  <c:v>4.4460585143912823E-3</c:v>
                </c:pt>
                <c:pt idx="163">
                  <c:v>4.4641427397085209E-3</c:v>
                </c:pt>
                <c:pt idx="164">
                  <c:v>4.5003208110738768E-3</c:v>
                </c:pt>
                <c:pt idx="165">
                  <c:v>4.5363397336917188E-3</c:v>
                </c:pt>
                <c:pt idx="166">
                  <c:v>4.5543540052861431E-3</c:v>
                </c:pt>
                <c:pt idx="167">
                  <c:v>4.5723542862319277E-3</c:v>
                </c:pt>
                <c:pt idx="168">
                  <c:v>4.5903405765290728E-3</c:v>
                </c:pt>
                <c:pt idx="169">
                  <c:v>4.6263259720724648E-3</c:v>
                </c:pt>
                <c:pt idx="170">
                  <c:v>4.6621458300322161E-3</c:v>
                </c:pt>
                <c:pt idx="171">
                  <c:v>4.6800621666065467E-3</c:v>
                </c:pt>
                <c:pt idx="172">
                  <c:v>4.7158528675694811E-3</c:v>
                </c:pt>
                <c:pt idx="173">
                  <c:v>4.7158528675694811E-3</c:v>
                </c:pt>
                <c:pt idx="174">
                  <c:v>4.7516456572349597E-3</c:v>
                </c:pt>
                <c:pt idx="175">
                  <c:v>4.7872663804326976E-3</c:v>
                </c:pt>
                <c:pt idx="176">
                  <c:v>4.8050847817471265E-3</c:v>
                </c:pt>
                <c:pt idx="177">
                  <c:v>4.8228891923329797E-3</c:v>
                </c:pt>
                <c:pt idx="178">
                  <c:v>4.8406796121103213E-3</c:v>
                </c:pt>
                <c:pt idx="179">
                  <c:v>4.8762798644297334E-3</c:v>
                </c:pt>
                <c:pt idx="180">
                  <c:v>4.9117013838539947E-3</c:v>
                </c:pt>
                <c:pt idx="181">
                  <c:v>4.9294218498285858E-3</c:v>
                </c:pt>
                <c:pt idx="182">
                  <c:v>4.9471283250746012E-3</c:v>
                </c:pt>
                <c:pt idx="183">
                  <c:v>4.964820809592041E-3</c:v>
                </c:pt>
                <c:pt idx="184">
                  <c:v>5.0002285914718669E-3</c:v>
                </c:pt>
                <c:pt idx="185">
                  <c:v>5.0354508397365549E-3</c:v>
                </c:pt>
                <c:pt idx="186">
                  <c:v>5.0530733702913722E-3</c:v>
                </c:pt>
                <c:pt idx="187">
                  <c:v>5.0706819100376777E-3</c:v>
                </c:pt>
                <c:pt idx="188">
                  <c:v>5.0882764591353435E-3</c:v>
                </c:pt>
                <c:pt idx="189">
                  <c:v>5.1234918362830228E-3</c:v>
                </c:pt>
                <c:pt idx="190">
                  <c:v>5.1585338608717279E-3</c:v>
                </c:pt>
                <c:pt idx="191">
                  <c:v>5.1761731378707765E-3</c:v>
                </c:pt>
                <c:pt idx="192">
                  <c:v>5.2117537651152901E-3</c:v>
                </c:pt>
                <c:pt idx="193">
                  <c:v>5.2117537651152901E-3</c:v>
                </c:pt>
                <c:pt idx="194">
                  <c:v>5.2478472181416436E-3</c:v>
                </c:pt>
                <c:pt idx="195">
                  <c:v>5.2841233133094079E-3</c:v>
                </c:pt>
                <c:pt idx="196">
                  <c:v>5.3024674282564632E-3</c:v>
                </c:pt>
                <c:pt idx="197">
                  <c:v>5.3209122344988202E-3</c:v>
                </c:pt>
                <c:pt idx="198">
                  <c:v>5.3394577318766068E-3</c:v>
                </c:pt>
                <c:pt idx="199">
                  <c:v>5.3769646723633713E-3</c:v>
                </c:pt>
                <c:pt idx="200">
                  <c:v>5.4146466342608335E-3</c:v>
                </c:pt>
                <c:pt idx="201">
                  <c:v>5.4336955880351923E-3</c:v>
                </c:pt>
                <c:pt idx="202">
                  <c:v>5.4528452331847888E-3</c:v>
                </c:pt>
                <c:pt idx="203">
                  <c:v>5.4720955695497508E-3</c:v>
                </c:pt>
                <c:pt idx="204">
                  <c:v>5.5110162426075249E-3</c:v>
                </c:pt>
                <c:pt idx="205">
                  <c:v>5.5501038291616567E-3</c:v>
                </c:pt>
                <c:pt idx="206">
                  <c:v>5.5698576224827434E-3</c:v>
                </c:pt>
                <c:pt idx="207">
                  <c:v>5.58971210733894E-3</c:v>
                </c:pt>
                <c:pt idx="208">
                  <c:v>5.6096672835703743E-3</c:v>
                </c:pt>
                <c:pt idx="209">
                  <c:v>5.6500019453675776E-3</c:v>
                </c:pt>
                <c:pt idx="210">
                  <c:v>5.6904949036074015E-3</c:v>
                </c:pt>
                <c:pt idx="211">
                  <c:v>5.7109535372745768E-3</c:v>
                </c:pt>
                <c:pt idx="212">
                  <c:v>5.73151286271667E-3</c:v>
                </c:pt>
                <c:pt idx="213">
                  <c:v>5.7521728796139371E-3</c:v>
                </c:pt>
                <c:pt idx="214">
                  <c:v>5.7939217978564272E-3</c:v>
                </c:pt>
                <c:pt idx="215">
                  <c:v>5.8358198632735281E-3</c:v>
                </c:pt>
                <c:pt idx="216">
                  <c:v>5.8569833383259606E-3</c:v>
                </c:pt>
                <c:pt idx="217">
                  <c:v>5.8782475049934391E-3</c:v>
                </c:pt>
                <c:pt idx="218">
                  <c:v>5.9429410502342961E-3</c:v>
                </c:pt>
                <c:pt idx="219">
                  <c:v>6.0079470314722272E-3</c:v>
                </c:pt>
                <c:pt idx="220">
                  <c:v>6.0299160403243235E-3</c:v>
                </c:pt>
                <c:pt idx="221">
                  <c:v>6.0519857411112099E-3</c:v>
                </c:pt>
                <c:pt idx="222">
                  <c:v>6.0965640234567076E-3</c:v>
                </c:pt>
                <c:pt idx="223">
                  <c:v>6.1412714627273601E-3</c:v>
                </c:pt>
                <c:pt idx="224">
                  <c:v>6.1638446228684529E-3</c:v>
                </c:pt>
                <c:pt idx="225">
                  <c:v>6.1865184749443358E-3</c:v>
                </c:pt>
                <c:pt idx="226">
                  <c:v>6.2092930189550088E-3</c:v>
                </c:pt>
                <c:pt idx="227">
                  <c:v>6.2552864339249226E-3</c:v>
                </c:pt>
                <c:pt idx="228">
                  <c:v>6.3013981150650267E-3</c:v>
                </c:pt>
                <c:pt idx="229">
                  <c:v>6.3246761191493306E-3</c:v>
                </c:pt>
                <c:pt idx="230">
                  <c:v>6.3480548152483607E-3</c:v>
                </c:pt>
                <c:pt idx="231">
                  <c:v>6.3715342035219891E-3</c:v>
                </c:pt>
                <c:pt idx="232">
                  <c:v>6.4189430687555671E-3</c:v>
                </c:pt>
                <c:pt idx="233">
                  <c:v>6.4664586777229971E-3</c:v>
                </c:pt>
                <c:pt idx="234">
                  <c:v>6.4904415267097448E-3</c:v>
                </c:pt>
                <c:pt idx="235">
                  <c:v>6.5145250678710909E-3</c:v>
                </c:pt>
                <c:pt idx="236">
                  <c:v>6.5387093012869713E-3</c:v>
                </c:pt>
                <c:pt idx="237">
                  <c:v>6.587533948119173E-3</c:v>
                </c:pt>
                <c:pt idx="238">
                  <c:v>6.6364531576557084E-3</c:v>
                </c:pt>
                <c:pt idx="239">
                  <c:v>6.6611408525041327E-3</c:v>
                </c:pt>
                <c:pt idx="240">
                  <c:v>6.6859292396870273E-3</c:v>
                </c:pt>
                <c:pt idx="241">
                  <c:v>6.7108183192843285E-3</c:v>
                </c:pt>
                <c:pt idx="242">
                  <c:v>6.7737356520081171E-3</c:v>
                </c:pt>
                <c:pt idx="243">
                  <c:v>6.8367741034869312E-3</c:v>
                </c:pt>
                <c:pt idx="244">
                  <c:v>6.8622673377305432E-3</c:v>
                </c:pt>
                <c:pt idx="245">
                  <c:v>6.8878612644684978E-3</c:v>
                </c:pt>
                <c:pt idx="246">
                  <c:v>6.9395185241916124E-3</c:v>
                </c:pt>
                <c:pt idx="247">
                  <c:v>6.991243897243038E-3</c:v>
                </c:pt>
                <c:pt idx="248">
                  <c:v>7.0173412869323215E-3</c:v>
                </c:pt>
                <c:pt idx="249">
                  <c:v>7.0435393692758197E-3</c:v>
                </c:pt>
                <c:pt idx="250">
                  <c:v>7.0698381442735325E-3</c:v>
                </c:pt>
                <c:pt idx="251">
                  <c:v>7.1229122643590159E-3</c:v>
                </c:pt>
                <c:pt idx="252">
                  <c:v>7.1760196980630298E-3</c:v>
                </c:pt>
                <c:pt idx="253">
                  <c:v>7.2026990965134985E-3</c:v>
                </c:pt>
                <c:pt idx="254">
                  <c:v>7.2293563472403122E-3</c:v>
                </c:pt>
                <c:pt idx="255">
                  <c:v>7.255991450563215E-3</c:v>
                </c:pt>
                <c:pt idx="256">
                  <c:v>7.3093362328080502E-3</c:v>
                </c:pt>
                <c:pt idx="257">
                  <c:v>7.3623103878972529E-3</c:v>
                </c:pt>
                <c:pt idx="258">
                  <c:v>7.388834753241369E-3</c:v>
                </c:pt>
                <c:pt idx="259">
                  <c:v>7.4153369711016381E-3</c:v>
                </c:pt>
                <c:pt idx="260">
                  <c:v>7.4418170413181883E-3</c:v>
                </c:pt>
                <c:pt idx="261">
                  <c:v>7.50814135026312E-3</c:v>
                </c:pt>
                <c:pt idx="262">
                  <c:v>7.5738851783047068E-3</c:v>
                </c:pt>
                <c:pt idx="263">
                  <c:v>7.6002323628188151E-3</c:v>
                </c:pt>
                <c:pt idx="264">
                  <c:v>7.6265573996892044E-3</c:v>
                </c:pt>
                <c:pt idx="265">
                  <c:v>7.679297451694822E-3</c:v>
                </c:pt>
                <c:pt idx="266">
                  <c:v>7.73163607097338E-3</c:v>
                </c:pt>
                <c:pt idx="267">
                  <c:v>7.7578503697850465E-3</c:v>
                </c:pt>
                <c:pt idx="268">
                  <c:v>7.7840425207931219E-3</c:v>
                </c:pt>
                <c:pt idx="269">
                  <c:v>7.8102125241574782E-3</c:v>
                </c:pt>
                <c:pt idx="270">
                  <c:v>7.8626504242862438E-3</c:v>
                </c:pt>
                <c:pt idx="271">
                  <c:v>7.9146710610178417E-3</c:v>
                </c:pt>
                <c:pt idx="272">
                  <c:v>7.940730326083667E-3</c:v>
                </c:pt>
                <c:pt idx="273">
                  <c:v>7.9667674433459013E-3</c:v>
                </c:pt>
                <c:pt idx="274">
                  <c:v>7.9927824130443526E-3</c:v>
                </c:pt>
                <c:pt idx="275">
                  <c:v>8.0449182990260937E-3</c:v>
                </c:pt>
                <c:pt idx="276">
                  <c:v>8.0966208144417351E-3</c:v>
                </c:pt>
                <c:pt idx="277">
                  <c:v>8.1225250456018472E-3</c:v>
                </c:pt>
                <c:pt idx="278">
                  <c:v>8.1484071289583682E-3</c:v>
                </c:pt>
                <c:pt idx="279">
                  <c:v>8.174267064511298E-3</c:v>
                </c:pt>
                <c:pt idx="280">
                  <c:v>8.226101070958336E-3</c:v>
                </c:pt>
                <c:pt idx="281">
                  <c:v>8.2774853296463391E-3</c:v>
                </c:pt>
                <c:pt idx="282">
                  <c:v>8.3032345266609298E-3</c:v>
                </c:pt>
                <c:pt idx="283">
                  <c:v>8.3289615757120572E-3</c:v>
                </c:pt>
                <c:pt idx="284">
                  <c:v>8.3546664771994017E-3</c:v>
                </c:pt>
                <c:pt idx="285">
                  <c:v>8.4061987351802259E-3</c:v>
                </c:pt>
                <c:pt idx="286">
                  <c:v>8.4572646050329325E-3</c:v>
                </c:pt>
                <c:pt idx="287">
                  <c:v>8.4828587675822575E-3</c:v>
                </c:pt>
                <c:pt idx="288">
                  <c:v>8.5339806491901982E-3</c:v>
                </c:pt>
                <c:pt idx="289">
                  <c:v>8.5339806491901982E-3</c:v>
                </c:pt>
                <c:pt idx="290">
                  <c:v>8.5852112867890185E-3</c:v>
                </c:pt>
                <c:pt idx="291">
                  <c:v>8.6359586388429221E-3</c:v>
                </c:pt>
                <c:pt idx="292">
                  <c:v>8.6613977667671094E-3</c:v>
                </c:pt>
                <c:pt idx="293">
                  <c:v>8.6868147468077694E-3</c:v>
                </c:pt>
                <c:pt idx="294">
                  <c:v>8.7122095790448384E-3</c:v>
                </c:pt>
                <c:pt idx="295">
                  <c:v>8.7631387209352596E-3</c:v>
                </c:pt>
                <c:pt idx="296">
                  <c:v>8.8135674295575228E-3</c:v>
                </c:pt>
                <c:pt idx="297">
                  <c:v>8.8388515226167641E-3</c:v>
                </c:pt>
                <c:pt idx="298">
                  <c:v>8.8641134677924782E-3</c:v>
                </c:pt>
                <c:pt idx="299">
                  <c:v>8.8893532650846652E-3</c:v>
                </c:pt>
                <c:pt idx="300">
                  <c:v>8.9399810327694951E-3</c:v>
                </c:pt>
                <c:pt idx="301">
                  <c:v>8.9900909756579495E-3</c:v>
                </c:pt>
                <c:pt idx="302">
                  <c:v>9.0152200336124366E-3</c:v>
                </c:pt>
                <c:pt idx="303">
                  <c:v>9.0403269436034606E-3</c:v>
                </c:pt>
                <c:pt idx="304">
                  <c:v>9.0654117057908934E-3</c:v>
                </c:pt>
                <c:pt idx="305">
                  <c:v>9.1157382175488522E-3</c:v>
                </c:pt>
                <c:pt idx="306">
                  <c:v>9.1655292753856088E-3</c:v>
                </c:pt>
                <c:pt idx="307">
                  <c:v>9.1905032979955337E-3</c:v>
                </c:pt>
                <c:pt idx="308">
                  <c:v>9.2154551726419953E-3</c:v>
                </c:pt>
                <c:pt idx="309">
                  <c:v>9.2403848994049298E-3</c:v>
                </c:pt>
                <c:pt idx="310">
                  <c:v>9.290410270450522E-3</c:v>
                </c:pt>
                <c:pt idx="311">
                  <c:v>9.3398823271417797E-3</c:v>
                </c:pt>
                <c:pt idx="312">
                  <c:v>9.3647013142472701E-3</c:v>
                </c:pt>
                <c:pt idx="313">
                  <c:v>9.3894981533892974E-3</c:v>
                </c:pt>
                <c:pt idx="314">
                  <c:v>9.4142728445678614E-3</c:v>
                </c:pt>
                <c:pt idx="315">
                  <c:v>9.4639971867582773E-3</c:v>
                </c:pt>
                <c:pt idx="316">
                  <c:v>9.5131501295675491E-3</c:v>
                </c:pt>
                <c:pt idx="317">
                  <c:v>9.537814080848861E-3</c:v>
                </c:pt>
                <c:pt idx="318">
                  <c:v>9.5624558841667096E-3</c:v>
                </c:pt>
                <c:pt idx="319">
                  <c:v>9.5870755395210949E-3</c:v>
                </c:pt>
                <c:pt idx="320">
                  <c:v>9.6364989617558905E-3</c:v>
                </c:pt>
                <c:pt idx="321">
                  <c:v>9.6853326808243878E-3</c:v>
                </c:pt>
                <c:pt idx="322">
                  <c:v>9.7098415962015849E-3</c:v>
                </c:pt>
                <c:pt idx="323">
                  <c:v>9.7343283634554467E-3</c:v>
                </c:pt>
                <c:pt idx="324">
                  <c:v>9.7587929827458453E-3</c:v>
                </c:pt>
                <c:pt idx="325">
                  <c:v>9.8202455859519588E-3</c:v>
                </c:pt>
                <c:pt idx="326">
                  <c:v>9.8807838587067209E-3</c:v>
                </c:pt>
                <c:pt idx="327">
                  <c:v>9.9051155896567877E-3</c:v>
                </c:pt>
                <c:pt idx="328">
                  <c:v>9.9294251727233274E-3</c:v>
                </c:pt>
                <c:pt idx="329">
                  <c:v>9.9782470691422986E-3</c:v>
                </c:pt>
                <c:pt idx="330">
                  <c:v>1.0026442024155813E-2</c:v>
                </c:pt>
                <c:pt idx="331">
                  <c:v>1.0050640866765548E-2</c:v>
                </c:pt>
                <c:pt idx="332">
                  <c:v>1.0098972107934756E-2</c:v>
                </c:pt>
                <c:pt idx="333">
                  <c:v>1.0098972107934756E-2</c:v>
                </c:pt>
                <c:pt idx="334">
                  <c:v>1.0147493392258511E-2</c:v>
                </c:pt>
                <c:pt idx="335">
                  <c:v>1.0195368813032957E-2</c:v>
                </c:pt>
                <c:pt idx="336">
                  <c:v>1.0219412619019153E-2</c:v>
                </c:pt>
                <c:pt idx="337">
                  <c:v>1.0243434276961949E-2</c:v>
                </c:pt>
                <c:pt idx="338">
                  <c:v>1.0267433786701474E-2</c:v>
                </c:pt>
                <c:pt idx="339">
                  <c:v>1.0315654555519416E-2</c:v>
                </c:pt>
                <c:pt idx="340">
                  <c:v>1.0363210344745966E-2</c:v>
                </c:pt>
                <c:pt idx="341">
                  <c:v>1.0387099113868814E-2</c:v>
                </c:pt>
                <c:pt idx="342">
                  <c:v>1.0410965734868327E-2</c:v>
                </c:pt>
                <c:pt idx="343">
                  <c:v>1.0434810207744505E-2</c:v>
                </c:pt>
                <c:pt idx="344">
                  <c:v>1.0482730554395303E-2</c:v>
                </c:pt>
                <c:pt idx="345">
                  <c:v>1.0529966617616182E-2</c:v>
                </c:pt>
                <c:pt idx="346">
                  <c:v>1.0553700349715811E-2</c:v>
                </c:pt>
                <c:pt idx="347">
                  <c:v>1.0577411933612169E-2</c:v>
                </c:pt>
                <c:pt idx="348">
                  <c:v>1.0601101369305255E-2</c:v>
                </c:pt>
                <c:pt idx="349">
                  <c:v>1.0648721384303172E-2</c:v>
                </c:pt>
                <c:pt idx="350">
                  <c:v>1.0695637630364629E-2</c:v>
                </c:pt>
                <c:pt idx="351">
                  <c:v>1.0719216325121295E-2</c:v>
                </c:pt>
                <c:pt idx="352">
                  <c:v>1.0742772871674688E-2</c:v>
                </c:pt>
                <c:pt idx="353">
                  <c:v>1.0766307270024811E-2</c:v>
                </c:pt>
                <c:pt idx="354">
                  <c:v>1.0813627040766605E-2</c:v>
                </c:pt>
                <c:pt idx="355">
                  <c:v>1.086022338131265E-2</c:v>
                </c:pt>
                <c:pt idx="356">
                  <c:v>1.088364703856648E-2</c:v>
                </c:pt>
                <c:pt idx="357">
                  <c:v>1.0930427908384388E-2</c:v>
                </c:pt>
                <c:pt idx="358">
                  <c:v>1.0930427908384388E-2</c:v>
                </c:pt>
                <c:pt idx="359">
                  <c:v>1.0977447519282535E-2</c:v>
                </c:pt>
                <c:pt idx="360">
                  <c:v>1.1023723869101332E-2</c:v>
                </c:pt>
                <c:pt idx="361">
                  <c:v>1.1046992488612517E-2</c:v>
                </c:pt>
                <c:pt idx="362">
                  <c:v>1.1070238959920431E-2</c:v>
                </c:pt>
                <c:pt idx="363">
                  <c:v>1.1093463282865201E-2</c:v>
                </c:pt>
                <c:pt idx="364">
                  <c:v>1.1140182815481126E-2</c:v>
                </c:pt>
                <c:pt idx="365">
                  <c:v>1.1186139092131953E-2</c:v>
                </c:pt>
                <c:pt idx="366">
                  <c:v>1.1209252673740622E-2</c:v>
                </c:pt>
                <c:pt idx="367">
                  <c:v>1.1232344107066083E-2</c:v>
                </c:pt>
                <c:pt idx="368">
                  <c:v>1.1255413392028402E-2</c:v>
                </c:pt>
                <c:pt idx="369">
                  <c:v>1.1301832924859312E-2</c:v>
                </c:pt>
                <c:pt idx="370">
                  <c:v>1.13474690490456E-2</c:v>
                </c:pt>
                <c:pt idx="371">
                  <c:v>1.1370427592511945E-2</c:v>
                </c:pt>
                <c:pt idx="372">
                  <c:v>1.1393363987615146E-2</c:v>
                </c:pt>
                <c:pt idx="373">
                  <c:v>1.141627823443514E-2</c:v>
                </c:pt>
                <c:pt idx="374">
                  <c:v>1.1462397843073902E-2</c:v>
                </c:pt>
                <c:pt idx="375">
                  <c:v>1.1507713738243552E-2</c:v>
                </c:pt>
                <c:pt idx="376">
                  <c:v>1.1530517243407701E-2</c:v>
                </c:pt>
                <c:pt idx="377">
                  <c:v>1.155329860012877E-2</c:v>
                </c:pt>
                <c:pt idx="378">
                  <c:v>1.1576057808486695E-2</c:v>
                </c:pt>
                <c:pt idx="379">
                  <c:v>1.1621877565781702E-2</c:v>
                </c:pt>
                <c:pt idx="380">
                  <c:v>1.1666873158446833E-2</c:v>
                </c:pt>
                <c:pt idx="381">
                  <c:v>1.1712147943168105E-2</c:v>
                </c:pt>
                <c:pt idx="382">
                  <c:v>1.1712147943168105E-2</c:v>
                </c:pt>
                <c:pt idx="383">
                  <c:v>1.1734752112984026E-2</c:v>
                </c:pt>
                <c:pt idx="384">
                  <c:v>1.1780272088612875E-2</c:v>
                </c:pt>
                <c:pt idx="385">
                  <c:v>1.1824947308136657E-2</c:v>
                </c:pt>
                <c:pt idx="386">
                  <c:v>1.1847440735897052E-2</c:v>
                </c:pt>
                <c:pt idx="387">
                  <c:v>1.1869912015294304E-2</c:v>
                </c:pt>
                <c:pt idx="388">
                  <c:v>1.1892361146248476E-2</c:v>
                </c:pt>
                <c:pt idx="389">
                  <c:v>1.1937581407304165E-2</c:v>
                </c:pt>
                <c:pt idx="390">
                  <c:v>1.200427457461295E-2</c:v>
                </c:pt>
                <c:pt idx="391">
                  <c:v>1.200427457461295E-2</c:v>
                </c:pt>
                <c:pt idx="392">
                  <c:v>1.2026590815068516E-2</c:v>
                </c:pt>
                <c:pt idx="393">
                  <c:v>1.2048884906921131E-2</c:v>
                </c:pt>
                <c:pt idx="394">
                  <c:v>1.2093805517592315E-2</c:v>
                </c:pt>
                <c:pt idx="395">
                  <c:v>1.2137839790140603E-2</c:v>
                </c:pt>
                <c:pt idx="396">
                  <c:v>1.216002313977782E-2</c:v>
                </c:pt>
                <c:pt idx="397">
                  <c:v>1.2182184340971958E-2</c:v>
                </c:pt>
                <c:pt idx="398">
                  <c:v>1.2204323393723016E-2</c:v>
                </c:pt>
                <c:pt idx="399">
                  <c:v>1.2248944415214069E-2</c:v>
                </c:pt>
                <c:pt idx="400">
                  <c:v>1.2292658119736899E-2</c:v>
                </c:pt>
                <c:pt idx="401">
                  <c:v>1.2314686429952815E-2</c:v>
                </c:pt>
                <c:pt idx="402">
                  <c:v>1.2336692591805587E-2</c:v>
                </c:pt>
                <c:pt idx="403">
                  <c:v>1.2358676605055408E-2</c:v>
                </c:pt>
                <c:pt idx="404">
                  <c:v>1.2402998095959461E-2</c:v>
                </c:pt>
                <c:pt idx="405">
                  <c:v>1.2446391173144278E-2</c:v>
                </c:pt>
                <c:pt idx="406">
                  <c:v>1.246826444377902E-2</c:v>
                </c:pt>
                <c:pt idx="407">
                  <c:v>1.2490115565970683E-2</c:v>
                </c:pt>
                <c:pt idx="408">
                  <c:v>1.251194453963933E-2</c:v>
                </c:pt>
                <c:pt idx="409">
                  <c:v>1.2578155271848246E-2</c:v>
                </c:pt>
                <c:pt idx="410">
                  <c:v>1.2642453262268205E-2</c:v>
                </c:pt>
                <c:pt idx="411">
                  <c:v>1.2664127196115871E-2</c:v>
                </c:pt>
                <c:pt idx="412">
                  <c:v>1.2718875272288432E-2</c:v>
                </c:pt>
                <c:pt idx="413">
                  <c:v>1.277216463678954E-2</c:v>
                </c:pt>
                <c:pt idx="414">
                  <c:v>1.2793705679179368E-2</c:v>
                </c:pt>
                <c:pt idx="415">
                  <c:v>1.281522457304618E-2</c:v>
                </c:pt>
                <c:pt idx="416">
                  <c:v>1.2858647795424005E-2</c:v>
                </c:pt>
                <c:pt idx="417">
                  <c:v>1.2901078662324039E-2</c:v>
                </c:pt>
                <c:pt idx="418">
                  <c:v>1.2922486813176093E-2</c:v>
                </c:pt>
                <c:pt idx="419">
                  <c:v>1.2943872815425195E-2</c:v>
                </c:pt>
                <c:pt idx="420">
                  <c:v>1.2965236668991409E-2</c:v>
                </c:pt>
                <c:pt idx="421">
                  <c:v>1.3008360567203781E-2</c:v>
                </c:pt>
                <c:pt idx="422">
                  <c:v>1.3050470597226749E-2</c:v>
                </c:pt>
                <c:pt idx="423">
                  <c:v>1.3071723707698268E-2</c:v>
                </c:pt>
                <c:pt idx="424">
                  <c:v>1.3114163482752517E-2</c:v>
                </c:pt>
                <c:pt idx="425">
                  <c:v>1.3114163482752517E-2</c:v>
                </c:pt>
                <c:pt idx="426">
                  <c:v>1.3156988101563627E-2</c:v>
                </c:pt>
                <c:pt idx="427">
                  <c:v>1.319877724906604E-2</c:v>
                </c:pt>
                <c:pt idx="428">
                  <c:v>1.3219875318997154E-2</c:v>
                </c:pt>
                <c:pt idx="429">
                  <c:v>1.324095124024538E-2</c:v>
                </c:pt>
                <c:pt idx="430">
                  <c:v>1.3262005012890654E-2</c:v>
                </c:pt>
                <c:pt idx="431">
                  <c:v>1.330453039440016E-2</c:v>
                </c:pt>
                <c:pt idx="432">
                  <c:v>1.3345998616562937E-2</c:v>
                </c:pt>
                <c:pt idx="433">
                  <c:v>1.3366941645713837E-2</c:v>
                </c:pt>
                <c:pt idx="434">
                  <c:v>1.3387862526261785E-2</c:v>
                </c:pt>
                <c:pt idx="435">
                  <c:v>1.3408761258046908E-2</c:v>
                </c:pt>
                <c:pt idx="436">
                  <c:v>1.3450987441716578E-2</c:v>
                </c:pt>
                <c:pt idx="437">
                  <c:v>1.3492134698278591E-2</c:v>
                </c:pt>
                <c:pt idx="438">
                  <c:v>1.351292268656934E-2</c:v>
                </c:pt>
                <c:pt idx="439">
                  <c:v>1.3533688526177201E-2</c:v>
                </c:pt>
                <c:pt idx="440">
                  <c:v>1.3554432216942303E-2</c:v>
                </c:pt>
                <c:pt idx="441">
                  <c:v>1.3596359239569367E-2</c:v>
                </c:pt>
                <c:pt idx="442">
                  <c:v>1.3637185493013959E-2</c:v>
                </c:pt>
                <c:pt idx="443">
                  <c:v>1.365781844020475E-2</c:v>
                </c:pt>
                <c:pt idx="444">
                  <c:v>1.3678429238552781E-2</c:v>
                </c:pt>
                <c:pt idx="445">
                  <c:v>1.369901788829786E-2</c:v>
                </c:pt>
                <c:pt idx="446">
                  <c:v>1.3740645784015015E-2</c:v>
                </c:pt>
                <c:pt idx="447">
                  <c:v>1.378115099941013E-2</c:v>
                </c:pt>
                <c:pt idx="448">
                  <c:v>1.380162890534109E-2</c:v>
                </c:pt>
                <c:pt idx="449">
                  <c:v>1.3842518270674731E-2</c:v>
                </c:pt>
                <c:pt idx="450">
                  <c:v>1.3842518270674731E-2</c:v>
                </c:pt>
                <c:pt idx="451">
                  <c:v>1.3883847071110011E-2</c:v>
                </c:pt>
                <c:pt idx="452">
                  <c:v>1.3924031216188126E-2</c:v>
                </c:pt>
                <c:pt idx="453">
                  <c:v>1.3944354080539512E-2</c:v>
                </c:pt>
                <c:pt idx="454">
                  <c:v>1.3964654796128073E-2</c:v>
                </c:pt>
                <c:pt idx="455">
                  <c:v>1.3984933362953811E-2</c:v>
                </c:pt>
                <c:pt idx="456">
                  <c:v>1.4025963096990779E-2</c:v>
                </c:pt>
                <c:pt idx="457">
                  <c:v>1.4065826141989035E-2</c:v>
                </c:pt>
                <c:pt idx="458">
                  <c:v>1.408599396468091E-2</c:v>
                </c:pt>
                <c:pt idx="459">
                  <c:v>1.410613963860996E-2</c:v>
                </c:pt>
                <c:pt idx="460">
                  <c:v>1.4126263163696251E-2</c:v>
                </c:pt>
                <c:pt idx="461">
                  <c:v>1.4166993857767096E-2</c:v>
                </c:pt>
                <c:pt idx="462">
                  <c:v>1.4206535775613816E-2</c:v>
                </c:pt>
                <c:pt idx="463">
                  <c:v>1.4226548556486307E-2</c:v>
                </c:pt>
                <c:pt idx="464">
                  <c:v>1.4246539188516039E-2</c:v>
                </c:pt>
                <c:pt idx="465">
                  <c:v>1.426650767170301E-2</c:v>
                </c:pt>
                <c:pt idx="466">
                  <c:v>1.4306939349655323E-2</c:v>
                </c:pt>
                <c:pt idx="467">
                  <c:v>1.4346160115703555E-2</c:v>
                </c:pt>
                <c:pt idx="468">
                  <c:v>1.4366017854596791E-2</c:v>
                </c:pt>
                <c:pt idx="469">
                  <c:v>1.4385853444567331E-2</c:v>
                </c:pt>
                <c:pt idx="470">
                  <c:v>1.4405666885615176E-2</c:v>
                </c:pt>
                <c:pt idx="471">
                  <c:v>1.444579956887182E-2</c:v>
                </c:pt>
                <c:pt idx="472">
                  <c:v>1.4484699161059211E-2</c:v>
                </c:pt>
                <c:pt idx="473">
                  <c:v>1.4504401857733384E-2</c:v>
                </c:pt>
                <c:pt idx="474">
                  <c:v>1.4524082405484862E-2</c:v>
                </c:pt>
                <c:pt idx="475">
                  <c:v>1.4543740804313643E-2</c:v>
                </c:pt>
                <c:pt idx="476">
                  <c:v>1.4583574511579656E-2</c:v>
                </c:pt>
                <c:pt idx="477">
                  <c:v>1.4622152910481745E-2</c:v>
                </c:pt>
                <c:pt idx="478">
                  <c:v>1.4641700564697047E-2</c:v>
                </c:pt>
                <c:pt idx="479">
                  <c:v>1.4661226070069588E-2</c:v>
                </c:pt>
                <c:pt idx="480">
                  <c:v>1.4680729426439498E-2</c:v>
                </c:pt>
                <c:pt idx="481">
                  <c:v>1.4720264174101771E-2</c:v>
                </c:pt>
                <c:pt idx="482">
                  <c:v>1.4758521362612242E-2</c:v>
                </c:pt>
                <c:pt idx="483">
                  <c:v>1.4777913974288737E-2</c:v>
                </c:pt>
                <c:pt idx="484">
                  <c:v>1.4797284437042535E-2</c:v>
                </c:pt>
                <c:pt idx="485">
                  <c:v>1.4856466821939307E-2</c:v>
                </c:pt>
                <c:pt idx="486">
                  <c:v>1.4913042085229478E-2</c:v>
                </c:pt>
                <c:pt idx="487">
                  <c:v>1.493225750520466E-2</c:v>
                </c:pt>
                <c:pt idx="488">
                  <c:v>1.4951450776177211E-2</c:v>
                </c:pt>
                <c:pt idx="489">
                  <c:v>1.4990387643747383E-2</c:v>
                </c:pt>
                <c:pt idx="490">
                  <c:v>1.5028002370200966E-2</c:v>
                </c:pt>
                <c:pt idx="491">
                  <c:v>1.5047084896240293E-2</c:v>
                </c:pt>
                <c:pt idx="492">
                  <c:v>1.5066145273276987E-2</c:v>
                </c:pt>
                <c:pt idx="493">
                  <c:v>1.508518350131105E-2</c:v>
                </c:pt>
                <c:pt idx="494">
                  <c:v>1.5133622509255762E-2</c:v>
                </c:pt>
                <c:pt idx="495">
                  <c:v>1.5180042406202077E-2</c:v>
                </c:pt>
                <c:pt idx="496">
                  <c:v>1.5198947740060476E-2</c:v>
                </c:pt>
                <c:pt idx="497">
                  <c:v>1.5217830924996179E-2</c:v>
                </c:pt>
                <c:pt idx="498">
                  <c:v>1.525616994841883E-2</c:v>
                </c:pt>
                <c:pt idx="499">
                  <c:v>1.5293142174153118E-2</c:v>
                </c:pt>
                <c:pt idx="500">
                  <c:v>1.5311914613835853E-2</c:v>
                </c:pt>
                <c:pt idx="501">
                  <c:v>1.533066490443602E-2</c:v>
                </c:pt>
                <c:pt idx="502">
                  <c:v>1.5349393046033555E-2</c:v>
                </c:pt>
                <c:pt idx="503">
                  <c:v>1.5387433154883112E-2</c:v>
                </c:pt>
                <c:pt idx="504">
                  <c:v>1.5424083691621959E-2</c:v>
                </c:pt>
                <c:pt idx="505">
                  <c:v>1.5442698507310837E-2</c:v>
                </c:pt>
                <c:pt idx="506">
                  <c:v>1.5461288593261457E-2</c:v>
                </c:pt>
                <c:pt idx="507">
                  <c:v>1.5479853949633693E-2</c:v>
                </c:pt>
                <c:pt idx="508">
                  <c:v>1.5517571056724577E-2</c:v>
                </c:pt>
                <c:pt idx="509">
                  <c:v>1.5553868078219679E-2</c:v>
                </c:pt>
                <c:pt idx="510">
                  <c:v>1.5572309786140437E-2</c:v>
                </c:pt>
                <c:pt idx="511">
                  <c:v>1.5590726764402874E-2</c:v>
                </c:pt>
                <c:pt idx="512">
                  <c:v>1.5609119012927053E-2</c:v>
                </c:pt>
                <c:pt idx="513">
                  <c:v>1.5655997174299774E-2</c:v>
                </c:pt>
                <c:pt idx="514">
                  <c:v>1.5700709310193517E-2</c:v>
                </c:pt>
                <c:pt idx="515">
                  <c:v>1.5718953180448025E-2</c:v>
                </c:pt>
                <c:pt idx="516">
                  <c:v>1.5737172321044213E-2</c:v>
                </c:pt>
                <c:pt idx="517">
                  <c:v>1.5774219302286951E-2</c:v>
                </c:pt>
                <c:pt idx="518">
                  <c:v>1.5864013872546323E-2</c:v>
                </c:pt>
                <c:pt idx="519">
                  <c:v>1.5989643666314279E-2</c:v>
                </c:pt>
                <c:pt idx="520">
                  <c:v>1.6114061700989168E-2</c:v>
                </c:pt>
                <c:pt idx="521">
                  <c:v>1.6237267975292013E-2</c:v>
                </c:pt>
                <c:pt idx="522">
                  <c:v>1.6394633816529947E-2</c:v>
                </c:pt>
                <c:pt idx="523">
                  <c:v>1.6480045237985408E-2</c:v>
                </c:pt>
                <c:pt idx="524">
                  <c:v>1.6599616223897939E-2</c:v>
                </c:pt>
                <c:pt idx="525">
                  <c:v>1.6717975444562327E-2</c:v>
                </c:pt>
                <c:pt idx="526">
                  <c:v>1.6835122898859467E-2</c:v>
                </c:pt>
                <c:pt idx="527">
                  <c:v>1.6951058585430445E-2</c:v>
                </c:pt>
                <c:pt idx="528">
                  <c:v>1.7065782503316029E-2</c:v>
                </c:pt>
                <c:pt idx="529">
                  <c:v>1.7179294651237242E-2</c:v>
                </c:pt>
                <c:pt idx="530">
                  <c:v>1.7324283665871576E-2</c:v>
                </c:pt>
                <c:pt idx="531">
                  <c:v>1.74026836326302E-2</c:v>
                </c:pt>
                <c:pt idx="532">
                  <c:v>1.7512560463863736E-2</c:v>
                </c:pt>
                <c:pt idx="533">
                  <c:v>1.7621225520656481E-2</c:v>
                </c:pt>
                <c:pt idx="534">
                  <c:v>1.772867880188933E-2</c:v>
                </c:pt>
                <c:pt idx="535">
                  <c:v>1.7834920306523117E-2</c:v>
                </c:pt>
                <c:pt idx="536">
                  <c:v>1.7939950033438734E-2</c:v>
                </c:pt>
                <c:pt idx="537">
                  <c:v>1.8043767981597014E-2</c:v>
                </c:pt>
                <c:pt idx="538">
                  <c:v>1.8146374149878852E-2</c:v>
                </c:pt>
                <c:pt idx="539">
                  <c:v>1.8247768537325015E-2</c:v>
                </c:pt>
                <c:pt idx="540">
                  <c:v>1.8347951142896335E-2</c:v>
                </c:pt>
                <c:pt idx="541">
                  <c:v>1.8446921965553642E-2</c:v>
                </c:pt>
                <c:pt idx="542">
                  <c:v>1.854468100441764E-2</c:v>
                </c:pt>
                <c:pt idx="543">
                  <c:v>1.8641228258289289E-2</c:v>
                </c:pt>
                <c:pt idx="544">
                  <c:v>1.8736563726369226E-2</c:v>
                </c:pt>
                <c:pt idx="545">
                  <c:v>1.8830687407698221E-2</c:v>
                </c:pt>
                <c:pt idx="546">
                  <c:v>1.8923599301157168E-2</c:v>
                </c:pt>
                <c:pt idx="547">
                  <c:v>1.9080057568858777E-2</c:v>
                </c:pt>
                <c:pt idx="548">
                  <c:v>1.9132427422938747E-2</c:v>
                </c:pt>
                <c:pt idx="549">
                  <c:v>1.9195064245760562E-2</c:v>
                </c:pt>
                <c:pt idx="550">
                  <c:v>1.9283128978866415E-2</c:v>
                </c:pt>
                <c:pt idx="551">
                  <c:v>1.9369981919705737E-2</c:v>
                </c:pt>
                <c:pt idx="552">
                  <c:v>1.945562306739923E-2</c:v>
                </c:pt>
                <c:pt idx="553">
                  <c:v>1.9540052420907728E-2</c:v>
                </c:pt>
                <c:pt idx="554">
                  <c:v>1.9623269979511804E-2</c:v>
                </c:pt>
                <c:pt idx="555">
                  <c:v>1.9705275742412098E-2</c:v>
                </c:pt>
                <c:pt idx="556">
                  <c:v>1.9786069708649379E-2</c:v>
                </c:pt>
                <c:pt idx="557">
                  <c:v>1.986565187750422E-2</c:v>
                </c:pt>
                <c:pt idx="558">
                  <c:v>1.9944022248177262E-2</c:v>
                </c:pt>
                <c:pt idx="559">
                  <c:v>2.0021180819789208E-2</c:v>
                </c:pt>
                <c:pt idx="560">
                  <c:v>2.0120828139752689E-2</c:v>
                </c:pt>
                <c:pt idx="561">
                  <c:v>2.0214024186824275E-2</c:v>
                </c:pt>
                <c:pt idx="562">
                  <c:v>2.0286854898525775E-2</c:v>
                </c:pt>
                <c:pt idx="563">
                  <c:v>2.0358473807888799E-2</c:v>
                </c:pt>
                <c:pt idx="564">
                  <c:v>2.0428880913954117E-2</c:v>
                </c:pt>
                <c:pt idx="565">
                  <c:v>2.0507862336556215E-2</c:v>
                </c:pt>
                <c:pt idx="566">
                  <c:v>2.0566062861915313E-2</c:v>
                </c:pt>
                <c:pt idx="567">
                  <c:v>2.0633363438786745E-2</c:v>
                </c:pt>
                <c:pt idx="568">
                  <c:v>2.0709927864466238E-2</c:v>
                </c:pt>
                <c:pt idx="569">
                  <c:v>2.0767105819956555E-2</c:v>
                </c:pt>
                <c:pt idx="570">
                  <c:v>2.0833547623935189E-2</c:v>
                </c:pt>
                <c:pt idx="571">
                  <c:v>2.0899703169936501E-2</c:v>
                </c:pt>
                <c:pt idx="572">
                  <c:v>2.0965572457800619E-2</c:v>
                </c:pt>
                <c:pt idx="573">
                  <c:v>2.1031155487287734E-2</c:v>
                </c:pt>
                <c:pt idx="574">
                  <c:v>2.1096452258397846E-2</c:v>
                </c:pt>
                <c:pt idx="575">
                  <c:v>2.1161462770971085E-2</c:v>
                </c:pt>
                <c:pt idx="576">
                  <c:v>2.1226187024687704E-2</c:v>
                </c:pt>
                <c:pt idx="577">
                  <c:v>2.1290625019467768E-2</c:v>
                </c:pt>
                <c:pt idx="578">
                  <c:v>2.1354776755231342E-2</c:v>
                </c:pt>
                <c:pt idx="579">
                  <c:v>2.1418642231818552E-2</c:v>
                </c:pt>
                <c:pt idx="580">
                  <c:v>2.1482221448909655E-2</c:v>
                </c:pt>
                <c:pt idx="581">
                  <c:v>2.155453288950504E-2</c:v>
                </c:pt>
                <c:pt idx="582">
                  <c:v>2.1608521104523604E-2</c:v>
                </c:pt>
                <c:pt idx="583">
                  <c:v>2.1671241542646769E-2</c:v>
                </c:pt>
                <c:pt idx="584">
                  <c:v>2.173367572079421E-2</c:v>
                </c:pt>
                <c:pt idx="585">
                  <c:v>2.1795823638806056E-2</c:v>
                </c:pt>
                <c:pt idx="586">
                  <c:v>2.1857685296602369E-2</c:v>
                </c:pt>
                <c:pt idx="587">
                  <c:v>2.1919260693943343E-2</c:v>
                </c:pt>
                <c:pt idx="588">
                  <c:v>2.1980549830669105E-2</c:v>
                </c:pt>
                <c:pt idx="589">
                  <c:v>2.2041552706699719E-2</c:v>
                </c:pt>
                <c:pt idx="590">
                  <c:v>2.2102269321955248E-2</c:v>
                </c:pt>
                <c:pt idx="591">
                  <c:v>2.2162699676115949E-2</c:v>
                </c:pt>
                <c:pt idx="592">
                  <c:v>2.2222843769181821E-2</c:v>
                </c:pt>
                <c:pt idx="593">
                  <c:v>2.2282701600913057E-2</c:v>
                </c:pt>
                <c:pt idx="594">
                  <c:v>2.2350760027247674E-2</c:v>
                </c:pt>
                <c:pt idx="595">
                  <c:v>2.2401558479971939E-2</c:v>
                </c:pt>
                <c:pt idx="596">
                  <c:v>2.2460557526979841E-2</c:v>
                </c:pt>
                <c:pt idx="597">
                  <c:v>2.2519270312173489E-2</c:v>
                </c:pt>
                <c:pt idx="598">
                  <c:v>2.2587435218186513E-2</c:v>
                </c:pt>
                <c:pt idx="599">
                  <c:v>2.2660666719795941E-2</c:v>
                </c:pt>
                <c:pt idx="600">
                  <c:v>2.2710168230206662E-2</c:v>
                </c:pt>
                <c:pt idx="601">
                  <c:v>2.2767654177329177E-2</c:v>
                </c:pt>
                <c:pt idx="602">
                  <c:v>2.2833001876820802E-2</c:v>
                </c:pt>
                <c:pt idx="603">
                  <c:v>2.2881767283413623E-2</c:v>
                </c:pt>
                <c:pt idx="604">
                  <c:v>2.2938394442295618E-2</c:v>
                </c:pt>
                <c:pt idx="605">
                  <c:v>2.2994735338164318E-2</c:v>
                </c:pt>
                <c:pt idx="606">
                  <c:v>2.3058774407171967E-2</c:v>
                </c:pt>
                <c:pt idx="607">
                  <c:v>2.3106558340382222E-2</c:v>
                </c:pt>
                <c:pt idx="608">
                  <c:v>2.316204044641168E-2</c:v>
                </c:pt>
                <c:pt idx="609">
                  <c:v>2.3217236288948229E-2</c:v>
                </c:pt>
                <c:pt idx="610">
                  <c:v>2.3272145867831995E-2</c:v>
                </c:pt>
                <c:pt idx="611">
                  <c:v>2.3326769182903107E-2</c:v>
                </c:pt>
                <c:pt idx="612">
                  <c:v>2.3381106234081628E-2</c:v>
                </c:pt>
                <c:pt idx="613">
                  <c:v>2.343515702112775E-2</c:v>
                </c:pt>
                <c:pt idx="614">
                  <c:v>2.3488921544041474E-2</c:v>
                </c:pt>
                <c:pt idx="615">
                  <c:v>2.3566772066283548E-2</c:v>
                </c:pt>
                <c:pt idx="616">
                  <c:v>2.3595591796832238E-2</c:v>
                </c:pt>
                <c:pt idx="617">
                  <c:v>2.3656032119259152E-2</c:v>
                </c:pt>
                <c:pt idx="618">
                  <c:v>2.370111712362899E-2</c:v>
                </c:pt>
                <c:pt idx="619">
                  <c:v>2.3753454292787524E-2</c:v>
                </c:pt>
                <c:pt idx="620">
                  <c:v>2.3812924475965502E-2</c:v>
                </c:pt>
                <c:pt idx="621">
                  <c:v>2.3857286506254738E-2</c:v>
                </c:pt>
                <c:pt idx="622">
                  <c:v>2.3908781550403546E-2</c:v>
                </c:pt>
                <c:pt idx="623">
                  <c:v>2.3959995885816099E-2</c:v>
                </c:pt>
                <c:pt idx="624">
                  <c:v>2.4010929512652268E-2</c:v>
                </c:pt>
                <c:pt idx="625">
                  <c:v>2.406158243059231E-2</c:v>
                </c:pt>
                <c:pt idx="626">
                  <c:v>2.4111954639636224E-2</c:v>
                </c:pt>
                <c:pt idx="627">
                  <c:v>2.4162046139464266E-2</c:v>
                </c:pt>
                <c:pt idx="628">
                  <c:v>2.4211856930236308E-2</c:v>
                </c:pt>
                <c:pt idx="629">
                  <c:v>2.4261387011632607E-2</c:v>
                </c:pt>
                <c:pt idx="630">
                  <c:v>2.4310636383653161E-2</c:v>
                </c:pt>
                <c:pt idx="631">
                  <c:v>2.43596050461381E-2</c:v>
                </c:pt>
                <c:pt idx="632">
                  <c:v>2.440829299892755E-2</c:v>
                </c:pt>
                <c:pt idx="633">
                  <c:v>2.4463592647387955E-2</c:v>
                </c:pt>
                <c:pt idx="634">
                  <c:v>2.4511679079024518E-2</c:v>
                </c:pt>
                <c:pt idx="635">
                  <c:v>2.455267259832361E-2</c:v>
                </c:pt>
                <c:pt idx="636">
                  <c:v>2.4600237711371875E-2</c:v>
                </c:pt>
                <c:pt idx="637">
                  <c:v>2.4647522114245035E-2</c:v>
                </c:pt>
                <c:pt idx="638">
                  <c:v>2.4694525806783219E-2</c:v>
                </c:pt>
                <c:pt idx="639">
                  <c:v>2.4741248788906489E-2</c:v>
                </c:pt>
                <c:pt idx="640">
                  <c:v>2.4794302755566378E-2</c:v>
                </c:pt>
                <c:pt idx="641">
                  <c:v>2.483385262134874E-2</c:v>
                </c:pt>
                <c:pt idx="642">
                  <c:v>2.4879733471507848E-2</c:v>
                </c:pt>
                <c:pt idx="643">
                  <c:v>2.4925333610772427E-2</c:v>
                </c:pt>
                <c:pt idx="644">
                  <c:v>2.4977104327925659E-2</c:v>
                </c:pt>
                <c:pt idx="645">
                  <c:v>2.5015691756298253E-2</c:v>
                </c:pt>
                <c:pt idx="646">
                  <c:v>2.5060449762319692E-2</c:v>
                </c:pt>
                <c:pt idx="647">
                  <c:v>2.5104927057046922E-2</c:v>
                </c:pt>
                <c:pt idx="648">
                  <c:v>2.5149123640400006E-2</c:v>
                </c:pt>
                <c:pt idx="649">
                  <c:v>2.5193039512299009E-2</c:v>
                </c:pt>
                <c:pt idx="650">
                  <c:v>2.5257059403847038E-2</c:v>
                </c:pt>
                <c:pt idx="651">
                  <c:v>2.5300299618802313E-2</c:v>
                </c:pt>
                <c:pt idx="652">
                  <c:v>2.5329233333479806E-2</c:v>
                </c:pt>
                <c:pt idx="653">
                  <c:v>2.5371986256601531E-2</c:v>
                </c:pt>
                <c:pt idx="654">
                  <c:v>2.5414458467709622E-2</c:v>
                </c:pt>
                <c:pt idx="655">
                  <c:v>2.5456649966644207E-2</c:v>
                </c:pt>
                <c:pt idx="656">
                  <c:v>2.5498560753485222E-2</c:v>
                </c:pt>
                <c:pt idx="657">
                  <c:v>2.5540190827912923E-2</c:v>
                </c:pt>
                <c:pt idx="658">
                  <c:v>2.558154018992731E-2</c:v>
                </c:pt>
                <c:pt idx="659">
                  <c:v>2.5622608839528382E-2</c:v>
                </c:pt>
                <c:pt idx="660">
                  <c:v>2.5663396776476333E-2</c:v>
                </c:pt>
                <c:pt idx="661">
                  <c:v>2.5703904000691224E-2</c:v>
                </c:pt>
                <c:pt idx="662">
                  <c:v>2.5744130512093122E-2</c:v>
                </c:pt>
                <c:pt idx="663">
                  <c:v>2.5784076310602089E-2</c:v>
                </c:pt>
                <c:pt idx="664">
                  <c:v>2.5823741396138189E-2</c:v>
                </c:pt>
                <c:pt idx="665">
                  <c:v>2.5878040761430299E-2</c:v>
                </c:pt>
                <c:pt idx="666">
                  <c:v>2.5924448341640982E-2</c:v>
                </c:pt>
                <c:pt idx="667">
                  <c:v>2.5963110880091733E-2</c:v>
                </c:pt>
                <c:pt idx="668">
                  <c:v>2.6006952907540182E-2</c:v>
                </c:pt>
                <c:pt idx="669">
                  <c:v>2.6039593816635787E-2</c:v>
                </c:pt>
                <c:pt idx="670">
                  <c:v>2.607741250090001E-2</c:v>
                </c:pt>
                <c:pt idx="671">
                  <c:v>2.6120280619874592E-2</c:v>
                </c:pt>
                <c:pt idx="672">
                  <c:v>2.6152184017878E-2</c:v>
                </c:pt>
                <c:pt idx="673">
                  <c:v>2.61891363166189E-2</c:v>
                </c:pt>
                <c:pt idx="674">
                  <c:v>2.6225799642114467E-2</c:v>
                </c:pt>
                <c:pt idx="675">
                  <c:v>2.6262173994204829E-2</c:v>
                </c:pt>
                <c:pt idx="676">
                  <c:v>2.6298259372889987E-2</c:v>
                </c:pt>
                <c:pt idx="677">
                  <c:v>2.6334055777930132E-2</c:v>
                </c:pt>
                <c:pt idx="678">
                  <c:v>2.6369563209485136E-2</c:v>
                </c:pt>
                <c:pt idx="679">
                  <c:v>2.6404781667235255E-2</c:v>
                </c:pt>
                <c:pt idx="680">
                  <c:v>2.6439711151180489E-2</c:v>
                </c:pt>
                <c:pt idx="681">
                  <c:v>2.6474351661240902E-2</c:v>
                </c:pt>
                <c:pt idx="682">
                  <c:v>2.6508703197336558E-2</c:v>
                </c:pt>
                <c:pt idx="683">
                  <c:v>2.6542765759467457E-2</c:v>
                </c:pt>
                <c:pt idx="684">
                  <c:v>2.6576539347393791E-2</c:v>
                </c:pt>
                <c:pt idx="685">
                  <c:v>2.6614783887568549E-2</c:v>
                </c:pt>
                <c:pt idx="686">
                  <c:v>2.6643219600472889E-2</c:v>
                </c:pt>
                <c:pt idx="687">
                  <c:v>2.6676126265545719E-2</c:v>
                </c:pt>
                <c:pt idx="688">
                  <c:v>2.6708743956174175E-2</c:v>
                </c:pt>
                <c:pt idx="689">
                  <c:v>2.6741072672278321E-2</c:v>
                </c:pt>
                <c:pt idx="690">
                  <c:v>2.6773112413698286E-2</c:v>
                </c:pt>
                <c:pt idx="691">
                  <c:v>2.6804863180434069E-2</c:v>
                </c:pt>
                <c:pt idx="692">
                  <c:v>2.683632497248567E-2</c:v>
                </c:pt>
                <c:pt idx="693">
                  <c:v>2.6867497789693218E-2</c:v>
                </c:pt>
                <c:pt idx="694">
                  <c:v>2.6898381631976775E-2</c:v>
                </c:pt>
                <c:pt idx="695">
                  <c:v>2.6928976499256407E-2</c:v>
                </c:pt>
                <c:pt idx="696">
                  <c:v>2.6959282391452177E-2</c:v>
                </c:pt>
                <c:pt idx="697">
                  <c:v>2.6989299308564085E-2</c:v>
                </c:pt>
                <c:pt idx="698">
                  <c:v>2.7023250509374819E-2</c:v>
                </c:pt>
                <c:pt idx="699">
                  <c:v>2.7048466216976763E-2</c:v>
                </c:pt>
                <c:pt idx="700">
                  <c:v>2.7077616208277533E-2</c:v>
                </c:pt>
                <c:pt idx="701">
                  <c:v>2.710647722409476E-2</c:v>
                </c:pt>
                <c:pt idx="702">
                  <c:v>2.7143159627369684E-2</c:v>
                </c:pt>
                <c:pt idx="703">
                  <c:v>2.7167349177172895E-2</c:v>
                </c:pt>
                <c:pt idx="704">
                  <c:v>2.7191326418325446E-2</c:v>
                </c:pt>
                <c:pt idx="705">
                  <c:v>2.7219031531808824E-2</c:v>
                </c:pt>
                <c:pt idx="706">
                  <c:v>2.7246447669568852E-2</c:v>
                </c:pt>
                <c:pt idx="707">
                  <c:v>2.7273574831445657E-2</c:v>
                </c:pt>
                <c:pt idx="708">
                  <c:v>2.7300413017359304E-2</c:v>
                </c:pt>
                <c:pt idx="709">
                  <c:v>2.7326962227469664E-2</c:v>
                </c:pt>
                <c:pt idx="710">
                  <c:v>2.7353222461456994E-2</c:v>
                </c:pt>
                <c:pt idx="711">
                  <c:v>2.7379193719401229E-2</c:v>
                </c:pt>
                <c:pt idx="712">
                  <c:v>2.7404876001142497E-2</c:v>
                </c:pt>
                <c:pt idx="713">
                  <c:v>2.7430269306760735E-2</c:v>
                </c:pt>
                <c:pt idx="714">
                  <c:v>2.745537363609607E-2</c:v>
                </c:pt>
                <c:pt idx="715">
                  <c:v>2.7480188989068566E-2</c:v>
                </c:pt>
                <c:pt idx="716">
                  <c:v>2.7511669824447083E-2</c:v>
                </c:pt>
                <c:pt idx="717">
                  <c:v>2.7528952765765169E-2</c:v>
                </c:pt>
                <c:pt idx="718">
                  <c:v>2.7552901189489276E-2</c:v>
                </c:pt>
                <c:pt idx="719">
                  <c:v>2.75765606365308E-2</c:v>
                </c:pt>
                <c:pt idx="720">
                  <c:v>2.7603246155685213E-2</c:v>
                </c:pt>
                <c:pt idx="721">
                  <c:v>2.7623012600725971E-2</c:v>
                </c:pt>
                <c:pt idx="722">
                  <c:v>2.76458232291521E-2</c:v>
                </c:pt>
                <c:pt idx="723">
                  <c:v>2.7668470681305735E-2</c:v>
                </c:pt>
                <c:pt idx="724">
                  <c:v>2.7694175853296699E-2</c:v>
                </c:pt>
                <c:pt idx="725">
                  <c:v>2.7713330390852775E-2</c:v>
                </c:pt>
                <c:pt idx="726">
                  <c:v>2.7735542648246181E-2</c:v>
                </c:pt>
                <c:pt idx="727">
                  <c:v>2.7757609840479702E-2</c:v>
                </c:pt>
                <c:pt idx="728">
                  <c:v>2.7779531967793147E-2</c:v>
                </c:pt>
                <c:pt idx="729">
                  <c:v>2.7801309030026644E-2</c:v>
                </c:pt>
                <c:pt idx="730">
                  <c:v>2.7822941027180192E-2</c:v>
                </c:pt>
                <c:pt idx="731">
                  <c:v>2.7844427959173856E-2</c:v>
                </c:pt>
                <c:pt idx="732">
                  <c:v>2.7865769826087572E-2</c:v>
                </c:pt>
                <c:pt idx="733">
                  <c:v>2.7886966627921339E-2</c:v>
                </c:pt>
                <c:pt idx="734">
                  <c:v>2.7908018364515286E-2</c:v>
                </c:pt>
                <c:pt idx="735">
                  <c:v>2.7928925035789476E-2</c:v>
                </c:pt>
                <c:pt idx="736">
                  <c:v>2.7949686641983718E-2</c:v>
                </c:pt>
                <c:pt idx="737">
                  <c:v>2.7973236560878689E-2</c:v>
                </c:pt>
                <c:pt idx="738">
                  <c:v>2.7990774658412931E-2</c:v>
                </c:pt>
                <c:pt idx="739">
                  <c:v>2.8011101068727839E-2</c:v>
                </c:pt>
                <c:pt idx="740">
                  <c:v>2.8031282413643055E-2</c:v>
                </c:pt>
                <c:pt idx="741">
                  <c:v>2.8051318693238514E-2</c:v>
                </c:pt>
                <c:pt idx="742">
                  <c:v>2.807120990743428E-2</c:v>
                </c:pt>
                <c:pt idx="743">
                  <c:v>2.8090956056150418E-2</c:v>
                </c:pt>
                <c:pt idx="744">
                  <c:v>2.8110557139546799E-2</c:v>
                </c:pt>
                <c:pt idx="745">
                  <c:v>2.8130013157463551E-2</c:v>
                </c:pt>
                <c:pt idx="746">
                  <c:v>2.8149324109900675E-2</c:v>
                </c:pt>
                <c:pt idx="747">
                  <c:v>2.816848999685817E-2</c:v>
                </c:pt>
                <c:pt idx="748">
                  <c:v>2.8190216236305687E-2</c:v>
                </c:pt>
                <c:pt idx="749">
                  <c:v>2.8206386574094466E-2</c:v>
                </c:pt>
                <c:pt idx="750">
                  <c:v>2.8227781235177218E-2</c:v>
                </c:pt>
                <c:pt idx="751">
                  <c:v>2.8243702889092503E-2</c:v>
                </c:pt>
                <c:pt idx="752">
                  <c:v>2.8262143448172239E-2</c:v>
                </c:pt>
                <c:pt idx="753">
                  <c:v>2.8280438941612474E-2</c:v>
                </c:pt>
                <c:pt idx="754">
                  <c:v>2.8303748561127051E-2</c:v>
                </c:pt>
                <c:pt idx="755">
                  <c:v>2.8324266907349127E-2</c:v>
                </c:pt>
                <c:pt idx="756">
                  <c:v>2.8336994656683601E-2</c:v>
                </c:pt>
                <c:pt idx="757">
                  <c:v>2.8354689163663238E-2</c:v>
                </c:pt>
                <c:pt idx="758">
                  <c:v>2.8372238604923439E-2</c:v>
                </c:pt>
                <c:pt idx="759">
                  <c:v>2.8389642980384266E-2</c:v>
                </c:pt>
                <c:pt idx="760">
                  <c:v>2.8406902290125657E-2</c:v>
                </c:pt>
                <c:pt idx="761">
                  <c:v>2.8424016533987739E-2</c:v>
                </c:pt>
                <c:pt idx="762">
                  <c:v>2.8440985711970512E-2</c:v>
                </c:pt>
                <c:pt idx="763">
                  <c:v>2.8457809824233848E-2</c:v>
                </c:pt>
                <c:pt idx="764">
                  <c:v>2.8474488870458003E-2</c:v>
                </c:pt>
                <c:pt idx="765">
                  <c:v>2.8491022850882786E-2</c:v>
                </c:pt>
                <c:pt idx="766">
                  <c:v>2.8507411765428259E-2</c:v>
                </c:pt>
                <c:pt idx="767">
                  <c:v>2.8523655614014487E-2</c:v>
                </c:pt>
                <c:pt idx="768">
                  <c:v>2.853975439664147E-2</c:v>
                </c:pt>
                <c:pt idx="769">
                  <c:v>2.8555708113229272E-2</c:v>
                </c:pt>
                <c:pt idx="770">
                  <c:v>2.8576006876459559E-2</c:v>
                </c:pt>
                <c:pt idx="771">
                  <c:v>2.8587180348527141E-2</c:v>
                </c:pt>
                <c:pt idx="772">
                  <c:v>2.8604903956228611E-2</c:v>
                </c:pt>
                <c:pt idx="773">
                  <c:v>2.8618072319668286E-2</c:v>
                </c:pt>
                <c:pt idx="774">
                  <c:v>2.8633304713814312E-2</c:v>
                </c:pt>
                <c:pt idx="775">
                  <c:v>2.8648508262394401E-2</c:v>
                </c:pt>
                <c:pt idx="776">
                  <c:v>2.8665912220109391E-2</c:v>
                </c:pt>
                <c:pt idx="777">
                  <c:v>2.867898511991207E-2</c:v>
                </c:pt>
                <c:pt idx="778">
                  <c:v>2.8694258428769714E-2</c:v>
                </c:pt>
                <c:pt idx="779">
                  <c:v>2.8709554991026565E-2</c:v>
                </c:pt>
                <c:pt idx="780">
                  <c:v>2.8724874806682621E-2</c:v>
                </c:pt>
                <c:pt idx="781">
                  <c:v>2.874021787581782E-2</c:v>
                </c:pt>
                <c:pt idx="782">
                  <c:v>2.8755584198352224E-2</c:v>
                </c:pt>
                <c:pt idx="783">
                  <c:v>2.8770973774365771E-2</c:v>
                </c:pt>
                <c:pt idx="784">
                  <c:v>2.8786386603698588E-2</c:v>
                </c:pt>
                <c:pt idx="785">
                  <c:v>2.880182268667042E-2</c:v>
                </c:pt>
                <c:pt idx="786">
                  <c:v>2.8817282022961521E-2</c:v>
                </c:pt>
                <c:pt idx="787">
                  <c:v>2.8832764612651829E-2</c:v>
                </c:pt>
                <c:pt idx="788">
                  <c:v>2.8848270455821279E-2</c:v>
                </c:pt>
                <c:pt idx="789">
                  <c:v>2.8866019893021289E-2</c:v>
                </c:pt>
                <c:pt idx="790">
                  <c:v>2.8879351902517669E-2</c:v>
                </c:pt>
                <c:pt idx="791">
                  <c:v>2.889492750604461E-2</c:v>
                </c:pt>
                <c:pt idx="792">
                  <c:v>2.8910526363050693E-2</c:v>
                </c:pt>
                <c:pt idx="793">
                  <c:v>2.8926148473455982E-2</c:v>
                </c:pt>
                <c:pt idx="794">
                  <c:v>2.8941793837420349E-2</c:v>
                </c:pt>
                <c:pt idx="795">
                  <c:v>2.8957462454783922E-2</c:v>
                </c:pt>
                <c:pt idx="796">
                  <c:v>2.8973154325706574E-2</c:v>
                </c:pt>
                <c:pt idx="797">
                  <c:v>2.8988869449948496E-2</c:v>
                </c:pt>
                <c:pt idx="798">
                  <c:v>2.9004607827749496E-2</c:v>
                </c:pt>
                <c:pt idx="799">
                  <c:v>2.9020369459029638E-2</c:v>
                </c:pt>
                <c:pt idx="800">
                  <c:v>2.9038411225590366E-2</c:v>
                </c:pt>
                <c:pt idx="801">
                  <c:v>2.9051962482027349E-2</c:v>
                </c:pt>
                <c:pt idx="802">
                  <c:v>2.9067793873824854E-2</c:v>
                </c:pt>
                <c:pt idx="803">
                  <c:v>2.9083648519021565E-2</c:v>
                </c:pt>
                <c:pt idx="804">
                  <c:v>2.9099526417697419E-2</c:v>
                </c:pt>
                <c:pt idx="805">
                  <c:v>2.9115427569932351E-2</c:v>
                </c:pt>
                <c:pt idx="806">
                  <c:v>2.9135906076902529E-2</c:v>
                </c:pt>
                <c:pt idx="807">
                  <c:v>2.9149579770200162E-2</c:v>
                </c:pt>
                <c:pt idx="808">
                  <c:v>2.9163270547671871E-2</c:v>
                </c:pt>
                <c:pt idx="809">
                  <c:v>2.9179264713903308E-2</c:v>
                </c:pt>
                <c:pt idx="810">
                  <c:v>2.9195282133613887E-2</c:v>
                </c:pt>
                <c:pt idx="811">
                  <c:v>2.9211322806883544E-2</c:v>
                </c:pt>
                <c:pt idx="812">
                  <c:v>2.9227386733632343E-2</c:v>
                </c:pt>
                <c:pt idx="813">
                  <c:v>2.9243473914020157E-2</c:v>
                </c:pt>
                <c:pt idx="814">
                  <c:v>2.9259584347807177E-2</c:v>
                </c:pt>
                <c:pt idx="815">
                  <c:v>2.9275718035233211E-2</c:v>
                </c:pt>
                <c:pt idx="816">
                  <c:v>2.9291874976138388E-2</c:v>
                </c:pt>
                <c:pt idx="817">
                  <c:v>2.9308055170522707E-2</c:v>
                </c:pt>
                <c:pt idx="818">
                  <c:v>2.9324258618466104E-2</c:v>
                </c:pt>
                <c:pt idx="819">
                  <c:v>2.9340485319968579E-2</c:v>
                </c:pt>
                <c:pt idx="820">
                  <c:v>2.9356735275030132E-2</c:v>
                </c:pt>
                <c:pt idx="821">
                  <c:v>2.9377662242868752E-2</c:v>
                </c:pt>
                <c:pt idx="822">
                  <c:v>2.9389304945750538E-2</c:v>
                </c:pt>
                <c:pt idx="823">
                  <c:v>2.9405624661489327E-2</c:v>
                </c:pt>
                <c:pt idx="824">
                  <c:v>2.9424304238894194E-2</c:v>
                </c:pt>
                <c:pt idx="825">
                  <c:v>2.9438333853564203E-2</c:v>
                </c:pt>
                <c:pt idx="826">
                  <c:v>2.94547135647516E-2</c:v>
                </c:pt>
                <c:pt idx="827">
                  <c:v>2.9470833339866331E-2</c:v>
                </c:pt>
                <c:pt idx="828">
                  <c:v>2.9488782205220332E-2</c:v>
                </c:pt>
                <c:pt idx="829">
                  <c:v>2.9501912239879857E-2</c:v>
                </c:pt>
                <c:pt idx="830">
                  <c:v>2.9516871364778652E-2</c:v>
                </c:pt>
                <c:pt idx="831">
                  <c:v>2.9531443606272134E-2</c:v>
                </c:pt>
                <c:pt idx="832">
                  <c:v>2.9545628964200432E-2</c:v>
                </c:pt>
                <c:pt idx="833">
                  <c:v>2.955942743848361E-2</c:v>
                </c:pt>
                <c:pt idx="834">
                  <c:v>2.9572839029201603E-2</c:v>
                </c:pt>
                <c:pt idx="835">
                  <c:v>2.9585863736274476E-2</c:v>
                </c:pt>
                <c:pt idx="836">
                  <c:v>2.9598501559702228E-2</c:v>
                </c:pt>
                <c:pt idx="837">
                  <c:v>2.9610752499324988E-2</c:v>
                </c:pt>
                <c:pt idx="838">
                  <c:v>2.9622616555222692E-2</c:v>
                </c:pt>
                <c:pt idx="839">
                  <c:v>2.9634093727235467E-2</c:v>
                </c:pt>
                <c:pt idx="840">
                  <c:v>2.9645184015363313E-2</c:v>
                </c:pt>
                <c:pt idx="841">
                  <c:v>2.9657384895029892E-2</c:v>
                </c:pt>
                <c:pt idx="842">
                  <c:v>2.9666203940044156E-2</c:v>
                </c:pt>
                <c:pt idx="843">
                  <c:v>2.967613357643728E-2</c:v>
                </c:pt>
                <c:pt idx="844">
                  <c:v>2.968567632886554E-2</c:v>
                </c:pt>
                <c:pt idx="845">
                  <c:v>2.9694832197248999E-2</c:v>
                </c:pt>
                <c:pt idx="846">
                  <c:v>2.9703601181587658E-2</c:v>
                </c:pt>
                <c:pt idx="847">
                  <c:v>2.9711983281801579E-2</c:v>
                </c:pt>
                <c:pt idx="848">
                  <c:v>2.97199784979707E-2</c:v>
                </c:pt>
                <c:pt idx="849">
                  <c:v>2.9727586830015085E-2</c:v>
                </c:pt>
                <c:pt idx="850">
                  <c:v>2.9734808277934732E-2</c:v>
                </c:pt>
                <c:pt idx="851">
                  <c:v>2.9741642841569771E-2</c:v>
                </c:pt>
                <c:pt idx="852">
                  <c:v>2.9748980035702033E-2</c:v>
                </c:pt>
                <c:pt idx="853">
                  <c:v>2.9754151316305766E-2</c:v>
                </c:pt>
                <c:pt idx="854">
                  <c:v>2.9759825227326786E-2</c:v>
                </c:pt>
                <c:pt idx="855">
                  <c:v>2.9765112254063197E-2</c:v>
                </c:pt>
                <c:pt idx="856">
                  <c:v>2.9770012396515E-2</c:v>
                </c:pt>
                <c:pt idx="857">
                  <c:v>2.977452565476213E-2</c:v>
                </c:pt>
                <c:pt idx="858">
                  <c:v>2.9779759932173633E-2</c:v>
                </c:pt>
                <c:pt idx="859">
                  <c:v>2.9782894148580041E-2</c:v>
                </c:pt>
                <c:pt idx="860">
                  <c:v>2.9785744123396185E-2</c:v>
                </c:pt>
                <c:pt idx="861">
                  <c:v>2.9788709844265071E-2</c:v>
                </c:pt>
                <c:pt idx="862">
                  <c:v>2.9791288680769412E-2</c:v>
                </c:pt>
                <c:pt idx="863">
                  <c:v>2.9793480632989144E-2</c:v>
                </c:pt>
                <c:pt idx="864">
                  <c:v>2.9795285700764396E-2</c:v>
                </c:pt>
                <c:pt idx="865">
                  <c:v>2.9796703884175102E-2</c:v>
                </c:pt>
                <c:pt idx="866">
                  <c:v>2.9797735183221263E-2</c:v>
                </c:pt>
                <c:pt idx="867">
                  <c:v>2.979837959790288E-2</c:v>
                </c:pt>
                <c:pt idx="868">
                  <c:v>2.9798637128140015E-2</c:v>
                </c:pt>
                <c:pt idx="869">
                  <c:v>2.9798507774012606E-2</c:v>
                </c:pt>
                <c:pt idx="870">
                  <c:v>2.9797991535520651E-2</c:v>
                </c:pt>
                <c:pt idx="871">
                  <c:v>2.9797088412664152E-2</c:v>
                </c:pt>
                <c:pt idx="872">
                  <c:v>2.9795358771513847E-2</c:v>
                </c:pt>
                <c:pt idx="873">
                  <c:v>2.9794121513777583E-2</c:v>
                </c:pt>
                <c:pt idx="874">
                  <c:v>2.9792057737747513E-2</c:v>
                </c:pt>
                <c:pt idx="875">
                  <c:v>2.9789607077352898E-2</c:v>
                </c:pt>
                <c:pt idx="876">
                  <c:v>2.9786769532593738E-2</c:v>
                </c:pt>
                <c:pt idx="877">
                  <c:v>2.9783052888401329E-2</c:v>
                </c:pt>
                <c:pt idx="878">
                  <c:v>2.9779936712923671E-2</c:v>
                </c:pt>
                <c:pt idx="879">
                  <c:v>2.977642954029136E-2</c:v>
                </c:pt>
                <c:pt idx="880">
                  <c:v>2.9772999803796552E-2</c:v>
                </c:pt>
                <c:pt idx="881">
                  <c:v>2.9770832424080851E-2</c:v>
                </c:pt>
                <c:pt idx="882">
                  <c:v>2.976874248034278E-2</c:v>
                </c:pt>
                <c:pt idx="883">
                  <c:v>2.9767124946236123E-2</c:v>
                </c:pt>
                <c:pt idx="884">
                  <c:v>2.9765979821840816E-2</c:v>
                </c:pt>
                <c:pt idx="885">
                  <c:v>2.9765307107076922E-2</c:v>
                </c:pt>
                <c:pt idx="886">
                  <c:v>2.9765106801784569E-2</c:v>
                </c:pt>
                <c:pt idx="887">
                  <c:v>2.9765378906203566E-2</c:v>
                </c:pt>
                <c:pt idx="888">
                  <c:v>2.976612342017404E-2</c:v>
                </c:pt>
                <c:pt idx="889">
                  <c:v>2.9767340343775928E-2</c:v>
                </c:pt>
                <c:pt idx="890">
                  <c:v>2.9769029677089165E-2</c:v>
                </c:pt>
                <c:pt idx="891">
                  <c:v>2.9771191419873944E-2</c:v>
                </c:pt>
                <c:pt idx="892">
                  <c:v>2.9773825572370072E-2</c:v>
                </c:pt>
                <c:pt idx="893">
                  <c:v>2.9777414493130649E-2</c:v>
                </c:pt>
                <c:pt idx="894">
                  <c:v>2.9780511106256569E-2</c:v>
                </c:pt>
                <c:pt idx="895">
                  <c:v>2.9784562487806809E-2</c:v>
                </c:pt>
                <c:pt idx="896">
                  <c:v>2.9789086278908528E-2</c:v>
                </c:pt>
                <c:pt idx="897">
                  <c:v>2.9794082479721595E-2</c:v>
                </c:pt>
                <c:pt idx="898">
                  <c:v>2.9799551090246013E-2</c:v>
                </c:pt>
                <c:pt idx="899">
                  <c:v>2.9805492110561715E-2</c:v>
                </c:pt>
                <c:pt idx="900">
                  <c:v>2.9811905540668704E-2</c:v>
                </c:pt>
                <c:pt idx="901">
                  <c:v>2.9818791380566978E-2</c:v>
                </c:pt>
                <c:pt idx="902">
                  <c:v>2.9826149630176602E-2</c:v>
                </c:pt>
                <c:pt idx="903">
                  <c:v>2.9833980289737383E-2</c:v>
                </c:pt>
                <c:pt idx="904">
                  <c:v>2.9842283359169386E-2</c:v>
                </c:pt>
                <c:pt idx="905">
                  <c:v>2.9851058838552547E-2</c:v>
                </c:pt>
                <c:pt idx="906">
                  <c:v>2.9860306727726993E-2</c:v>
                </c:pt>
                <c:pt idx="907">
                  <c:v>2.9870027027092405E-2</c:v>
                </c:pt>
                <c:pt idx="908">
                  <c:v>2.9880219736329039E-2</c:v>
                </c:pt>
                <c:pt idx="909">
                  <c:v>2.9890884855676703E-2</c:v>
                </c:pt>
                <c:pt idx="910">
                  <c:v>2.9906139275617249E-2</c:v>
                </c:pt>
                <c:pt idx="911">
                  <c:v>2.9922968725584198E-2</c:v>
                </c:pt>
                <c:pt idx="912">
                  <c:v>2.9929253543663492E-2</c:v>
                </c:pt>
                <c:pt idx="913">
                  <c:v>2.9941943278046779E-2</c:v>
                </c:pt>
                <c:pt idx="914">
                  <c:v>2.9955105422780903E-2</c:v>
                </c:pt>
                <c:pt idx="915">
                  <c:v>2.996873997778593E-2</c:v>
                </c:pt>
                <c:pt idx="916">
                  <c:v>2.9982846943301666E-2</c:v>
                </c:pt>
                <c:pt idx="917">
                  <c:v>2.9997426319248177E-2</c:v>
                </c:pt>
                <c:pt idx="918">
                  <c:v>3.0012478105705398E-2</c:v>
                </c:pt>
                <c:pt idx="919">
                  <c:v>3.0028002302753265E-2</c:v>
                </c:pt>
                <c:pt idx="920">
                  <c:v>3.0043998910391778E-2</c:v>
                </c:pt>
                <c:pt idx="921">
                  <c:v>3.0060467928860746E-2</c:v>
                </c:pt>
                <c:pt idx="922">
                  <c:v>3.0077409357920359E-2</c:v>
                </c:pt>
                <c:pt idx="923">
                  <c:v>3.00948231979703E-2</c:v>
                </c:pt>
                <c:pt idx="924">
                  <c:v>3.0112709448850694E-2</c:v>
                </c:pt>
                <c:pt idx="925">
                  <c:v>3.0131068110721415E-2</c:v>
                </c:pt>
                <c:pt idx="926">
                  <c:v>3.0160428249921267E-2</c:v>
                </c:pt>
                <c:pt idx="927">
                  <c:v>3.0180445333032324E-2</c:v>
                </c:pt>
                <c:pt idx="928">
                  <c:v>3.020339343389189E-2</c:v>
                </c:pt>
                <c:pt idx="929">
                  <c:v>3.0221009433510915E-2</c:v>
                </c:pt>
                <c:pt idx="930">
                  <c:v>3.0241774539305766E-2</c:v>
                </c:pt>
                <c:pt idx="931">
                  <c:v>3.0265212050757384E-2</c:v>
                </c:pt>
                <c:pt idx="932">
                  <c:v>3.0282570476893866E-2</c:v>
                </c:pt>
                <c:pt idx="933">
                  <c:v>3.0302583957606544E-2</c:v>
                </c:pt>
                <c:pt idx="934">
                  <c:v>3.0322341112798412E-2</c:v>
                </c:pt>
                <c:pt idx="935">
                  <c:v>3.0341841942629344E-2</c:v>
                </c:pt>
                <c:pt idx="936">
                  <c:v>3.0361086446779595E-2</c:v>
                </c:pt>
                <c:pt idx="937">
                  <c:v>3.0380074625488973E-2</c:v>
                </c:pt>
                <c:pt idx="938">
                  <c:v>3.039880647851767E-2</c:v>
                </c:pt>
                <c:pt idx="939">
                  <c:v>3.0417282005785751E-2</c:v>
                </c:pt>
                <c:pt idx="940">
                  <c:v>3.0435501207612958E-2</c:v>
                </c:pt>
                <c:pt idx="941">
                  <c:v>3.0453464083519677E-2</c:v>
                </c:pt>
                <c:pt idx="942">
                  <c:v>3.0471170633665778E-2</c:v>
                </c:pt>
                <c:pt idx="943">
                  <c:v>3.0488620858051263E-2</c:v>
                </c:pt>
                <c:pt idx="944">
                  <c:v>3.0508250103240542E-2</c:v>
                </c:pt>
                <c:pt idx="945">
                  <c:v>3.0522752329300573E-2</c:v>
                </c:pt>
                <c:pt idx="946">
                  <c:v>3.0539433576004527E-2</c:v>
                </c:pt>
                <c:pt idx="947">
                  <c:v>3.0555858496787991E-2</c:v>
                </c:pt>
                <c:pt idx="948">
                  <c:v>3.057202709157103E-2</c:v>
                </c:pt>
                <c:pt idx="949">
                  <c:v>3.0587939360353644E-2</c:v>
                </c:pt>
                <c:pt idx="950">
                  <c:v>3.0603595303055897E-2</c:v>
                </c:pt>
                <c:pt idx="951">
                  <c:v>3.0618994919677789E-2</c:v>
                </c:pt>
                <c:pt idx="952">
                  <c:v>3.0634138210139383E-2</c:v>
                </c:pt>
                <c:pt idx="953">
                  <c:v>3.0649025174520617E-2</c:v>
                </c:pt>
                <c:pt idx="954">
                  <c:v>3.0663655812661617E-2</c:v>
                </c:pt>
                <c:pt idx="955">
                  <c:v>3.0678030124642319E-2</c:v>
                </c:pt>
                <c:pt idx="956">
                  <c:v>3.0692148110302853E-2</c:v>
                </c:pt>
                <c:pt idx="957">
                  <c:v>3.0706009769723153E-2</c:v>
                </c:pt>
                <c:pt idx="958">
                  <c:v>3.0721537797147036E-2</c:v>
                </c:pt>
                <c:pt idx="959">
                  <c:v>3.0732964109523309E-2</c:v>
                </c:pt>
                <c:pt idx="960">
                  <c:v>3.0746056789903164E-2</c:v>
                </c:pt>
                <c:pt idx="961">
                  <c:v>3.0758893143882915E-2</c:v>
                </c:pt>
                <c:pt idx="962">
                  <c:v>3.077721875942796E-2</c:v>
                </c:pt>
                <c:pt idx="963">
                  <c:v>3.0785536476702902E-2</c:v>
                </c:pt>
                <c:pt idx="964">
                  <c:v>3.0795864247261662E-2</c:v>
                </c:pt>
                <c:pt idx="965">
                  <c:v>3.0807675295401182E-2</c:v>
                </c:pt>
                <c:pt idx="966">
                  <c:v>3.0819230016980725E-2</c:v>
                </c:pt>
                <c:pt idx="967">
                  <c:v>3.0830528412080227E-2</c:v>
                </c:pt>
                <c:pt idx="968">
                  <c:v>3.0841570480539815E-2</c:v>
                </c:pt>
                <c:pt idx="969">
                  <c:v>3.0852356222519361E-2</c:v>
                </c:pt>
                <c:pt idx="970">
                  <c:v>3.0862885637699122E-2</c:v>
                </c:pt>
                <c:pt idx="971">
                  <c:v>3.0873158726398842E-2</c:v>
                </c:pt>
                <c:pt idx="972">
                  <c:v>3.0883175488378711E-2</c:v>
                </c:pt>
                <c:pt idx="973">
                  <c:v>3.0892935923558795E-2</c:v>
                </c:pt>
                <c:pt idx="974">
                  <c:v>3.0902440032178902E-2</c:v>
                </c:pt>
                <c:pt idx="975">
                  <c:v>3.0911687813999222E-2</c:v>
                </c:pt>
                <c:pt idx="976">
                  <c:v>3.0923201175863113E-2</c:v>
                </c:pt>
                <c:pt idx="977">
                  <c:v>3.0929414397480315E-2</c:v>
                </c:pt>
                <c:pt idx="978">
                  <c:v>3.0937893198901278E-2</c:v>
                </c:pt>
                <c:pt idx="979">
                  <c:v>3.0946115673682328E-2</c:v>
                </c:pt>
                <c:pt idx="980">
                  <c:v>3.0955198918078963E-2</c:v>
                </c:pt>
                <c:pt idx="981">
                  <c:v>3.0961791642685199E-2</c:v>
                </c:pt>
                <c:pt idx="982">
                  <c:v>3.096924513690702E-2</c:v>
                </c:pt>
                <c:pt idx="983">
                  <c:v>3.0977449546298885E-2</c:v>
                </c:pt>
                <c:pt idx="984">
                  <c:v>3.098338314463156E-2</c:v>
                </c:pt>
                <c:pt idx="985">
                  <c:v>3.0990067658214215E-2</c:v>
                </c:pt>
                <c:pt idx="986">
                  <c:v>3.0996495844837213E-2</c:v>
                </c:pt>
                <c:pt idx="987">
                  <c:v>3.1002667704580489E-2</c:v>
                </c:pt>
                <c:pt idx="988">
                  <c:v>3.1008583237284171E-2</c:v>
                </c:pt>
                <c:pt idx="989">
                  <c:v>3.1014242443108131E-2</c:v>
                </c:pt>
                <c:pt idx="990">
                  <c:v>3.1019645321972433E-2</c:v>
                </c:pt>
                <c:pt idx="991">
                  <c:v>3.1024791873797142E-2</c:v>
                </c:pt>
                <c:pt idx="992">
                  <c:v>3.1029682098742128E-2</c:v>
                </c:pt>
                <c:pt idx="993">
                  <c:v>3.1034315996567585E-2</c:v>
                </c:pt>
                <c:pt idx="994">
                  <c:v>3.1038693567433384E-2</c:v>
                </c:pt>
                <c:pt idx="995">
                  <c:v>3.1042814811259589E-2</c:v>
                </c:pt>
                <c:pt idx="996">
                  <c:v>3.10466797280462E-2</c:v>
                </c:pt>
                <c:pt idx="997">
                  <c:v>3.1050782906003604E-2</c:v>
                </c:pt>
                <c:pt idx="998">
                  <c:v>3.1053640580500641E-2</c:v>
                </c:pt>
                <c:pt idx="999">
                  <c:v>3.1056736516168471E-2</c:v>
                </c:pt>
                <c:pt idx="1000">
                  <c:v>3.1059576124796706E-2</c:v>
                </c:pt>
                <c:pt idx="1001">
                  <c:v>3.1062159406385348E-2</c:v>
                </c:pt>
                <c:pt idx="1002">
                  <c:v>3.1064486360934396E-2</c:v>
                </c:pt>
                <c:pt idx="1003">
                  <c:v>3.1066556988283978E-2</c:v>
                </c:pt>
                <c:pt idx="1004">
                  <c:v>3.1068371288673902E-2</c:v>
                </c:pt>
                <c:pt idx="1005">
                  <c:v>3.106992926186436E-2</c:v>
                </c:pt>
                <c:pt idx="1006">
                  <c:v>3.1071230908015224E-2</c:v>
                </c:pt>
                <c:pt idx="1007">
                  <c:v>3.1072276227126494E-2</c:v>
                </c:pt>
                <c:pt idx="1008">
                  <c:v>3.1073065219118234E-2</c:v>
                </c:pt>
                <c:pt idx="1009">
                  <c:v>3.1073597883990445E-2</c:v>
                </c:pt>
                <c:pt idx="1010">
                  <c:v>3.1073892773942902E-2</c:v>
                </c:pt>
                <c:pt idx="1011">
                  <c:v>3.1073894232456212E-2</c:v>
                </c:pt>
                <c:pt idx="1012">
                  <c:v>3.1073657916049768E-2</c:v>
                </c:pt>
                <c:pt idx="1013">
                  <c:v>3.1073165272603731E-2</c:v>
                </c:pt>
                <c:pt idx="1014">
                  <c:v>3.1072155229914245E-2</c:v>
                </c:pt>
                <c:pt idx="1015">
                  <c:v>3.1071246465650404E-2</c:v>
                </c:pt>
                <c:pt idx="1016">
                  <c:v>3.1070149379468504E-2</c:v>
                </c:pt>
                <c:pt idx="1017">
                  <c:v>3.1068631427624283E-2</c:v>
                </c:pt>
                <c:pt idx="1018">
                  <c:v>3.1066857148660532E-2</c:v>
                </c:pt>
                <c:pt idx="1019">
                  <c:v>3.1064826542657187E-2</c:v>
                </c:pt>
                <c:pt idx="1020">
                  <c:v>3.1062539609534312E-2</c:v>
                </c:pt>
                <c:pt idx="1021">
                  <c:v>3.1059996349371843E-2</c:v>
                </c:pt>
                <c:pt idx="1022">
                  <c:v>3.1057196762169781E-2</c:v>
                </c:pt>
                <c:pt idx="1023">
                  <c:v>3.1054140847928124E-2</c:v>
                </c:pt>
                <c:pt idx="1024">
                  <c:v>3.1050828606487002E-2</c:v>
                </c:pt>
                <c:pt idx="1025">
                  <c:v>3.1047260038166158E-2</c:v>
                </c:pt>
                <c:pt idx="1026">
                  <c:v>3.1043435142645848E-2</c:v>
                </c:pt>
                <c:pt idx="1027">
                  <c:v>3.1038140776180612E-2</c:v>
                </c:pt>
                <c:pt idx="1028">
                  <c:v>3.1035016370646318E-2</c:v>
                </c:pt>
                <c:pt idx="1029">
                  <c:v>3.1030422494247034E-2</c:v>
                </c:pt>
                <c:pt idx="1030">
                  <c:v>3.1025572290808157E-2</c:v>
                </c:pt>
                <c:pt idx="1031">
                  <c:v>3.1020465760249749E-2</c:v>
                </c:pt>
                <c:pt idx="1032">
                  <c:v>3.1014315855664165E-2</c:v>
                </c:pt>
                <c:pt idx="1033">
                  <c:v>3.1009483718333897E-2</c:v>
                </c:pt>
                <c:pt idx="1034">
                  <c:v>3.1003645996587892E-2</c:v>
                </c:pt>
                <c:pt idx="1035">
                  <c:v>3.0997814432636162E-2</c:v>
                </c:pt>
                <c:pt idx="1036">
                  <c:v>3.0991203601233863E-2</c:v>
                </c:pt>
                <c:pt idx="1037">
                  <c:v>3.0986283146869908E-2</c:v>
                </c:pt>
                <c:pt idx="1038">
                  <c:v>3.0980583425135322E-2</c:v>
                </c:pt>
                <c:pt idx="1039">
                  <c:v>3.097492765080645E-2</c:v>
                </c:pt>
                <c:pt idx="1040">
                  <c:v>3.0969315823883292E-2</c:v>
                </c:pt>
                <c:pt idx="1041">
                  <c:v>3.0963747944365849E-2</c:v>
                </c:pt>
                <c:pt idx="1042">
                  <c:v>3.0958224012094249E-2</c:v>
                </c:pt>
                <c:pt idx="1043">
                  <c:v>3.0952744027388235E-2</c:v>
                </c:pt>
                <c:pt idx="1044">
                  <c:v>3.0947307990007999E-2</c:v>
                </c:pt>
                <c:pt idx="1045">
                  <c:v>3.0941915900113415E-2</c:v>
                </c:pt>
                <c:pt idx="1046">
                  <c:v>3.0936567757544609E-2</c:v>
                </c:pt>
                <c:pt idx="1047">
                  <c:v>3.0931263562301581E-2</c:v>
                </c:pt>
                <c:pt idx="1048">
                  <c:v>3.092600331462414E-2</c:v>
                </c:pt>
                <c:pt idx="1049">
                  <c:v>3.092004541596971E-2</c:v>
                </c:pt>
                <c:pt idx="1050">
                  <c:v>3.0915614661166657E-2</c:v>
                </c:pt>
                <c:pt idx="1051">
                  <c:v>3.0910486255546488E-2</c:v>
                </c:pt>
                <c:pt idx="1052">
                  <c:v>3.0905401797252097E-2</c:v>
                </c:pt>
                <c:pt idx="1053">
                  <c:v>3.0900361286443356E-2</c:v>
                </c:pt>
                <c:pt idx="1054">
                  <c:v>3.0895364722880458E-2</c:v>
                </c:pt>
                <c:pt idx="1055">
                  <c:v>3.0890412106803211E-2</c:v>
                </c:pt>
                <c:pt idx="1056">
                  <c:v>3.0885503438051742E-2</c:v>
                </c:pt>
                <c:pt idx="1057">
                  <c:v>3.0880638716705988E-2</c:v>
                </c:pt>
                <c:pt idx="1058">
                  <c:v>3.0875817942765948E-2</c:v>
                </c:pt>
                <c:pt idx="1059">
                  <c:v>3.0871041116071751E-2</c:v>
                </c:pt>
                <c:pt idx="1060">
                  <c:v>3.0865635698757998E-2</c:v>
                </c:pt>
                <c:pt idx="1061">
                  <c:v>3.0861619304900501E-2</c:v>
                </c:pt>
                <c:pt idx="1062">
                  <c:v>3.0856314338754132E-2</c:v>
                </c:pt>
                <c:pt idx="1063">
                  <c:v>3.0852373283192236E-2</c:v>
                </c:pt>
                <c:pt idx="1064">
                  <c:v>3.0847816193366739E-2</c:v>
                </c:pt>
                <c:pt idx="1065">
                  <c:v>3.0843303050867021E-2</c:v>
                </c:pt>
                <c:pt idx="1066">
                  <c:v>3.0837565014820711E-2</c:v>
                </c:pt>
                <c:pt idx="1067">
                  <c:v>3.0832525526554022E-2</c:v>
                </c:pt>
                <c:pt idx="1068">
                  <c:v>3.0829404995120768E-2</c:v>
                </c:pt>
                <c:pt idx="1069">
                  <c:v>3.0825073920262014E-2</c:v>
                </c:pt>
                <c:pt idx="1070">
                  <c:v>3.0820786792729038E-2</c:v>
                </c:pt>
                <c:pt idx="1071">
                  <c:v>3.0816543612601777E-2</c:v>
                </c:pt>
                <c:pt idx="1072">
                  <c:v>3.081234437988023E-2</c:v>
                </c:pt>
                <c:pt idx="1073">
                  <c:v>3.080818909432459E-2</c:v>
                </c:pt>
                <c:pt idx="1074">
                  <c:v>3.0804077756174664E-2</c:v>
                </c:pt>
                <c:pt idx="1075">
                  <c:v>3.0800010365430452E-2</c:v>
                </c:pt>
                <c:pt idx="1076">
                  <c:v>3.0795986921932084E-2</c:v>
                </c:pt>
                <c:pt idx="1077">
                  <c:v>3.0792007425839429E-2</c:v>
                </c:pt>
                <c:pt idx="1078">
                  <c:v>3.0788071877072554E-2</c:v>
                </c:pt>
                <c:pt idx="1079">
                  <c:v>3.0784180275631456E-2</c:v>
                </c:pt>
                <c:pt idx="1080">
                  <c:v>3.0780332621516138E-2</c:v>
                </c:pt>
                <c:pt idx="1081">
                  <c:v>3.0776528914726597E-2</c:v>
                </c:pt>
                <c:pt idx="1082">
                  <c:v>3.0771703010330498E-2</c:v>
                </c:pt>
                <c:pt idx="1083">
                  <c:v>3.0769053343284725E-2</c:v>
                </c:pt>
                <c:pt idx="1084">
                  <c:v>3.0764860513841086E-2</c:v>
                </c:pt>
                <c:pt idx="1085">
                  <c:v>3.076175356106603E-2</c:v>
                </c:pt>
                <c:pt idx="1086">
                  <c:v>3.0758169590905382E-2</c:v>
                </c:pt>
                <c:pt idx="1087">
                  <c:v>3.0754629568070513E-2</c:v>
                </c:pt>
                <c:pt idx="1088">
                  <c:v>3.075063764080177E-2</c:v>
                </c:pt>
                <c:pt idx="1089">
                  <c:v>3.0747681364458046E-2</c:v>
                </c:pt>
                <c:pt idx="1090">
                  <c:v>3.0744273183680448E-2</c:v>
                </c:pt>
                <c:pt idx="1091">
                  <c:v>3.0740908950148693E-2</c:v>
                </c:pt>
                <c:pt idx="1092">
                  <c:v>3.0737588663942716E-2</c:v>
                </c:pt>
                <c:pt idx="1093">
                  <c:v>3.0734312325062518E-2</c:v>
                </c:pt>
                <c:pt idx="1094">
                  <c:v>3.0731079933508099E-2</c:v>
                </c:pt>
                <c:pt idx="1095">
                  <c:v>3.0727891489279457E-2</c:v>
                </c:pt>
                <c:pt idx="1096">
                  <c:v>3.0724746992296659E-2</c:v>
                </c:pt>
                <c:pt idx="1097">
                  <c:v>3.0721646442719575E-2</c:v>
                </c:pt>
                <c:pt idx="1098">
                  <c:v>3.0718589840388333E-2</c:v>
                </c:pt>
                <c:pt idx="1099">
                  <c:v>3.071557718538287E-2</c:v>
                </c:pt>
                <c:pt idx="1100">
                  <c:v>3.0712608477783121E-2</c:v>
                </c:pt>
                <c:pt idx="1101">
                  <c:v>3.070926948198327E-2</c:v>
                </c:pt>
                <c:pt idx="1102">
                  <c:v>3.0706802904241215E-2</c:v>
                </c:pt>
                <c:pt idx="1103">
                  <c:v>3.0703966038538866E-2</c:v>
                </c:pt>
                <c:pt idx="1104">
                  <c:v>3.0701173120002423E-2</c:v>
                </c:pt>
                <c:pt idx="1105">
                  <c:v>3.0698424148871695E-2</c:v>
                </c:pt>
                <c:pt idx="1106">
                  <c:v>3.0695719124986809E-2</c:v>
                </c:pt>
                <c:pt idx="1107">
                  <c:v>3.0693058048507638E-2</c:v>
                </c:pt>
                <c:pt idx="1108">
                  <c:v>3.0690440919274309E-2</c:v>
                </c:pt>
                <c:pt idx="1109">
                  <c:v>3.0687867737286822E-2</c:v>
                </c:pt>
                <c:pt idx="1110">
                  <c:v>3.0685338502625115E-2</c:v>
                </c:pt>
                <c:pt idx="1111">
                  <c:v>3.0682853215289185E-2</c:v>
                </c:pt>
                <c:pt idx="1112">
                  <c:v>3.0680066699870778E-2</c:v>
                </c:pt>
                <c:pt idx="1113">
                  <c:v>3.067801448243479E-2</c:v>
                </c:pt>
                <c:pt idx="1114">
                  <c:v>3.067566103699626E-2</c:v>
                </c:pt>
                <c:pt idx="1115">
                  <c:v>3.0673351538803573E-2</c:v>
                </c:pt>
                <c:pt idx="1116">
                  <c:v>3.0671085987936664E-2</c:v>
                </c:pt>
                <c:pt idx="1117">
                  <c:v>3.0668864384395533E-2</c:v>
                </c:pt>
                <c:pt idx="1118">
                  <c:v>3.0666072612541839E-2</c:v>
                </c:pt>
                <c:pt idx="1119">
                  <c:v>3.0664251791048258E-2</c:v>
                </c:pt>
                <c:pt idx="1120">
                  <c:v>3.0662463257327133E-2</c:v>
                </c:pt>
                <c:pt idx="1121">
                  <c:v>3.0660417442929244E-2</c:v>
                </c:pt>
                <c:pt idx="1122">
                  <c:v>3.0658415575857134E-2</c:v>
                </c:pt>
                <c:pt idx="1123">
                  <c:v>3.0656457655950931E-2</c:v>
                </c:pt>
                <c:pt idx="1124">
                  <c:v>3.0654543683450441E-2</c:v>
                </c:pt>
                <c:pt idx="1125">
                  <c:v>3.0652673658115859E-2</c:v>
                </c:pt>
                <c:pt idx="1126">
                  <c:v>3.0650847580186991E-2</c:v>
                </c:pt>
                <c:pt idx="1127">
                  <c:v>3.0649065449424029E-2</c:v>
                </c:pt>
                <c:pt idx="1128">
                  <c:v>3.0647327266066782E-2</c:v>
                </c:pt>
                <c:pt idx="1129">
                  <c:v>3.0645633029955377E-2</c:v>
                </c:pt>
                <c:pt idx="1130">
                  <c:v>3.0643982741089815E-2</c:v>
                </c:pt>
                <c:pt idx="1131">
                  <c:v>3.0642376399550031E-2</c:v>
                </c:pt>
                <c:pt idx="1132">
                  <c:v>3.0640375678840925E-2</c:v>
                </c:pt>
                <c:pt idx="1133">
                  <c:v>3.0639295558207991E-2</c:v>
                </c:pt>
                <c:pt idx="1134">
                  <c:v>3.0637821058565606E-2</c:v>
                </c:pt>
                <c:pt idx="1135">
                  <c:v>3.0636390506169064E-2</c:v>
                </c:pt>
                <c:pt idx="1136">
                  <c:v>3.0635003900938429E-2</c:v>
                </c:pt>
                <c:pt idx="1137">
                  <c:v>3.0633473022314561E-2</c:v>
                </c:pt>
                <c:pt idx="1138">
                  <c:v>3.063236253253443E-2</c:v>
                </c:pt>
                <c:pt idx="1139">
                  <c:v>3.0631107769201193E-2</c:v>
                </c:pt>
                <c:pt idx="1140">
                  <c:v>3.0629727566928722E-2</c:v>
                </c:pt>
                <c:pt idx="1141">
                  <c:v>3.0628730084352185E-2</c:v>
                </c:pt>
                <c:pt idx="1142">
                  <c:v>3.0627607162836412E-2</c:v>
                </c:pt>
                <c:pt idx="1143">
                  <c:v>3.0626528188726354E-2</c:v>
                </c:pt>
                <c:pt idx="1144">
                  <c:v>3.0625493161702266E-2</c:v>
                </c:pt>
                <c:pt idx="1145">
                  <c:v>3.0624502082083893E-2</c:v>
                </c:pt>
                <c:pt idx="1146">
                  <c:v>3.0623554949711362E-2</c:v>
                </c:pt>
                <c:pt idx="1147">
                  <c:v>3.062265176466461E-2</c:v>
                </c:pt>
                <c:pt idx="1148">
                  <c:v>3.06217925268637E-2</c:v>
                </c:pt>
                <c:pt idx="1149">
                  <c:v>3.0620977236228697E-2</c:v>
                </c:pt>
                <c:pt idx="1150">
                  <c:v>3.0620205892919472E-2</c:v>
                </c:pt>
                <c:pt idx="1151">
                  <c:v>3.0619478496936026E-2</c:v>
                </c:pt>
                <c:pt idx="1152">
                  <c:v>3.0618795048198422E-2</c:v>
                </c:pt>
                <c:pt idx="1153">
                  <c:v>3.0618067776915225E-2</c:v>
                </c:pt>
                <c:pt idx="1154">
                  <c:v>3.0617559992540677E-2</c:v>
                </c:pt>
                <c:pt idx="1155">
                  <c:v>3.0617008385700473E-2</c:v>
                </c:pt>
                <c:pt idx="1156">
                  <c:v>3.0616500726026175E-2</c:v>
                </c:pt>
                <c:pt idx="1157">
                  <c:v>3.0616037013677655E-2</c:v>
                </c:pt>
                <c:pt idx="1158">
                  <c:v>3.0615617248574978E-2</c:v>
                </c:pt>
                <c:pt idx="1159">
                  <c:v>3.0615241430798079E-2</c:v>
                </c:pt>
                <c:pt idx="1160">
                  <c:v>3.0614909560187087E-2</c:v>
                </c:pt>
                <c:pt idx="1161">
                  <c:v>3.0614621636901873E-2</c:v>
                </c:pt>
                <c:pt idx="1162">
                  <c:v>3.0614377660942438E-2</c:v>
                </c:pt>
                <c:pt idx="1163">
                  <c:v>3.0614177632228845E-2</c:v>
                </c:pt>
                <c:pt idx="1164">
                  <c:v>3.0614021550761095E-2</c:v>
                </c:pt>
                <c:pt idx="1165">
                  <c:v>3.0613909416619123E-2</c:v>
                </c:pt>
                <c:pt idx="1166">
                  <c:v>3.0613841229722993E-2</c:v>
                </c:pt>
                <c:pt idx="1167">
                  <c:v>3.0613816990072706E-2</c:v>
                </c:pt>
                <c:pt idx="1168">
                  <c:v>3.0613836697668262E-2</c:v>
                </c:pt>
                <c:pt idx="1169">
                  <c:v>3.0613900352589596E-2</c:v>
                </c:pt>
                <c:pt idx="1170">
                  <c:v>3.0614046770187642E-2</c:v>
                </c:pt>
                <c:pt idx="1171">
                  <c:v>3.0614210875956616E-2</c:v>
                </c:pt>
                <c:pt idx="1172">
                  <c:v>3.0614386516498726E-2</c:v>
                </c:pt>
                <c:pt idx="1173">
                  <c:v>3.0614632238741279E-2</c:v>
                </c:pt>
                <c:pt idx="1174">
                  <c:v>3.0614966877058336E-2</c:v>
                </c:pt>
                <c:pt idx="1175">
                  <c:v>3.0615255524883978E-2</c:v>
                </c:pt>
                <c:pt idx="1176">
                  <c:v>3.0615633088864058E-2</c:v>
                </c:pt>
                <c:pt idx="1177">
                  <c:v>3.0616054600169917E-2</c:v>
                </c:pt>
                <c:pt idx="1178">
                  <c:v>3.061659014026219E-2</c:v>
                </c:pt>
                <c:pt idx="1179">
                  <c:v>3.0617029464439227E-2</c:v>
                </c:pt>
                <c:pt idx="1180">
                  <c:v>3.0617582817642486E-2</c:v>
                </c:pt>
                <c:pt idx="1181">
                  <c:v>3.0618180117931715E-2</c:v>
                </c:pt>
                <c:pt idx="1182">
                  <c:v>3.0618821365546722E-2</c:v>
                </c:pt>
                <c:pt idx="1183">
                  <c:v>3.0619506560407572E-2</c:v>
                </c:pt>
                <c:pt idx="1184">
                  <c:v>3.0620235702594201E-2</c:v>
                </c:pt>
                <c:pt idx="1185">
                  <c:v>3.0621008792106608E-2</c:v>
                </c:pt>
                <c:pt idx="1186">
                  <c:v>3.0621825828784921E-2</c:v>
                </c:pt>
                <c:pt idx="1187">
                  <c:v>3.0625674555322391E-2</c:v>
                </c:pt>
                <c:pt idx="1188">
                  <c:v>3.0623591744038947E-2</c:v>
                </c:pt>
                <c:pt idx="1189">
                  <c:v>3.0624679764272855E-2</c:v>
                </c:pt>
                <c:pt idx="1190">
                  <c:v>3.0625531690162688E-2</c:v>
                </c:pt>
                <c:pt idx="1191">
                  <c:v>3.0626515715104219E-2</c:v>
                </c:pt>
                <c:pt idx="1192">
                  <c:v>3.0627603702324535E-2</c:v>
                </c:pt>
                <c:pt idx="1193">
                  <c:v>3.0628394064020625E-2</c:v>
                </c:pt>
                <c:pt idx="1194">
                  <c:v>3.0629288388075437E-2</c:v>
                </c:pt>
                <c:pt idx="1195">
                  <c:v>3.0630152811808031E-2</c:v>
                </c:pt>
                <c:pt idx="1196">
                  <c:v>3.0630987335298343E-2</c:v>
                </c:pt>
                <c:pt idx="1197">
                  <c:v>3.0631791958546373E-2</c:v>
                </c:pt>
                <c:pt idx="1198">
                  <c:v>3.063256668155212E-2</c:v>
                </c:pt>
                <c:pt idx="1199">
                  <c:v>3.0633311504315586E-2</c:v>
                </c:pt>
                <c:pt idx="1200">
                  <c:v>3.0634026426676897E-2</c:v>
                </c:pt>
                <c:pt idx="1201">
                  <c:v>3.0634711448875862E-2</c:v>
                </c:pt>
                <c:pt idx="1202">
                  <c:v>3.0635366570752609E-2</c:v>
                </c:pt>
                <c:pt idx="1203">
                  <c:v>3.0635991792387074E-2</c:v>
                </c:pt>
                <c:pt idx="1204">
                  <c:v>3.0636587113779257E-2</c:v>
                </c:pt>
                <c:pt idx="1205">
                  <c:v>3.063723086850878E-2</c:v>
                </c:pt>
                <c:pt idx="1206">
                  <c:v>3.063776211787328E-2</c:v>
                </c:pt>
                <c:pt idx="1207">
                  <c:v>3.063819367634224E-2</c:v>
                </c:pt>
                <c:pt idx="1208">
                  <c:v>3.0638669396605422E-2</c:v>
                </c:pt>
                <c:pt idx="1209">
                  <c:v>3.0639115216626323E-2</c:v>
                </c:pt>
                <c:pt idx="1210">
                  <c:v>3.0639531136325004E-2</c:v>
                </c:pt>
                <c:pt idx="1211">
                  <c:v>3.0639917155781404E-2</c:v>
                </c:pt>
                <c:pt idx="1212">
                  <c:v>3.0640321708332863E-2</c:v>
                </c:pt>
                <c:pt idx="1213">
                  <c:v>3.0640599493887422E-2</c:v>
                </c:pt>
                <c:pt idx="1214">
                  <c:v>3.0640895812616975E-2</c:v>
                </c:pt>
                <c:pt idx="1215">
                  <c:v>3.0641162230944374E-2</c:v>
                </c:pt>
                <c:pt idx="1216">
                  <c:v>3.0641430096594036E-2</c:v>
                </c:pt>
                <c:pt idx="1217">
                  <c:v>3.0641605367032199E-2</c:v>
                </c:pt>
                <c:pt idx="1218">
                  <c:v>3.0641782084552815E-2</c:v>
                </c:pt>
                <c:pt idx="1219">
                  <c:v>3.064192890183115E-2</c:v>
                </c:pt>
                <c:pt idx="1220">
                  <c:v>3.0642045818947139E-2</c:v>
                </c:pt>
                <c:pt idx="1221">
                  <c:v>3.0642132835660973E-2</c:v>
                </c:pt>
                <c:pt idx="1222">
                  <c:v>3.0644813327889153E-2</c:v>
                </c:pt>
                <c:pt idx="1223">
                  <c:v>3.0644827732180246E-2</c:v>
                </c:pt>
                <c:pt idx="1224">
                  <c:v>3.0642211660047991E-2</c:v>
                </c:pt>
                <c:pt idx="1225">
                  <c:v>3.0642174804249578E-2</c:v>
                </c:pt>
                <c:pt idx="1226">
                  <c:v>3.0642108048128947E-2</c:v>
                </c:pt>
                <c:pt idx="1227">
                  <c:v>3.0642011391845969E-2</c:v>
                </c:pt>
                <c:pt idx="1228">
                  <c:v>3.0641884835240774E-2</c:v>
                </c:pt>
                <c:pt idx="1229">
                  <c:v>3.0641728378393296E-2</c:v>
                </c:pt>
                <c:pt idx="1230">
                  <c:v>3.06415420212236E-2</c:v>
                </c:pt>
                <c:pt idx="1231">
                  <c:v>3.0641325763811622E-2</c:v>
                </c:pt>
                <c:pt idx="1232">
                  <c:v>3.0641079606157362E-2</c:v>
                </c:pt>
                <c:pt idx="1233">
                  <c:v>3.0640803548100948E-2</c:v>
                </c:pt>
                <c:pt idx="1234">
                  <c:v>3.0640497589962123E-2</c:v>
                </c:pt>
                <c:pt idx="1235">
                  <c:v>3.0640161731421145E-2</c:v>
                </c:pt>
                <c:pt idx="1236">
                  <c:v>3.0639795972637884E-2</c:v>
                </c:pt>
                <c:pt idx="1237">
                  <c:v>3.0644496974161939E-2</c:v>
                </c:pt>
                <c:pt idx="1238">
                  <c:v>3.0638718152964373E-2</c:v>
                </c:pt>
                <c:pt idx="1239">
                  <c:v>3.0638245607521597E-2</c:v>
                </c:pt>
                <c:pt idx="1240">
                  <c:v>3.0637668943045426E-2</c:v>
                </c:pt>
                <c:pt idx="1241">
                  <c:v>3.0637210815829263E-2</c:v>
                </c:pt>
                <c:pt idx="1242">
                  <c:v>3.0636648569499769E-2</c:v>
                </c:pt>
                <c:pt idx="1243">
                  <c:v>3.0635969389827267E-2</c:v>
                </c:pt>
                <c:pt idx="1244">
                  <c:v>3.0635434376273807E-2</c:v>
                </c:pt>
                <c:pt idx="1245">
                  <c:v>3.063478242913753E-2</c:v>
                </c:pt>
                <c:pt idx="1246">
                  <c:v>3.0634100581838908E-2</c:v>
                </c:pt>
                <c:pt idx="1247">
                  <c:v>3.0633388834218067E-2</c:v>
                </c:pt>
                <c:pt idx="1248">
                  <c:v>3.0632647186354944E-2</c:v>
                </c:pt>
                <c:pt idx="1249">
                  <c:v>3.0631875638169603E-2</c:v>
                </c:pt>
                <c:pt idx="1250">
                  <c:v>3.0631074189821916E-2</c:v>
                </c:pt>
                <c:pt idx="1251">
                  <c:v>3.0630242841072075E-2</c:v>
                </c:pt>
                <c:pt idx="1252">
                  <c:v>3.0629381592159888E-2</c:v>
                </c:pt>
                <c:pt idx="1253">
                  <c:v>3.0628490442925482E-2</c:v>
                </c:pt>
                <c:pt idx="1254">
                  <c:v>3.0627569393448795E-2</c:v>
                </c:pt>
                <c:pt idx="1255">
                  <c:v>3.0626618443649889E-2</c:v>
                </c:pt>
                <c:pt idx="1256">
                  <c:v>3.0625495031326722E-2</c:v>
                </c:pt>
                <c:pt idx="1257">
                  <c:v>3.0624626843325231E-2</c:v>
                </c:pt>
                <c:pt idx="1258">
                  <c:v>3.0623586192799479E-2</c:v>
                </c:pt>
                <c:pt idx="1259">
                  <c:v>3.0622515641951509E-2</c:v>
                </c:pt>
                <c:pt idx="1260">
                  <c:v>3.0621415190861256E-2</c:v>
                </c:pt>
                <c:pt idx="1261">
                  <c:v>3.0620284839608658E-2</c:v>
                </c:pt>
                <c:pt idx="1262">
                  <c:v>3.0619124587953905E-2</c:v>
                </c:pt>
                <c:pt idx="1263">
                  <c:v>3.0617934436056871E-2</c:v>
                </c:pt>
                <c:pt idx="1264">
                  <c:v>3.0616714383837618E-2</c:v>
                </c:pt>
                <c:pt idx="1265">
                  <c:v>3.0615464431456019E-2</c:v>
                </c:pt>
                <c:pt idx="1266">
                  <c:v>3.0614184578752202E-2</c:v>
                </c:pt>
                <c:pt idx="1267">
                  <c:v>3.0612874825806102E-2</c:v>
                </c:pt>
                <c:pt idx="1268">
                  <c:v>3.0611535172617721E-2</c:v>
                </c:pt>
                <c:pt idx="1269">
                  <c:v>3.0610165619107121E-2</c:v>
                </c:pt>
                <c:pt idx="1270">
                  <c:v>3.0608563802587696E-2</c:v>
                </c:pt>
                <c:pt idx="1271">
                  <c:v>3.0607336811439012E-2</c:v>
                </c:pt>
                <c:pt idx="1272">
                  <c:v>3.060587755712163E-2</c:v>
                </c:pt>
                <c:pt idx="1273">
                  <c:v>3.0604388402641902E-2</c:v>
                </c:pt>
                <c:pt idx="1274">
                  <c:v>3.0603620202938053E-2</c:v>
                </c:pt>
                <c:pt idx="1275">
                  <c:v>3.0601096672713268E-2</c:v>
                </c:pt>
                <c:pt idx="1276">
                  <c:v>3.0599741537509217E-2</c:v>
                </c:pt>
                <c:pt idx="1277">
                  <c:v>3.0598132781900489E-2</c:v>
                </c:pt>
                <c:pt idx="1278">
                  <c:v>3.0596494125969542E-2</c:v>
                </c:pt>
                <c:pt idx="1279">
                  <c:v>3.0594825570036122E-2</c:v>
                </c:pt>
                <c:pt idx="1280">
                  <c:v>3.0593127113700547E-2</c:v>
                </c:pt>
                <c:pt idx="1281">
                  <c:v>3.0591398756962818E-2</c:v>
                </c:pt>
                <c:pt idx="1282">
                  <c:v>3.0589640500142679E-2</c:v>
                </c:pt>
                <c:pt idx="1283">
                  <c:v>3.0587852343000321E-2</c:v>
                </c:pt>
                <c:pt idx="1284">
                  <c:v>3.0586034285615682E-2</c:v>
                </c:pt>
                <c:pt idx="1285">
                  <c:v>3.058418632798876E-2</c:v>
                </c:pt>
                <c:pt idx="1286">
                  <c:v>3.0582308470199493E-2</c:v>
                </c:pt>
                <c:pt idx="1287">
                  <c:v>3.0579850146335019E-2</c:v>
                </c:pt>
                <c:pt idx="1288">
                  <c:v>3.0578463053574367E-2</c:v>
                </c:pt>
                <c:pt idx="1289">
                  <c:v>3.0576495494898381E-2</c:v>
                </c:pt>
                <c:pt idx="1290">
                  <c:v>3.0574498035980113E-2</c:v>
                </c:pt>
                <c:pt idx="1291">
                  <c:v>3.0572470676739627E-2</c:v>
                </c:pt>
                <c:pt idx="1292">
                  <c:v>3.0570117082300285E-2</c:v>
                </c:pt>
                <c:pt idx="1293">
                  <c:v>3.056832625769168E-2</c:v>
                </c:pt>
                <c:pt idx="1294">
                  <c:v>3.0566209197724348E-2</c:v>
                </c:pt>
                <c:pt idx="1295">
                  <c:v>3.0564062237594669E-2</c:v>
                </c:pt>
                <c:pt idx="1296">
                  <c:v>3.056157195625353E-2</c:v>
                </c:pt>
                <c:pt idx="1297">
                  <c:v>3.0559678616448593E-2</c:v>
                </c:pt>
                <c:pt idx="1298">
                  <c:v>3.0557441955512132E-2</c:v>
                </c:pt>
                <c:pt idx="1299">
                  <c:v>3.0555175394333389E-2</c:v>
                </c:pt>
                <c:pt idx="1300">
                  <c:v>3.0552878932832428E-2</c:v>
                </c:pt>
                <c:pt idx="1301">
                  <c:v>3.0550552571169121E-2</c:v>
                </c:pt>
                <c:pt idx="1302">
                  <c:v>3.0548196309263531E-2</c:v>
                </c:pt>
                <c:pt idx="1303">
                  <c:v>3.0545810147035724E-2</c:v>
                </c:pt>
                <c:pt idx="1304">
                  <c:v>3.054339408464557E-2</c:v>
                </c:pt>
                <c:pt idx="1305">
                  <c:v>3.0540948122013134E-2</c:v>
                </c:pt>
                <c:pt idx="1306">
                  <c:v>3.053847225905848E-2</c:v>
                </c:pt>
                <c:pt idx="1307">
                  <c:v>3.0535966495861544E-2</c:v>
                </c:pt>
                <c:pt idx="1308">
                  <c:v>3.0533430832422326E-2</c:v>
                </c:pt>
                <c:pt idx="1309">
                  <c:v>3.0530496318910139E-2</c:v>
                </c:pt>
                <c:pt idx="1310">
                  <c:v>3.0528269804896979E-2</c:v>
                </c:pt>
                <c:pt idx="1311">
                  <c:v>3.0525644440810851E-2</c:v>
                </c:pt>
                <c:pt idx="1312">
                  <c:v>3.0522989176402504E-2</c:v>
                </c:pt>
                <c:pt idx="1313">
                  <c:v>3.0520304011751875E-2</c:v>
                </c:pt>
                <c:pt idx="1314">
                  <c:v>3.0517588946858965E-2</c:v>
                </c:pt>
                <c:pt idx="1315">
                  <c:v>3.0514843981803708E-2</c:v>
                </c:pt>
                <c:pt idx="1316">
                  <c:v>3.0512069116346296E-2</c:v>
                </c:pt>
                <c:pt idx="1317">
                  <c:v>3.0509264350806475E-2</c:v>
                </c:pt>
                <c:pt idx="1318">
                  <c:v>3.0506429684944436E-2</c:v>
                </c:pt>
                <c:pt idx="1319">
                  <c:v>3.0503565118920051E-2</c:v>
                </c:pt>
                <c:pt idx="1320">
                  <c:v>3.0500254716647746E-2</c:v>
                </c:pt>
                <c:pt idx="1321">
                  <c:v>3.0497746286064498E-2</c:v>
                </c:pt>
                <c:pt idx="1322">
                  <c:v>3.0494367540381262E-2</c:v>
                </c:pt>
                <c:pt idx="1323">
                  <c:v>3.0491807852319752E-2</c:v>
                </c:pt>
                <c:pt idx="1324">
                  <c:v>3.0488793785083956E-2</c:v>
                </c:pt>
                <c:pt idx="1325">
                  <c:v>3.0485749817605878E-2</c:v>
                </c:pt>
                <c:pt idx="1326">
                  <c:v>3.048179221008418E-2</c:v>
                </c:pt>
                <c:pt idx="1327">
                  <c:v>3.0478232842563457E-2</c:v>
                </c:pt>
                <c:pt idx="1328">
                  <c:v>3.0475988406086785E-2</c:v>
                </c:pt>
                <c:pt idx="1329">
                  <c:v>3.0472820566256331E-2</c:v>
                </c:pt>
                <c:pt idx="1330">
                  <c:v>3.0469622826103659E-2</c:v>
                </c:pt>
                <c:pt idx="1331">
                  <c:v>3.0466395185788642E-2</c:v>
                </c:pt>
                <c:pt idx="1332">
                  <c:v>3.0463137645231342E-2</c:v>
                </c:pt>
                <c:pt idx="1333">
                  <c:v>3.0459850204511696E-2</c:v>
                </c:pt>
                <c:pt idx="1334">
                  <c:v>3.0456532863469832E-2</c:v>
                </c:pt>
                <c:pt idx="1335">
                  <c:v>3.0453185622265622E-2</c:v>
                </c:pt>
                <c:pt idx="1336">
                  <c:v>3.0449808480819129E-2</c:v>
                </c:pt>
                <c:pt idx="1337">
                  <c:v>3.0446401439210291E-2</c:v>
                </c:pt>
                <c:pt idx="1338">
                  <c:v>3.0442964497279235E-2</c:v>
                </c:pt>
                <c:pt idx="1339">
                  <c:v>3.0439497655185832E-2</c:v>
                </c:pt>
                <c:pt idx="1340">
                  <c:v>3.0436000912850147E-2</c:v>
                </c:pt>
                <c:pt idx="1341">
                  <c:v>3.0432474270272181E-2</c:v>
                </c:pt>
                <c:pt idx="1342">
                  <c:v>3.042789608060481E-2</c:v>
                </c:pt>
                <c:pt idx="1343">
                  <c:v>3.0425331284469337E-2</c:v>
                </c:pt>
                <c:pt idx="1344">
                  <c:v>3.0421195879970497E-2</c:v>
                </c:pt>
                <c:pt idx="1345">
                  <c:v>3.0418068697857237E-2</c:v>
                </c:pt>
                <c:pt idx="1346">
                  <c:v>3.0414392554227732E-2</c:v>
                </c:pt>
                <c:pt idx="1347">
                  <c:v>3.041068651043588E-2</c:v>
                </c:pt>
                <c:pt idx="1348">
                  <c:v>3.0406414419195116E-2</c:v>
                </c:pt>
                <c:pt idx="1349">
                  <c:v>3.0403184722045395E-2</c:v>
                </c:pt>
                <c:pt idx="1350">
                  <c:v>3.0399388977526698E-2</c:v>
                </c:pt>
                <c:pt idx="1351">
                  <c:v>3.0395563332845654E-2</c:v>
                </c:pt>
                <c:pt idx="1352">
                  <c:v>3.0391707787922329E-2</c:v>
                </c:pt>
                <c:pt idx="1353">
                  <c:v>3.0387822342756721E-2</c:v>
                </c:pt>
                <c:pt idx="1354">
                  <c:v>3.0383906997508703E-2</c:v>
                </c:pt>
                <c:pt idx="1355">
                  <c:v>3.0379961752018403E-2</c:v>
                </c:pt>
                <c:pt idx="1356">
                  <c:v>3.0375986606205885E-2</c:v>
                </c:pt>
                <c:pt idx="1357">
                  <c:v>3.0371981560310957E-2</c:v>
                </c:pt>
                <c:pt idx="1358">
                  <c:v>3.0367946614173746E-2</c:v>
                </c:pt>
                <c:pt idx="1359">
                  <c:v>3.0363881767714318E-2</c:v>
                </c:pt>
                <c:pt idx="1360">
                  <c:v>3.0359787021252416E-2</c:v>
                </c:pt>
                <c:pt idx="1361">
                  <c:v>3.0355070698400155E-2</c:v>
                </c:pt>
                <c:pt idx="1362">
                  <c:v>3.0351507827521829E-2</c:v>
                </c:pt>
                <c:pt idx="1363">
                  <c:v>3.0347323380253144E-2</c:v>
                </c:pt>
                <c:pt idx="1364">
                  <c:v>3.0343109032981985E-2</c:v>
                </c:pt>
                <c:pt idx="1365">
                  <c:v>3.0338864785468544E-2</c:v>
                </c:pt>
                <c:pt idx="1366">
                  <c:v>3.0334590637712822E-2</c:v>
                </c:pt>
                <c:pt idx="1367">
                  <c:v>3.0330286589794753E-2</c:v>
                </c:pt>
                <c:pt idx="1368">
                  <c:v>3.0325952641634402E-2</c:v>
                </c:pt>
                <c:pt idx="1369">
                  <c:v>3.0321588793231768E-2</c:v>
                </c:pt>
                <c:pt idx="1370">
                  <c:v>3.0317195044826661E-2</c:v>
                </c:pt>
                <c:pt idx="1371">
                  <c:v>3.03127713960194E-2</c:v>
                </c:pt>
                <c:pt idx="1372">
                  <c:v>3.030767918504651E-2</c:v>
                </c:pt>
                <c:pt idx="1373">
                  <c:v>3.0303834398077711E-2</c:v>
                </c:pt>
                <c:pt idx="1374">
                  <c:v>3.0299321048783412E-2</c:v>
                </c:pt>
                <c:pt idx="1375">
                  <c:v>3.0294777799326766E-2</c:v>
                </c:pt>
                <c:pt idx="1376">
                  <c:v>3.0290204649707775E-2</c:v>
                </c:pt>
                <c:pt idx="1377">
                  <c:v>3.0285601599846501E-2</c:v>
                </c:pt>
                <c:pt idx="1378">
                  <c:v>3.0279639457946317E-2</c:v>
                </c:pt>
                <c:pt idx="1379">
                  <c:v>3.0275637237391351E-2</c:v>
                </c:pt>
                <c:pt idx="1380">
                  <c:v>3.0271613049288604E-2</c:v>
                </c:pt>
                <c:pt idx="1381">
                  <c:v>3.0266890398777946E-2</c:v>
                </c:pt>
                <c:pt idx="1382">
                  <c:v>3.0262137848104942E-2</c:v>
                </c:pt>
                <c:pt idx="1383">
                  <c:v>3.025735539710972E-2</c:v>
                </c:pt>
                <c:pt idx="1384">
                  <c:v>3.0252543046032088E-2</c:v>
                </c:pt>
                <c:pt idx="1385">
                  <c:v>3.0247700794872046E-2</c:v>
                </c:pt>
                <c:pt idx="1386">
                  <c:v>3.0242828643309849E-2</c:v>
                </c:pt>
                <c:pt idx="1387">
                  <c:v>3.0237926591825115E-2</c:v>
                </c:pt>
                <c:pt idx="1388">
                  <c:v>3.0232994639938227E-2</c:v>
                </c:pt>
                <c:pt idx="1389">
                  <c:v>3.02280327881288E-2</c:v>
                </c:pt>
                <c:pt idx="1390">
                  <c:v>3.0223041035997156E-2</c:v>
                </c:pt>
                <c:pt idx="1391">
                  <c:v>3.0218019383703165E-2</c:v>
                </c:pt>
                <c:pt idx="1392">
                  <c:v>3.0212967831326765E-2</c:v>
                </c:pt>
                <c:pt idx="1393">
                  <c:v>3.0206429043175831E-2</c:v>
                </c:pt>
                <c:pt idx="1394">
                  <c:v>3.0202775025927053E-2</c:v>
                </c:pt>
                <c:pt idx="1395">
                  <c:v>3.0197633772983679E-2</c:v>
                </c:pt>
                <c:pt idx="1396">
                  <c:v>3.0191721442918151E-2</c:v>
                </c:pt>
                <c:pt idx="1397">
                  <c:v>3.0187261566609891E-2</c:v>
                </c:pt>
                <c:pt idx="1398">
                  <c:v>3.0182030613179478E-2</c:v>
                </c:pt>
                <c:pt idx="1399">
                  <c:v>3.0176769759666655E-2</c:v>
                </c:pt>
                <c:pt idx="1400">
                  <c:v>3.0170720743099011E-2</c:v>
                </c:pt>
                <c:pt idx="1401">
                  <c:v>3.0166158352074035E-2</c:v>
                </c:pt>
                <c:pt idx="1402">
                  <c:v>3.0160807798074174E-2</c:v>
                </c:pt>
                <c:pt idx="1403">
                  <c:v>3.0155427343911967E-2</c:v>
                </c:pt>
                <c:pt idx="1404">
                  <c:v>3.0150016989587414E-2</c:v>
                </c:pt>
                <c:pt idx="1405">
                  <c:v>3.0144576735100514E-2</c:v>
                </c:pt>
                <c:pt idx="1406">
                  <c:v>3.0139106580531205E-2</c:v>
                </c:pt>
                <c:pt idx="1407">
                  <c:v>3.0133606525719614E-2</c:v>
                </c:pt>
                <c:pt idx="1408">
                  <c:v>3.0128076570745677E-2</c:v>
                </c:pt>
                <c:pt idx="1409">
                  <c:v>3.0122516715769265E-2</c:v>
                </c:pt>
                <c:pt idx="1410">
                  <c:v>3.0116926960470636E-2</c:v>
                </c:pt>
                <c:pt idx="1411">
                  <c:v>3.0111307305249468E-2</c:v>
                </c:pt>
                <c:pt idx="1412">
                  <c:v>3.0105657749786019E-2</c:v>
                </c:pt>
                <c:pt idx="1413">
                  <c:v>3.0099164502486175E-2</c:v>
                </c:pt>
                <c:pt idx="1414">
                  <c:v>3.0094268938372082E-2</c:v>
                </c:pt>
                <c:pt idx="1415">
                  <c:v>3.008852968250153E-2</c:v>
                </c:pt>
                <c:pt idx="1416">
                  <c:v>3.0082760526388697E-2</c:v>
                </c:pt>
                <c:pt idx="1417">
                  <c:v>3.0076961470273389E-2</c:v>
                </c:pt>
                <c:pt idx="1418">
                  <c:v>3.0071132514075671E-2</c:v>
                </c:pt>
                <c:pt idx="1419">
                  <c:v>3.0065273657635672E-2</c:v>
                </c:pt>
                <c:pt idx="1420">
                  <c:v>3.0059384901033326E-2</c:v>
                </c:pt>
                <c:pt idx="1421">
                  <c:v>3.0053466244508442E-2</c:v>
                </c:pt>
                <c:pt idx="1422">
                  <c:v>3.004751768766134E-2</c:v>
                </c:pt>
                <c:pt idx="1423">
                  <c:v>3.0041539230731829E-2</c:v>
                </c:pt>
                <c:pt idx="1424">
                  <c:v>3.0034670096110716E-2</c:v>
                </c:pt>
                <c:pt idx="1425">
                  <c:v>3.0029492616625575E-2</c:v>
                </c:pt>
                <c:pt idx="1426">
                  <c:v>3.0023424459288961E-2</c:v>
                </c:pt>
                <c:pt idx="1427">
                  <c:v>3.0017326401869937E-2</c:v>
                </c:pt>
                <c:pt idx="1428">
                  <c:v>3.0011198444448439E-2</c:v>
                </c:pt>
                <c:pt idx="1429">
                  <c:v>3.0005040586704723E-2</c:v>
                </c:pt>
                <c:pt idx="1430">
                  <c:v>2.9997079406509641E-2</c:v>
                </c:pt>
                <c:pt idx="1431">
                  <c:v>2.9991744493518269E-2</c:v>
                </c:pt>
                <c:pt idx="1432">
                  <c:v>2.9986387613298859E-2</c:v>
                </c:pt>
                <c:pt idx="1433">
                  <c:v>2.9980110155225503E-2</c:v>
                </c:pt>
                <c:pt idx="1434">
                  <c:v>2.9973802797149673E-2</c:v>
                </c:pt>
                <c:pt idx="1435">
                  <c:v>2.9967465538751625E-2</c:v>
                </c:pt>
                <c:pt idx="1436">
                  <c:v>2.9961098380351103E-2</c:v>
                </c:pt>
                <c:pt idx="1437">
                  <c:v>2.9954701321948107E-2</c:v>
                </c:pt>
                <c:pt idx="1438">
                  <c:v>2.9948274363302829E-2</c:v>
                </c:pt>
                <c:pt idx="1439">
                  <c:v>2.9941817504735013E-2</c:v>
                </c:pt>
                <c:pt idx="1440">
                  <c:v>2.9935330745844979E-2</c:v>
                </c:pt>
                <c:pt idx="1441">
                  <c:v>2.9928814087112343E-2</c:v>
                </c:pt>
                <c:pt idx="1442">
                  <c:v>2.9922267528137425E-2</c:v>
                </c:pt>
                <c:pt idx="1443">
                  <c:v>2.9913806588828251E-2</c:v>
                </c:pt>
                <c:pt idx="1444">
                  <c:v>2.9909084709940359E-2</c:v>
                </c:pt>
                <c:pt idx="1445">
                  <c:v>2.9902448450638275E-2</c:v>
                </c:pt>
                <c:pt idx="1446">
                  <c:v>2.9895782291413653E-2</c:v>
                </c:pt>
                <c:pt idx="1447">
                  <c:v>2.9889086231946749E-2</c:v>
                </c:pt>
                <c:pt idx="1448">
                  <c:v>2.9882360272477371E-2</c:v>
                </c:pt>
                <c:pt idx="1449">
                  <c:v>2.9874636849296365E-2</c:v>
                </c:pt>
                <c:pt idx="1450">
                  <c:v>2.986882006688063E-2</c:v>
                </c:pt>
                <c:pt idx="1451">
                  <c:v>2.9862046814361776E-2</c:v>
                </c:pt>
                <c:pt idx="1452">
                  <c:v>2.9854342039943305E-2</c:v>
                </c:pt>
                <c:pt idx="1453">
                  <c:v>2.9848588719243452E-2</c:v>
                </c:pt>
                <c:pt idx="1454">
                  <c:v>2.9841903876723919E-2</c:v>
                </c:pt>
                <c:pt idx="1455">
                  <c:v>2.9835248504070933E-2</c:v>
                </c:pt>
                <c:pt idx="1456">
                  <c:v>2.9828622601524302E-2</c:v>
                </c:pt>
                <c:pt idx="1457">
                  <c:v>2.982202616900409E-2</c:v>
                </c:pt>
                <c:pt idx="1458">
                  <c:v>2.9815459206350425E-2</c:v>
                </c:pt>
                <c:pt idx="1459">
                  <c:v>2.9808921713803116E-2</c:v>
                </c:pt>
                <c:pt idx="1460">
                  <c:v>2.9802413691042418E-2</c:v>
                </c:pt>
                <c:pt idx="1461">
                  <c:v>2.9795935138388074E-2</c:v>
                </c:pt>
                <c:pt idx="1462">
                  <c:v>2.9789486055600278E-2</c:v>
                </c:pt>
                <c:pt idx="1463">
                  <c:v>2.9783066442998773E-2</c:v>
                </c:pt>
                <c:pt idx="1464">
                  <c:v>2.9776676300263816E-2</c:v>
                </c:pt>
                <c:pt idx="1465">
                  <c:v>2.9769409365529853E-2</c:v>
                </c:pt>
                <c:pt idx="1466">
                  <c:v>2.976398442463335E-2</c:v>
                </c:pt>
                <c:pt idx="1467">
                  <c:v>2.9757682691817777E-2</c:v>
                </c:pt>
                <c:pt idx="1468">
                  <c:v>2.9751410429028624E-2</c:v>
                </c:pt>
                <c:pt idx="1469">
                  <c:v>2.9745167636026082E-2</c:v>
                </c:pt>
                <c:pt idx="1470">
                  <c:v>2.9738954313129895E-2</c:v>
                </c:pt>
                <c:pt idx="1471">
                  <c:v>2.9732770460100255E-2</c:v>
                </c:pt>
                <c:pt idx="1472">
                  <c:v>2.9726616077097034E-2</c:v>
                </c:pt>
                <c:pt idx="1473">
                  <c:v>2.9720491164040297E-2</c:v>
                </c:pt>
                <c:pt idx="1474">
                  <c:v>2.9714395721009979E-2</c:v>
                </c:pt>
                <c:pt idx="1475">
                  <c:v>2.9708329747766271E-2</c:v>
                </c:pt>
                <c:pt idx="1476">
                  <c:v>2.9702293244628919E-2</c:v>
                </c:pt>
                <c:pt idx="1477">
                  <c:v>2.969628621143805E-2</c:v>
                </c:pt>
                <c:pt idx="1478">
                  <c:v>2.9690308648113728E-2</c:v>
                </c:pt>
                <c:pt idx="1479">
                  <c:v>2.9684360554815825E-2</c:v>
                </c:pt>
                <c:pt idx="1480">
                  <c:v>2.9678441931384469E-2</c:v>
                </c:pt>
                <c:pt idx="1481">
                  <c:v>2.9672552777979533E-2</c:v>
                </c:pt>
                <c:pt idx="1482">
                  <c:v>2.9665024312048871E-2</c:v>
                </c:pt>
                <c:pt idx="1483">
                  <c:v>2.965920251852161E-2</c:v>
                </c:pt>
                <c:pt idx="1484">
                  <c:v>2.965423586543281E-2</c:v>
                </c:pt>
                <c:pt idx="1485">
                  <c:v>2.964846880180616E-2</c:v>
                </c:pt>
                <c:pt idx="1486">
                  <c:v>2.9641913957458854E-2</c:v>
                </c:pt>
                <c:pt idx="1487">
                  <c:v>2.9637023084232439E-2</c:v>
                </c:pt>
                <c:pt idx="1488">
                  <c:v>2.9631344430365303E-2</c:v>
                </c:pt>
                <c:pt idx="1489">
                  <c:v>2.962569524644465E-2</c:v>
                </c:pt>
                <c:pt idx="1490">
                  <c:v>2.9619275121932631E-2</c:v>
                </c:pt>
                <c:pt idx="1491">
                  <c:v>2.9614485288442793E-2</c:v>
                </c:pt>
                <c:pt idx="1492">
                  <c:v>2.960892451436159E-2</c:v>
                </c:pt>
                <c:pt idx="1493">
                  <c:v>2.9603393210226869E-2</c:v>
                </c:pt>
                <c:pt idx="1494">
                  <c:v>2.9597891375958696E-2</c:v>
                </c:pt>
                <c:pt idx="1495">
                  <c:v>2.9592419011716942E-2</c:v>
                </c:pt>
                <c:pt idx="1496">
                  <c:v>2.9586976117181862E-2</c:v>
                </c:pt>
                <c:pt idx="1497">
                  <c:v>2.9581562692673202E-2</c:v>
                </c:pt>
                <c:pt idx="1498">
                  <c:v>2.9576310101990799E-2</c:v>
                </c:pt>
                <c:pt idx="1499">
                  <c:v>2.9570824253655204E-2</c:v>
                </c:pt>
                <c:pt idx="1500">
                  <c:v>2.9565499238826121E-2</c:v>
                </c:pt>
                <c:pt idx="1501">
                  <c:v>2.9559449593481446E-2</c:v>
                </c:pt>
                <c:pt idx="1502">
                  <c:v>2.9554937619247212E-2</c:v>
                </c:pt>
                <c:pt idx="1503">
                  <c:v>2.9549701014337515E-2</c:v>
                </c:pt>
                <c:pt idx="1504">
                  <c:v>2.9543752408569546E-2</c:v>
                </c:pt>
                <c:pt idx="1505">
                  <c:v>2.9539316214197697E-2</c:v>
                </c:pt>
                <c:pt idx="1506">
                  <c:v>2.9534168018967577E-2</c:v>
                </c:pt>
                <c:pt idx="1507">
                  <c:v>2.952904929368394E-2</c:v>
                </c:pt>
                <c:pt idx="1508">
                  <c:v>2.952396003826685E-2</c:v>
                </c:pt>
                <c:pt idx="1509">
                  <c:v>2.9518900252796243E-2</c:v>
                </c:pt>
                <c:pt idx="1510">
                  <c:v>2.9513869937272119E-2</c:v>
                </c:pt>
                <c:pt idx="1511">
                  <c:v>2.9508869091694478E-2</c:v>
                </c:pt>
                <c:pt idx="1512">
                  <c:v>2.9503897715903449E-2</c:v>
                </c:pt>
                <c:pt idx="1513">
                  <c:v>2.9498955810058902E-2</c:v>
                </c:pt>
                <c:pt idx="1514">
                  <c:v>2.9494043374160839E-2</c:v>
                </c:pt>
                <c:pt idx="1515">
                  <c:v>2.9489160408129322E-2</c:v>
                </c:pt>
                <c:pt idx="1516">
                  <c:v>2.9484306911884417E-2</c:v>
                </c:pt>
                <c:pt idx="1517">
                  <c:v>2.9478796144841724E-2</c:v>
                </c:pt>
                <c:pt idx="1518">
                  <c:v>2.9474005798562075E-2</c:v>
                </c:pt>
                <c:pt idx="1519">
                  <c:v>2.9469923242988472E-2</c:v>
                </c:pt>
                <c:pt idx="1520">
                  <c:v>2.9465187626529499E-2</c:v>
                </c:pt>
                <c:pt idx="1521">
                  <c:v>2.9460481479777201E-2</c:v>
                </c:pt>
                <c:pt idx="1522">
                  <c:v>2.9455804803051322E-2</c:v>
                </c:pt>
                <c:pt idx="1523">
                  <c:v>2.9451157596112054E-2</c:v>
                </c:pt>
                <c:pt idx="1524">
                  <c:v>2.9445882588161609E-2</c:v>
                </c:pt>
                <c:pt idx="1525">
                  <c:v>2.9441951592152904E-2</c:v>
                </c:pt>
                <c:pt idx="1526">
                  <c:v>2.943739279497315E-2</c:v>
                </c:pt>
                <c:pt idx="1527">
                  <c:v>2.9432863467659942E-2</c:v>
                </c:pt>
                <c:pt idx="1528">
                  <c:v>2.9428363610293218E-2</c:v>
                </c:pt>
                <c:pt idx="1529">
                  <c:v>2.9423893222793041E-2</c:v>
                </c:pt>
                <c:pt idx="1530">
                  <c:v>2.941945230515941E-2</c:v>
                </c:pt>
                <c:pt idx="1531">
                  <c:v>2.9415040857472263E-2</c:v>
                </c:pt>
                <c:pt idx="1532">
                  <c:v>2.9410658879571727E-2</c:v>
                </c:pt>
                <c:pt idx="1533">
                  <c:v>2.9406306371617674E-2</c:v>
                </c:pt>
                <c:pt idx="1534">
                  <c:v>2.9405556832546864E-2</c:v>
                </c:pt>
                <c:pt idx="1535">
                  <c:v>2.9394640973530173E-2</c:v>
                </c:pt>
                <c:pt idx="1536">
                  <c:v>2.9394007112752973E-2</c:v>
                </c:pt>
                <c:pt idx="1537">
                  <c:v>2.9389784424873611E-2</c:v>
                </c:pt>
                <c:pt idx="1538">
                  <c:v>2.9385591211736894E-2</c:v>
                </c:pt>
                <c:pt idx="1539">
                  <c:v>2.9381427473449406E-2</c:v>
                </c:pt>
                <c:pt idx="1540">
                  <c:v>2.9377293209877919E-2</c:v>
                </c:pt>
                <c:pt idx="1541">
                  <c:v>2.9373188421129015E-2</c:v>
                </c:pt>
                <c:pt idx="1542">
                  <c:v>2.9369113107149403E-2</c:v>
                </c:pt>
                <c:pt idx="1543">
                  <c:v>2.9365067267912437E-2</c:v>
                </c:pt>
                <c:pt idx="1544">
                  <c:v>2.9361050903471408E-2</c:v>
                </c:pt>
                <c:pt idx="1545">
                  <c:v>2.9357064013773027E-2</c:v>
                </c:pt>
                <c:pt idx="1546">
                  <c:v>2.9353106598843937E-2</c:v>
                </c:pt>
                <c:pt idx="1547">
                  <c:v>2.9349178658657493E-2</c:v>
                </c:pt>
                <c:pt idx="1548">
                  <c:v>2.9341226769830087E-2</c:v>
                </c:pt>
                <c:pt idx="1549">
                  <c:v>2.9337920054048894E-2</c:v>
                </c:pt>
                <c:pt idx="1550">
                  <c:v>2.9334089583787915E-2</c:v>
                </c:pt>
                <c:pt idx="1551">
                  <c:v>2.9330288583313546E-2</c:v>
                </c:pt>
                <c:pt idx="1552">
                  <c:v>2.9325980668488683E-2</c:v>
                </c:pt>
                <c:pt idx="1553">
                  <c:v>2.9322774992204259E-2</c:v>
                </c:pt>
                <c:pt idx="1554">
                  <c:v>2.9319062401409468E-2</c:v>
                </c:pt>
                <c:pt idx="1555">
                  <c:v>2.9314855526081374E-2</c:v>
                </c:pt>
                <c:pt idx="1556">
                  <c:v>2.9311725629419527E-2</c:v>
                </c:pt>
                <c:pt idx="1557">
                  <c:v>2.9308101448224377E-2</c:v>
                </c:pt>
                <c:pt idx="1558">
                  <c:v>2.9304506736895775E-2</c:v>
                </c:pt>
                <c:pt idx="1559">
                  <c:v>2.9300941495353783E-2</c:v>
                </c:pt>
                <c:pt idx="1560">
                  <c:v>2.9297405723598402E-2</c:v>
                </c:pt>
                <c:pt idx="1561">
                  <c:v>2.929389942186944E-2</c:v>
                </c:pt>
                <c:pt idx="1562">
                  <c:v>2.929042258992709E-2</c:v>
                </c:pt>
                <c:pt idx="1563">
                  <c:v>2.9286975227931222E-2</c:v>
                </c:pt>
                <c:pt idx="1564">
                  <c:v>2.928355733564203E-2</c:v>
                </c:pt>
                <c:pt idx="1565">
                  <c:v>2.928016891329932E-2</c:v>
                </c:pt>
                <c:pt idx="1566">
                  <c:v>2.9276809960743222E-2</c:v>
                </c:pt>
                <c:pt idx="1567">
                  <c:v>2.9273480477973735E-2</c:v>
                </c:pt>
                <c:pt idx="1568">
                  <c:v>2.927018046515073E-2</c:v>
                </c:pt>
                <c:pt idx="1569">
                  <c:v>2.9266445107447581E-2</c:v>
                </c:pt>
                <c:pt idx="1570">
                  <c:v>2.9263668849024427E-2</c:v>
                </c:pt>
                <c:pt idx="1571">
                  <c:v>2.9260457245721128E-2</c:v>
                </c:pt>
                <c:pt idx="1572">
                  <c:v>2.9257275112284375E-2</c:v>
                </c:pt>
                <c:pt idx="1573">
                  <c:v>2.9254122448634234E-2</c:v>
                </c:pt>
                <c:pt idx="1574">
                  <c:v>2.9250999255010512E-2</c:v>
                </c:pt>
                <c:pt idx="1575">
                  <c:v>2.9247905530933593E-2</c:v>
                </c:pt>
                <c:pt idx="1576">
                  <c:v>2.9244841276883093E-2</c:v>
                </c:pt>
                <c:pt idx="1577">
                  <c:v>2.9241806492699141E-2</c:v>
                </c:pt>
                <c:pt idx="1578">
                  <c:v>2.9238801178221863E-2</c:v>
                </c:pt>
                <c:pt idx="1579">
                  <c:v>2.9235825333771004E-2</c:v>
                </c:pt>
                <c:pt idx="1580">
                  <c:v>2.9232878958946884E-2</c:v>
                </c:pt>
                <c:pt idx="1581">
                  <c:v>2.9229962054069247E-2</c:v>
                </c:pt>
                <c:pt idx="1582">
                  <c:v>2.9226664534052205E-2</c:v>
                </c:pt>
                <c:pt idx="1583">
                  <c:v>2.9224216653913615E-2</c:v>
                </c:pt>
                <c:pt idx="1584">
                  <c:v>2.9221388158475747E-2</c:v>
                </c:pt>
                <c:pt idx="1585">
                  <c:v>2.9218589133064299E-2</c:v>
                </c:pt>
                <c:pt idx="1586">
                  <c:v>2.9215033688485548E-2</c:v>
                </c:pt>
                <c:pt idx="1587">
                  <c:v>2.9212690456317247E-2</c:v>
                </c:pt>
                <c:pt idx="1588">
                  <c:v>2.9210368875389747E-2</c:v>
                </c:pt>
                <c:pt idx="1589">
                  <c:v>2.9207687729124743E-2</c:v>
                </c:pt>
                <c:pt idx="1590">
                  <c:v>2.9205036052806221E-2</c:v>
                </c:pt>
                <c:pt idx="1591">
                  <c:v>2.9202413846274311E-2</c:v>
                </c:pt>
                <c:pt idx="1592">
                  <c:v>2.9199821109529012E-2</c:v>
                </c:pt>
                <c:pt idx="1593">
                  <c:v>2.9197257842730195E-2</c:v>
                </c:pt>
                <c:pt idx="1594">
                  <c:v>2.9194724045638054E-2</c:v>
                </c:pt>
                <c:pt idx="1595">
                  <c:v>2.9192219718492396E-2</c:v>
                </c:pt>
                <c:pt idx="1596">
                  <c:v>2.9189744861053413E-2</c:v>
                </c:pt>
                <c:pt idx="1597">
                  <c:v>2.9187299473480977E-2</c:v>
                </c:pt>
                <c:pt idx="1598">
                  <c:v>2.9184883555695151E-2</c:v>
                </c:pt>
                <c:pt idx="1599">
                  <c:v>2.9182497107855809E-2</c:v>
                </c:pt>
                <c:pt idx="1600">
                  <c:v>2.9180140129803078E-2</c:v>
                </c:pt>
                <c:pt idx="1601">
                  <c:v>2.9177812621536958E-2</c:v>
                </c:pt>
                <c:pt idx="1602">
                  <c:v>2.9175514583057449E-2</c:v>
                </c:pt>
                <c:pt idx="1603">
                  <c:v>2.9172603264751018E-2</c:v>
                </c:pt>
                <c:pt idx="1604">
                  <c:v>2.9170689450204179E-2</c:v>
                </c:pt>
                <c:pt idx="1605">
                  <c:v>2.9168797286818204E-2</c:v>
                </c:pt>
                <c:pt idx="1606">
                  <c:v>2.9166617127645011E-2</c:v>
                </c:pt>
                <c:pt idx="1607">
                  <c:v>2.9164466438338366E-2</c:v>
                </c:pt>
                <c:pt idx="1608">
                  <c:v>2.9162044593213921E-2</c:v>
                </c:pt>
                <c:pt idx="1609">
                  <c:v>2.9160253469164843E-2</c:v>
                </c:pt>
                <c:pt idx="1610">
                  <c:v>2.9158191189377902E-2</c:v>
                </c:pt>
                <c:pt idx="1611">
                  <c:v>2.9156158379297636E-2</c:v>
                </c:pt>
                <c:pt idx="1612">
                  <c:v>2.9154155039163854E-2</c:v>
                </c:pt>
                <c:pt idx="1613">
                  <c:v>2.915218116865681E-2</c:v>
                </c:pt>
                <c:pt idx="1614">
                  <c:v>2.9150236768176185E-2</c:v>
                </c:pt>
                <c:pt idx="1615">
                  <c:v>2.9148321837402236E-2</c:v>
                </c:pt>
                <c:pt idx="1616">
                  <c:v>2.9146436376494833E-2</c:v>
                </c:pt>
                <c:pt idx="1617">
                  <c:v>2.9144580385294105E-2</c:v>
                </c:pt>
                <c:pt idx="1618">
                  <c:v>2.9142753864039861E-2</c:v>
                </c:pt>
                <c:pt idx="1619">
                  <c:v>2.9140956812572227E-2</c:v>
                </c:pt>
                <c:pt idx="1620">
                  <c:v>2.9139189230891205E-2</c:v>
                </c:pt>
                <c:pt idx="1621">
                  <c:v>2.9137205223053186E-2</c:v>
                </c:pt>
                <c:pt idx="1622">
                  <c:v>2.9135742477048865E-2</c:v>
                </c:pt>
                <c:pt idx="1623">
                  <c:v>2.9134063304807611E-2</c:v>
                </c:pt>
                <c:pt idx="1624">
                  <c:v>2.9132413602352969E-2</c:v>
                </c:pt>
                <c:pt idx="1625">
                  <c:v>2.9130793369764874E-2</c:v>
                </c:pt>
                <c:pt idx="1626">
                  <c:v>2.9129202606963389E-2</c:v>
                </c:pt>
                <c:pt idx="1627">
                  <c:v>2.9127641314028452E-2</c:v>
                </c:pt>
                <c:pt idx="1628">
                  <c:v>2.9126109490880125E-2</c:v>
                </c:pt>
                <c:pt idx="1629">
                  <c:v>2.912460713751841E-2</c:v>
                </c:pt>
                <c:pt idx="1630">
                  <c:v>2.9123134253943306E-2</c:v>
                </c:pt>
                <c:pt idx="1631">
                  <c:v>2.9121690840234749E-2</c:v>
                </c:pt>
                <c:pt idx="1632">
                  <c:v>2.9120077310125225E-2</c:v>
                </c:pt>
                <c:pt idx="1633">
                  <c:v>2.9118892422257403E-2</c:v>
                </c:pt>
                <c:pt idx="1634">
                  <c:v>2.9117346251625875E-2</c:v>
                </c:pt>
                <c:pt idx="1635">
                  <c:v>2.9116211883426502E-2</c:v>
                </c:pt>
                <c:pt idx="1636">
                  <c:v>2.9114915818810871E-2</c:v>
                </c:pt>
                <c:pt idx="1637">
                  <c:v>2.9113649223981852E-2</c:v>
                </c:pt>
                <c:pt idx="1638">
                  <c:v>2.9112064047511765E-2</c:v>
                </c:pt>
                <c:pt idx="1639">
                  <c:v>2.9110695898477701E-2</c:v>
                </c:pt>
                <c:pt idx="1640">
                  <c:v>2.9109860351725914E-2</c:v>
                </c:pt>
                <c:pt idx="1641">
                  <c:v>2.9108715846115629E-2</c:v>
                </c:pt>
                <c:pt idx="1642">
                  <c:v>2.910760081021202E-2</c:v>
                </c:pt>
                <c:pt idx="1643">
                  <c:v>2.9106515244174958E-2</c:v>
                </c:pt>
                <c:pt idx="1644">
                  <c:v>2.9105459148004442E-2</c:v>
                </c:pt>
                <c:pt idx="1645">
                  <c:v>2.9104432521540602E-2</c:v>
                </c:pt>
                <c:pt idx="1646">
                  <c:v>2.9103435364943309E-2</c:v>
                </c:pt>
                <c:pt idx="1647">
                  <c:v>2.9102467678132626E-2</c:v>
                </c:pt>
                <c:pt idx="1648">
                  <c:v>2.9101529461188491E-2</c:v>
                </c:pt>
                <c:pt idx="1649">
                  <c:v>2.9100620713951031E-2</c:v>
                </c:pt>
                <c:pt idx="1650">
                  <c:v>2.9099741436580118E-2</c:v>
                </c:pt>
                <c:pt idx="1651">
                  <c:v>2.9098891628995815E-2</c:v>
                </c:pt>
                <c:pt idx="1652">
                  <c:v>2.9098071291198124E-2</c:v>
                </c:pt>
                <c:pt idx="1653">
                  <c:v>2.909705987368838E-2</c:v>
                </c:pt>
                <c:pt idx="1654">
                  <c:v>2.9096519025042511E-2</c:v>
                </c:pt>
                <c:pt idx="1655">
                  <c:v>2.9095787096764525E-2</c:v>
                </c:pt>
                <c:pt idx="1656">
                  <c:v>2.9094986692621561E-2</c:v>
                </c:pt>
                <c:pt idx="1657">
                  <c:v>2.9094411649408514E-2</c:v>
                </c:pt>
                <c:pt idx="1658">
                  <c:v>2.9093768130410425E-2</c:v>
                </c:pt>
                <c:pt idx="1659">
                  <c:v>2.9093154081358819E-2</c:v>
                </c:pt>
                <c:pt idx="1660">
                  <c:v>2.9092488396331717E-2</c:v>
                </c:pt>
                <c:pt idx="1661">
                  <c:v>2.9092014392455567E-2</c:v>
                </c:pt>
                <c:pt idx="1662">
                  <c:v>2.9091488752683858E-2</c:v>
                </c:pt>
                <c:pt idx="1663">
                  <c:v>2.9090992582778696E-2</c:v>
                </c:pt>
                <c:pt idx="1664">
                  <c:v>2.9090525882660145E-2</c:v>
                </c:pt>
                <c:pt idx="1665">
                  <c:v>2.9090088652328205E-2</c:v>
                </c:pt>
                <c:pt idx="1666">
                  <c:v>2.9089680891942749E-2</c:v>
                </c:pt>
                <c:pt idx="1667">
                  <c:v>2.9089302601104094E-2</c:v>
                </c:pt>
                <c:pt idx="1668">
                  <c:v>2.9088953780211924E-2</c:v>
                </c:pt>
                <c:pt idx="1669">
                  <c:v>2.9088634429026428E-2</c:v>
                </c:pt>
                <c:pt idx="1670">
                  <c:v>2.9088344547707479E-2</c:v>
                </c:pt>
                <c:pt idx="1671">
                  <c:v>2.9088084136255077E-2</c:v>
                </c:pt>
                <c:pt idx="1672">
                  <c:v>2.9087853194589286E-2</c:v>
                </c:pt>
                <c:pt idx="1673">
                  <c:v>2.9087625346688739E-2</c:v>
                </c:pt>
                <c:pt idx="1674">
                  <c:v>2.9087479720617537E-2</c:v>
                </c:pt>
                <c:pt idx="1675">
                  <c:v>2.9087337188231643E-2</c:v>
                </c:pt>
                <c:pt idx="1676">
                  <c:v>2.9087224125712297E-2</c:v>
                </c:pt>
                <c:pt idx="1677">
                  <c:v>2.9087140533059497E-2</c:v>
                </c:pt>
                <c:pt idx="1678">
                  <c:v>2.9087086410273244E-2</c:v>
                </c:pt>
                <c:pt idx="1679">
                  <c:v>2.9087061757193666E-2</c:v>
                </c:pt>
                <c:pt idx="1680">
                  <c:v>2.9087066573820763E-2</c:v>
                </c:pt>
                <c:pt idx="1681">
                  <c:v>2.9087100860394344E-2</c:v>
                </c:pt>
                <c:pt idx="1682">
                  <c:v>2.9087164616754535E-2</c:v>
                </c:pt>
                <c:pt idx="1683">
                  <c:v>2.9087257842821401E-2</c:v>
                </c:pt>
                <c:pt idx="1684">
                  <c:v>2.9087400472489477E-2</c:v>
                </c:pt>
                <c:pt idx="1685">
                  <c:v>2.9087532704474839E-2</c:v>
                </c:pt>
                <c:pt idx="1686">
                  <c:v>2.9087714340141346E-2</c:v>
                </c:pt>
                <c:pt idx="1687">
                  <c:v>2.9087925445434593E-2</c:v>
                </c:pt>
                <c:pt idx="1688">
                  <c:v>2.9088166020594386E-2</c:v>
                </c:pt>
                <c:pt idx="1689">
                  <c:v>2.908843606554079E-2</c:v>
                </c:pt>
                <c:pt idx="1690">
                  <c:v>2.9088826568690607E-2</c:v>
                </c:pt>
                <c:pt idx="1691">
                  <c:v>2.9089113968314706E-2</c:v>
                </c:pt>
                <c:pt idx="1692">
                  <c:v>2.9089423019179605E-2</c:v>
                </c:pt>
                <c:pt idx="1693">
                  <c:v>2.9089810943432326E-2</c:v>
                </c:pt>
                <c:pt idx="1694">
                  <c:v>2.9090228337311785E-2</c:v>
                </c:pt>
                <c:pt idx="1695">
                  <c:v>2.9090675201137728E-2</c:v>
                </c:pt>
                <c:pt idx="1696">
                  <c:v>2.9091151534590409E-2</c:v>
                </c:pt>
                <c:pt idx="1697">
                  <c:v>2.9091657337989574E-2</c:v>
                </c:pt>
                <c:pt idx="1698">
                  <c:v>2.9092192611175349E-2</c:v>
                </c:pt>
                <c:pt idx="1699">
                  <c:v>2.9092757354147736E-2</c:v>
                </c:pt>
                <c:pt idx="1700">
                  <c:v>2.9093351566986669E-2</c:v>
                </c:pt>
                <c:pt idx="1701">
                  <c:v>2.9093975249532278E-2</c:v>
                </c:pt>
                <c:pt idx="1702">
                  <c:v>2.9094628401864497E-2</c:v>
                </c:pt>
                <c:pt idx="1703">
                  <c:v>2.9095311024063264E-2</c:v>
                </c:pt>
                <c:pt idx="1704">
                  <c:v>2.9096231983771759E-2</c:v>
                </c:pt>
                <c:pt idx="1705">
                  <c:v>2.9096764677980502E-2</c:v>
                </c:pt>
                <c:pt idx="1706">
                  <c:v>2.9097535709619038E-2</c:v>
                </c:pt>
                <c:pt idx="1707">
                  <c:v>2.9098336210884312E-2</c:v>
                </c:pt>
                <c:pt idx="1708">
                  <c:v>2.9099166182176006E-2</c:v>
                </c:pt>
                <c:pt idx="1709">
                  <c:v>2.9100150806318226E-2</c:v>
                </c:pt>
                <c:pt idx="1710">
                  <c:v>2.910091350662114E-2</c:v>
                </c:pt>
                <c:pt idx="1711">
                  <c:v>2.9101801064008725E-2</c:v>
                </c:pt>
                <c:pt idx="1712">
                  <c:v>2.9102798660813889E-2</c:v>
                </c:pt>
                <c:pt idx="1713">
                  <c:v>2.9103535130419189E-2</c:v>
                </c:pt>
                <c:pt idx="1714">
                  <c:v>2.9104381639362131E-2</c:v>
                </c:pt>
                <c:pt idx="1715">
                  <c:v>2.9105214465570128E-2</c:v>
                </c:pt>
                <c:pt idx="1716">
                  <c:v>2.910603360904318E-2</c:v>
                </c:pt>
                <c:pt idx="1717">
                  <c:v>2.9106839069701351E-2</c:v>
                </c:pt>
                <c:pt idx="1718">
                  <c:v>2.9107630847544641E-2</c:v>
                </c:pt>
                <c:pt idx="1719">
                  <c:v>2.910840894257305E-2</c:v>
                </c:pt>
                <c:pt idx="1720">
                  <c:v>2.9109173354866513E-2</c:v>
                </c:pt>
                <c:pt idx="1721">
                  <c:v>2.9109924084345096E-2</c:v>
                </c:pt>
                <c:pt idx="1722">
                  <c:v>2.9110661131008797E-2</c:v>
                </c:pt>
                <c:pt idx="1723">
                  <c:v>2.9111384494937553E-2</c:v>
                </c:pt>
                <c:pt idx="1724">
                  <c:v>2.9112094176051428E-2</c:v>
                </c:pt>
                <c:pt idx="1725">
                  <c:v>2.9112888485789412E-2</c:v>
                </c:pt>
                <c:pt idx="1726">
                  <c:v>2.9113472489994408E-2</c:v>
                </c:pt>
                <c:pt idx="1727">
                  <c:v>2.9114141122743575E-2</c:v>
                </c:pt>
                <c:pt idx="1728">
                  <c:v>2.9114796072677862E-2</c:v>
                </c:pt>
                <c:pt idx="1729">
                  <c:v>2.911543733995714E-2</c:v>
                </c:pt>
                <c:pt idx="1730">
                  <c:v>2.9116064924261664E-2</c:v>
                </c:pt>
                <c:pt idx="1731">
                  <c:v>2.911667882591118E-2</c:v>
                </c:pt>
                <c:pt idx="1732">
                  <c:v>2.9117279044745814E-2</c:v>
                </c:pt>
                <c:pt idx="1733">
                  <c:v>2.9117865580765567E-2</c:v>
                </c:pt>
                <c:pt idx="1734">
                  <c:v>2.9118438434050375E-2</c:v>
                </c:pt>
                <c:pt idx="1735">
                  <c:v>2.9118997604520303E-2</c:v>
                </c:pt>
                <c:pt idx="1736">
                  <c:v>2.9119543092175348E-2</c:v>
                </c:pt>
                <c:pt idx="1737">
                  <c:v>2.9120074897015513E-2</c:v>
                </c:pt>
                <c:pt idx="1738">
                  <c:v>2.9120593019120733E-2</c:v>
                </c:pt>
                <c:pt idx="1739">
                  <c:v>2.9121097458411072E-2</c:v>
                </c:pt>
                <c:pt idx="1740">
                  <c:v>2.9121588214966465E-2</c:v>
                </c:pt>
                <c:pt idx="1741">
                  <c:v>2.9122065288706978E-2</c:v>
                </c:pt>
                <c:pt idx="1742">
                  <c:v>2.9122658563816017E-2</c:v>
                </c:pt>
                <c:pt idx="1743">
                  <c:v>2.9123104362653862E-2</c:v>
                </c:pt>
                <c:pt idx="1744">
                  <c:v>2.9123475585466352E-2</c:v>
                </c:pt>
                <c:pt idx="1745">
                  <c:v>2.9123895973430791E-2</c:v>
                </c:pt>
                <c:pt idx="1746">
                  <c:v>2.912435966227811E-2</c:v>
                </c:pt>
                <c:pt idx="1747">
                  <c:v>2.912469570083509E-2</c:v>
                </c:pt>
                <c:pt idx="1748">
                  <c:v>2.9125075040354886E-2</c:v>
                </c:pt>
                <c:pt idx="1749">
                  <c:v>2.9125440697059801E-2</c:v>
                </c:pt>
                <c:pt idx="1750">
                  <c:v>2.9125841836101785E-2</c:v>
                </c:pt>
                <c:pt idx="1751">
                  <c:v>2.912613096218486E-2</c:v>
                </c:pt>
                <c:pt idx="1752">
                  <c:v>2.9126455570445131E-2</c:v>
                </c:pt>
                <c:pt idx="1753">
                  <c:v>2.9126766496050394E-2</c:v>
                </c:pt>
                <c:pt idx="1754">
                  <c:v>2.9127063738920711E-2</c:v>
                </c:pt>
                <c:pt idx="1755">
                  <c:v>2.9127347298896211E-2</c:v>
                </c:pt>
                <c:pt idx="1756">
                  <c:v>2.9127617176136766E-2</c:v>
                </c:pt>
                <c:pt idx="1757">
                  <c:v>2.9127873370482504E-2</c:v>
                </c:pt>
                <c:pt idx="1758">
                  <c:v>2.9128115882093297E-2</c:v>
                </c:pt>
                <c:pt idx="1759">
                  <c:v>2.9130795412104504E-2</c:v>
                </c:pt>
                <c:pt idx="1760">
                  <c:v>2.9128559856950176E-2</c:v>
                </c:pt>
                <c:pt idx="1761">
                  <c:v>2.9128788983747711E-2</c:v>
                </c:pt>
                <c:pt idx="1762">
                  <c:v>2.9128949100787338E-2</c:v>
                </c:pt>
                <c:pt idx="1763">
                  <c:v>2.9129123198483597E-2</c:v>
                </c:pt>
                <c:pt idx="1764">
                  <c:v>2.9129305412727291E-2</c:v>
                </c:pt>
                <c:pt idx="1765">
                  <c:v>2.9129430345431473E-2</c:v>
                </c:pt>
                <c:pt idx="1766">
                  <c:v>2.9129563394603153E-2</c:v>
                </c:pt>
                <c:pt idx="1767">
                  <c:v>2.912968276119976E-2</c:v>
                </c:pt>
                <c:pt idx="1768">
                  <c:v>2.9129788444981486E-2</c:v>
                </c:pt>
                <c:pt idx="1769">
                  <c:v>2.9129880445868395E-2</c:v>
                </c:pt>
                <c:pt idx="1770">
                  <c:v>2.9129958764100294E-2</c:v>
                </c:pt>
                <c:pt idx="1771">
                  <c:v>2.9130023399437377E-2</c:v>
                </c:pt>
                <c:pt idx="1772">
                  <c:v>2.9130074352039514E-2</c:v>
                </c:pt>
                <c:pt idx="1773">
                  <c:v>2.9130111621746835E-2</c:v>
                </c:pt>
                <c:pt idx="1774">
                  <c:v>2.913013520871921E-2</c:v>
                </c:pt>
                <c:pt idx="1775">
                  <c:v>2.9130145112876704E-2</c:v>
                </c:pt>
                <c:pt idx="1776">
                  <c:v>2.9130141334379189E-2</c:v>
                </c:pt>
                <c:pt idx="1777">
                  <c:v>2.9130120261555703E-2</c:v>
                </c:pt>
                <c:pt idx="1778">
                  <c:v>2.9130087162672069E-2</c:v>
                </c:pt>
                <c:pt idx="1779">
                  <c:v>2.9130047901837486E-2</c:v>
                </c:pt>
                <c:pt idx="1780">
                  <c:v>2.9129989392080446E-2</c:v>
                </c:pt>
                <c:pt idx="1781">
                  <c:v>2.9129917199588462E-2</c:v>
                </c:pt>
                <c:pt idx="1782">
                  <c:v>2.9129831324281596E-2</c:v>
                </c:pt>
                <c:pt idx="1783">
                  <c:v>2.912973176615985E-2</c:v>
                </c:pt>
                <c:pt idx="1784">
                  <c:v>2.9129601231057123E-2</c:v>
                </c:pt>
                <c:pt idx="1785">
                  <c:v>2.9129491601551649E-2</c:v>
                </c:pt>
                <c:pt idx="1786">
                  <c:v>2.9129350994985259E-2</c:v>
                </c:pt>
                <c:pt idx="1787">
                  <c:v>2.912919670576386E-2</c:v>
                </c:pt>
                <c:pt idx="1788">
                  <c:v>2.9129003620695926E-2</c:v>
                </c:pt>
                <c:pt idx="1789">
                  <c:v>2.9128847078796483E-2</c:v>
                </c:pt>
                <c:pt idx="1790">
                  <c:v>2.9128651741210376E-2</c:v>
                </c:pt>
                <c:pt idx="1791">
                  <c:v>2.9128442720809389E-2</c:v>
                </c:pt>
                <c:pt idx="1792">
                  <c:v>2.9128220017513584E-2</c:v>
                </c:pt>
                <c:pt idx="1793">
                  <c:v>2.912798363156277E-2</c:v>
                </c:pt>
                <c:pt idx="1794">
                  <c:v>2.9129978889947949E-2</c:v>
                </c:pt>
                <c:pt idx="1795">
                  <c:v>2.9129709230693024E-2</c:v>
                </c:pt>
                <c:pt idx="1796">
                  <c:v>2.9127151626298087E-2</c:v>
                </c:pt>
                <c:pt idx="1797">
                  <c:v>2.9126858554491264E-2</c:v>
                </c:pt>
                <c:pt idx="1798">
                  <c:v>2.9126551799789624E-2</c:v>
                </c:pt>
                <c:pt idx="1799">
                  <c:v>2.9126231362432975E-2</c:v>
                </c:pt>
                <c:pt idx="1800">
                  <c:v>2.9125897242181509E-2</c:v>
                </c:pt>
                <c:pt idx="1801">
                  <c:v>2.9125549439195098E-2</c:v>
                </c:pt>
                <c:pt idx="1802">
                  <c:v>2.9125187953233933E-2</c:v>
                </c:pt>
                <c:pt idx="1803">
                  <c:v>2.9124812784777632E-2</c:v>
                </c:pt>
                <c:pt idx="1804">
                  <c:v>2.9124423933346577E-2</c:v>
                </c:pt>
                <c:pt idx="1805">
                  <c:v>2.9124021399180577E-2</c:v>
                </c:pt>
                <c:pt idx="1806">
                  <c:v>2.9123605182279633E-2</c:v>
                </c:pt>
                <c:pt idx="1807">
                  <c:v>2.9123175282483871E-2</c:v>
                </c:pt>
                <c:pt idx="1808">
                  <c:v>2.9127314361755197E-2</c:v>
                </c:pt>
                <c:pt idx="1809">
                  <c:v>2.9122006996855632E-2</c:v>
                </c:pt>
                <c:pt idx="1810">
                  <c:v>2.9121528230069416E-2</c:v>
                </c:pt>
                <c:pt idx="1811">
                  <c:v>2.9121035780388382E-2</c:v>
                </c:pt>
                <c:pt idx="1812">
                  <c:v>2.9120456226303659E-2</c:v>
                </c:pt>
                <c:pt idx="1813">
                  <c:v>2.9120009832741545E-2</c:v>
                </c:pt>
                <c:pt idx="1814">
                  <c:v>2.911947633477574E-2</c:v>
                </c:pt>
                <c:pt idx="1815">
                  <c:v>2.9118849868217112E-2</c:v>
                </c:pt>
                <c:pt idx="1816">
                  <c:v>2.9118368290319552E-2</c:v>
                </c:pt>
                <c:pt idx="1817">
                  <c:v>2.911779374398904E-2</c:v>
                </c:pt>
                <c:pt idx="1818">
                  <c:v>2.9117205514763711E-2</c:v>
                </c:pt>
                <c:pt idx="1819">
                  <c:v>2.9116603602883373E-2</c:v>
                </c:pt>
                <c:pt idx="1820">
                  <c:v>2.9115988008108218E-2</c:v>
                </c:pt>
                <c:pt idx="1821">
                  <c:v>2.9115358730598118E-2</c:v>
                </c:pt>
                <c:pt idx="1822">
                  <c:v>2.9114715770273136E-2</c:v>
                </c:pt>
                <c:pt idx="1823">
                  <c:v>2.9114059127133274E-2</c:v>
                </c:pt>
                <c:pt idx="1824">
                  <c:v>2.9113388801258466E-2</c:v>
                </c:pt>
                <c:pt idx="1825">
                  <c:v>2.9112704792648714E-2</c:v>
                </c:pt>
                <c:pt idx="1826">
                  <c:v>2.911200710122408E-2</c:v>
                </c:pt>
                <c:pt idx="1827">
                  <c:v>2.9111295726904629E-2</c:v>
                </c:pt>
                <c:pt idx="1828">
                  <c:v>2.9110465973358757E-2</c:v>
                </c:pt>
                <c:pt idx="1829">
                  <c:v>2.9109831930060892E-2</c:v>
                </c:pt>
                <c:pt idx="1830">
                  <c:v>2.9109079507376734E-2</c:v>
                </c:pt>
                <c:pt idx="1831">
                  <c:v>2.9108313402037567E-2</c:v>
                </c:pt>
                <c:pt idx="1832">
                  <c:v>2.9107533613883518E-2</c:v>
                </c:pt>
                <c:pt idx="1833">
                  <c:v>2.9106740142914589E-2</c:v>
                </c:pt>
                <c:pt idx="1834">
                  <c:v>2.9105932989050842E-2</c:v>
                </c:pt>
                <c:pt idx="1835">
                  <c:v>2.9105112152612023E-2</c:v>
                </c:pt>
                <c:pt idx="1836">
                  <c:v>2.9104277633278386E-2</c:v>
                </c:pt>
                <c:pt idx="1837">
                  <c:v>2.9103429431129868E-2</c:v>
                </c:pt>
                <c:pt idx="1838">
                  <c:v>2.9102567546246405E-2</c:v>
                </c:pt>
                <c:pt idx="1839">
                  <c:v>2.9101691978548061E-2</c:v>
                </c:pt>
                <c:pt idx="1840">
                  <c:v>2.91008027279549E-2</c:v>
                </c:pt>
                <c:pt idx="1841">
                  <c:v>2.9099899794706729E-2</c:v>
                </c:pt>
                <c:pt idx="1842">
                  <c:v>2.9098851116602376E-2</c:v>
                </c:pt>
                <c:pt idx="1843">
                  <c:v>2.9098052879845682E-2</c:v>
                </c:pt>
                <c:pt idx="1844">
                  <c:v>2.9097108898232804E-2</c:v>
                </c:pt>
                <c:pt idx="1845">
                  <c:v>2.9096151233805045E-2</c:v>
                </c:pt>
                <c:pt idx="1846">
                  <c:v>2.9096005333073549E-2</c:v>
                </c:pt>
                <c:pt idx="1847">
                  <c:v>2.9094053021081479E-2</c:v>
                </c:pt>
                <c:pt idx="1848">
                  <c:v>2.9093196143872291E-2</c:v>
                </c:pt>
                <c:pt idx="1849">
                  <c:v>2.9092183748264944E-2</c:v>
                </c:pt>
                <c:pt idx="1850">
                  <c:v>2.9091157669922652E-2</c:v>
                </c:pt>
                <c:pt idx="1851">
                  <c:v>2.9090117908845414E-2</c:v>
                </c:pt>
                <c:pt idx="1852">
                  <c:v>2.908906446487336E-2</c:v>
                </c:pt>
                <c:pt idx="1853">
                  <c:v>2.908799733816636E-2</c:v>
                </c:pt>
                <c:pt idx="1854">
                  <c:v>2.908691652864448E-2</c:v>
                </c:pt>
                <c:pt idx="1855">
                  <c:v>2.908582203646759E-2</c:v>
                </c:pt>
                <c:pt idx="1856">
                  <c:v>2.9084713861395883E-2</c:v>
                </c:pt>
                <c:pt idx="1857">
                  <c:v>2.9083592003589231E-2</c:v>
                </c:pt>
                <c:pt idx="1858">
                  <c:v>2.9082456462887762E-2</c:v>
                </c:pt>
                <c:pt idx="1859">
                  <c:v>2.9080976376754109E-2</c:v>
                </c:pt>
                <c:pt idx="1860">
                  <c:v>2.9080144333279989E-2</c:v>
                </c:pt>
                <c:pt idx="1861">
                  <c:v>2.9078967744373685E-2</c:v>
                </c:pt>
                <c:pt idx="1862">
                  <c:v>2.9077777472572564E-2</c:v>
                </c:pt>
                <c:pt idx="1863">
                  <c:v>2.9076573518036497E-2</c:v>
                </c:pt>
                <c:pt idx="1864">
                  <c:v>2.9075180815523183E-2</c:v>
                </c:pt>
                <c:pt idx="1865">
                  <c:v>2.9074124560599657E-2</c:v>
                </c:pt>
                <c:pt idx="1866">
                  <c:v>2.9072879557698883E-2</c:v>
                </c:pt>
                <c:pt idx="1867">
                  <c:v>2.9071439942871535E-2</c:v>
                </c:pt>
                <c:pt idx="1868">
                  <c:v>2.9070348503532628E-2</c:v>
                </c:pt>
                <c:pt idx="1869">
                  <c:v>2.9069062452347083E-2</c:v>
                </c:pt>
                <c:pt idx="1870">
                  <c:v>2.9067762718266721E-2</c:v>
                </c:pt>
                <c:pt idx="1871">
                  <c:v>2.906644930153135E-2</c:v>
                </c:pt>
                <c:pt idx="1872">
                  <c:v>2.9065122201901161E-2</c:v>
                </c:pt>
                <c:pt idx="1873">
                  <c:v>2.9063781419615964E-2</c:v>
                </c:pt>
                <c:pt idx="1874">
                  <c:v>2.9062426954356013E-2</c:v>
                </c:pt>
                <c:pt idx="1875">
                  <c:v>2.9061058806441054E-2</c:v>
                </c:pt>
                <c:pt idx="1876">
                  <c:v>2.9059676975711213E-2</c:v>
                </c:pt>
                <c:pt idx="1877">
                  <c:v>2.9058281462246427E-2</c:v>
                </c:pt>
                <c:pt idx="1878">
                  <c:v>2.9056872265886824E-2</c:v>
                </c:pt>
                <c:pt idx="1879">
                  <c:v>2.9055449386872212E-2</c:v>
                </c:pt>
                <c:pt idx="1880">
                  <c:v>2.9054012824962783E-2</c:v>
                </c:pt>
                <c:pt idx="1881">
                  <c:v>2.9052354285656889E-2</c:v>
                </c:pt>
                <c:pt idx="1882">
                  <c:v>2.9051098653019025E-2</c:v>
                </c:pt>
                <c:pt idx="1883">
                  <c:v>2.9049621042744889E-2</c:v>
                </c:pt>
                <c:pt idx="1884">
                  <c:v>2.9048129749895679E-2</c:v>
                </c:pt>
                <c:pt idx="1885">
                  <c:v>2.9046624774071717E-2</c:v>
                </c:pt>
                <c:pt idx="1886">
                  <c:v>2.9045106115512809E-2</c:v>
                </c:pt>
                <c:pt idx="1887">
                  <c:v>2.9043573774218956E-2</c:v>
                </c:pt>
                <c:pt idx="1888">
                  <c:v>2.9042027750110222E-2</c:v>
                </c:pt>
                <c:pt idx="1889">
                  <c:v>2.9040468043346479E-2</c:v>
                </c:pt>
                <c:pt idx="1890">
                  <c:v>2.9038894653607983E-2</c:v>
                </c:pt>
                <c:pt idx="1891">
                  <c:v>2.9037307581134542E-2</c:v>
                </c:pt>
                <c:pt idx="1892">
                  <c:v>2.9035706825926155E-2</c:v>
                </c:pt>
                <c:pt idx="1893">
                  <c:v>2.903409238806276E-2</c:v>
                </c:pt>
                <c:pt idx="1894">
                  <c:v>2.9032230561609751E-2</c:v>
                </c:pt>
                <c:pt idx="1895">
                  <c:v>2.9030822463651518E-2</c:v>
                </c:pt>
                <c:pt idx="1896">
                  <c:v>2.9029166977343479E-2</c:v>
                </c:pt>
                <c:pt idx="1897">
                  <c:v>2.9027497808220559E-2</c:v>
                </c:pt>
                <c:pt idx="1898">
                  <c:v>2.9025331628425022E-2</c:v>
                </c:pt>
                <c:pt idx="1899">
                  <c:v>2.9023874942692984E-2</c:v>
                </c:pt>
                <c:pt idx="1900">
                  <c:v>2.9022408204282257E-2</c:v>
                </c:pt>
                <c:pt idx="1901">
                  <c:v>2.9020684304139621E-2</c:v>
                </c:pt>
                <c:pt idx="1902">
                  <c:v>2.9018946721102168E-2</c:v>
                </c:pt>
                <c:pt idx="1903">
                  <c:v>2.9017195455409706E-2</c:v>
                </c:pt>
                <c:pt idx="1904">
                  <c:v>2.9015430506822426E-2</c:v>
                </c:pt>
                <c:pt idx="1905">
                  <c:v>2.9013651875420265E-2</c:v>
                </c:pt>
                <c:pt idx="1906">
                  <c:v>2.9011859561363096E-2</c:v>
                </c:pt>
                <c:pt idx="1907">
                  <c:v>2.9010053564411109E-2</c:v>
                </c:pt>
                <c:pt idx="1908">
                  <c:v>2.9008233884804113E-2</c:v>
                </c:pt>
                <c:pt idx="1909">
                  <c:v>2.9006400522462172E-2</c:v>
                </c:pt>
                <c:pt idx="1910">
                  <c:v>2.9004553477225414E-2</c:v>
                </c:pt>
                <c:pt idx="1911">
                  <c:v>2.9002692749253711E-2</c:v>
                </c:pt>
                <c:pt idx="1912">
                  <c:v>2.9000818338467127E-2</c:v>
                </c:pt>
                <c:pt idx="1913">
                  <c:v>2.8998930245025534E-2</c:v>
                </c:pt>
                <c:pt idx="1914">
                  <c:v>2.8996482590946115E-2</c:v>
                </c:pt>
                <c:pt idx="1915">
                  <c:v>2.8995113009617768E-2</c:v>
                </c:pt>
                <c:pt idx="1916">
                  <c:v>2.8992907159155479E-2</c:v>
                </c:pt>
                <c:pt idx="1917">
                  <c:v>2.899124104311035E-2</c:v>
                </c:pt>
                <c:pt idx="1918">
                  <c:v>2.8989284535674287E-2</c:v>
                </c:pt>
                <c:pt idx="1919">
                  <c:v>2.8987314345583215E-2</c:v>
                </c:pt>
                <c:pt idx="1920">
                  <c:v>2.8985045945155719E-2</c:v>
                </c:pt>
                <c:pt idx="1921">
                  <c:v>2.8983332916796556E-2</c:v>
                </c:pt>
                <c:pt idx="1922">
                  <c:v>2.8981321678420713E-2</c:v>
                </c:pt>
                <c:pt idx="1923">
                  <c:v>2.8979296757070117E-2</c:v>
                </c:pt>
                <c:pt idx="1924">
                  <c:v>2.8977258153064511E-2</c:v>
                </c:pt>
                <c:pt idx="1925">
                  <c:v>2.8975205866244025E-2</c:v>
                </c:pt>
                <c:pt idx="1926">
                  <c:v>2.8973139896688593E-2</c:v>
                </c:pt>
                <c:pt idx="1927">
                  <c:v>2.8971060244318281E-2</c:v>
                </c:pt>
                <c:pt idx="1928">
                  <c:v>2.8968966909133087E-2</c:v>
                </c:pt>
                <c:pt idx="1929">
                  <c:v>2.8966859891292884E-2</c:v>
                </c:pt>
                <c:pt idx="1930">
                  <c:v>2.89647391906378E-2</c:v>
                </c:pt>
                <c:pt idx="1931">
                  <c:v>2.8962604807247772E-2</c:v>
                </c:pt>
                <c:pt idx="1932">
                  <c:v>2.8960456741042861E-2</c:v>
                </c:pt>
                <c:pt idx="1933">
                  <c:v>2.8957985053787993E-2</c:v>
                </c:pt>
                <c:pt idx="1934">
                  <c:v>2.8956119560268334E-2</c:v>
                </c:pt>
                <c:pt idx="1935">
                  <c:v>2.8953930445698717E-2</c:v>
                </c:pt>
                <c:pt idx="1936">
                  <c:v>2.895172764847409E-2</c:v>
                </c:pt>
                <c:pt idx="1937">
                  <c:v>2.8949511168354647E-2</c:v>
                </c:pt>
                <c:pt idx="1938">
                  <c:v>2.8947281005580194E-2</c:v>
                </c:pt>
                <c:pt idx="1939">
                  <c:v>2.8945037159990861E-2</c:v>
                </c:pt>
                <c:pt idx="1940">
                  <c:v>2.8942779631666582E-2</c:v>
                </c:pt>
                <c:pt idx="1941">
                  <c:v>2.8940508420447486E-2</c:v>
                </c:pt>
                <c:pt idx="1942">
                  <c:v>2.8938223526573381E-2</c:v>
                </c:pt>
                <c:pt idx="1943">
                  <c:v>2.8935924949884395E-2</c:v>
                </c:pt>
                <c:pt idx="1944">
                  <c:v>2.8933612690460464E-2</c:v>
                </c:pt>
                <c:pt idx="1945">
                  <c:v>2.8931286748301588E-2</c:v>
                </c:pt>
                <c:pt idx="1946">
                  <c:v>2.8928611774139412E-2</c:v>
                </c:pt>
                <c:pt idx="1947">
                  <c:v>2.8926593815539192E-2</c:v>
                </c:pt>
                <c:pt idx="1948">
                  <c:v>2.8924226825015609E-2</c:v>
                </c:pt>
                <c:pt idx="1949">
                  <c:v>2.892184615175708E-2</c:v>
                </c:pt>
                <c:pt idx="1950">
                  <c:v>2.8918765180918626E-2</c:v>
                </c:pt>
                <c:pt idx="1951">
                  <c:v>2.8916353232677494E-2</c:v>
                </c:pt>
                <c:pt idx="1952">
                  <c:v>2.8914274958165009E-2</c:v>
                </c:pt>
                <c:pt idx="1953">
                  <c:v>2.8911837599210344E-2</c:v>
                </c:pt>
                <c:pt idx="1954">
                  <c:v>2.8909386557360861E-2</c:v>
                </c:pt>
                <c:pt idx="1955">
                  <c:v>2.8906921832776433E-2</c:v>
                </c:pt>
                <c:pt idx="1956">
                  <c:v>2.8904443425536996E-2</c:v>
                </c:pt>
                <c:pt idx="1957">
                  <c:v>2.8901951335402742E-2</c:v>
                </c:pt>
                <c:pt idx="1958">
                  <c:v>2.8899445562613479E-2</c:v>
                </c:pt>
                <c:pt idx="1959">
                  <c:v>2.8896926107009335E-2</c:v>
                </c:pt>
                <c:pt idx="1960">
                  <c:v>2.8894392968670246E-2</c:v>
                </c:pt>
                <c:pt idx="1961">
                  <c:v>2.8891846147516276E-2</c:v>
                </c:pt>
                <c:pt idx="1962">
                  <c:v>2.888928564362736E-2</c:v>
                </c:pt>
                <c:pt idx="1963">
                  <c:v>2.88867114570035E-2</c:v>
                </c:pt>
                <c:pt idx="1964">
                  <c:v>2.8884123587484822E-2</c:v>
                </c:pt>
                <c:pt idx="1965">
                  <c:v>2.8880776221660298E-2</c:v>
                </c:pt>
                <c:pt idx="1966">
                  <c:v>2.887890680048244E-2</c:v>
                </c:pt>
                <c:pt idx="1967">
                  <c:v>2.8876277882758927E-2</c:v>
                </c:pt>
                <c:pt idx="1968">
                  <c:v>2.8873256651014145E-2</c:v>
                </c:pt>
                <c:pt idx="1969">
                  <c:v>2.8870978999107066E-2</c:v>
                </c:pt>
                <c:pt idx="1970">
                  <c:v>2.8868309135416936E-2</c:v>
                </c:pt>
                <c:pt idx="1971">
                  <c:v>2.886562855613839E-2</c:v>
                </c:pt>
                <c:pt idx="1972">
                  <c:v>2.8862553544612979E-2</c:v>
                </c:pt>
                <c:pt idx="1973">
                  <c:v>2.8860239241303987E-2</c:v>
                </c:pt>
                <c:pt idx="1974">
                  <c:v>2.885753050574813E-2</c:v>
                </c:pt>
                <c:pt idx="1975">
                  <c:v>2.8854812384659922E-2</c:v>
                </c:pt>
                <c:pt idx="1976">
                  <c:v>2.8852084878039364E-2</c:v>
                </c:pt>
                <c:pt idx="1977">
                  <c:v>2.8849347986046325E-2</c:v>
                </c:pt>
                <c:pt idx="1978">
                  <c:v>2.8846601708600872E-2</c:v>
                </c:pt>
                <c:pt idx="1979">
                  <c:v>2.8843846045703003E-2</c:v>
                </c:pt>
                <c:pt idx="1980">
                  <c:v>2.8841080997272783E-2</c:v>
                </c:pt>
                <c:pt idx="1981">
                  <c:v>2.883830656355002E-2</c:v>
                </c:pt>
                <c:pt idx="1982">
                  <c:v>2.883552274421497E-2</c:v>
                </c:pt>
                <c:pt idx="1983">
                  <c:v>2.883272953950744E-2</c:v>
                </c:pt>
                <c:pt idx="1984">
                  <c:v>2.8829926949187623E-2</c:v>
                </c:pt>
                <c:pt idx="1985">
                  <c:v>2.8826712496563545E-2</c:v>
                </c:pt>
                <c:pt idx="1986">
                  <c:v>2.8824293612430552E-2</c:v>
                </c:pt>
                <c:pt idx="1987">
                  <c:v>2.8821462865833425E-2</c:v>
                </c:pt>
                <c:pt idx="1988">
                  <c:v>2.8818622733783883E-2</c:v>
                </c:pt>
                <c:pt idx="1989">
                  <c:v>2.8815773216281926E-2</c:v>
                </c:pt>
                <c:pt idx="1990">
                  <c:v>2.8812914313407489E-2</c:v>
                </c:pt>
                <c:pt idx="1991">
                  <c:v>2.8810046024920766E-2</c:v>
                </c:pt>
                <c:pt idx="1992">
                  <c:v>2.8807168351061563E-2</c:v>
                </c:pt>
                <c:pt idx="1993">
                  <c:v>2.8804281291670009E-2</c:v>
                </c:pt>
                <c:pt idx="1994">
                  <c:v>2.8801384846985911E-2</c:v>
                </c:pt>
                <c:pt idx="1995">
                  <c:v>2.8798479016689527E-2</c:v>
                </c:pt>
                <c:pt idx="1996">
                  <c:v>2.8795146575486541E-2</c:v>
                </c:pt>
                <c:pt idx="1997">
                  <c:v>2.8792639199899384E-2</c:v>
                </c:pt>
                <c:pt idx="1998">
                  <c:v>2.8789705213325689E-2</c:v>
                </c:pt>
                <c:pt idx="1999">
                  <c:v>2.8786761841219644E-2</c:v>
                </c:pt>
                <c:pt idx="2000">
                  <c:v>2.8783809083741119E-2</c:v>
                </c:pt>
                <c:pt idx="2001">
                  <c:v>2.8780846940730243E-2</c:v>
                </c:pt>
                <c:pt idx="2002">
                  <c:v>2.8777024680382013E-2</c:v>
                </c:pt>
                <c:pt idx="2003">
                  <c:v>2.8774467887444644E-2</c:v>
                </c:pt>
                <c:pt idx="2004">
                  <c:v>2.8771904199063059E-2</c:v>
                </c:pt>
                <c:pt idx="2005">
                  <c:v>2.8768904514322458E-2</c:v>
                </c:pt>
                <c:pt idx="2006">
                  <c:v>2.8765895444129441E-2</c:v>
                </c:pt>
                <c:pt idx="2007">
                  <c:v>2.8762876988404074E-2</c:v>
                </c:pt>
                <c:pt idx="2008">
                  <c:v>2.8759849147306227E-2</c:v>
                </c:pt>
                <c:pt idx="2009">
                  <c:v>2.8756811920755965E-2</c:v>
                </c:pt>
                <c:pt idx="2010">
                  <c:v>2.8753765308673351E-2</c:v>
                </c:pt>
                <c:pt idx="2011">
                  <c:v>2.8750709311218259E-2</c:v>
                </c:pt>
                <c:pt idx="2012">
                  <c:v>2.8747643928230815E-2</c:v>
                </c:pt>
                <c:pt idx="2013">
                  <c:v>2.8744569159870892E-2</c:v>
                </c:pt>
                <c:pt idx="2014">
                  <c:v>2.8741485005978618E-2</c:v>
                </c:pt>
                <c:pt idx="2015">
                  <c:v>2.8737505874474323E-2</c:v>
                </c:pt>
                <c:pt idx="2016">
                  <c:v>2.8735288541916759E-2</c:v>
                </c:pt>
                <c:pt idx="2017">
                  <c:v>2.8732176231747175E-2</c:v>
                </c:pt>
                <c:pt idx="2018">
                  <c:v>2.8729054536125176E-2</c:v>
                </c:pt>
                <c:pt idx="2019">
                  <c:v>2.8725923454970825E-2</c:v>
                </c:pt>
                <c:pt idx="2020">
                  <c:v>2.8722782988443996E-2</c:v>
                </c:pt>
                <c:pt idx="2021">
                  <c:v>2.8719182391423459E-2</c:v>
                </c:pt>
                <c:pt idx="2022">
                  <c:v>2.871647389903309E-2</c:v>
                </c:pt>
                <c:pt idx="2023">
                  <c:v>2.8713305276149015E-2</c:v>
                </c:pt>
                <c:pt idx="2024">
                  <c:v>2.8709672500388805E-2</c:v>
                </c:pt>
                <c:pt idx="2025">
                  <c:v>2.8706939873943682E-2</c:v>
                </c:pt>
                <c:pt idx="2026">
                  <c:v>2.8703743094702361E-2</c:v>
                </c:pt>
                <c:pt idx="2027">
                  <c:v>2.870053693008856E-2</c:v>
                </c:pt>
                <c:pt idx="2028">
                  <c:v>2.8697321380022345E-2</c:v>
                </c:pt>
                <c:pt idx="2029">
                  <c:v>2.8694096444263906E-2</c:v>
                </c:pt>
                <c:pt idx="2030">
                  <c:v>2.869086212329286E-2</c:v>
                </c:pt>
                <c:pt idx="2031">
                  <c:v>2.8687618416869398E-2</c:v>
                </c:pt>
                <c:pt idx="2032">
                  <c:v>2.8684365324913585E-2</c:v>
                </c:pt>
                <c:pt idx="2033">
                  <c:v>2.8681102847505358E-2</c:v>
                </c:pt>
                <c:pt idx="2034">
                  <c:v>2.8677830984644714E-2</c:v>
                </c:pt>
                <c:pt idx="2035">
                  <c:v>2.8674549736411592E-2</c:v>
                </c:pt>
                <c:pt idx="2036">
                  <c:v>2.8671259102726054E-2</c:v>
                </c:pt>
                <c:pt idx="2037">
                  <c:v>2.8667486886106985E-2</c:v>
                </c:pt>
                <c:pt idx="2038">
                  <c:v>2.8664649678997733E-2</c:v>
                </c:pt>
                <c:pt idx="2039">
                  <c:v>2.866133088895495E-2</c:v>
                </c:pt>
                <c:pt idx="2040">
                  <c:v>2.8658002713459751E-2</c:v>
                </c:pt>
                <c:pt idx="2041">
                  <c:v>2.8654665152512138E-2</c:v>
                </c:pt>
                <c:pt idx="2042">
                  <c:v>2.8651318206112109E-2</c:v>
                </c:pt>
                <c:pt idx="2043">
                  <c:v>2.8647961874259664E-2</c:v>
                </c:pt>
                <c:pt idx="2044">
                  <c:v>2.8644596157034741E-2</c:v>
                </c:pt>
                <c:pt idx="2045">
                  <c:v>2.8641221054357402E-2</c:v>
                </c:pt>
                <c:pt idx="2046">
                  <c:v>2.8637836566147712E-2</c:v>
                </c:pt>
                <c:pt idx="2047">
                  <c:v>2.8634442692565543E-2</c:v>
                </c:pt>
                <c:pt idx="2048">
                  <c:v>2.8631039433610894E-2</c:v>
                </c:pt>
                <c:pt idx="2049">
                  <c:v>2.8627626789043958E-2</c:v>
                </c:pt>
                <c:pt idx="2050">
                  <c:v>2.8624204759184479E-2</c:v>
                </c:pt>
                <c:pt idx="2051">
                  <c:v>2.8620773343792649E-2</c:v>
                </c:pt>
                <c:pt idx="2052">
                  <c:v>2.8617332542948404E-2</c:v>
                </c:pt>
                <c:pt idx="2053">
                  <c:v>2.8613882356731679E-2</c:v>
                </c:pt>
                <c:pt idx="2054">
                  <c:v>2.8609432612158869E-2</c:v>
                </c:pt>
                <c:pt idx="2055">
                  <c:v>2.860596097350232E-2</c:v>
                </c:pt>
                <c:pt idx="2056">
                  <c:v>2.8602977813063646E-2</c:v>
                </c:pt>
                <c:pt idx="2057">
                  <c:v>2.8599488744349699E-2</c:v>
                </c:pt>
                <c:pt idx="2058">
                  <c:v>2.8595489744818181E-2</c:v>
                </c:pt>
                <c:pt idx="2059">
                  <c:v>2.8592482450404688E-2</c:v>
                </c:pt>
                <c:pt idx="2060">
                  <c:v>2.8588965225333496E-2</c:v>
                </c:pt>
                <c:pt idx="2061">
                  <c:v>2.8585438614809888E-2</c:v>
                </c:pt>
                <c:pt idx="2062">
                  <c:v>2.8581396710318785E-2</c:v>
                </c:pt>
                <c:pt idx="2063">
                  <c:v>2.8578357237405427E-2</c:v>
                </c:pt>
                <c:pt idx="2064">
                  <c:v>2.857480247060451E-2</c:v>
                </c:pt>
                <c:pt idx="2065">
                  <c:v>2.8571238318271241E-2</c:v>
                </c:pt>
                <c:pt idx="2066">
                  <c:v>2.8567664780485558E-2</c:v>
                </c:pt>
                <c:pt idx="2067">
                  <c:v>2.8564081857407331E-2</c:v>
                </c:pt>
                <c:pt idx="2068">
                  <c:v>2.8560489548716816E-2</c:v>
                </c:pt>
                <c:pt idx="2069">
                  <c:v>2.8556887854653823E-2</c:v>
                </c:pt>
                <c:pt idx="2070">
                  <c:v>2.8553990740078916E-2</c:v>
                </c:pt>
                <c:pt idx="2071">
                  <c:v>2.8549656310330462E-2</c:v>
                </c:pt>
                <c:pt idx="2072">
                  <c:v>2.8546026459910223E-2</c:v>
                </c:pt>
                <c:pt idx="2073">
                  <c:v>2.8541866567159957E-2</c:v>
                </c:pt>
                <c:pt idx="2074">
                  <c:v>2.8538738602952307E-2</c:v>
                </c:pt>
                <c:pt idx="2075">
                  <c:v>2.8535080596254758E-2</c:v>
                </c:pt>
                <c:pt idx="2076">
                  <c:v>2.8530888524764819E-2</c:v>
                </c:pt>
                <c:pt idx="2077">
                  <c:v>2.8527736426662287E-2</c:v>
                </c:pt>
                <c:pt idx="2078">
                  <c:v>2.8524050263687428E-2</c:v>
                </c:pt>
                <c:pt idx="2079">
                  <c:v>2.8520354715260154E-2</c:v>
                </c:pt>
                <c:pt idx="2080">
                  <c:v>2.8516649781540337E-2</c:v>
                </c:pt>
                <c:pt idx="2081">
                  <c:v>2.8512935462208233E-2</c:v>
                </c:pt>
                <c:pt idx="2082">
                  <c:v>2.850921175750365E-2</c:v>
                </c:pt>
                <c:pt idx="2083">
                  <c:v>2.8505478667426587E-2</c:v>
                </c:pt>
                <c:pt idx="2084">
                  <c:v>2.8501736191897109E-2</c:v>
                </c:pt>
                <c:pt idx="2085">
                  <c:v>2.8497984330755344E-2</c:v>
                </c:pt>
                <c:pt idx="2086">
                  <c:v>2.8494223084321035E-2</c:v>
                </c:pt>
                <c:pt idx="2087">
                  <c:v>2.8490452452594184E-2</c:v>
                </c:pt>
                <c:pt idx="2088">
                  <c:v>2.8486672435255045E-2</c:v>
                </c:pt>
                <c:pt idx="2089">
                  <c:v>2.8482340923146054E-2</c:v>
                </c:pt>
                <c:pt idx="2090">
                  <c:v>2.8478540794134588E-2</c:v>
                </c:pt>
                <c:pt idx="2091">
                  <c:v>2.8475276070842881E-2</c:v>
                </c:pt>
                <c:pt idx="2092">
                  <c:v>2.8471458511853953E-2</c:v>
                </c:pt>
                <c:pt idx="2093">
                  <c:v>2.8467631567332674E-2</c:v>
                </c:pt>
                <c:pt idx="2094">
                  <c:v>2.8463795237518852E-2</c:v>
                </c:pt>
                <c:pt idx="2095">
                  <c:v>2.8459949522252614E-2</c:v>
                </c:pt>
                <c:pt idx="2096">
                  <c:v>2.8455542926684174E-2</c:v>
                </c:pt>
                <c:pt idx="2097">
                  <c:v>2.8452229935282958E-2</c:v>
                </c:pt>
                <c:pt idx="2098">
                  <c:v>2.8448356063739411E-2</c:v>
                </c:pt>
                <c:pt idx="2099">
                  <c:v>2.8444472806743448E-2</c:v>
                </c:pt>
                <c:pt idx="2100">
                  <c:v>2.8440023306375295E-2</c:v>
                </c:pt>
                <c:pt idx="2101">
                  <c:v>2.8436678136474214E-2</c:v>
                </c:pt>
                <c:pt idx="2102">
                  <c:v>2.8432766723121006E-2</c:v>
                </c:pt>
                <c:pt idx="2103">
                  <c:v>2.8428845924315382E-2</c:v>
                </c:pt>
                <c:pt idx="2104">
                  <c:v>2.8424915740217216E-2</c:v>
                </c:pt>
                <c:pt idx="2105">
                  <c:v>2.8420976170666634E-2</c:v>
                </c:pt>
                <c:pt idx="2106">
                  <c:v>2.841757479258078E-2</c:v>
                </c:pt>
                <c:pt idx="2107">
                  <c:v>2.8413611804376515E-2</c:v>
                </c:pt>
                <c:pt idx="2108">
                  <c:v>2.8408533565240646E-2</c:v>
                </c:pt>
                <c:pt idx="2109">
                  <c:v>2.8404555113112906E-2</c:v>
                </c:pt>
                <c:pt idx="2110">
                  <c:v>2.8400567275772559E-2</c:v>
                </c:pt>
                <c:pt idx="2111">
                  <c:v>2.8396570052899861E-2</c:v>
                </c:pt>
                <c:pt idx="2112">
                  <c:v>2.8392563444494812E-2</c:v>
                </c:pt>
                <c:pt idx="2113">
                  <c:v>2.8388547450797219E-2</c:v>
                </c:pt>
                <c:pt idx="2114">
                  <c:v>2.8384522071647211E-2</c:v>
                </c:pt>
                <c:pt idx="2115">
                  <c:v>2.8380487307044788E-2</c:v>
                </c:pt>
                <c:pt idx="2116">
                  <c:v>2.837644315698995E-2</c:v>
                </c:pt>
                <c:pt idx="2117">
                  <c:v>2.8372389621562633E-2</c:v>
                </c:pt>
                <c:pt idx="2118">
                  <c:v>2.8368326700762836E-2</c:v>
                </c:pt>
                <c:pt idx="2119">
                  <c:v>2.8364254394350752E-2</c:v>
                </c:pt>
                <c:pt idx="2120">
                  <c:v>2.8363472903590647E-2</c:v>
                </c:pt>
                <c:pt idx="2121">
                  <c:v>2.8353739653352861E-2</c:v>
                </c:pt>
                <c:pt idx="2122">
                  <c:v>2.8349633827673415E-2</c:v>
                </c:pt>
                <c:pt idx="2123">
                  <c:v>2.8345518616701426E-2</c:v>
                </c:pt>
                <c:pt idx="2124">
                  <c:v>2.8340804026063537E-2</c:v>
                </c:pt>
                <c:pt idx="2125">
                  <c:v>2.8337260038320267E-2</c:v>
                </c:pt>
                <c:pt idx="2126">
                  <c:v>2.8333116671070968E-2</c:v>
                </c:pt>
                <c:pt idx="2127">
                  <c:v>2.832836990161347E-2</c:v>
                </c:pt>
                <c:pt idx="2128">
                  <c:v>2.8324801780135189E-2</c:v>
                </c:pt>
                <c:pt idx="2129">
                  <c:v>2.8320630256448709E-2</c:v>
                </c:pt>
                <c:pt idx="2130">
                  <c:v>2.8316449347549622E-2</c:v>
                </c:pt>
                <c:pt idx="2131">
                  <c:v>2.8312259053118183E-2</c:v>
                </c:pt>
                <c:pt idx="2132">
                  <c:v>2.8308059373314265E-2</c:v>
                </c:pt>
                <c:pt idx="2133">
                  <c:v>2.8303850307977996E-2</c:v>
                </c:pt>
                <c:pt idx="2134">
                  <c:v>2.8299631857349183E-2</c:v>
                </c:pt>
                <c:pt idx="2135">
                  <c:v>2.8295404021347892E-2</c:v>
                </c:pt>
                <c:pt idx="2136">
                  <c:v>2.8291166799734313E-2</c:v>
                </c:pt>
                <c:pt idx="2137">
                  <c:v>2.8286920192908127E-2</c:v>
                </c:pt>
                <c:pt idx="2138">
                  <c:v>2.8282664200629526E-2</c:v>
                </c:pt>
                <c:pt idx="2139">
                  <c:v>2.8278398822738637E-2</c:v>
                </c:pt>
                <c:pt idx="2140">
                  <c:v>2.8274124059635142E-2</c:v>
                </c:pt>
                <c:pt idx="2141">
                  <c:v>2.8269227123658425E-2</c:v>
                </c:pt>
                <c:pt idx="2142">
                  <c:v>2.8265546377150841E-2</c:v>
                </c:pt>
                <c:pt idx="2143">
                  <c:v>2.8261243457690099E-2</c:v>
                </c:pt>
                <c:pt idx="2144">
                  <c:v>2.8256931152856879E-2</c:v>
                </c:pt>
                <c:pt idx="2145">
                  <c:v>2.8252609462651179E-2</c:v>
                </c:pt>
                <c:pt idx="2146">
                  <c:v>2.8248278387073E-2</c:v>
                </c:pt>
                <c:pt idx="2147">
                  <c:v>2.8243937925882534E-2</c:v>
                </c:pt>
                <c:pt idx="2148">
                  <c:v>2.8239588079559397E-2</c:v>
                </c:pt>
                <c:pt idx="2149">
                  <c:v>2.8235228847623972E-2</c:v>
                </c:pt>
                <c:pt idx="2150">
                  <c:v>2.8230860230236132E-2</c:v>
                </c:pt>
                <c:pt idx="2151">
                  <c:v>2.8226482227635685E-2</c:v>
                </c:pt>
                <c:pt idx="2152">
                  <c:v>2.8222094839662759E-2</c:v>
                </c:pt>
                <c:pt idx="2153">
                  <c:v>2.821769806599761E-2</c:v>
                </c:pt>
                <c:pt idx="2154">
                  <c:v>2.8212661689721585E-2</c:v>
                </c:pt>
                <c:pt idx="2155">
                  <c:v>2.8208876362789681E-2</c:v>
                </c:pt>
                <c:pt idx="2156">
                  <c:v>2.820445143308703E-2</c:v>
                </c:pt>
                <c:pt idx="2157">
                  <c:v>2.8200017117852028E-2</c:v>
                </c:pt>
                <c:pt idx="2158">
                  <c:v>2.819430206478124E-2</c:v>
                </c:pt>
                <c:pt idx="2159">
                  <c:v>2.8190483410028833E-2</c:v>
                </c:pt>
                <c:pt idx="2160">
                  <c:v>2.8186657859992081E-2</c:v>
                </c:pt>
                <c:pt idx="2161">
                  <c:v>2.8182186003187226E-2</c:v>
                </c:pt>
                <c:pt idx="2162">
                  <c:v>2.8177704761009892E-2</c:v>
                </c:pt>
                <c:pt idx="2163">
                  <c:v>2.8173214133460078E-2</c:v>
                </c:pt>
                <c:pt idx="2164">
                  <c:v>2.816871412045785E-2</c:v>
                </c:pt>
                <c:pt idx="2165">
                  <c:v>2.8164204721923269E-2</c:v>
                </c:pt>
                <c:pt idx="2166">
                  <c:v>2.8159685938176082E-2</c:v>
                </c:pt>
                <c:pt idx="2167">
                  <c:v>2.8155157769056416E-2</c:v>
                </c:pt>
                <c:pt idx="2168">
                  <c:v>2.8150620214244526E-2</c:v>
                </c:pt>
                <c:pt idx="2169">
                  <c:v>2.8146073274220029E-2</c:v>
                </c:pt>
                <c:pt idx="2170">
                  <c:v>2.8141516948823053E-2</c:v>
                </c:pt>
                <c:pt idx="2171">
                  <c:v>2.8136951238053598E-2</c:v>
                </c:pt>
                <c:pt idx="2172">
                  <c:v>2.8132376141751791E-2</c:v>
                </c:pt>
                <c:pt idx="2173">
                  <c:v>2.8127791660157442E-2</c:v>
                </c:pt>
                <c:pt idx="2174">
                  <c:v>2.8121883535847658E-2</c:v>
                </c:pt>
                <c:pt idx="2175">
                  <c:v>2.8118594540611497E-2</c:v>
                </c:pt>
                <c:pt idx="2176">
                  <c:v>2.8113322188376699E-2</c:v>
                </c:pt>
                <c:pt idx="2177">
                  <c:v>2.8109359879495699E-2</c:v>
                </c:pt>
                <c:pt idx="2178">
                  <c:v>2.8104728470879081E-2</c:v>
                </c:pt>
                <c:pt idx="2179">
                  <c:v>2.8100087676730112E-2</c:v>
                </c:pt>
                <c:pt idx="2180">
                  <c:v>2.8094772419855474E-2</c:v>
                </c:pt>
                <c:pt idx="2181">
                  <c:v>2.8090777932474609E-2</c:v>
                </c:pt>
                <c:pt idx="2182">
                  <c:v>2.8086108982208202E-2</c:v>
                </c:pt>
                <c:pt idx="2183">
                  <c:v>2.808143064648938E-2</c:v>
                </c:pt>
                <c:pt idx="2184">
                  <c:v>2.8076742925557951E-2</c:v>
                </c:pt>
                <c:pt idx="2185">
                  <c:v>2.8072045819094171E-2</c:v>
                </c:pt>
                <c:pt idx="2186">
                  <c:v>2.806733932709804E-2</c:v>
                </c:pt>
                <c:pt idx="2187">
                  <c:v>2.8062623449889301E-2</c:v>
                </c:pt>
                <c:pt idx="2188">
                  <c:v>2.8057898187308083E-2</c:v>
                </c:pt>
                <c:pt idx="2189">
                  <c:v>2.805316353927445E-2</c:v>
                </c:pt>
                <c:pt idx="2190">
                  <c:v>2.8048419505708466E-2</c:v>
                </c:pt>
                <c:pt idx="2191">
                  <c:v>2.8043666086929875E-2</c:v>
                </c:pt>
                <c:pt idx="2192">
                  <c:v>2.8038903282698868E-2</c:v>
                </c:pt>
                <c:pt idx="2193">
                  <c:v>2.8033448585524923E-2</c:v>
                </c:pt>
                <c:pt idx="2194">
                  <c:v>2.8029349517959545E-2</c:v>
                </c:pt>
                <c:pt idx="2195">
                  <c:v>2.8024558557611101E-2</c:v>
                </c:pt>
                <c:pt idx="2196">
                  <c:v>2.8019758211730306E-2</c:v>
                </c:pt>
                <c:pt idx="2197">
                  <c:v>2.8014948480477031E-2</c:v>
                </c:pt>
                <c:pt idx="2198">
                  <c:v>2.8010129363851277E-2</c:v>
                </c:pt>
                <c:pt idx="2199">
                  <c:v>2.800530086193298E-2</c:v>
                </c:pt>
                <c:pt idx="2200">
                  <c:v>2.8000462974482332E-2</c:v>
                </c:pt>
                <c:pt idx="2201">
                  <c:v>2.7995615701659204E-2</c:v>
                </c:pt>
                <c:pt idx="2202">
                  <c:v>2.799075904362347E-2</c:v>
                </c:pt>
                <c:pt idx="2203">
                  <c:v>2.7985892999975448E-2</c:v>
                </c:pt>
                <c:pt idx="2204">
                  <c:v>2.7980320315021956E-2</c:v>
                </c:pt>
                <c:pt idx="2205">
                  <c:v>2.7976132756641903E-2</c:v>
                </c:pt>
                <c:pt idx="2206">
                  <c:v>2.7970538619248586E-2</c:v>
                </c:pt>
                <c:pt idx="2207">
                  <c:v>2.7966334971738505E-2</c:v>
                </c:pt>
                <c:pt idx="2208">
                  <c:v>2.7961422001228087E-2</c:v>
                </c:pt>
                <c:pt idx="2209">
                  <c:v>2.795649964534519E-2</c:v>
                </c:pt>
                <c:pt idx="2210">
                  <c:v>2.7950157111247265E-2</c:v>
                </c:pt>
                <c:pt idx="2211">
                  <c:v>2.7944506278485548E-2</c:v>
                </c:pt>
                <c:pt idx="2212">
                  <c:v>2.7940968283148848E-2</c:v>
                </c:pt>
                <c:pt idx="2213">
                  <c:v>2.7936007044768729E-2</c:v>
                </c:pt>
                <c:pt idx="2214">
                  <c:v>2.7931036421255939E-2</c:v>
                </c:pt>
                <c:pt idx="2215">
                  <c:v>2.7926056412210798E-2</c:v>
                </c:pt>
                <c:pt idx="2216">
                  <c:v>2.7921067017793177E-2</c:v>
                </c:pt>
                <c:pt idx="2217">
                  <c:v>2.7916068237923142E-2</c:v>
                </c:pt>
                <c:pt idx="2218">
                  <c:v>2.7911060072760563E-2</c:v>
                </c:pt>
                <c:pt idx="2219">
                  <c:v>2.7906042522225505E-2</c:v>
                </c:pt>
                <c:pt idx="2220">
                  <c:v>2.7901015586238032E-2</c:v>
                </c:pt>
                <c:pt idx="2221">
                  <c:v>2.7895979264878079E-2</c:v>
                </c:pt>
                <c:pt idx="2222">
                  <c:v>2.7890933558225584E-2</c:v>
                </c:pt>
                <c:pt idx="2223">
                  <c:v>2.7885878466120673E-2</c:v>
                </c:pt>
                <c:pt idx="2224">
                  <c:v>2.7880813988563347E-2</c:v>
                </c:pt>
                <c:pt idx="2225">
                  <c:v>2.7874288726712493E-2</c:v>
                </c:pt>
                <c:pt idx="2226">
                  <c:v>2.7870656877491129E-2</c:v>
                </c:pt>
                <c:pt idx="2227">
                  <c:v>2.7865564243816365E-2</c:v>
                </c:pt>
                <c:pt idx="2228">
                  <c:v>2.7859732598809472E-2</c:v>
                </c:pt>
                <c:pt idx="2229">
                  <c:v>2.7855350820429337E-2</c:v>
                </c:pt>
                <c:pt idx="2230">
                  <c:v>2.7850230030637135E-2</c:v>
                </c:pt>
                <c:pt idx="2231">
                  <c:v>2.7845099855392519E-2</c:v>
                </c:pt>
                <c:pt idx="2232">
                  <c:v>2.7839225305825721E-2</c:v>
                </c:pt>
                <c:pt idx="2233">
                  <c:v>2.7834811348945721E-2</c:v>
                </c:pt>
                <c:pt idx="2234">
                  <c:v>2.7829653017663603E-2</c:v>
                </c:pt>
                <c:pt idx="2235">
                  <c:v>2.7824485300929069E-2</c:v>
                </c:pt>
                <c:pt idx="2236">
                  <c:v>2.7819308198901993E-2</c:v>
                </c:pt>
                <c:pt idx="2237">
                  <c:v>2.7814121711502438E-2</c:v>
                </c:pt>
                <c:pt idx="2238">
                  <c:v>2.7808925838570531E-2</c:v>
                </c:pt>
                <c:pt idx="2239">
                  <c:v>2.7803720580426017E-2</c:v>
                </c:pt>
                <c:pt idx="2240">
                  <c:v>2.7798505936909024E-2</c:v>
                </c:pt>
                <c:pt idx="2241">
                  <c:v>2.7793281907939615E-2</c:v>
                </c:pt>
                <c:pt idx="2242">
                  <c:v>2.7788048493517792E-2</c:v>
                </c:pt>
                <c:pt idx="2243">
                  <c:v>2.7782805693803425E-2</c:v>
                </c:pt>
                <c:pt idx="2244">
                  <c:v>2.7777553508796515E-2</c:v>
                </c:pt>
                <c:pt idx="2245">
                  <c:v>2.7771539519250155E-2</c:v>
                </c:pt>
                <c:pt idx="2246">
                  <c:v>2.776702098242545E-2</c:v>
                </c:pt>
                <c:pt idx="2247">
                  <c:v>2.7761740641301103E-2</c:v>
                </c:pt>
                <c:pt idx="2248">
                  <c:v>2.775645091472434E-2</c:v>
                </c:pt>
                <c:pt idx="2249">
                  <c:v>2.7751151802615226E-2</c:v>
                </c:pt>
                <c:pt idx="2250">
                  <c:v>2.7745843305293505E-2</c:v>
                </c:pt>
                <c:pt idx="2251">
                  <c:v>2.7740525422679241E-2</c:v>
                </c:pt>
                <c:pt idx="2252">
                  <c:v>2.7735198154612561E-2</c:v>
                </c:pt>
                <c:pt idx="2253">
                  <c:v>2.7729861501093467E-2</c:v>
                </c:pt>
                <c:pt idx="2254">
                  <c:v>2.7724515462281829E-2</c:v>
                </c:pt>
                <c:pt idx="2255">
                  <c:v>2.7719160038097712E-2</c:v>
                </c:pt>
                <c:pt idx="2256">
                  <c:v>2.7713028061011613E-2</c:v>
                </c:pt>
                <c:pt idx="2257">
                  <c:v>2.7708421033532105E-2</c:v>
                </c:pt>
                <c:pt idx="2258">
                  <c:v>2.7703037453310486E-2</c:v>
                </c:pt>
                <c:pt idx="2259">
                  <c:v>2.7697644487716389E-2</c:v>
                </c:pt>
                <c:pt idx="2260">
                  <c:v>2.7692242136510004E-2</c:v>
                </c:pt>
                <c:pt idx="2261">
                  <c:v>2.7686830400250884E-2</c:v>
                </c:pt>
                <c:pt idx="2262">
                  <c:v>2.7679858662663648E-2</c:v>
                </c:pt>
                <c:pt idx="2263">
                  <c:v>2.767520221839348E-2</c:v>
                </c:pt>
                <c:pt idx="2264">
                  <c:v>2.7670538878679096E-2</c:v>
                </c:pt>
                <c:pt idx="2265">
                  <c:v>2.7665089600850123E-2</c:v>
                </c:pt>
                <c:pt idx="2266">
                  <c:v>2.7659630937648672E-2</c:v>
                </c:pt>
                <c:pt idx="2267">
                  <c:v>2.7654162888914868E-2</c:v>
                </c:pt>
                <c:pt idx="2268">
                  <c:v>2.7648685454888522E-2</c:v>
                </c:pt>
                <c:pt idx="2269">
                  <c:v>2.7643198635569632E-2</c:v>
                </c:pt>
                <c:pt idx="2270">
                  <c:v>2.7637702430878264E-2</c:v>
                </c:pt>
                <c:pt idx="2271">
                  <c:v>2.7632196840814416E-2</c:v>
                </c:pt>
                <c:pt idx="2272">
                  <c:v>2.7626681865378089E-2</c:v>
                </c:pt>
                <c:pt idx="2273">
                  <c:v>2.7621157504649219E-2</c:v>
                </c:pt>
                <c:pt idx="2274">
                  <c:v>2.7615623758387997E-2</c:v>
                </c:pt>
                <c:pt idx="2275">
                  <c:v>2.7610080626834232E-2</c:v>
                </c:pt>
                <c:pt idx="2276">
                  <c:v>2.7602939952782179E-2</c:v>
                </c:pt>
                <c:pt idx="2277">
                  <c:v>2.7598966207689202E-2</c:v>
                </c:pt>
                <c:pt idx="2278">
                  <c:v>2.7593394920097936E-2</c:v>
                </c:pt>
                <c:pt idx="2279">
                  <c:v>2.758781424713419E-2</c:v>
                </c:pt>
                <c:pt idx="2280">
                  <c:v>2.7581424842848534E-2</c:v>
                </c:pt>
                <c:pt idx="2281">
                  <c:v>2.7576624745089262E-2</c:v>
                </c:pt>
                <c:pt idx="2282">
                  <c:v>2.7571015916008079E-2</c:v>
                </c:pt>
                <c:pt idx="2283">
                  <c:v>2.7565397701714289E-2</c:v>
                </c:pt>
                <c:pt idx="2284">
                  <c:v>2.7558965392868728E-2</c:v>
                </c:pt>
                <c:pt idx="2285">
                  <c:v>2.7554133116689528E-2</c:v>
                </c:pt>
                <c:pt idx="2286">
                  <c:v>2.7548486746198364E-2</c:v>
                </c:pt>
                <c:pt idx="2287">
                  <c:v>2.7542830990414657E-2</c:v>
                </c:pt>
                <c:pt idx="2288">
                  <c:v>2.7537165849178535E-2</c:v>
                </c:pt>
                <c:pt idx="2289">
                  <c:v>2.7531491322569934E-2</c:v>
                </c:pt>
                <c:pt idx="2290">
                  <c:v>2.752580741066879E-2</c:v>
                </c:pt>
                <c:pt idx="2291">
                  <c:v>2.7520114113395167E-2</c:v>
                </c:pt>
                <c:pt idx="2292">
                  <c:v>2.7514411430669128E-2</c:v>
                </c:pt>
                <c:pt idx="2293">
                  <c:v>2.7508699362650546E-2</c:v>
                </c:pt>
                <c:pt idx="2294">
                  <c:v>2.7502977909499293E-2</c:v>
                </c:pt>
                <c:pt idx="2295">
                  <c:v>2.7497247070735753E-2</c:v>
                </c:pt>
                <c:pt idx="2296">
                  <c:v>2.7491506846759606E-2</c:v>
                </c:pt>
                <c:pt idx="2297">
                  <c:v>2.7484935098334162E-2</c:v>
                </c:pt>
                <c:pt idx="2298">
                  <c:v>2.7479998242609938E-2</c:v>
                </c:pt>
                <c:pt idx="2299">
                  <c:v>2.7474229862356481E-2</c:v>
                </c:pt>
                <c:pt idx="2300">
                  <c:v>2.7468452096970353E-2</c:v>
                </c:pt>
                <c:pt idx="2301">
                  <c:v>2.746266494613181E-2</c:v>
                </c:pt>
                <c:pt idx="2302">
                  <c:v>2.7456868410080659E-2</c:v>
                </c:pt>
                <c:pt idx="2303">
                  <c:v>2.7451062488417222E-2</c:v>
                </c:pt>
                <c:pt idx="2304">
                  <c:v>2.7445247181461241E-2</c:v>
                </c:pt>
                <c:pt idx="2305">
                  <c:v>2.7439422489452525E-2</c:v>
                </c:pt>
                <c:pt idx="2306">
                  <c:v>2.7433588411831522E-2</c:v>
                </c:pt>
                <c:pt idx="2307">
                  <c:v>2.742774494883804E-2</c:v>
                </c:pt>
                <c:pt idx="2308">
                  <c:v>2.7421055213272538E-2</c:v>
                </c:pt>
                <c:pt idx="2309">
                  <c:v>2.7416029866973446E-2</c:v>
                </c:pt>
                <c:pt idx="2310">
                  <c:v>2.7410158248022398E-2</c:v>
                </c:pt>
                <c:pt idx="2311">
                  <c:v>2.7404277243778807E-2</c:v>
                </c:pt>
                <c:pt idx="2312">
                  <c:v>2.7398386854162737E-2</c:v>
                </c:pt>
                <c:pt idx="2313">
                  <c:v>2.7392487079094252E-2</c:v>
                </c:pt>
                <c:pt idx="2314">
                  <c:v>2.7384887863357577E-2</c:v>
                </c:pt>
                <c:pt idx="2315">
                  <c:v>2.7379813100507633E-2</c:v>
                </c:pt>
                <c:pt idx="2316">
                  <c:v>2.7374731442213474E-2</c:v>
                </c:pt>
                <c:pt idx="2317">
                  <c:v>2.7368794125655072E-2</c:v>
                </c:pt>
                <c:pt idx="2318">
                  <c:v>2.7362847423884062E-2</c:v>
                </c:pt>
                <c:pt idx="2319">
                  <c:v>2.7356891336900446E-2</c:v>
                </c:pt>
                <c:pt idx="2320">
                  <c:v>2.7350925864544351E-2</c:v>
                </c:pt>
                <c:pt idx="2321">
                  <c:v>2.7344951006815776E-2</c:v>
                </c:pt>
                <c:pt idx="2322">
                  <c:v>2.7338966763714723E-2</c:v>
                </c:pt>
                <c:pt idx="2323">
                  <c:v>2.7332973135401062E-2</c:v>
                </c:pt>
                <c:pt idx="2324">
                  <c:v>2.732697012155505E-2</c:v>
                </c:pt>
                <c:pt idx="2325">
                  <c:v>2.7320957722416495E-2</c:v>
                </c:pt>
                <c:pt idx="2326">
                  <c:v>2.7314935937985396E-2</c:v>
                </c:pt>
                <c:pt idx="2327">
                  <c:v>2.7308904768261755E-2</c:v>
                </c:pt>
                <c:pt idx="2328">
                  <c:v>2.7302864213085698E-2</c:v>
                </c:pt>
                <c:pt idx="2329">
                  <c:v>2.7296814272537162E-2</c:v>
                </c:pt>
                <c:pt idx="2330">
                  <c:v>2.7290754946855955E-2</c:v>
                </c:pt>
                <c:pt idx="2331">
                  <c:v>2.7282950594331723E-2</c:v>
                </c:pt>
                <c:pt idx="2332">
                  <c:v>2.7278608139136296E-2</c:v>
                </c:pt>
                <c:pt idx="2333">
                  <c:v>2.7271650251030621E-2</c:v>
                </c:pt>
                <c:pt idx="2334">
                  <c:v>2.7266423790246463E-2</c:v>
                </c:pt>
                <c:pt idx="2335">
                  <c:v>2.7260317537782797E-2</c:v>
                </c:pt>
                <c:pt idx="2336">
                  <c:v>2.7253327471257194E-2</c:v>
                </c:pt>
                <c:pt idx="2337">
                  <c:v>2.7248076876817962E-2</c:v>
                </c:pt>
                <c:pt idx="2338">
                  <c:v>2.7241942468316793E-2</c:v>
                </c:pt>
                <c:pt idx="2339">
                  <c:v>2.7235798674443146E-2</c:v>
                </c:pt>
                <c:pt idx="2340">
                  <c:v>2.7229645495197019E-2</c:v>
                </c:pt>
                <c:pt idx="2341">
                  <c:v>2.7223482930818221E-2</c:v>
                </c:pt>
                <c:pt idx="2342">
                  <c:v>2.7217310980987008E-2</c:v>
                </c:pt>
                <c:pt idx="2343">
                  <c:v>2.7211129645863252E-2</c:v>
                </c:pt>
                <c:pt idx="2344">
                  <c:v>2.7204938925367017E-2</c:v>
                </c:pt>
                <c:pt idx="2345">
                  <c:v>2.7198738819578239E-2</c:v>
                </c:pt>
                <c:pt idx="2346">
                  <c:v>2.7192529328496917E-2</c:v>
                </c:pt>
                <c:pt idx="2347">
                  <c:v>2.718631045196318E-2</c:v>
                </c:pt>
                <c:pt idx="2348">
                  <c:v>2.7180082190216837E-2</c:v>
                </c:pt>
                <c:pt idx="2349">
                  <c:v>2.7172952684431095E-2</c:v>
                </c:pt>
                <c:pt idx="2350">
                  <c:v>2.7167597510606711E-2</c:v>
                </c:pt>
                <c:pt idx="2351">
                  <c:v>2.7161341092822866E-2</c:v>
                </c:pt>
                <c:pt idx="2352">
                  <c:v>2.7155075289746478E-2</c:v>
                </c:pt>
                <c:pt idx="2353">
                  <c:v>2.714880010129761E-2</c:v>
                </c:pt>
                <c:pt idx="2354">
                  <c:v>2.7142515527396327E-2</c:v>
                </c:pt>
                <c:pt idx="2355">
                  <c:v>2.7136221568442309E-2</c:v>
                </c:pt>
                <c:pt idx="2356">
                  <c:v>2.712991822395594E-2</c:v>
                </c:pt>
                <c:pt idx="2357">
                  <c:v>2.7123605494256964E-2</c:v>
                </c:pt>
                <c:pt idx="2358">
                  <c:v>2.7117283379185508E-2</c:v>
                </c:pt>
                <c:pt idx="2359">
                  <c:v>2.7110951878741574E-2</c:v>
                </c:pt>
                <c:pt idx="2360">
                  <c:v>2.7104610993085032E-2</c:v>
                </c:pt>
                <c:pt idx="2361">
                  <c:v>2.7098260721896139E-2</c:v>
                </c:pt>
                <c:pt idx="2362">
                  <c:v>2.7091901065574575E-2</c:v>
                </c:pt>
                <c:pt idx="2363">
                  <c:v>2.7085532024040404E-2</c:v>
                </c:pt>
                <c:pt idx="2364">
                  <c:v>2.7079153596893946E-2</c:v>
                </c:pt>
                <c:pt idx="2365">
                  <c:v>2.707276578453488E-2</c:v>
                </c:pt>
                <c:pt idx="2366">
                  <c:v>2.7067488752630098E-2</c:v>
                </c:pt>
                <c:pt idx="2367">
                  <c:v>2.7058330326079627E-2</c:v>
                </c:pt>
                <c:pt idx="2368">
                  <c:v>2.7051711178156523E-2</c:v>
                </c:pt>
                <c:pt idx="2369">
                  <c:v>2.7045283143012355E-2</c:v>
                </c:pt>
                <c:pt idx="2370">
                  <c:v>2.7038845722575644E-2</c:v>
                </c:pt>
                <c:pt idx="2371">
                  <c:v>2.7032398916766454E-2</c:v>
                </c:pt>
                <c:pt idx="2372">
                  <c:v>2.7025942725584784E-2</c:v>
                </c:pt>
                <c:pt idx="2373">
                  <c:v>2.7019477149270443E-2</c:v>
                </c:pt>
                <c:pt idx="2374">
                  <c:v>2.701300218766356E-2</c:v>
                </c:pt>
                <c:pt idx="2375">
                  <c:v>2.7006517840524324E-2</c:v>
                </c:pt>
                <c:pt idx="2376">
                  <c:v>2.7000024108252418E-2</c:v>
                </c:pt>
                <c:pt idx="2377">
                  <c:v>2.6993520990687969E-2</c:v>
                </c:pt>
                <c:pt idx="2378">
                  <c:v>2.6987008487511233E-2</c:v>
                </c:pt>
                <c:pt idx="2379">
                  <c:v>2.6980486599281761E-2</c:v>
                </c:pt>
                <c:pt idx="2380">
                  <c:v>2.6976129265571913E-2</c:v>
                </c:pt>
                <c:pt idx="2381">
                  <c:v>2.6963672933542071E-2</c:v>
                </c:pt>
                <c:pt idx="2382">
                  <c:v>2.6957117526444918E-2</c:v>
                </c:pt>
                <c:pt idx="2383">
                  <c:v>2.6950552733815414E-2</c:v>
                </c:pt>
                <c:pt idx="2384">
                  <c:v>2.6943038621602966E-2</c:v>
                </c:pt>
                <c:pt idx="2385">
                  <c:v>2.6937394992758712E-2</c:v>
                </c:pt>
                <c:pt idx="2386">
                  <c:v>2.6930802044331514E-2</c:v>
                </c:pt>
                <c:pt idx="2387">
                  <c:v>2.692325575385901E-2</c:v>
                </c:pt>
                <c:pt idx="2388">
                  <c:v>2.6917587991359682E-2</c:v>
                </c:pt>
                <c:pt idx="2389">
                  <c:v>2.6910966886974919E-2</c:v>
                </c:pt>
                <c:pt idx="2390">
                  <c:v>2.6904336397217676E-2</c:v>
                </c:pt>
                <c:pt idx="2391">
                  <c:v>2.6897696522167891E-2</c:v>
                </c:pt>
                <c:pt idx="2392">
                  <c:v>2.6891047261825562E-2</c:v>
                </c:pt>
                <c:pt idx="2393">
                  <c:v>2.6884388616110755E-2</c:v>
                </c:pt>
                <c:pt idx="2394">
                  <c:v>2.687772058518334E-2</c:v>
                </c:pt>
                <c:pt idx="2395">
                  <c:v>2.6871043168883446E-2</c:v>
                </c:pt>
                <c:pt idx="2396">
                  <c:v>2.6864356367450881E-2</c:v>
                </c:pt>
                <c:pt idx="2397">
                  <c:v>2.6857660180485965E-2</c:v>
                </c:pt>
                <c:pt idx="2398">
                  <c:v>2.6850954608388378E-2</c:v>
                </c:pt>
                <c:pt idx="2399">
                  <c:v>2.6844239650838375E-2</c:v>
                </c:pt>
                <c:pt idx="2400">
                  <c:v>2.6836553921425477E-2</c:v>
                </c:pt>
                <c:pt idx="2401">
                  <c:v>2.6830781580020613E-2</c:v>
                </c:pt>
                <c:pt idx="2402">
                  <c:v>2.6824038466592981E-2</c:v>
                </c:pt>
                <c:pt idx="2403">
                  <c:v>2.6817285967872806E-2</c:v>
                </c:pt>
                <c:pt idx="2404">
                  <c:v>2.6810524083940024E-2</c:v>
                </c:pt>
                <c:pt idx="2405">
                  <c:v>2.6803752814714699E-2</c:v>
                </c:pt>
                <c:pt idx="2406">
                  <c:v>2.6796972160036958E-2</c:v>
                </c:pt>
                <c:pt idx="2407">
                  <c:v>2.6790182120226547E-2</c:v>
                </c:pt>
                <c:pt idx="2408">
                  <c:v>2.6783382695123592E-2</c:v>
                </c:pt>
                <c:pt idx="2409">
                  <c:v>2.6776573884488286E-2</c:v>
                </c:pt>
                <c:pt idx="2410">
                  <c:v>2.6769755688720309E-2</c:v>
                </c:pt>
                <c:pt idx="2411">
                  <c:v>2.6762928107739725E-2</c:v>
                </c:pt>
                <c:pt idx="2412">
                  <c:v>2.6756091141386662E-2</c:v>
                </c:pt>
                <c:pt idx="2413">
                  <c:v>2.674924478966112E-2</c:v>
                </c:pt>
                <c:pt idx="2414">
                  <c:v>2.6741408895567531E-2</c:v>
                </c:pt>
                <c:pt idx="2415">
                  <c:v>2.6735523930492278E-2</c:v>
                </c:pt>
                <c:pt idx="2416">
                  <c:v>2.6728649423048978E-2</c:v>
                </c:pt>
                <c:pt idx="2417">
                  <c:v>2.6721765529993391E-2</c:v>
                </c:pt>
                <c:pt idx="2418">
                  <c:v>2.6713399113913461E-2</c:v>
                </c:pt>
                <c:pt idx="2419">
                  <c:v>2.6706982727571216E-2</c:v>
                </c:pt>
                <c:pt idx="2420">
                  <c:v>2.670105753971086E-2</c:v>
                </c:pt>
                <c:pt idx="2421">
                  <c:v>2.6694136105804844E-2</c:v>
                </c:pt>
                <c:pt idx="2422">
                  <c:v>2.6687205286446414E-2</c:v>
                </c:pt>
                <c:pt idx="2423">
                  <c:v>2.6680265081875376E-2</c:v>
                </c:pt>
                <c:pt idx="2424">
                  <c:v>2.6673315492011795E-2</c:v>
                </c:pt>
                <c:pt idx="2425">
                  <c:v>2.6666356516855672E-2</c:v>
                </c:pt>
                <c:pt idx="2426">
                  <c:v>2.6659388156407005E-2</c:v>
                </c:pt>
                <c:pt idx="2427">
                  <c:v>2.6652410410585858E-2</c:v>
                </c:pt>
                <c:pt idx="2428">
                  <c:v>2.6645423279552105E-2</c:v>
                </c:pt>
                <c:pt idx="2429">
                  <c:v>2.6638426763225809E-2</c:v>
                </c:pt>
                <c:pt idx="2430">
                  <c:v>2.6631420861686905E-2</c:v>
                </c:pt>
                <c:pt idx="2431">
                  <c:v>2.6622399483242631E-2</c:v>
                </c:pt>
                <c:pt idx="2432">
                  <c:v>2.6617380902571597E-2</c:v>
                </c:pt>
                <c:pt idx="2433">
                  <c:v>2.6610346845155064E-2</c:v>
                </c:pt>
                <c:pt idx="2434">
                  <c:v>2.6603303402445988E-2</c:v>
                </c:pt>
                <c:pt idx="2435">
                  <c:v>2.6596250574284497E-2</c:v>
                </c:pt>
                <c:pt idx="2436">
                  <c:v>2.6588178707269705E-2</c:v>
                </c:pt>
                <c:pt idx="2437">
                  <c:v>2.6582116762563501E-2</c:v>
                </c:pt>
                <c:pt idx="2438">
                  <c:v>2.6575035778444445E-2</c:v>
                </c:pt>
                <c:pt idx="2439">
                  <c:v>2.6566931733489341E-2</c:v>
                </c:pt>
                <c:pt idx="2440">
                  <c:v>2.656084565496819E-2</c:v>
                </c:pt>
                <c:pt idx="2441">
                  <c:v>2.6553736515291249E-2</c:v>
                </c:pt>
                <c:pt idx="2442">
                  <c:v>2.6546617990321764E-2</c:v>
                </c:pt>
                <c:pt idx="2443">
                  <c:v>2.6539490079979799E-2</c:v>
                </c:pt>
                <c:pt idx="2444">
                  <c:v>2.6532352784505164E-2</c:v>
                </c:pt>
                <c:pt idx="2445">
                  <c:v>2.6525206103578114E-2</c:v>
                </c:pt>
                <c:pt idx="2446">
                  <c:v>2.651805003735852E-2</c:v>
                </c:pt>
                <c:pt idx="2447">
                  <c:v>2.6510884586166128E-2</c:v>
                </c:pt>
                <c:pt idx="2448">
                  <c:v>2.650370974952132E-2</c:v>
                </c:pt>
                <c:pt idx="2449">
                  <c:v>2.6496525527424097E-2</c:v>
                </c:pt>
                <c:pt idx="2450">
                  <c:v>2.6489331920194203E-2</c:v>
                </c:pt>
                <c:pt idx="2451">
                  <c:v>2.6482128927831639E-2</c:v>
                </c:pt>
                <c:pt idx="2452">
                  <c:v>2.6474916550016658E-2</c:v>
                </c:pt>
                <c:pt idx="2453">
                  <c:v>2.6466662340380864E-2</c:v>
                </c:pt>
                <c:pt idx="2454">
                  <c:v>2.6460463638509069E-2</c:v>
                </c:pt>
                <c:pt idx="2455">
                  <c:v>2.6453223105056267E-2</c:v>
                </c:pt>
                <c:pt idx="2456">
                  <c:v>2.6445973186151051E-2</c:v>
                </c:pt>
                <c:pt idx="2457">
                  <c:v>2.6438713881953291E-2</c:v>
                </c:pt>
                <c:pt idx="2458">
                  <c:v>2.6431445192702796E-2</c:v>
                </c:pt>
                <c:pt idx="2459">
                  <c:v>2.642416711791995E-2</c:v>
                </c:pt>
                <c:pt idx="2460">
                  <c:v>2.6416879658004433E-2</c:v>
                </c:pt>
                <c:pt idx="2461">
                  <c:v>2.6409582812876309E-2</c:v>
                </c:pt>
                <c:pt idx="2462">
                  <c:v>2.6402276582375706E-2</c:v>
                </c:pt>
                <c:pt idx="2463">
                  <c:v>2.6394960966662495E-2</c:v>
                </c:pt>
                <c:pt idx="2464">
                  <c:v>2.6387635965576806E-2</c:v>
                </c:pt>
                <c:pt idx="2465">
                  <c:v>2.6380301579358445E-2</c:v>
                </c:pt>
                <c:pt idx="2466">
                  <c:v>2.6371907931421745E-2</c:v>
                </c:pt>
                <c:pt idx="2467">
                  <c:v>2.6365604650804286E-2</c:v>
                </c:pt>
                <c:pt idx="2468">
                  <c:v>2.6358242108868168E-2</c:v>
                </c:pt>
                <c:pt idx="2469">
                  <c:v>2.6350870181559571E-2</c:v>
                </c:pt>
                <c:pt idx="2470">
                  <c:v>2.6341378198599941E-2</c:v>
                </c:pt>
                <c:pt idx="2471">
                  <c:v>2.6335041591041275E-2</c:v>
                </c:pt>
                <c:pt idx="2472">
                  <c:v>2.6328698087878522E-2</c:v>
                </c:pt>
                <c:pt idx="2473">
                  <c:v>2.6321288619559624E-2</c:v>
                </c:pt>
                <c:pt idx="2474">
                  <c:v>2.6313869765868247E-2</c:v>
                </c:pt>
                <c:pt idx="2475">
                  <c:v>2.6306441526884328E-2</c:v>
                </c:pt>
                <c:pt idx="2476">
                  <c:v>2.6299003902767737E-2</c:v>
                </c:pt>
                <c:pt idx="2477">
                  <c:v>2.6291556893438539E-2</c:v>
                </c:pt>
                <c:pt idx="2478">
                  <c:v>2.628410049857699E-2</c:v>
                </c:pt>
                <c:pt idx="2479">
                  <c:v>2.6276634718662706E-2</c:v>
                </c:pt>
                <c:pt idx="2480">
                  <c:v>2.6269159553535815E-2</c:v>
                </c:pt>
                <c:pt idx="2481">
                  <c:v>2.6261675002956508E-2</c:v>
                </c:pt>
                <c:pt idx="2482">
                  <c:v>2.6254181067244531E-2</c:v>
                </c:pt>
                <c:pt idx="2483">
                  <c:v>2.6246677746319946E-2</c:v>
                </c:pt>
                <c:pt idx="2484">
                  <c:v>2.6239165040022883E-2</c:v>
                </c:pt>
                <c:pt idx="2485">
                  <c:v>2.6231642948513212E-2</c:v>
                </c:pt>
                <c:pt idx="2486">
                  <c:v>2.6221957897591963E-2</c:v>
                </c:pt>
                <c:pt idx="2487">
                  <c:v>2.6216570609856049E-2</c:v>
                </c:pt>
                <c:pt idx="2488">
                  <c:v>2.6207940989557699E-2</c:v>
                </c:pt>
                <c:pt idx="2489">
                  <c:v>2.6201460729948778E-2</c:v>
                </c:pt>
                <c:pt idx="2490">
                  <c:v>2.6193894718691269E-2</c:v>
                </c:pt>
                <c:pt idx="2491">
                  <c:v>2.6186340205196501E-2</c:v>
                </c:pt>
                <c:pt idx="2492">
                  <c:v>2.6177724235578737E-2</c:v>
                </c:pt>
                <c:pt idx="2493">
                  <c:v>2.6171274690440782E-2</c:v>
                </c:pt>
                <c:pt idx="2494">
                  <c:v>2.6163763689339703E-2</c:v>
                </c:pt>
                <c:pt idx="2495">
                  <c:v>2.6156267192316562E-2</c:v>
                </c:pt>
                <c:pt idx="2496">
                  <c:v>2.6148785199531233E-2</c:v>
                </c:pt>
                <c:pt idx="2497">
                  <c:v>2.6141317710903778E-2</c:v>
                </c:pt>
                <c:pt idx="2498">
                  <c:v>2.6133864726434197E-2</c:v>
                </c:pt>
                <c:pt idx="2499">
                  <c:v>2.6126426246122492E-2</c:v>
                </c:pt>
                <c:pt idx="2500">
                  <c:v>2.6119002269888725E-2</c:v>
                </c:pt>
                <c:pt idx="2501">
                  <c:v>2.6111592797892769E-2</c:v>
                </c:pt>
                <c:pt idx="2502">
                  <c:v>2.6104197830054687E-2</c:v>
                </c:pt>
                <c:pt idx="2503">
                  <c:v>2.6096817366214609E-2</c:v>
                </c:pt>
                <c:pt idx="2504">
                  <c:v>2.6089451406612341E-2</c:v>
                </c:pt>
                <c:pt idx="2505">
                  <c:v>2.6081050927260208E-2</c:v>
                </c:pt>
                <c:pt idx="2506">
                  <c:v>2.6074762999961365E-2</c:v>
                </c:pt>
                <c:pt idx="2507">
                  <c:v>2.6067440552832721E-2</c:v>
                </c:pt>
                <c:pt idx="2508">
                  <c:v>2.6060132609861952E-2</c:v>
                </c:pt>
                <c:pt idx="2509">
                  <c:v>2.6052839171049058E-2</c:v>
                </c:pt>
                <c:pt idx="2510">
                  <c:v>2.6045560236314103E-2</c:v>
                </c:pt>
                <c:pt idx="2511">
                  <c:v>2.6038295805737022E-2</c:v>
                </c:pt>
                <c:pt idx="2512">
                  <c:v>2.6031045879397752E-2</c:v>
                </c:pt>
                <c:pt idx="2513">
                  <c:v>2.6023810457216356E-2</c:v>
                </c:pt>
                <c:pt idx="2514">
                  <c:v>2.6016589538953028E-2</c:v>
                </c:pt>
                <c:pt idx="2515">
                  <c:v>2.600938312492751E-2</c:v>
                </c:pt>
                <c:pt idx="2516">
                  <c:v>2.6001164983480152E-2</c:v>
                </c:pt>
                <c:pt idx="2517">
                  <c:v>2.599501380950997E-2</c:v>
                </c:pt>
                <c:pt idx="2518">
                  <c:v>2.5986828820263597E-2</c:v>
                </c:pt>
                <c:pt idx="2519">
                  <c:v>2.5980702510484122E-2</c:v>
                </c:pt>
                <c:pt idx="2520">
                  <c:v>2.5973568617247977E-2</c:v>
                </c:pt>
                <c:pt idx="2521">
                  <c:v>2.5966449228089772E-2</c:v>
                </c:pt>
                <c:pt idx="2522">
                  <c:v>2.5957317039804195E-2</c:v>
                </c:pt>
                <c:pt idx="2523">
                  <c:v>2.5949219667511514E-2</c:v>
                </c:pt>
                <c:pt idx="2524">
                  <c:v>2.5944168429923309E-2</c:v>
                </c:pt>
                <c:pt idx="2525">
                  <c:v>2.593710912933922E-2</c:v>
                </c:pt>
                <c:pt idx="2526">
                  <c:v>2.5930064332673197E-2</c:v>
                </c:pt>
                <c:pt idx="2527">
                  <c:v>2.5923034040324922E-2</c:v>
                </c:pt>
                <c:pt idx="2528">
                  <c:v>2.5916018252214457E-2</c:v>
                </c:pt>
                <c:pt idx="2529">
                  <c:v>2.590901696818193E-2</c:v>
                </c:pt>
                <c:pt idx="2530">
                  <c:v>2.5902030188067471E-2</c:v>
                </c:pt>
                <c:pt idx="2531">
                  <c:v>2.5895057912270758E-2</c:v>
                </c:pt>
                <c:pt idx="2532">
                  <c:v>2.5888100140551984E-2</c:v>
                </c:pt>
                <c:pt idx="2533">
                  <c:v>2.5881156872991085E-2</c:v>
                </c:pt>
                <c:pt idx="2534">
                  <c:v>2.5874228109428188E-2</c:v>
                </c:pt>
                <c:pt idx="2535">
                  <c:v>2.586731385034291E-2</c:v>
                </c:pt>
                <c:pt idx="2536">
                  <c:v>2.5858445400368524E-2</c:v>
                </c:pt>
                <c:pt idx="2537">
                  <c:v>2.5853528843846618E-2</c:v>
                </c:pt>
                <c:pt idx="2538">
                  <c:v>2.584665809691522E-2</c:v>
                </c:pt>
                <c:pt idx="2539">
                  <c:v>2.5839801854141697E-2</c:v>
                </c:pt>
                <c:pt idx="2540">
                  <c:v>2.5831983908171097E-2</c:v>
                </c:pt>
                <c:pt idx="2541">
                  <c:v>2.5826132880748531E-2</c:v>
                </c:pt>
                <c:pt idx="2542">
                  <c:v>2.581932015028876E-2</c:v>
                </c:pt>
                <c:pt idx="2543">
                  <c:v>2.5812521923906928E-2</c:v>
                </c:pt>
                <c:pt idx="2544">
                  <c:v>2.5804770282498168E-2</c:v>
                </c:pt>
                <c:pt idx="2545">
                  <c:v>2.5798968983457016E-2</c:v>
                </c:pt>
                <c:pt idx="2546">
                  <c:v>2.5792214269548808E-2</c:v>
                </c:pt>
                <c:pt idx="2547">
                  <c:v>2.578547405947873E-2</c:v>
                </c:pt>
                <c:pt idx="2548">
                  <c:v>2.57787483537264E-2</c:v>
                </c:pt>
                <c:pt idx="2549">
                  <c:v>2.5772037152052008E-2</c:v>
                </c:pt>
                <c:pt idx="2550">
                  <c:v>2.5765340454455554E-2</c:v>
                </c:pt>
                <c:pt idx="2551">
                  <c:v>2.5758658261176848E-2</c:v>
                </c:pt>
                <c:pt idx="2552">
                  <c:v>2.5751990571656336E-2</c:v>
                </c:pt>
                <c:pt idx="2553">
                  <c:v>2.5745337386453571E-2</c:v>
                </c:pt>
                <c:pt idx="2554">
                  <c:v>2.5738698705328744E-2</c:v>
                </c:pt>
                <c:pt idx="2555">
                  <c:v>2.573207452820192E-2</c:v>
                </c:pt>
                <c:pt idx="2556">
                  <c:v>2.5725464855232971E-2</c:v>
                </c:pt>
                <c:pt idx="2557">
                  <c:v>2.5717928703530291E-2</c:v>
                </c:pt>
                <c:pt idx="2558">
                  <c:v>2.5712289021848633E-2</c:v>
                </c:pt>
                <c:pt idx="2559">
                  <c:v>2.57057228611135E-2</c:v>
                </c:pt>
                <c:pt idx="2560">
                  <c:v>2.5699171204616178E-2</c:v>
                </c:pt>
                <c:pt idx="2561">
                  <c:v>2.569263405227673E-2</c:v>
                </c:pt>
                <c:pt idx="2562">
                  <c:v>2.5686111403935286E-2</c:v>
                </c:pt>
                <c:pt idx="2563">
                  <c:v>2.5679603259591843E-2</c:v>
                </c:pt>
                <c:pt idx="2564">
                  <c:v>2.5673109619646084E-2</c:v>
                </c:pt>
                <c:pt idx="2565">
                  <c:v>2.5666630483618391E-2</c:v>
                </c:pt>
                <c:pt idx="2566">
                  <c:v>2.5660165851588701E-2</c:v>
                </c:pt>
                <c:pt idx="2567">
                  <c:v>2.5653715723876758E-2</c:v>
                </c:pt>
                <c:pt idx="2568">
                  <c:v>2.5646361909359428E-2</c:v>
                </c:pt>
                <c:pt idx="2569">
                  <c:v>2.5640858980526815E-2</c:v>
                </c:pt>
                <c:pt idx="2570">
                  <c:v>2.5634452365048688E-2</c:v>
                </c:pt>
                <c:pt idx="2571">
                  <c:v>2.5628060253488627E-2</c:v>
                </c:pt>
                <c:pt idx="2572">
                  <c:v>2.5621682646326249E-2</c:v>
                </c:pt>
                <c:pt idx="2573">
                  <c:v>2.5615319542922066E-2</c:v>
                </c:pt>
                <c:pt idx="2574">
                  <c:v>2.5607159722422779E-2</c:v>
                </c:pt>
                <c:pt idx="2575">
                  <c:v>2.5601733162021745E-2</c:v>
                </c:pt>
                <c:pt idx="2576">
                  <c:v>2.5596317257896573E-2</c:v>
                </c:pt>
                <c:pt idx="2577">
                  <c:v>2.5590012170804144E-2</c:v>
                </c:pt>
                <c:pt idx="2578">
                  <c:v>2.5583721588189334E-2</c:v>
                </c:pt>
                <c:pt idx="2579">
                  <c:v>2.5577445509412655E-2</c:v>
                </c:pt>
                <c:pt idx="2580">
                  <c:v>2.5571183934873787E-2</c:v>
                </c:pt>
                <c:pt idx="2581">
                  <c:v>2.5564936864252985E-2</c:v>
                </c:pt>
                <c:pt idx="2582">
                  <c:v>2.5558704297869994E-2</c:v>
                </c:pt>
                <c:pt idx="2583">
                  <c:v>2.5552486235485006E-2</c:v>
                </c:pt>
                <c:pt idx="2584">
                  <c:v>2.5546282677177956E-2</c:v>
                </c:pt>
                <c:pt idx="2585">
                  <c:v>2.5540093622948845E-2</c:v>
                </c:pt>
                <c:pt idx="2586">
                  <c:v>2.5533919072877609E-2</c:v>
                </c:pt>
                <c:pt idx="2587">
                  <c:v>2.5527759026884311E-2</c:v>
                </c:pt>
                <c:pt idx="2588">
                  <c:v>2.5521613484889016E-2</c:v>
                </c:pt>
                <c:pt idx="2589">
                  <c:v>2.551548244697166E-2</c:v>
                </c:pt>
                <c:pt idx="2590">
                  <c:v>2.5509365913372051E-2</c:v>
                </c:pt>
                <c:pt idx="2591">
                  <c:v>2.5501523110564861E-2</c:v>
                </c:pt>
                <c:pt idx="2592">
                  <c:v>2.5497176357927032E-2</c:v>
                </c:pt>
                <c:pt idx="2593">
                  <c:v>2.5490236945922007E-2</c:v>
                </c:pt>
                <c:pt idx="2594">
                  <c:v>2.5485044818953639E-2</c:v>
                </c:pt>
                <c:pt idx="2595">
                  <c:v>2.5479000805423979E-2</c:v>
                </c:pt>
                <c:pt idx="2596">
                  <c:v>2.5472111121800367E-2</c:v>
                </c:pt>
                <c:pt idx="2597">
                  <c:v>2.5466956290998155E-2</c:v>
                </c:pt>
                <c:pt idx="2598">
                  <c:v>2.5460955789942119E-2</c:v>
                </c:pt>
                <c:pt idx="2599">
                  <c:v>2.5454969792724214E-2</c:v>
                </c:pt>
                <c:pt idx="2600">
                  <c:v>2.5448998299744119E-2</c:v>
                </c:pt>
                <c:pt idx="2601">
                  <c:v>2.5443041310762027E-2</c:v>
                </c:pt>
                <c:pt idx="2602">
                  <c:v>2.5437098825857873E-2</c:v>
                </c:pt>
                <c:pt idx="2603">
                  <c:v>2.5431170845031659E-2</c:v>
                </c:pt>
                <c:pt idx="2604">
                  <c:v>2.5425257368363319E-2</c:v>
                </c:pt>
                <c:pt idx="2605">
                  <c:v>2.5419358395692981E-2</c:v>
                </c:pt>
                <c:pt idx="2606">
                  <c:v>2.5413473927020647E-2</c:v>
                </c:pt>
                <c:pt idx="2607">
                  <c:v>2.5407603962586123E-2</c:v>
                </c:pt>
                <c:pt idx="2608">
                  <c:v>2.5401748502149601E-2</c:v>
                </c:pt>
                <c:pt idx="2609">
                  <c:v>2.5395074307272836E-2</c:v>
                </c:pt>
                <c:pt idx="2610">
                  <c:v>2.5390081093270567E-2</c:v>
                </c:pt>
                <c:pt idx="2611">
                  <c:v>2.5384269145067861E-2</c:v>
                </c:pt>
                <c:pt idx="2612">
                  <c:v>2.5378471700863159E-2</c:v>
                </c:pt>
                <c:pt idx="2613">
                  <c:v>2.5372688760576523E-2</c:v>
                </c:pt>
                <c:pt idx="2614">
                  <c:v>2.5366920324527698E-2</c:v>
                </c:pt>
                <c:pt idx="2615">
                  <c:v>2.5361166392636747E-2</c:v>
                </c:pt>
                <c:pt idx="2616">
                  <c:v>2.5355426964583927E-2</c:v>
                </c:pt>
                <c:pt idx="2617">
                  <c:v>2.5349702040609046E-2</c:v>
                </c:pt>
                <c:pt idx="2618">
                  <c:v>2.5343991620871975E-2</c:v>
                </c:pt>
                <c:pt idx="2619">
                  <c:v>2.5338295705212843E-2</c:v>
                </c:pt>
                <c:pt idx="2620">
                  <c:v>2.5332614293391842E-2</c:v>
                </c:pt>
                <c:pt idx="2621">
                  <c:v>2.5326947385728715E-2</c:v>
                </c:pt>
                <c:pt idx="2622">
                  <c:v>2.5321294982143527E-2</c:v>
                </c:pt>
                <c:pt idx="2623">
                  <c:v>2.5315657082636278E-2</c:v>
                </c:pt>
                <c:pt idx="2624">
                  <c:v>2.5310033687047095E-2</c:v>
                </c:pt>
                <c:pt idx="2625">
                  <c:v>2.5304424795695724E-2</c:v>
                </c:pt>
                <c:pt idx="2626">
                  <c:v>2.5297234675996094E-2</c:v>
                </c:pt>
                <c:pt idx="2627">
                  <c:v>2.5291658936605899E-2</c:v>
                </c:pt>
                <c:pt idx="2628">
                  <c:v>2.5286891275619894E-2</c:v>
                </c:pt>
                <c:pt idx="2629">
                  <c:v>2.5281342472363022E-2</c:v>
                </c:pt>
                <c:pt idx="2630">
                  <c:v>2.5275018742902944E-2</c:v>
                </c:pt>
                <c:pt idx="2631">
                  <c:v>2.5270288378163031E-2</c:v>
                </c:pt>
                <c:pt idx="2632">
                  <c:v>2.5264783087060039E-2</c:v>
                </c:pt>
                <c:pt idx="2633">
                  <c:v>2.5259292300034986E-2</c:v>
                </c:pt>
                <c:pt idx="2634">
                  <c:v>2.5253034874817004E-2</c:v>
                </c:pt>
                <c:pt idx="2635">
                  <c:v>2.5248354238058823E-2</c:v>
                </c:pt>
                <c:pt idx="2636">
                  <c:v>2.524290696318765E-2</c:v>
                </c:pt>
                <c:pt idx="2637">
                  <c:v>2.5237474192394416E-2</c:v>
                </c:pt>
                <c:pt idx="2638">
                  <c:v>2.523205592567912E-2</c:v>
                </c:pt>
                <c:pt idx="2639">
                  <c:v>2.5226652162881891E-2</c:v>
                </c:pt>
                <c:pt idx="2640">
                  <c:v>2.5221262904322472E-2</c:v>
                </c:pt>
                <c:pt idx="2641">
                  <c:v>2.521588814968112E-2</c:v>
                </c:pt>
                <c:pt idx="2642">
                  <c:v>2.5210000381807873E-2</c:v>
                </c:pt>
                <c:pt idx="2643">
                  <c:v>2.5205182152472361E-2</c:v>
                </c:pt>
                <c:pt idx="2644">
                  <c:v>2.5199850909984889E-2</c:v>
                </c:pt>
                <c:pt idx="2645">
                  <c:v>2.5193775821472641E-2</c:v>
                </c:pt>
                <c:pt idx="2646">
                  <c:v>2.5189231937083889E-2</c:v>
                </c:pt>
                <c:pt idx="2647">
                  <c:v>2.5183944206750297E-2</c:v>
                </c:pt>
                <c:pt idx="2648">
                  <c:v>2.517791884645959E-2</c:v>
                </c:pt>
                <c:pt idx="2649">
                  <c:v>2.5173412258077121E-2</c:v>
                </c:pt>
                <c:pt idx="2650">
                  <c:v>2.5168168039817473E-2</c:v>
                </c:pt>
                <c:pt idx="2651">
                  <c:v>2.5162938325555828E-2</c:v>
                </c:pt>
                <c:pt idx="2652">
                  <c:v>2.5157723115452058E-2</c:v>
                </c:pt>
                <c:pt idx="2653">
                  <c:v>2.515252240934629E-2</c:v>
                </c:pt>
                <c:pt idx="2654">
                  <c:v>2.5147336207078652E-2</c:v>
                </c:pt>
                <c:pt idx="2655">
                  <c:v>2.5142164508968889E-2</c:v>
                </c:pt>
                <c:pt idx="2656">
                  <c:v>2.5137007315017001E-2</c:v>
                </c:pt>
                <c:pt idx="2657">
                  <c:v>2.513186462498318E-2</c:v>
                </c:pt>
                <c:pt idx="2658">
                  <c:v>2.5126736439027297E-2</c:v>
                </c:pt>
                <c:pt idx="2659">
                  <c:v>2.5121622757149353E-2</c:v>
                </c:pt>
                <c:pt idx="2660">
                  <c:v>2.5116523579189476E-2</c:v>
                </c:pt>
                <c:pt idx="2661">
                  <c:v>2.5110713707325871E-2</c:v>
                </c:pt>
                <c:pt idx="2662">
                  <c:v>2.5105645609464489E-2</c:v>
                </c:pt>
                <c:pt idx="2663">
                  <c:v>2.5101313069777476E-2</c:v>
                </c:pt>
                <c:pt idx="2664">
                  <c:v>2.5096271907889545E-2</c:v>
                </c:pt>
                <c:pt idx="2665">
                  <c:v>2.5091245249999616E-2</c:v>
                </c:pt>
                <c:pt idx="2666">
                  <c:v>2.5086233096347499E-2</c:v>
                </c:pt>
                <c:pt idx="2667">
                  <c:v>2.5081235446693384E-2</c:v>
                </c:pt>
                <c:pt idx="2668">
                  <c:v>2.5075541607053609E-2</c:v>
                </c:pt>
                <c:pt idx="2669">
                  <c:v>2.5071283659299226E-2</c:v>
                </c:pt>
                <c:pt idx="2670">
                  <c:v>2.5066329521719055E-2</c:v>
                </c:pt>
                <c:pt idx="2671">
                  <c:v>2.5061389888136887E-2</c:v>
                </c:pt>
                <c:pt idx="2672">
                  <c:v>2.5055762352659272E-2</c:v>
                </c:pt>
                <c:pt idx="2673">
                  <c:v>2.5051554132966558E-2</c:v>
                </c:pt>
                <c:pt idx="2674">
                  <c:v>2.504665801153827E-2</c:v>
                </c:pt>
                <c:pt idx="2675">
                  <c:v>2.5041776393948112E-2</c:v>
                </c:pt>
                <c:pt idx="2676">
                  <c:v>2.5036909280435893E-2</c:v>
                </c:pt>
                <c:pt idx="2677">
                  <c:v>2.5032056671161484E-2</c:v>
                </c:pt>
                <c:pt idx="2678">
                  <c:v>2.5026889276755782E-2</c:v>
                </c:pt>
                <c:pt idx="2679">
                  <c:v>2.5022071221600939E-2</c:v>
                </c:pt>
                <c:pt idx="2680">
                  <c:v>2.501690003689383E-2</c:v>
                </c:pt>
                <c:pt idx="2681">
                  <c:v>2.501210751555405E-2</c:v>
                </c:pt>
                <c:pt idx="2682">
                  <c:v>2.5007329498292208E-2</c:v>
                </c:pt>
                <c:pt idx="2683">
                  <c:v>2.5002565984948433E-2</c:v>
                </c:pt>
                <c:pt idx="2684">
                  <c:v>2.4997816975682596E-2</c:v>
                </c:pt>
                <c:pt idx="2685">
                  <c:v>2.499308247025489E-2</c:v>
                </c:pt>
                <c:pt idx="2686">
                  <c:v>2.4988362469064995E-2</c:v>
                </c:pt>
                <c:pt idx="2687">
                  <c:v>2.4983656971873103E-2</c:v>
                </c:pt>
                <c:pt idx="2688">
                  <c:v>2.4978965978359469E-2</c:v>
                </c:pt>
                <c:pt idx="2689">
                  <c:v>2.4974289489243517E-2</c:v>
                </c:pt>
                <c:pt idx="2690">
                  <c:v>2.4969627503965697E-2</c:v>
                </c:pt>
                <c:pt idx="2691">
                  <c:v>2.4967117504925085E-2</c:v>
                </c:pt>
                <c:pt idx="2692">
                  <c:v>2.495770614222792E-2</c:v>
                </c:pt>
                <c:pt idx="2693">
                  <c:v>2.4953095956954385E-2</c:v>
                </c:pt>
                <c:pt idx="2694">
                  <c:v>2.4948500275838725E-2</c:v>
                </c:pt>
                <c:pt idx="2695">
                  <c:v>2.4943919098721068E-2</c:v>
                </c:pt>
                <c:pt idx="2696">
                  <c:v>2.493870122762587E-2</c:v>
                </c:pt>
                <c:pt idx="2697">
                  <c:v>2.4934800256479761E-2</c:v>
                </c:pt>
                <c:pt idx="2698">
                  <c:v>2.4930262591196239E-2</c:v>
                </c:pt>
                <c:pt idx="2699">
                  <c:v>2.4925094448322582E-2</c:v>
                </c:pt>
                <c:pt idx="2700">
                  <c:v>2.492123077310282E-2</c:v>
                </c:pt>
                <c:pt idx="2701">
                  <c:v>2.4916736619973179E-2</c:v>
                </c:pt>
                <c:pt idx="2702">
                  <c:v>2.491225697084154E-2</c:v>
                </c:pt>
                <c:pt idx="2703">
                  <c:v>2.4907791825947712E-2</c:v>
                </c:pt>
                <c:pt idx="2704">
                  <c:v>2.4903341184892014E-2</c:v>
                </c:pt>
                <c:pt idx="2705">
                  <c:v>2.4898905047754383E-2</c:v>
                </c:pt>
                <c:pt idx="2706">
                  <c:v>2.4894483414774626E-2</c:v>
                </c:pt>
                <c:pt idx="2707">
                  <c:v>2.4890076285712937E-2</c:v>
                </c:pt>
                <c:pt idx="2708">
                  <c:v>2.4885683660569313E-2</c:v>
                </c:pt>
                <c:pt idx="2709">
                  <c:v>2.4881305539663501E-2</c:v>
                </c:pt>
                <c:pt idx="2710">
                  <c:v>2.4876941922675755E-2</c:v>
                </c:pt>
                <c:pt idx="2711">
                  <c:v>2.4872592809526139E-2</c:v>
                </c:pt>
                <c:pt idx="2712">
                  <c:v>2.486764015475984E-2</c:v>
                </c:pt>
                <c:pt idx="2713">
                  <c:v>2.4863938095460725E-2</c:v>
                </c:pt>
                <c:pt idx="2714">
                  <c:v>2.4859632494464989E-2</c:v>
                </c:pt>
                <c:pt idx="2715">
                  <c:v>2.4855341397387321E-2</c:v>
                </c:pt>
                <c:pt idx="2716">
                  <c:v>2.4851064804307654E-2</c:v>
                </c:pt>
                <c:pt idx="2717">
                  <c:v>2.4846802715385863E-2</c:v>
                </c:pt>
                <c:pt idx="2718">
                  <c:v>2.4842555130382138E-2</c:v>
                </c:pt>
                <c:pt idx="2719">
                  <c:v>2.4838322049216544E-2</c:v>
                </c:pt>
                <c:pt idx="2720">
                  <c:v>2.483410347228876E-2</c:v>
                </c:pt>
                <c:pt idx="2721">
                  <c:v>2.4829899399279043E-2</c:v>
                </c:pt>
                <c:pt idx="2722">
                  <c:v>2.4825709830267328E-2</c:v>
                </c:pt>
                <c:pt idx="2723">
                  <c:v>2.4821534765173681E-2</c:v>
                </c:pt>
                <c:pt idx="2724">
                  <c:v>2.4817374204157971E-2</c:v>
                </c:pt>
                <c:pt idx="2725">
                  <c:v>2.4813228147140265E-2</c:v>
                </c:pt>
                <c:pt idx="2726">
                  <c:v>2.4808507556182136E-2</c:v>
                </c:pt>
                <c:pt idx="2727">
                  <c:v>2.4804979545018924E-2</c:v>
                </c:pt>
                <c:pt idx="2728">
                  <c:v>2.4800876999915289E-2</c:v>
                </c:pt>
                <c:pt idx="2729">
                  <c:v>2.4796788958889593E-2</c:v>
                </c:pt>
                <c:pt idx="2730">
                  <c:v>2.4792117759622201E-2</c:v>
                </c:pt>
                <c:pt idx="2731">
                  <c:v>2.4788077710846679E-2</c:v>
                </c:pt>
                <c:pt idx="2732">
                  <c:v>2.4784611859640648E-2</c:v>
                </c:pt>
                <c:pt idx="2733">
                  <c:v>2.4780581834447091E-2</c:v>
                </c:pt>
                <c:pt idx="2734">
                  <c:v>2.4776566313331472E-2</c:v>
                </c:pt>
                <c:pt idx="2735">
                  <c:v>2.4772565296213855E-2</c:v>
                </c:pt>
                <c:pt idx="2736">
                  <c:v>2.4768578783174178E-2</c:v>
                </c:pt>
                <c:pt idx="2737">
                  <c:v>2.4764606774052567E-2</c:v>
                </c:pt>
                <c:pt idx="2738">
                  <c:v>2.4760649268849022E-2</c:v>
                </c:pt>
                <c:pt idx="2739">
                  <c:v>2.4756706267723416E-2</c:v>
                </c:pt>
                <c:pt idx="2740">
                  <c:v>2.4752777770595813E-2</c:v>
                </c:pt>
                <c:pt idx="2741">
                  <c:v>2.4748863777226404E-2</c:v>
                </c:pt>
                <c:pt idx="2742">
                  <c:v>2.4744964288094806E-2</c:v>
                </c:pt>
                <c:pt idx="2743">
                  <c:v>2.4741079302961211E-2</c:v>
                </c:pt>
                <c:pt idx="2744">
                  <c:v>2.4737208821825618E-2</c:v>
                </c:pt>
                <c:pt idx="2745">
                  <c:v>2.473335284444822E-2</c:v>
                </c:pt>
                <c:pt idx="2746">
                  <c:v>2.4728416471457848E-2</c:v>
                </c:pt>
                <c:pt idx="2747">
                  <c:v>2.4725684402007175E-2</c:v>
                </c:pt>
                <c:pt idx="2748">
                  <c:v>2.4721328482781857E-2</c:v>
                </c:pt>
                <c:pt idx="2749">
                  <c:v>2.4718073975318333E-2</c:v>
                </c:pt>
                <c:pt idx="2750">
                  <c:v>2.4714290518170756E-2</c:v>
                </c:pt>
                <c:pt idx="2751">
                  <c:v>2.4710521564781374E-2</c:v>
                </c:pt>
                <c:pt idx="2752">
                  <c:v>2.4706231949478408E-2</c:v>
                </c:pt>
                <c:pt idx="2753">
                  <c:v>2.4703027170156489E-2</c:v>
                </c:pt>
                <c:pt idx="2754">
                  <c:v>2.4699301728681178E-2</c:v>
                </c:pt>
                <c:pt idx="2755">
                  <c:v>2.469559079120387E-2</c:v>
                </c:pt>
                <c:pt idx="2756">
                  <c:v>2.46918943578045E-2</c:v>
                </c:pt>
                <c:pt idx="2757">
                  <c:v>2.468821242848307E-2</c:v>
                </c:pt>
                <c:pt idx="2758">
                  <c:v>2.4684545002999769E-2</c:v>
                </c:pt>
                <c:pt idx="2759">
                  <c:v>2.46808920813546E-2</c:v>
                </c:pt>
                <c:pt idx="2760">
                  <c:v>2.4677253663947241E-2</c:v>
                </c:pt>
                <c:pt idx="2761">
                  <c:v>2.4673629750537884E-2</c:v>
                </c:pt>
                <c:pt idx="2762">
                  <c:v>2.4670020340886722E-2</c:v>
                </c:pt>
                <c:pt idx="2763">
                  <c:v>2.4666425435313499E-2</c:v>
                </c:pt>
                <c:pt idx="2764">
                  <c:v>2.4662845033738279E-2</c:v>
                </c:pt>
                <c:pt idx="2765">
                  <c:v>2.4658770906222927E-2</c:v>
                </c:pt>
                <c:pt idx="2766">
                  <c:v>2.4655727742581846E-2</c:v>
                </c:pt>
                <c:pt idx="2767">
                  <c:v>2.4652190852840761E-2</c:v>
                </c:pt>
                <c:pt idx="2768">
                  <c:v>2.4648668467177615E-2</c:v>
                </c:pt>
                <c:pt idx="2769">
                  <c:v>2.4645160585432535E-2</c:v>
                </c:pt>
                <c:pt idx="2770">
                  <c:v>2.4641667207685458E-2</c:v>
                </c:pt>
                <c:pt idx="2771">
                  <c:v>2.4638188333936384E-2</c:v>
                </c:pt>
                <c:pt idx="2772">
                  <c:v>2.4634723964265248E-2</c:v>
                </c:pt>
                <c:pt idx="2773">
                  <c:v>2.4631274098352307E-2</c:v>
                </c:pt>
                <c:pt idx="2774">
                  <c:v>2.4627838736517305E-2</c:v>
                </c:pt>
                <c:pt idx="2775">
                  <c:v>2.4624417878680305E-2</c:v>
                </c:pt>
                <c:pt idx="2776">
                  <c:v>2.4620526086831518E-2</c:v>
                </c:pt>
                <c:pt idx="2777">
                  <c:v>2.4617619674920377E-2</c:v>
                </c:pt>
                <c:pt idx="2778">
                  <c:v>2.461376103495283E-2</c:v>
                </c:pt>
                <c:pt idx="2779">
                  <c:v>2.4610879486992587E-2</c:v>
                </c:pt>
                <c:pt idx="2780">
                  <c:v>2.4607531148985728E-2</c:v>
                </c:pt>
                <c:pt idx="2781">
                  <c:v>2.4604197314976872E-2</c:v>
                </c:pt>
                <c:pt idx="2782">
                  <c:v>2.459993226890056E-2</c:v>
                </c:pt>
                <c:pt idx="2783">
                  <c:v>2.45961612447676E-2</c:v>
                </c:pt>
                <c:pt idx="2784">
                  <c:v>2.4593813974629342E-2</c:v>
                </c:pt>
                <c:pt idx="2785">
                  <c:v>2.4590540228475177E-2</c:v>
                </c:pt>
                <c:pt idx="2786">
                  <c:v>2.458728098623908E-2</c:v>
                </c:pt>
                <c:pt idx="2787">
                  <c:v>2.458403624808092E-2</c:v>
                </c:pt>
                <c:pt idx="2788">
                  <c:v>2.4580806013680956E-2</c:v>
                </c:pt>
                <c:pt idx="2789">
                  <c:v>2.4577590283278994E-2</c:v>
                </c:pt>
                <c:pt idx="2790">
                  <c:v>2.4574389057114843E-2</c:v>
                </c:pt>
                <c:pt idx="2791">
                  <c:v>2.4571202334868758E-2</c:v>
                </c:pt>
                <c:pt idx="2792">
                  <c:v>2.4568030116380868E-2</c:v>
                </c:pt>
                <c:pt idx="2793">
                  <c:v>2.456487240189098E-2</c:v>
                </c:pt>
                <c:pt idx="2794">
                  <c:v>2.4561729191479031E-2</c:v>
                </c:pt>
                <c:pt idx="2795">
                  <c:v>2.4558600484985149E-2</c:v>
                </c:pt>
                <c:pt idx="2796">
                  <c:v>2.4555486282329397E-2</c:v>
                </c:pt>
                <c:pt idx="2797">
                  <c:v>2.455150361964975E-2</c:v>
                </c:pt>
                <c:pt idx="2798">
                  <c:v>2.4549301389331646E-2</c:v>
                </c:pt>
                <c:pt idx="2799">
                  <c:v>2.4546230698669902E-2</c:v>
                </c:pt>
                <c:pt idx="2800">
                  <c:v>2.4542739097901389E-2</c:v>
                </c:pt>
                <c:pt idx="2801">
                  <c:v>2.4540132829260486E-2</c:v>
                </c:pt>
                <c:pt idx="2802">
                  <c:v>2.453710565059275E-2</c:v>
                </c:pt>
                <c:pt idx="2803">
                  <c:v>2.4534092975683208E-2</c:v>
                </c:pt>
                <c:pt idx="2804">
                  <c:v>2.4530667678757112E-2</c:v>
                </c:pt>
                <c:pt idx="2805">
                  <c:v>2.4528111137938069E-2</c:v>
                </c:pt>
                <c:pt idx="2806">
                  <c:v>2.4525141975022535E-2</c:v>
                </c:pt>
                <c:pt idx="2807">
                  <c:v>2.4522187316105004E-2</c:v>
                </c:pt>
                <c:pt idx="2808">
                  <c:v>2.451924716110554E-2</c:v>
                </c:pt>
                <c:pt idx="2809">
                  <c:v>2.4516321510184014E-2</c:v>
                </c:pt>
                <c:pt idx="2810">
                  <c:v>2.4513410363100618E-2</c:v>
                </c:pt>
                <c:pt idx="2811">
                  <c:v>2.4510513719855354E-2</c:v>
                </c:pt>
                <c:pt idx="2812">
                  <c:v>2.4507631580767963E-2</c:v>
                </c:pt>
                <c:pt idx="2813">
                  <c:v>2.4504763945678576E-2</c:v>
                </c:pt>
                <c:pt idx="2814">
                  <c:v>2.4501910814347383E-2</c:v>
                </c:pt>
                <c:pt idx="2815">
                  <c:v>2.4499072187014193E-2</c:v>
                </c:pt>
                <c:pt idx="2816">
                  <c:v>2.4496248063758941E-2</c:v>
                </c:pt>
                <c:pt idx="2817">
                  <c:v>2.4493038254140842E-2</c:v>
                </c:pt>
                <c:pt idx="2818">
                  <c:v>2.4490643329002637E-2</c:v>
                </c:pt>
                <c:pt idx="2819">
                  <c:v>2.4487862717501585E-2</c:v>
                </c:pt>
                <c:pt idx="2820">
                  <c:v>2.4485096609998536E-2</c:v>
                </c:pt>
                <c:pt idx="2821">
                  <c:v>2.4482345006493489E-2</c:v>
                </c:pt>
                <c:pt idx="2822">
                  <c:v>2.4479607906826573E-2</c:v>
                </c:pt>
                <c:pt idx="2823">
                  <c:v>2.4476885311237595E-2</c:v>
                </c:pt>
                <c:pt idx="2824">
                  <c:v>2.4474177219566684E-2</c:v>
                </c:pt>
                <c:pt idx="2825">
                  <c:v>2.447148363181384E-2</c:v>
                </c:pt>
                <c:pt idx="2826">
                  <c:v>2.4468804548058998E-2</c:v>
                </c:pt>
                <c:pt idx="2827">
                  <c:v>2.4466139968302159E-2</c:v>
                </c:pt>
                <c:pt idx="2828">
                  <c:v>2.4463112494110817E-2</c:v>
                </c:pt>
                <c:pt idx="2829">
                  <c:v>2.4460854320462744E-2</c:v>
                </c:pt>
                <c:pt idx="2830">
                  <c:v>2.445823325254004E-2</c:v>
                </c:pt>
                <c:pt idx="2831">
                  <c:v>2.4455626688535403E-2</c:v>
                </c:pt>
                <c:pt idx="2832">
                  <c:v>2.4453034628528769E-2</c:v>
                </c:pt>
                <c:pt idx="2833">
                  <c:v>2.4450457072360265E-2</c:v>
                </c:pt>
                <c:pt idx="2834">
                  <c:v>2.4447164383678555E-2</c:v>
                </c:pt>
                <c:pt idx="2835">
                  <c:v>2.4444982577742635E-2</c:v>
                </c:pt>
                <c:pt idx="2836">
                  <c:v>2.4442811427762834E-2</c:v>
                </c:pt>
                <c:pt idx="2837">
                  <c:v>2.4440291887426469E-2</c:v>
                </c:pt>
                <c:pt idx="2838">
                  <c:v>2.4437786851088106E-2</c:v>
                </c:pt>
                <c:pt idx="2839">
                  <c:v>2.443529631866781E-2</c:v>
                </c:pt>
                <c:pt idx="2840">
                  <c:v>2.4432820290325452E-2</c:v>
                </c:pt>
                <c:pt idx="2841">
                  <c:v>2.4430358765821225E-2</c:v>
                </c:pt>
                <c:pt idx="2842">
                  <c:v>2.4427911745235065E-2</c:v>
                </c:pt>
                <c:pt idx="2843">
                  <c:v>2.4425479228566971E-2</c:v>
                </c:pt>
                <c:pt idx="2844">
                  <c:v>2.4423061215976816E-2</c:v>
                </c:pt>
                <c:pt idx="2845">
                  <c:v>2.4420657707384663E-2</c:v>
                </c:pt>
                <c:pt idx="2846">
                  <c:v>2.4418268702550705E-2</c:v>
                </c:pt>
                <c:pt idx="2847">
                  <c:v>2.4415218436910635E-2</c:v>
                </c:pt>
                <c:pt idx="2848">
                  <c:v>2.4413534204796861E-2</c:v>
                </c:pt>
                <c:pt idx="2849">
                  <c:v>2.441118871195691E-2</c:v>
                </c:pt>
                <c:pt idx="2850">
                  <c:v>2.4408857722955091E-2</c:v>
                </c:pt>
                <c:pt idx="2851">
                  <c:v>2.4406541237951274E-2</c:v>
                </c:pt>
                <c:pt idx="2852">
                  <c:v>2.4403911586334814E-2</c:v>
                </c:pt>
                <c:pt idx="2853">
                  <c:v>2.4401951779777775E-2</c:v>
                </c:pt>
                <c:pt idx="2854">
                  <c:v>2.4399678806448222E-2</c:v>
                </c:pt>
                <c:pt idx="2855">
                  <c:v>2.4397420337196607E-2</c:v>
                </c:pt>
                <c:pt idx="2856">
                  <c:v>2.43948569895025E-2</c:v>
                </c:pt>
                <c:pt idx="2857">
                  <c:v>2.4392946910607449E-2</c:v>
                </c:pt>
                <c:pt idx="2858">
                  <c:v>2.4390731953269906E-2</c:v>
                </c:pt>
                <c:pt idx="2859">
                  <c:v>2.4388531499770494E-2</c:v>
                </c:pt>
                <c:pt idx="2860">
                  <c:v>2.4386345550269084E-2</c:v>
                </c:pt>
                <c:pt idx="2861">
                  <c:v>2.4384174104765677E-2</c:v>
                </c:pt>
                <c:pt idx="2862">
                  <c:v>2.4382017163020464E-2</c:v>
                </c:pt>
                <c:pt idx="2863">
                  <c:v>2.4379874725513062E-2</c:v>
                </c:pt>
                <c:pt idx="2864">
                  <c:v>2.4377746791683919E-2</c:v>
                </c:pt>
                <c:pt idx="2865">
                  <c:v>2.4375633361772842E-2</c:v>
                </c:pt>
                <c:pt idx="2866">
                  <c:v>2.4373534436019639E-2</c:v>
                </c:pt>
                <c:pt idx="2867">
                  <c:v>2.4371450014104568E-2</c:v>
                </c:pt>
                <c:pt idx="2868">
                  <c:v>2.4369380096107562E-2</c:v>
                </c:pt>
                <c:pt idx="2869">
                  <c:v>2.4367032235481645E-2</c:v>
                </c:pt>
                <c:pt idx="2870">
                  <c:v>2.4365283771947688E-2</c:v>
                </c:pt>
                <c:pt idx="2871">
                  <c:v>2.4363257365864754E-2</c:v>
                </c:pt>
                <c:pt idx="2872">
                  <c:v>2.4361245463619952E-2</c:v>
                </c:pt>
                <c:pt idx="2873">
                  <c:v>2.4359248065373151E-2</c:v>
                </c:pt>
                <c:pt idx="2874">
                  <c:v>2.4357265170964482E-2</c:v>
                </c:pt>
                <c:pt idx="2875">
                  <c:v>2.4355296780713687E-2</c:v>
                </c:pt>
                <c:pt idx="2876">
                  <c:v>2.435334289414115E-2</c:v>
                </c:pt>
                <c:pt idx="2877">
                  <c:v>2.4351403511646552E-2</c:v>
                </c:pt>
                <c:pt idx="2878">
                  <c:v>2.4349478633070021E-2</c:v>
                </c:pt>
                <c:pt idx="2879">
                  <c:v>2.4347568258411556E-2</c:v>
                </c:pt>
                <c:pt idx="2880">
                  <c:v>2.434540273313246E-2</c:v>
                </c:pt>
                <c:pt idx="2881">
                  <c:v>2.4343791021088634E-2</c:v>
                </c:pt>
                <c:pt idx="2882">
                  <c:v>2.4341924158184369E-2</c:v>
                </c:pt>
                <c:pt idx="2883">
                  <c:v>2.4340071799278107E-2</c:v>
                </c:pt>
                <c:pt idx="2884">
                  <c:v>2.4338233944289911E-2</c:v>
                </c:pt>
                <c:pt idx="2885">
                  <c:v>2.433641059345959E-2</c:v>
                </c:pt>
                <c:pt idx="2886">
                  <c:v>2.4334087596704634E-2</c:v>
                </c:pt>
                <c:pt idx="2887">
                  <c:v>2.4332552252372963E-2</c:v>
                </c:pt>
                <c:pt idx="2888">
                  <c:v>2.4331027563917473E-2</c:v>
                </c:pt>
                <c:pt idx="2889">
                  <c:v>2.4329262228679482E-2</c:v>
                </c:pt>
                <c:pt idx="2890">
                  <c:v>2.4327511397359558E-2</c:v>
                </c:pt>
                <c:pt idx="2891">
                  <c:v>2.4325775070037636E-2</c:v>
                </c:pt>
                <c:pt idx="2892">
                  <c:v>2.4324053246553845E-2</c:v>
                </c:pt>
                <c:pt idx="2893">
                  <c:v>2.4322345927068056E-2</c:v>
                </c:pt>
                <c:pt idx="2894">
                  <c:v>2.4320653111500334E-2</c:v>
                </c:pt>
                <c:pt idx="2895">
                  <c:v>2.4318974799930615E-2</c:v>
                </c:pt>
                <c:pt idx="2896">
                  <c:v>2.431731099211909E-2</c:v>
                </c:pt>
                <c:pt idx="2897">
                  <c:v>2.431566168846544E-2</c:v>
                </c:pt>
                <c:pt idx="2898">
                  <c:v>2.4314026888569984E-2</c:v>
                </c:pt>
                <c:pt idx="2899">
                  <c:v>2.4312406592592595E-2</c:v>
                </c:pt>
                <c:pt idx="2900">
                  <c:v>2.431080080077308E-2</c:v>
                </c:pt>
                <c:pt idx="2901">
                  <c:v>2.4309209512631824E-2</c:v>
                </c:pt>
                <c:pt idx="2902">
                  <c:v>2.4307184882887967E-2</c:v>
                </c:pt>
                <c:pt idx="2903">
                  <c:v>2.4306070448423256E-2</c:v>
                </c:pt>
                <c:pt idx="2904">
                  <c:v>2.4304522672196072E-2</c:v>
                </c:pt>
                <c:pt idx="2905">
                  <c:v>2.4302771545032797E-2</c:v>
                </c:pt>
                <c:pt idx="2906">
                  <c:v>2.4301470631575839E-2</c:v>
                </c:pt>
                <c:pt idx="2907">
                  <c:v>2.429996636718279E-2</c:v>
                </c:pt>
                <c:pt idx="2908">
                  <c:v>2.4298264967681504E-2</c:v>
                </c:pt>
                <c:pt idx="2909">
                  <c:v>2.4297001349991021E-2</c:v>
                </c:pt>
                <c:pt idx="2910">
                  <c:v>2.4295540597512044E-2</c:v>
                </c:pt>
                <c:pt idx="2911">
                  <c:v>2.4294094348711326E-2</c:v>
                </c:pt>
                <c:pt idx="2912">
                  <c:v>2.4292662603988546E-2</c:v>
                </c:pt>
                <c:pt idx="2913">
                  <c:v>2.4291245363103897E-2</c:v>
                </c:pt>
                <c:pt idx="2914">
                  <c:v>2.4289842626297187E-2</c:v>
                </c:pt>
                <c:pt idx="2915">
                  <c:v>2.4288454393408543E-2</c:v>
                </c:pt>
                <c:pt idx="2916">
                  <c:v>2.4287080664198157E-2</c:v>
                </c:pt>
                <c:pt idx="2917">
                  <c:v>2.4285721439225583E-2</c:v>
                </c:pt>
                <c:pt idx="2918">
                  <c:v>2.4284376717931266E-2</c:v>
                </c:pt>
                <c:pt idx="2919">
                  <c:v>2.4283046500874761E-2</c:v>
                </c:pt>
                <c:pt idx="2920">
                  <c:v>2.4281730787416578E-2</c:v>
                </c:pt>
                <c:pt idx="2921">
                  <c:v>2.4280244874983481E-2</c:v>
                </c:pt>
                <c:pt idx="2922">
                  <c:v>2.4279142872734027E-2</c:v>
                </c:pt>
                <c:pt idx="2923">
                  <c:v>2.427787067110998E-2</c:v>
                </c:pt>
                <c:pt idx="2924">
                  <c:v>2.4276612973483935E-2</c:v>
                </c:pt>
                <c:pt idx="2925">
                  <c:v>2.4275369779935829E-2</c:v>
                </c:pt>
                <c:pt idx="2926">
                  <c:v>2.4274141090145918E-2</c:v>
                </c:pt>
                <c:pt idx="2927">
                  <c:v>2.4272926904354009E-2</c:v>
                </c:pt>
                <c:pt idx="2928">
                  <c:v>2.4271727222560102E-2</c:v>
                </c:pt>
                <c:pt idx="2929">
                  <c:v>2.4270542044604326E-2</c:v>
                </c:pt>
                <c:pt idx="2930">
                  <c:v>2.4269371370566617E-2</c:v>
                </c:pt>
                <c:pt idx="2931">
                  <c:v>2.4268215200446974E-2</c:v>
                </c:pt>
                <c:pt idx="2932">
                  <c:v>2.426707353440527E-2</c:v>
                </c:pt>
                <c:pt idx="2933">
                  <c:v>2.4265946372121761E-2</c:v>
                </c:pt>
                <c:pt idx="2934">
                  <c:v>2.4264833713836254E-2</c:v>
                </c:pt>
                <c:pt idx="2935">
                  <c:v>2.4263735559548749E-2</c:v>
                </c:pt>
                <c:pt idx="2936">
                  <c:v>2.4262651909179311E-2</c:v>
                </c:pt>
                <c:pt idx="2937">
                  <c:v>2.4261582762488132E-2</c:v>
                </c:pt>
                <c:pt idx="2938">
                  <c:v>2.4260229457579996E-2</c:v>
                </c:pt>
                <c:pt idx="2939">
                  <c:v>2.4259193462849993E-2</c:v>
                </c:pt>
                <c:pt idx="2940">
                  <c:v>2.425831701145853E-2</c:v>
                </c:pt>
                <c:pt idx="2941">
                  <c:v>2.4257307952622043E-2</c:v>
                </c:pt>
                <c:pt idx="2942">
                  <c:v>2.4256172502328255E-2</c:v>
                </c:pt>
                <c:pt idx="2943">
                  <c:v>2.4255333346703267E-2</c:v>
                </c:pt>
                <c:pt idx="2944">
                  <c:v>2.4254367799780852E-2</c:v>
                </c:pt>
                <c:pt idx="2945">
                  <c:v>2.4253416756696566E-2</c:v>
                </c:pt>
                <c:pt idx="2946">
                  <c:v>2.4252347610245195E-2</c:v>
                </c:pt>
                <c:pt idx="2947">
                  <c:v>2.4251558182282196E-2</c:v>
                </c:pt>
                <c:pt idx="2948">
                  <c:v>2.4250650651032046E-2</c:v>
                </c:pt>
                <c:pt idx="2949">
                  <c:v>2.4249757623540091E-2</c:v>
                </c:pt>
                <c:pt idx="2950">
                  <c:v>2.4248879100126075E-2</c:v>
                </c:pt>
                <c:pt idx="2951">
                  <c:v>2.4248015080630125E-2</c:v>
                </c:pt>
                <c:pt idx="2952">
                  <c:v>2.4247165565052242E-2</c:v>
                </c:pt>
                <c:pt idx="2953">
                  <c:v>2.4247610231542538E-2</c:v>
                </c:pt>
                <c:pt idx="2954">
                  <c:v>2.424551004557074E-2</c:v>
                </c:pt>
                <c:pt idx="2955">
                  <c:v>2.4244704041906928E-2</c:v>
                </c:pt>
                <c:pt idx="2956">
                  <c:v>2.4243912541841439E-2</c:v>
                </c:pt>
                <c:pt idx="2957">
                  <c:v>2.4243025730577017E-2</c:v>
                </c:pt>
                <c:pt idx="2958">
                  <c:v>2.4242373054024213E-2</c:v>
                </c:pt>
                <c:pt idx="2959">
                  <c:v>2.4241625065872796E-2</c:v>
                </c:pt>
                <c:pt idx="2960">
                  <c:v>2.4240787982190426E-2</c:v>
                </c:pt>
                <c:pt idx="2961">
                  <c:v>2.4240172601244225E-2</c:v>
                </c:pt>
                <c:pt idx="2962">
                  <c:v>2.423946812500688E-2</c:v>
                </c:pt>
                <c:pt idx="2963">
                  <c:v>2.4238778152687601E-2</c:v>
                </c:pt>
                <c:pt idx="2964">
                  <c:v>2.4238102684126517E-2</c:v>
                </c:pt>
                <c:pt idx="2965">
                  <c:v>2.4237441719563435E-2</c:v>
                </c:pt>
                <c:pt idx="2966">
                  <c:v>2.423679525891842E-2</c:v>
                </c:pt>
                <c:pt idx="2967">
                  <c:v>2.4236163302271407E-2</c:v>
                </c:pt>
                <c:pt idx="2968">
                  <c:v>2.4235545849382589E-2</c:v>
                </c:pt>
                <c:pt idx="2969">
                  <c:v>2.4234942900651646E-2</c:v>
                </c:pt>
                <c:pt idx="2970">
                  <c:v>2.4234354455758833E-2</c:v>
                </c:pt>
                <c:pt idx="2971">
                  <c:v>2.4233780514624215E-2</c:v>
                </c:pt>
                <c:pt idx="2972">
                  <c:v>2.4233221077567535E-2</c:v>
                </c:pt>
                <c:pt idx="2973">
                  <c:v>2.4232599480873418E-2</c:v>
                </c:pt>
                <c:pt idx="2974">
                  <c:v>2.4232071123675425E-2</c:v>
                </c:pt>
                <c:pt idx="2975">
                  <c:v>2.4231629789825959E-2</c:v>
                </c:pt>
                <c:pt idx="2976">
                  <c:v>2.4231128368521482E-2</c:v>
                </c:pt>
                <c:pt idx="2977">
                  <c:v>2.4230641451135071E-2</c:v>
                </c:pt>
                <c:pt idx="2978">
                  <c:v>2.4230169037586791E-2</c:v>
                </c:pt>
                <c:pt idx="2979">
                  <c:v>2.4229711127796705E-2</c:v>
                </c:pt>
                <c:pt idx="2980">
                  <c:v>2.4229205562606992E-2</c:v>
                </c:pt>
                <c:pt idx="2981">
                  <c:v>2.4228838820530285E-2</c:v>
                </c:pt>
                <c:pt idx="2982">
                  <c:v>2.4228424422574335E-2</c:v>
                </c:pt>
                <c:pt idx="2983">
                  <c:v>2.422802452877626E-2</c:v>
                </c:pt>
                <c:pt idx="2984">
                  <c:v>2.4227639138736379E-2</c:v>
                </c:pt>
                <c:pt idx="2985">
                  <c:v>2.4227268252774437E-2</c:v>
                </c:pt>
                <c:pt idx="2986">
                  <c:v>2.4226911870650625E-2</c:v>
                </c:pt>
                <c:pt idx="2987">
                  <c:v>2.4226569992364944E-2</c:v>
                </c:pt>
                <c:pt idx="2988">
                  <c:v>2.4226242618157201E-2</c:v>
                </c:pt>
                <c:pt idx="2989">
                  <c:v>2.4225929747707653E-2</c:v>
                </c:pt>
                <c:pt idx="2990">
                  <c:v>2.4228809742190549E-2</c:v>
                </c:pt>
                <c:pt idx="2991">
                  <c:v>2.4225153639809704E-2</c:v>
                </c:pt>
                <c:pt idx="2992">
                  <c:v>2.4226597432255303E-2</c:v>
                </c:pt>
                <c:pt idx="2993">
                  <c:v>2.4226348760105765E-2</c:v>
                </c:pt>
                <c:pt idx="2994">
                  <c:v>2.4226114593819403E-2</c:v>
                </c:pt>
                <c:pt idx="2995">
                  <c:v>2.4225894933396219E-2</c:v>
                </c:pt>
                <c:pt idx="2996">
                  <c:v>2.4225689778862858E-2</c:v>
                </c:pt>
                <c:pt idx="2997">
                  <c:v>2.4225499130219319E-2</c:v>
                </c:pt>
                <c:pt idx="2998">
                  <c:v>2.4225322987438958E-2</c:v>
                </c:pt>
                <c:pt idx="2999">
                  <c:v>2.4225161350495128E-2</c:v>
                </c:pt>
                <c:pt idx="3000">
                  <c:v>2.4225014219521057E-2</c:v>
                </c:pt>
                <c:pt idx="3001">
                  <c:v>2.4224881594410164E-2</c:v>
                </c:pt>
                <c:pt idx="3002">
                  <c:v>2.4224763475109157E-2</c:v>
                </c:pt>
                <c:pt idx="3003">
                  <c:v>2.4222989891189428E-2</c:v>
                </c:pt>
                <c:pt idx="3004">
                  <c:v>2.4222917963525603E-2</c:v>
                </c:pt>
                <c:pt idx="3005">
                  <c:v>2.4222847515957824E-2</c:v>
                </c:pt>
                <c:pt idx="3006">
                  <c:v>2.4222791572308111E-2</c:v>
                </c:pt>
                <c:pt idx="3007">
                  <c:v>2.4222750132416593E-2</c:v>
                </c:pt>
                <c:pt idx="3008">
                  <c:v>2.4222720532653952E-2</c:v>
                </c:pt>
                <c:pt idx="3009">
                  <c:v>2.4222710764627564E-2</c:v>
                </c:pt>
                <c:pt idx="3010">
                  <c:v>2.4222709827297351E-2</c:v>
                </c:pt>
                <c:pt idx="3011">
                  <c:v>2.4222709827297351E-2</c:v>
                </c:pt>
                <c:pt idx="3012">
                  <c:v>2.4222709827377287E-2</c:v>
                </c:pt>
                <c:pt idx="3013">
                  <c:v>2.4222709827377287E-2</c:v>
                </c:pt>
                <c:pt idx="3014">
                  <c:v>2.4222709827297351E-2</c:v>
                </c:pt>
                <c:pt idx="3015">
                  <c:v>2.4222709827217415E-2</c:v>
                </c:pt>
                <c:pt idx="3016">
                  <c:v>2.4222709827377287E-2</c:v>
                </c:pt>
                <c:pt idx="3017">
                  <c:v>2.4222709827377287E-2</c:v>
                </c:pt>
                <c:pt idx="3018">
                  <c:v>2.4222709827217415E-2</c:v>
                </c:pt>
                <c:pt idx="3019">
                  <c:v>2.4222709827297351E-2</c:v>
                </c:pt>
                <c:pt idx="3020">
                  <c:v>2.4222709827297351E-2</c:v>
                </c:pt>
                <c:pt idx="3021">
                  <c:v>2.4222709827377287E-2</c:v>
                </c:pt>
                <c:pt idx="3022">
                  <c:v>2.4222709827297351E-2</c:v>
                </c:pt>
                <c:pt idx="3023">
                  <c:v>2.4222709827217415E-2</c:v>
                </c:pt>
                <c:pt idx="3024">
                  <c:v>2.4222709827377287E-2</c:v>
                </c:pt>
                <c:pt idx="3025">
                  <c:v>2.4222709827377287E-2</c:v>
                </c:pt>
                <c:pt idx="3026">
                  <c:v>2.4222709827297351E-2</c:v>
                </c:pt>
                <c:pt idx="3027">
                  <c:v>2.4222709827377287E-2</c:v>
                </c:pt>
                <c:pt idx="3028">
                  <c:v>2.4222709827297351E-2</c:v>
                </c:pt>
                <c:pt idx="3029">
                  <c:v>2.4222709827297351E-2</c:v>
                </c:pt>
                <c:pt idx="3030">
                  <c:v>2.4222709827297351E-2</c:v>
                </c:pt>
                <c:pt idx="3031">
                  <c:v>2.4222709827297351E-2</c:v>
                </c:pt>
                <c:pt idx="3032">
                  <c:v>2.4222709827377287E-2</c:v>
                </c:pt>
                <c:pt idx="3033">
                  <c:v>2.4222709827217415E-2</c:v>
                </c:pt>
                <c:pt idx="3034">
                  <c:v>2.4222709827377287E-2</c:v>
                </c:pt>
                <c:pt idx="3035">
                  <c:v>2.4222709827297351E-2</c:v>
                </c:pt>
                <c:pt idx="3036">
                  <c:v>2.4222709827217415E-2</c:v>
                </c:pt>
                <c:pt idx="3037">
                  <c:v>2.4222709827297351E-2</c:v>
                </c:pt>
                <c:pt idx="3038">
                  <c:v>2.4222709827217415E-2</c:v>
                </c:pt>
                <c:pt idx="3039">
                  <c:v>2.4222709827297351E-2</c:v>
                </c:pt>
                <c:pt idx="3040">
                  <c:v>2.4222709827297351E-2</c:v>
                </c:pt>
                <c:pt idx="3041">
                  <c:v>2.4222709827377287E-2</c:v>
                </c:pt>
                <c:pt idx="3042">
                  <c:v>2.4222709827377287E-2</c:v>
                </c:pt>
                <c:pt idx="3043">
                  <c:v>2.4222709827377287E-2</c:v>
                </c:pt>
                <c:pt idx="3044">
                  <c:v>2.4222709827297351E-2</c:v>
                </c:pt>
                <c:pt idx="3045">
                  <c:v>2.4222709827297351E-2</c:v>
                </c:pt>
                <c:pt idx="3046">
                  <c:v>2.4222709827297351E-2</c:v>
                </c:pt>
                <c:pt idx="3047">
                  <c:v>2.4222709827297351E-2</c:v>
                </c:pt>
                <c:pt idx="3048">
                  <c:v>2.4222709827377287E-2</c:v>
                </c:pt>
                <c:pt idx="3049">
                  <c:v>2.4222709827297351E-2</c:v>
                </c:pt>
                <c:pt idx="3050">
                  <c:v>2.4222709827377287E-2</c:v>
                </c:pt>
                <c:pt idx="3051">
                  <c:v>2.4222709827297351E-2</c:v>
                </c:pt>
                <c:pt idx="3052">
                  <c:v>2.4222709827297351E-2</c:v>
                </c:pt>
                <c:pt idx="3053">
                  <c:v>2.4222709827377287E-2</c:v>
                </c:pt>
                <c:pt idx="3054">
                  <c:v>2.4222709827297351E-2</c:v>
                </c:pt>
                <c:pt idx="3055">
                  <c:v>2.4222709827217415E-2</c:v>
                </c:pt>
                <c:pt idx="3056">
                  <c:v>2.4222709827377287E-2</c:v>
                </c:pt>
                <c:pt idx="3057">
                  <c:v>2.4222709827297351E-2</c:v>
                </c:pt>
                <c:pt idx="3058">
                  <c:v>2.4222709827297351E-2</c:v>
                </c:pt>
                <c:pt idx="3059">
                  <c:v>2.4222709827297351E-2</c:v>
                </c:pt>
                <c:pt idx="3060">
                  <c:v>2.4222709827297351E-2</c:v>
                </c:pt>
                <c:pt idx="3061">
                  <c:v>2.4222709827377287E-2</c:v>
                </c:pt>
                <c:pt idx="3062">
                  <c:v>2.4222709827297351E-2</c:v>
                </c:pt>
                <c:pt idx="3063">
                  <c:v>2.4222709827297351E-2</c:v>
                </c:pt>
                <c:pt idx="3064">
                  <c:v>2.4222709827297351E-2</c:v>
                </c:pt>
                <c:pt idx="3065">
                  <c:v>2.4222709827297351E-2</c:v>
                </c:pt>
                <c:pt idx="3066">
                  <c:v>2.4222709827297351E-2</c:v>
                </c:pt>
                <c:pt idx="3067">
                  <c:v>2.4222709827377287E-2</c:v>
                </c:pt>
                <c:pt idx="3068">
                  <c:v>2.4222709827377287E-2</c:v>
                </c:pt>
                <c:pt idx="3069">
                  <c:v>2.4222709827297351E-2</c:v>
                </c:pt>
                <c:pt idx="3070">
                  <c:v>2.4222709827297351E-2</c:v>
                </c:pt>
                <c:pt idx="3071">
                  <c:v>2.4222709827377287E-2</c:v>
                </c:pt>
                <c:pt idx="3072">
                  <c:v>2.4222709827217415E-2</c:v>
                </c:pt>
                <c:pt idx="3073">
                  <c:v>2.4222709827217415E-2</c:v>
                </c:pt>
                <c:pt idx="3074">
                  <c:v>2.4222709827377287E-2</c:v>
                </c:pt>
                <c:pt idx="3075">
                  <c:v>2.4222709827297351E-2</c:v>
                </c:pt>
                <c:pt idx="3076">
                  <c:v>2.4222709827297351E-2</c:v>
                </c:pt>
                <c:pt idx="3077">
                  <c:v>2.4222709827217415E-2</c:v>
                </c:pt>
                <c:pt idx="3078">
                  <c:v>2.4222709827377287E-2</c:v>
                </c:pt>
                <c:pt idx="3079">
                  <c:v>2.4222709827297351E-2</c:v>
                </c:pt>
                <c:pt idx="3080">
                  <c:v>2.4222709827217415E-2</c:v>
                </c:pt>
                <c:pt idx="3081">
                  <c:v>2.4222709827377287E-2</c:v>
                </c:pt>
                <c:pt idx="3082">
                  <c:v>2.4222709827377287E-2</c:v>
                </c:pt>
                <c:pt idx="3083">
                  <c:v>2.4222709827297351E-2</c:v>
                </c:pt>
                <c:pt idx="3084">
                  <c:v>2.4222709827297351E-2</c:v>
                </c:pt>
                <c:pt idx="3085">
                  <c:v>2.4222709827297351E-2</c:v>
                </c:pt>
                <c:pt idx="3086">
                  <c:v>2.4222709827297351E-2</c:v>
                </c:pt>
                <c:pt idx="3087">
                  <c:v>2.4222709827297351E-2</c:v>
                </c:pt>
                <c:pt idx="3088">
                  <c:v>2.4222709827297351E-2</c:v>
                </c:pt>
                <c:pt idx="3089">
                  <c:v>2.4222709827377287E-2</c:v>
                </c:pt>
                <c:pt idx="3090">
                  <c:v>2.4222709827297351E-2</c:v>
                </c:pt>
                <c:pt idx="3091">
                  <c:v>2.4222709827297351E-2</c:v>
                </c:pt>
                <c:pt idx="3092">
                  <c:v>2.4222709827297351E-2</c:v>
                </c:pt>
                <c:pt idx="3093">
                  <c:v>2.4222709827377287E-2</c:v>
                </c:pt>
                <c:pt idx="3094">
                  <c:v>2.4222709827297351E-2</c:v>
                </c:pt>
                <c:pt idx="3095">
                  <c:v>2.4222709827217415E-2</c:v>
                </c:pt>
                <c:pt idx="3096">
                  <c:v>2.4222709827217415E-2</c:v>
                </c:pt>
                <c:pt idx="3097">
                  <c:v>2.4222709827377287E-2</c:v>
                </c:pt>
                <c:pt idx="3098">
                  <c:v>2.4222709827377287E-2</c:v>
                </c:pt>
                <c:pt idx="3099">
                  <c:v>2.4222709827217415E-2</c:v>
                </c:pt>
                <c:pt idx="3100">
                  <c:v>2.4222709827297351E-2</c:v>
                </c:pt>
                <c:pt idx="3101">
                  <c:v>2.4222709827377287E-2</c:v>
                </c:pt>
                <c:pt idx="3102">
                  <c:v>2.4222709827377287E-2</c:v>
                </c:pt>
                <c:pt idx="3103">
                  <c:v>2.4222709827297351E-2</c:v>
                </c:pt>
                <c:pt idx="3104">
                  <c:v>2.4222709827377287E-2</c:v>
                </c:pt>
                <c:pt idx="3105">
                  <c:v>2.4222709827297351E-2</c:v>
                </c:pt>
                <c:pt idx="3106">
                  <c:v>2.4222709827297351E-2</c:v>
                </c:pt>
                <c:pt idx="3107">
                  <c:v>2.4222709827217415E-2</c:v>
                </c:pt>
                <c:pt idx="3108">
                  <c:v>2.4222709827297351E-2</c:v>
                </c:pt>
                <c:pt idx="3109">
                  <c:v>2.4222709827297351E-2</c:v>
                </c:pt>
                <c:pt idx="3110">
                  <c:v>2.4222709827297351E-2</c:v>
                </c:pt>
                <c:pt idx="3111">
                  <c:v>2.4222709827297351E-2</c:v>
                </c:pt>
                <c:pt idx="3112">
                  <c:v>2.4222709827297351E-2</c:v>
                </c:pt>
                <c:pt idx="3113">
                  <c:v>2.4222709827377287E-2</c:v>
                </c:pt>
                <c:pt idx="3114">
                  <c:v>2.4222709827297351E-2</c:v>
                </c:pt>
                <c:pt idx="3115">
                  <c:v>2.4222709827377287E-2</c:v>
                </c:pt>
                <c:pt idx="3116">
                  <c:v>2.4222709827377287E-2</c:v>
                </c:pt>
                <c:pt idx="3117">
                  <c:v>2.4222709827297351E-2</c:v>
                </c:pt>
                <c:pt idx="3118">
                  <c:v>2.4222709827297351E-2</c:v>
                </c:pt>
                <c:pt idx="3119">
                  <c:v>2.4222709827297351E-2</c:v>
                </c:pt>
                <c:pt idx="3120">
                  <c:v>2.4222709827377287E-2</c:v>
                </c:pt>
                <c:pt idx="3121">
                  <c:v>2.4222709827217415E-2</c:v>
                </c:pt>
                <c:pt idx="3122">
                  <c:v>2.4222709827297351E-2</c:v>
                </c:pt>
                <c:pt idx="3123">
                  <c:v>2.4222709827297351E-2</c:v>
                </c:pt>
                <c:pt idx="3124">
                  <c:v>2.4222709827217415E-2</c:v>
                </c:pt>
                <c:pt idx="3125">
                  <c:v>2.4222709827297351E-2</c:v>
                </c:pt>
                <c:pt idx="3126">
                  <c:v>2.4222709827297351E-2</c:v>
                </c:pt>
                <c:pt idx="3127">
                  <c:v>2.4222709827297351E-2</c:v>
                </c:pt>
                <c:pt idx="3128">
                  <c:v>2.4222709827297351E-2</c:v>
                </c:pt>
                <c:pt idx="3129">
                  <c:v>2.4222709827297351E-2</c:v>
                </c:pt>
                <c:pt idx="3130">
                  <c:v>2.4222709827297351E-2</c:v>
                </c:pt>
                <c:pt idx="3131">
                  <c:v>2.4222709827297351E-2</c:v>
                </c:pt>
                <c:pt idx="3132">
                  <c:v>2.4222709827217415E-2</c:v>
                </c:pt>
                <c:pt idx="3133">
                  <c:v>2.4222709827377287E-2</c:v>
                </c:pt>
                <c:pt idx="3134">
                  <c:v>2.4222709827377287E-2</c:v>
                </c:pt>
                <c:pt idx="3135">
                  <c:v>2.4222709827297351E-2</c:v>
                </c:pt>
                <c:pt idx="3136">
                  <c:v>2.4222709827297351E-2</c:v>
                </c:pt>
                <c:pt idx="3137">
                  <c:v>2.4222709827377287E-2</c:v>
                </c:pt>
                <c:pt idx="3138">
                  <c:v>2.4222709827297351E-2</c:v>
                </c:pt>
                <c:pt idx="3139">
                  <c:v>2.4222709827297351E-2</c:v>
                </c:pt>
                <c:pt idx="3140">
                  <c:v>2.4222709827217415E-2</c:v>
                </c:pt>
                <c:pt idx="3141">
                  <c:v>2.4222709827377287E-2</c:v>
                </c:pt>
                <c:pt idx="3142">
                  <c:v>2.4222709827217415E-2</c:v>
                </c:pt>
                <c:pt idx="3143">
                  <c:v>2.4222709827297351E-2</c:v>
                </c:pt>
                <c:pt idx="3144">
                  <c:v>2.4222709827297351E-2</c:v>
                </c:pt>
                <c:pt idx="3145">
                  <c:v>2.4222709827377287E-2</c:v>
                </c:pt>
                <c:pt idx="3146">
                  <c:v>2.4222709827297351E-2</c:v>
                </c:pt>
                <c:pt idx="3147">
                  <c:v>2.4222709827217415E-2</c:v>
                </c:pt>
                <c:pt idx="3148">
                  <c:v>2.4222709827377287E-2</c:v>
                </c:pt>
                <c:pt idx="3149">
                  <c:v>2.4222709827297351E-2</c:v>
                </c:pt>
                <c:pt idx="3150">
                  <c:v>2.4222709827297351E-2</c:v>
                </c:pt>
                <c:pt idx="3151">
                  <c:v>2.4222709827377287E-2</c:v>
                </c:pt>
                <c:pt idx="3152">
                  <c:v>2.4222709827377287E-2</c:v>
                </c:pt>
                <c:pt idx="3153">
                  <c:v>2.4222709827297351E-2</c:v>
                </c:pt>
                <c:pt idx="3154">
                  <c:v>2.4222709827217415E-2</c:v>
                </c:pt>
                <c:pt idx="3155">
                  <c:v>2.4222709827377287E-2</c:v>
                </c:pt>
                <c:pt idx="3156">
                  <c:v>2.4222709827297351E-2</c:v>
                </c:pt>
                <c:pt idx="3157">
                  <c:v>2.4222709827297351E-2</c:v>
                </c:pt>
                <c:pt idx="3158">
                  <c:v>2.4222709827297351E-2</c:v>
                </c:pt>
                <c:pt idx="3159">
                  <c:v>2.4222709827377287E-2</c:v>
                </c:pt>
                <c:pt idx="3160">
                  <c:v>2.4222709827297351E-2</c:v>
                </c:pt>
                <c:pt idx="3161">
                  <c:v>2.4222709827217415E-2</c:v>
                </c:pt>
                <c:pt idx="3162">
                  <c:v>2.4222709827297351E-2</c:v>
                </c:pt>
                <c:pt idx="3163">
                  <c:v>2.4222709827217415E-2</c:v>
                </c:pt>
                <c:pt idx="3164">
                  <c:v>2.4222709827217415E-2</c:v>
                </c:pt>
                <c:pt idx="3165">
                  <c:v>2.4222709827377287E-2</c:v>
                </c:pt>
                <c:pt idx="3166">
                  <c:v>2.4222709827297351E-2</c:v>
                </c:pt>
                <c:pt idx="3167">
                  <c:v>2.4222709827377287E-2</c:v>
                </c:pt>
                <c:pt idx="3168">
                  <c:v>2.4222709827297351E-2</c:v>
                </c:pt>
                <c:pt idx="3169">
                  <c:v>2.4222709827377287E-2</c:v>
                </c:pt>
                <c:pt idx="3170">
                  <c:v>2.4222709827377287E-2</c:v>
                </c:pt>
                <c:pt idx="3171">
                  <c:v>2.4222709827217415E-2</c:v>
                </c:pt>
                <c:pt idx="3172">
                  <c:v>2.4222709827297351E-2</c:v>
                </c:pt>
                <c:pt idx="3173">
                  <c:v>2.4222709827297351E-2</c:v>
                </c:pt>
                <c:pt idx="3174">
                  <c:v>2.4222709827297351E-2</c:v>
                </c:pt>
                <c:pt idx="3175">
                  <c:v>2.4222709827217415E-2</c:v>
                </c:pt>
                <c:pt idx="3176">
                  <c:v>2.4222709827377287E-2</c:v>
                </c:pt>
                <c:pt idx="3177">
                  <c:v>2.4222709827377287E-2</c:v>
                </c:pt>
                <c:pt idx="3178">
                  <c:v>2.4222709827377287E-2</c:v>
                </c:pt>
                <c:pt idx="3179">
                  <c:v>2.4222709827217415E-2</c:v>
                </c:pt>
                <c:pt idx="3180">
                  <c:v>2.4222709827297351E-2</c:v>
                </c:pt>
                <c:pt idx="3181">
                  <c:v>2.4222709827377287E-2</c:v>
                </c:pt>
                <c:pt idx="3182">
                  <c:v>2.4222709827217415E-2</c:v>
                </c:pt>
                <c:pt idx="3183">
                  <c:v>2.4222709827217415E-2</c:v>
                </c:pt>
                <c:pt idx="3184">
                  <c:v>2.4222709827377287E-2</c:v>
                </c:pt>
                <c:pt idx="3185">
                  <c:v>2.4222709827377287E-2</c:v>
                </c:pt>
                <c:pt idx="3186">
                  <c:v>2.4222709827297351E-2</c:v>
                </c:pt>
                <c:pt idx="3187">
                  <c:v>2.4222709827377287E-2</c:v>
                </c:pt>
                <c:pt idx="3188">
                  <c:v>2.4222709827377287E-2</c:v>
                </c:pt>
                <c:pt idx="3189">
                  <c:v>2.4222709827297351E-2</c:v>
                </c:pt>
                <c:pt idx="3190">
                  <c:v>2.4222709827297351E-2</c:v>
                </c:pt>
                <c:pt idx="3191">
                  <c:v>2.4222709827377287E-2</c:v>
                </c:pt>
                <c:pt idx="3192">
                  <c:v>2.4222709827297351E-2</c:v>
                </c:pt>
                <c:pt idx="3193">
                  <c:v>2.4222709827297351E-2</c:v>
                </c:pt>
                <c:pt idx="3194">
                  <c:v>2.4222709827297351E-2</c:v>
                </c:pt>
                <c:pt idx="3195">
                  <c:v>2.4222709827297351E-2</c:v>
                </c:pt>
                <c:pt idx="3196">
                  <c:v>2.4222709827297351E-2</c:v>
                </c:pt>
                <c:pt idx="3197">
                  <c:v>2.4222709827217415E-2</c:v>
                </c:pt>
                <c:pt idx="3198">
                  <c:v>2.4222709827377287E-2</c:v>
                </c:pt>
                <c:pt idx="3199">
                  <c:v>2.4222709827297351E-2</c:v>
                </c:pt>
                <c:pt idx="3200">
                  <c:v>2.4222709827377287E-2</c:v>
                </c:pt>
                <c:pt idx="3201">
                  <c:v>2.4222709827377287E-2</c:v>
                </c:pt>
                <c:pt idx="3202">
                  <c:v>2.4222709827377287E-2</c:v>
                </c:pt>
                <c:pt idx="3203">
                  <c:v>2.4222709827377287E-2</c:v>
                </c:pt>
                <c:pt idx="3204">
                  <c:v>2.4222709827297351E-2</c:v>
                </c:pt>
                <c:pt idx="3205">
                  <c:v>2.4222709827297351E-2</c:v>
                </c:pt>
                <c:pt idx="3206">
                  <c:v>2.4222709827377287E-2</c:v>
                </c:pt>
                <c:pt idx="3207">
                  <c:v>2.4222709827297351E-2</c:v>
                </c:pt>
                <c:pt idx="3208">
                  <c:v>2.4222709827297351E-2</c:v>
                </c:pt>
                <c:pt idx="3209">
                  <c:v>2.4222709827217415E-2</c:v>
                </c:pt>
                <c:pt idx="3210">
                  <c:v>2.4222709827297351E-2</c:v>
                </c:pt>
                <c:pt idx="3211">
                  <c:v>2.4222709827377287E-2</c:v>
                </c:pt>
                <c:pt idx="3212">
                  <c:v>2.4222709827217415E-2</c:v>
                </c:pt>
                <c:pt idx="3213">
                  <c:v>2.4222709827217415E-2</c:v>
                </c:pt>
                <c:pt idx="3214">
                  <c:v>2.4224339696283792E-2</c:v>
                </c:pt>
                <c:pt idx="3215">
                  <c:v>2.4222709827377287E-2</c:v>
                </c:pt>
                <c:pt idx="3216">
                  <c:v>2.4222709827297351E-2</c:v>
                </c:pt>
                <c:pt idx="3217">
                  <c:v>2.4222709827377287E-2</c:v>
                </c:pt>
                <c:pt idx="3218">
                  <c:v>2.4222709827297351E-2</c:v>
                </c:pt>
                <c:pt idx="3219">
                  <c:v>2.4222709827377287E-2</c:v>
                </c:pt>
                <c:pt idx="3220">
                  <c:v>2.4222709827377287E-2</c:v>
                </c:pt>
                <c:pt idx="3221">
                  <c:v>2.4222709827377287E-2</c:v>
                </c:pt>
                <c:pt idx="3222">
                  <c:v>2.4222709827377287E-2</c:v>
                </c:pt>
                <c:pt idx="3223">
                  <c:v>2.4222709827297351E-2</c:v>
                </c:pt>
                <c:pt idx="3224">
                  <c:v>2.4222709827297351E-2</c:v>
                </c:pt>
                <c:pt idx="3225">
                  <c:v>2.4222709827297351E-2</c:v>
                </c:pt>
                <c:pt idx="3226">
                  <c:v>2.4222709827377287E-2</c:v>
                </c:pt>
                <c:pt idx="3227">
                  <c:v>2.4222709827297351E-2</c:v>
                </c:pt>
                <c:pt idx="3228">
                  <c:v>2.4222709827297351E-2</c:v>
                </c:pt>
                <c:pt idx="3229">
                  <c:v>2.4222709827377287E-2</c:v>
                </c:pt>
                <c:pt idx="3230">
                  <c:v>2.4222709827297351E-2</c:v>
                </c:pt>
                <c:pt idx="3231">
                  <c:v>2.4222709827297351E-2</c:v>
                </c:pt>
                <c:pt idx="3232">
                  <c:v>2.4222709827377287E-2</c:v>
                </c:pt>
                <c:pt idx="3233">
                  <c:v>2.4222709827377287E-2</c:v>
                </c:pt>
                <c:pt idx="3234">
                  <c:v>2.4222709827297351E-2</c:v>
                </c:pt>
                <c:pt idx="3235">
                  <c:v>2.4222709827297351E-2</c:v>
                </c:pt>
                <c:pt idx="3236">
                  <c:v>2.4222709827377287E-2</c:v>
                </c:pt>
                <c:pt idx="3237">
                  <c:v>2.4222709827377287E-2</c:v>
                </c:pt>
                <c:pt idx="3238">
                  <c:v>2.4222709827297351E-2</c:v>
                </c:pt>
                <c:pt idx="3239">
                  <c:v>2.4222709827297351E-2</c:v>
                </c:pt>
                <c:pt idx="3240">
                  <c:v>2.4222709827217415E-2</c:v>
                </c:pt>
                <c:pt idx="3241">
                  <c:v>2.4222709827297351E-2</c:v>
                </c:pt>
                <c:pt idx="3242">
                  <c:v>2.4222709827217415E-2</c:v>
                </c:pt>
                <c:pt idx="3243">
                  <c:v>2.4222709827297351E-2</c:v>
                </c:pt>
                <c:pt idx="3244">
                  <c:v>2.4222709827297351E-2</c:v>
                </c:pt>
                <c:pt idx="3245">
                  <c:v>2.4222709827297351E-2</c:v>
                </c:pt>
                <c:pt idx="3246">
                  <c:v>2.4222709827297351E-2</c:v>
                </c:pt>
                <c:pt idx="3247">
                  <c:v>2.4222709827297351E-2</c:v>
                </c:pt>
                <c:pt idx="3248">
                  <c:v>2.4222709827377287E-2</c:v>
                </c:pt>
                <c:pt idx="3249">
                  <c:v>2.4222709827297351E-2</c:v>
                </c:pt>
                <c:pt idx="3250">
                  <c:v>2.4224339696283792E-2</c:v>
                </c:pt>
                <c:pt idx="3251">
                  <c:v>2.4224339696283792E-2</c:v>
                </c:pt>
                <c:pt idx="3252">
                  <c:v>2.4222709827377287E-2</c:v>
                </c:pt>
                <c:pt idx="3253">
                  <c:v>2.4222709827377287E-2</c:v>
                </c:pt>
                <c:pt idx="3254">
                  <c:v>2.4222709827217415E-2</c:v>
                </c:pt>
                <c:pt idx="3255">
                  <c:v>2.4222709827377287E-2</c:v>
                </c:pt>
                <c:pt idx="3256">
                  <c:v>2.4222709827377287E-2</c:v>
                </c:pt>
                <c:pt idx="3257">
                  <c:v>2.4222709827297351E-2</c:v>
                </c:pt>
                <c:pt idx="3258">
                  <c:v>2.4222709827297351E-2</c:v>
                </c:pt>
                <c:pt idx="3259">
                  <c:v>2.4222709827377287E-2</c:v>
                </c:pt>
                <c:pt idx="3260">
                  <c:v>2.4222709827297351E-2</c:v>
                </c:pt>
                <c:pt idx="3261">
                  <c:v>2.4222709827297351E-2</c:v>
                </c:pt>
                <c:pt idx="3262">
                  <c:v>2.4222709827377287E-2</c:v>
                </c:pt>
                <c:pt idx="3263">
                  <c:v>2.4225969711483941E-2</c:v>
                </c:pt>
                <c:pt idx="3264">
                  <c:v>2.4222709827377287E-2</c:v>
                </c:pt>
                <c:pt idx="3265">
                  <c:v>2.4222709827297351E-2</c:v>
                </c:pt>
                <c:pt idx="3266">
                  <c:v>2.4222709827217415E-2</c:v>
                </c:pt>
                <c:pt idx="3267">
                  <c:v>2.4222709827297351E-2</c:v>
                </c:pt>
                <c:pt idx="3268">
                  <c:v>2.4222709827297351E-2</c:v>
                </c:pt>
                <c:pt idx="3269">
                  <c:v>2.4222709827377287E-2</c:v>
                </c:pt>
                <c:pt idx="3270">
                  <c:v>2.4222709827297351E-2</c:v>
                </c:pt>
                <c:pt idx="3271">
                  <c:v>2.4222709827297351E-2</c:v>
                </c:pt>
                <c:pt idx="3272">
                  <c:v>2.4222709827297351E-2</c:v>
                </c:pt>
                <c:pt idx="3273">
                  <c:v>2.4222709827377287E-2</c:v>
                </c:pt>
                <c:pt idx="3274">
                  <c:v>2.4222709827297351E-2</c:v>
                </c:pt>
                <c:pt idx="3275">
                  <c:v>2.4222709827297351E-2</c:v>
                </c:pt>
                <c:pt idx="3276">
                  <c:v>2.4222709827297351E-2</c:v>
                </c:pt>
                <c:pt idx="3277">
                  <c:v>2.4222709827297351E-2</c:v>
                </c:pt>
                <c:pt idx="3278">
                  <c:v>2.4222709827297351E-2</c:v>
                </c:pt>
                <c:pt idx="3279">
                  <c:v>2.4222709827377287E-2</c:v>
                </c:pt>
                <c:pt idx="3280">
                  <c:v>2.4222709827377287E-2</c:v>
                </c:pt>
                <c:pt idx="3281">
                  <c:v>2.4222709827297351E-2</c:v>
                </c:pt>
                <c:pt idx="3282">
                  <c:v>2.4222709827297351E-2</c:v>
                </c:pt>
                <c:pt idx="3283">
                  <c:v>2.4222709827297351E-2</c:v>
                </c:pt>
                <c:pt idx="3284">
                  <c:v>2.4222709827377287E-2</c:v>
                </c:pt>
                <c:pt idx="3285">
                  <c:v>2.4222709827297351E-2</c:v>
                </c:pt>
                <c:pt idx="3286">
                  <c:v>2.4222709827297351E-2</c:v>
                </c:pt>
                <c:pt idx="3287">
                  <c:v>2.4222709827377287E-2</c:v>
                </c:pt>
                <c:pt idx="3288">
                  <c:v>2.4222709827297351E-2</c:v>
                </c:pt>
                <c:pt idx="3289">
                  <c:v>2.4222709827217415E-2</c:v>
                </c:pt>
                <c:pt idx="3290">
                  <c:v>2.4222709827297351E-2</c:v>
                </c:pt>
                <c:pt idx="3291">
                  <c:v>2.4222709827377287E-2</c:v>
                </c:pt>
                <c:pt idx="3292">
                  <c:v>2.4222709827297351E-2</c:v>
                </c:pt>
                <c:pt idx="3293">
                  <c:v>2.4222709827297351E-2</c:v>
                </c:pt>
                <c:pt idx="3294">
                  <c:v>2.4222709827377287E-2</c:v>
                </c:pt>
                <c:pt idx="3295">
                  <c:v>2.4222709827297351E-2</c:v>
                </c:pt>
                <c:pt idx="3296">
                  <c:v>2.4222709827297351E-2</c:v>
                </c:pt>
                <c:pt idx="3297">
                  <c:v>2.4222709827297351E-2</c:v>
                </c:pt>
                <c:pt idx="3298">
                  <c:v>2.4222709827377287E-2</c:v>
                </c:pt>
                <c:pt idx="3299">
                  <c:v>2.4222709827297351E-2</c:v>
                </c:pt>
                <c:pt idx="3300">
                  <c:v>2.4222709827297351E-2</c:v>
                </c:pt>
                <c:pt idx="3301">
                  <c:v>2.4222709827377287E-2</c:v>
                </c:pt>
                <c:pt idx="3302">
                  <c:v>2.4223524743511859E-2</c:v>
                </c:pt>
                <c:pt idx="3303">
                  <c:v>2.4222709827377287E-2</c:v>
                </c:pt>
                <c:pt idx="3304">
                  <c:v>2.4222709827297351E-2</c:v>
                </c:pt>
                <c:pt idx="3305">
                  <c:v>2.4222709827297351E-2</c:v>
                </c:pt>
                <c:pt idx="3306">
                  <c:v>2.4222709827217415E-2</c:v>
                </c:pt>
                <c:pt idx="3307">
                  <c:v>2.4222709827217415E-2</c:v>
                </c:pt>
                <c:pt idx="3308">
                  <c:v>2.4222709827377287E-2</c:v>
                </c:pt>
                <c:pt idx="3309">
                  <c:v>2.4222709827297351E-2</c:v>
                </c:pt>
                <c:pt idx="3310">
                  <c:v>2.4222709827297351E-2</c:v>
                </c:pt>
                <c:pt idx="3311">
                  <c:v>2.4222709827377287E-2</c:v>
                </c:pt>
                <c:pt idx="3312">
                  <c:v>2.4222709827297351E-2</c:v>
                </c:pt>
                <c:pt idx="3313">
                  <c:v>2.4222709827297351E-2</c:v>
                </c:pt>
                <c:pt idx="3314">
                  <c:v>2.4222709827297351E-2</c:v>
                </c:pt>
                <c:pt idx="3315">
                  <c:v>2.4222709827377287E-2</c:v>
                </c:pt>
                <c:pt idx="3316">
                  <c:v>2.4222709827297351E-2</c:v>
                </c:pt>
                <c:pt idx="3317">
                  <c:v>2.4222709827217415E-2</c:v>
                </c:pt>
                <c:pt idx="3318">
                  <c:v>2.4222709827377287E-2</c:v>
                </c:pt>
                <c:pt idx="3319">
                  <c:v>2.4222709827297351E-2</c:v>
                </c:pt>
                <c:pt idx="3320">
                  <c:v>2.4222709827297351E-2</c:v>
                </c:pt>
                <c:pt idx="3321">
                  <c:v>2.4222709827297351E-2</c:v>
                </c:pt>
                <c:pt idx="3322">
                  <c:v>2.4222709827377287E-2</c:v>
                </c:pt>
                <c:pt idx="3323">
                  <c:v>2.4222709827297351E-2</c:v>
                </c:pt>
                <c:pt idx="3324">
                  <c:v>2.4222709827217415E-2</c:v>
                </c:pt>
                <c:pt idx="3325">
                  <c:v>2.4222709827297351E-2</c:v>
                </c:pt>
                <c:pt idx="3326">
                  <c:v>2.4222709827377287E-2</c:v>
                </c:pt>
                <c:pt idx="3327">
                  <c:v>2.4222709827377287E-2</c:v>
                </c:pt>
                <c:pt idx="3328">
                  <c:v>2.4222709827217415E-2</c:v>
                </c:pt>
                <c:pt idx="3329">
                  <c:v>2.4222709827297351E-2</c:v>
                </c:pt>
                <c:pt idx="3330">
                  <c:v>2.4222709827377287E-2</c:v>
                </c:pt>
                <c:pt idx="3331">
                  <c:v>2.4222709827377287E-2</c:v>
                </c:pt>
                <c:pt idx="3332">
                  <c:v>2.4222709827297351E-2</c:v>
                </c:pt>
                <c:pt idx="3333">
                  <c:v>2.4222709827297351E-2</c:v>
                </c:pt>
                <c:pt idx="3334">
                  <c:v>2.4222709827297351E-2</c:v>
                </c:pt>
                <c:pt idx="3335">
                  <c:v>2.4222709827297351E-2</c:v>
                </c:pt>
                <c:pt idx="3336">
                  <c:v>2.4222709827297351E-2</c:v>
                </c:pt>
                <c:pt idx="3337">
                  <c:v>2.4222709827297351E-2</c:v>
                </c:pt>
                <c:pt idx="3338">
                  <c:v>2.4222709827377287E-2</c:v>
                </c:pt>
                <c:pt idx="3339">
                  <c:v>2.4222709827297351E-2</c:v>
                </c:pt>
                <c:pt idx="3340">
                  <c:v>2.4222709827377287E-2</c:v>
                </c:pt>
                <c:pt idx="3341">
                  <c:v>2.4222709827297351E-2</c:v>
                </c:pt>
                <c:pt idx="3342">
                  <c:v>2.4222709827297351E-2</c:v>
                </c:pt>
                <c:pt idx="3343">
                  <c:v>2.4222709827297351E-2</c:v>
                </c:pt>
                <c:pt idx="3344">
                  <c:v>2.4222709827297351E-2</c:v>
                </c:pt>
                <c:pt idx="3345">
                  <c:v>2.4222709827297351E-2</c:v>
                </c:pt>
                <c:pt idx="3346">
                  <c:v>2.4222709827217415E-2</c:v>
                </c:pt>
                <c:pt idx="3347">
                  <c:v>2.4222709827297351E-2</c:v>
                </c:pt>
                <c:pt idx="3348">
                  <c:v>2.4222709827377287E-2</c:v>
                </c:pt>
                <c:pt idx="3349">
                  <c:v>2.4222709827377287E-2</c:v>
                </c:pt>
                <c:pt idx="3350">
                  <c:v>2.4222709827297351E-2</c:v>
                </c:pt>
                <c:pt idx="3351">
                  <c:v>2.4222709827377287E-2</c:v>
                </c:pt>
                <c:pt idx="3352">
                  <c:v>2.4222709827377287E-2</c:v>
                </c:pt>
                <c:pt idx="3353">
                  <c:v>2.4222709827297351E-2</c:v>
                </c:pt>
                <c:pt idx="3354">
                  <c:v>2.4222709827297351E-2</c:v>
                </c:pt>
                <c:pt idx="3355">
                  <c:v>2.4222709827297351E-2</c:v>
                </c:pt>
                <c:pt idx="3356">
                  <c:v>2.4222709827377287E-2</c:v>
                </c:pt>
                <c:pt idx="3357">
                  <c:v>2.4222709827217415E-2</c:v>
                </c:pt>
                <c:pt idx="3358">
                  <c:v>2.4222709827297351E-2</c:v>
                </c:pt>
                <c:pt idx="3359">
                  <c:v>2.4222709827377287E-2</c:v>
                </c:pt>
                <c:pt idx="3360">
                  <c:v>2.4222709827217415E-2</c:v>
                </c:pt>
                <c:pt idx="3361">
                  <c:v>2.4222709827297351E-2</c:v>
                </c:pt>
                <c:pt idx="3362">
                  <c:v>2.4222709827297351E-2</c:v>
                </c:pt>
                <c:pt idx="3363">
                  <c:v>2.4222709827377287E-2</c:v>
                </c:pt>
                <c:pt idx="3364">
                  <c:v>2.4222709827297351E-2</c:v>
                </c:pt>
                <c:pt idx="3365">
                  <c:v>2.4222709827377287E-2</c:v>
                </c:pt>
                <c:pt idx="3366">
                  <c:v>2.4222709827377287E-2</c:v>
                </c:pt>
                <c:pt idx="3367">
                  <c:v>2.4222709827377287E-2</c:v>
                </c:pt>
                <c:pt idx="3368">
                  <c:v>2.4222709827297351E-2</c:v>
                </c:pt>
                <c:pt idx="3369">
                  <c:v>2.4222709827377287E-2</c:v>
                </c:pt>
                <c:pt idx="3370">
                  <c:v>2.4222709827377287E-2</c:v>
                </c:pt>
                <c:pt idx="3371">
                  <c:v>2.4222709827297351E-2</c:v>
                </c:pt>
                <c:pt idx="3372">
                  <c:v>2.4222709827297351E-2</c:v>
                </c:pt>
                <c:pt idx="3373">
                  <c:v>2.4222709827377287E-2</c:v>
                </c:pt>
                <c:pt idx="3374">
                  <c:v>2.4222709827297351E-2</c:v>
                </c:pt>
                <c:pt idx="3375">
                  <c:v>2.4222709827217415E-2</c:v>
                </c:pt>
                <c:pt idx="3376">
                  <c:v>2.4222709827217415E-2</c:v>
                </c:pt>
                <c:pt idx="3377">
                  <c:v>2.4222709827377287E-2</c:v>
                </c:pt>
                <c:pt idx="3378">
                  <c:v>2.4222709827297351E-2</c:v>
                </c:pt>
                <c:pt idx="3379">
                  <c:v>2.4222709827297351E-2</c:v>
                </c:pt>
                <c:pt idx="3380">
                  <c:v>2.4222709827297351E-2</c:v>
                </c:pt>
                <c:pt idx="3381">
                  <c:v>2.4222709827377287E-2</c:v>
                </c:pt>
                <c:pt idx="3382">
                  <c:v>2.4222709827297351E-2</c:v>
                </c:pt>
                <c:pt idx="3383">
                  <c:v>2.4222709827217415E-2</c:v>
                </c:pt>
                <c:pt idx="3384">
                  <c:v>2.4222709827297351E-2</c:v>
                </c:pt>
                <c:pt idx="3385">
                  <c:v>2.4222709827377287E-2</c:v>
                </c:pt>
                <c:pt idx="3386">
                  <c:v>2.4222709827297351E-2</c:v>
                </c:pt>
                <c:pt idx="3387">
                  <c:v>2.4222709827297351E-2</c:v>
                </c:pt>
                <c:pt idx="3388">
                  <c:v>2.4222709827377287E-2</c:v>
                </c:pt>
                <c:pt idx="3389">
                  <c:v>2.4222709827297351E-2</c:v>
                </c:pt>
                <c:pt idx="3390">
                  <c:v>2.4222709827297351E-2</c:v>
                </c:pt>
                <c:pt idx="3391">
                  <c:v>2.4222709827297351E-2</c:v>
                </c:pt>
                <c:pt idx="3392">
                  <c:v>2.4222709827297351E-2</c:v>
                </c:pt>
                <c:pt idx="3393">
                  <c:v>2.4222709827297351E-2</c:v>
                </c:pt>
                <c:pt idx="3394">
                  <c:v>2.4222709827297351E-2</c:v>
                </c:pt>
                <c:pt idx="3395">
                  <c:v>2.4222709827297351E-2</c:v>
                </c:pt>
                <c:pt idx="3396">
                  <c:v>2.4222709827377287E-2</c:v>
                </c:pt>
                <c:pt idx="3397">
                  <c:v>2.4222709827297351E-2</c:v>
                </c:pt>
                <c:pt idx="3398">
                  <c:v>2.4222709827297351E-2</c:v>
                </c:pt>
                <c:pt idx="3399">
                  <c:v>2.4222709827297351E-2</c:v>
                </c:pt>
                <c:pt idx="3400">
                  <c:v>2.4222709827297351E-2</c:v>
                </c:pt>
                <c:pt idx="3401">
                  <c:v>2.4222709827297351E-2</c:v>
                </c:pt>
                <c:pt idx="3402">
                  <c:v>2.4222709827297351E-2</c:v>
                </c:pt>
                <c:pt idx="3403">
                  <c:v>2.4222709827377287E-2</c:v>
                </c:pt>
                <c:pt idx="3404">
                  <c:v>2.4222709827297351E-2</c:v>
                </c:pt>
                <c:pt idx="3405">
                  <c:v>2.4222709827377287E-2</c:v>
                </c:pt>
                <c:pt idx="3406">
                  <c:v>2.4222709827377287E-2</c:v>
                </c:pt>
                <c:pt idx="3407">
                  <c:v>2.4222709827297351E-2</c:v>
                </c:pt>
                <c:pt idx="3408">
                  <c:v>2.4222709827377287E-2</c:v>
                </c:pt>
                <c:pt idx="3409">
                  <c:v>2.4222709827297351E-2</c:v>
                </c:pt>
                <c:pt idx="3410">
                  <c:v>2.4222709827377287E-2</c:v>
                </c:pt>
                <c:pt idx="3411">
                  <c:v>2.4222709827377287E-2</c:v>
                </c:pt>
                <c:pt idx="3412">
                  <c:v>2.4222709827297351E-2</c:v>
                </c:pt>
                <c:pt idx="3413">
                  <c:v>2.4222709827297351E-2</c:v>
                </c:pt>
                <c:pt idx="3414">
                  <c:v>2.4222709827377287E-2</c:v>
                </c:pt>
                <c:pt idx="3415">
                  <c:v>2.4222709827377287E-2</c:v>
                </c:pt>
                <c:pt idx="3416">
                  <c:v>2.4222709827297351E-2</c:v>
                </c:pt>
                <c:pt idx="3417">
                  <c:v>2.4222709827377287E-2</c:v>
                </c:pt>
                <c:pt idx="3418">
                  <c:v>2.4222709827377287E-2</c:v>
                </c:pt>
                <c:pt idx="3419">
                  <c:v>2.4222709827297351E-2</c:v>
                </c:pt>
                <c:pt idx="3420">
                  <c:v>2.4222709827297351E-2</c:v>
                </c:pt>
                <c:pt idx="3421">
                  <c:v>2.4222709827377287E-2</c:v>
                </c:pt>
                <c:pt idx="3422">
                  <c:v>2.4222709827297351E-2</c:v>
                </c:pt>
                <c:pt idx="3423">
                  <c:v>2.4222709827297351E-2</c:v>
                </c:pt>
                <c:pt idx="3424">
                  <c:v>2.4222709827377287E-2</c:v>
                </c:pt>
                <c:pt idx="3425">
                  <c:v>2.4222709827297351E-2</c:v>
                </c:pt>
                <c:pt idx="3426">
                  <c:v>2.4222709827377287E-2</c:v>
                </c:pt>
                <c:pt idx="3427">
                  <c:v>2.4222709827297351E-2</c:v>
                </c:pt>
                <c:pt idx="3428">
                  <c:v>2.4222709827217415E-2</c:v>
                </c:pt>
                <c:pt idx="3429">
                  <c:v>2.4222709827297351E-2</c:v>
                </c:pt>
                <c:pt idx="3430">
                  <c:v>2.4222709827297351E-2</c:v>
                </c:pt>
                <c:pt idx="3431">
                  <c:v>2.4222709827297351E-2</c:v>
                </c:pt>
                <c:pt idx="3432">
                  <c:v>2.4222709827297351E-2</c:v>
                </c:pt>
                <c:pt idx="3433">
                  <c:v>2.4222709827297351E-2</c:v>
                </c:pt>
                <c:pt idx="3434">
                  <c:v>2.4222709827297351E-2</c:v>
                </c:pt>
                <c:pt idx="3435">
                  <c:v>2.4222709827217415E-2</c:v>
                </c:pt>
                <c:pt idx="3436">
                  <c:v>2.4222709827297351E-2</c:v>
                </c:pt>
                <c:pt idx="3437">
                  <c:v>2.4222709827377287E-2</c:v>
                </c:pt>
                <c:pt idx="3438">
                  <c:v>2.4222709827217415E-2</c:v>
                </c:pt>
                <c:pt idx="3439">
                  <c:v>2.4222709827377287E-2</c:v>
                </c:pt>
                <c:pt idx="3440">
                  <c:v>2.4222709827377287E-2</c:v>
                </c:pt>
                <c:pt idx="3441">
                  <c:v>2.4222709827377287E-2</c:v>
                </c:pt>
                <c:pt idx="3442">
                  <c:v>2.4222709827297351E-2</c:v>
                </c:pt>
                <c:pt idx="3443">
                  <c:v>2.4222709827297351E-2</c:v>
                </c:pt>
                <c:pt idx="3444">
                  <c:v>2.4222709827297351E-2</c:v>
                </c:pt>
                <c:pt idx="3445">
                  <c:v>2.4222709827217415E-2</c:v>
                </c:pt>
                <c:pt idx="3446">
                  <c:v>2.4222709827377287E-2</c:v>
                </c:pt>
                <c:pt idx="3447">
                  <c:v>2.4222709827377287E-2</c:v>
                </c:pt>
                <c:pt idx="3448">
                  <c:v>2.4222709827377287E-2</c:v>
                </c:pt>
                <c:pt idx="3449">
                  <c:v>2.4222709827297351E-2</c:v>
                </c:pt>
                <c:pt idx="3450">
                  <c:v>2.4222709827297351E-2</c:v>
                </c:pt>
                <c:pt idx="3451">
                  <c:v>2.4222709827297351E-2</c:v>
                </c:pt>
                <c:pt idx="3452">
                  <c:v>2.4222709827297351E-2</c:v>
                </c:pt>
                <c:pt idx="3453">
                  <c:v>2.4222709827217415E-2</c:v>
                </c:pt>
                <c:pt idx="3454">
                  <c:v>2.4222709827377287E-2</c:v>
                </c:pt>
                <c:pt idx="3455">
                  <c:v>2.4222709827297351E-2</c:v>
                </c:pt>
                <c:pt idx="3456">
                  <c:v>2.4222709827297351E-2</c:v>
                </c:pt>
                <c:pt idx="3457">
                  <c:v>2.4222709827377287E-2</c:v>
                </c:pt>
                <c:pt idx="3458">
                  <c:v>2.4222709827377287E-2</c:v>
                </c:pt>
                <c:pt idx="3459">
                  <c:v>2.4222709827297351E-2</c:v>
                </c:pt>
                <c:pt idx="3460">
                  <c:v>2.4222709827297351E-2</c:v>
                </c:pt>
                <c:pt idx="3461">
                  <c:v>2.4222709827297351E-2</c:v>
                </c:pt>
                <c:pt idx="3462">
                  <c:v>2.4222709827377287E-2</c:v>
                </c:pt>
                <c:pt idx="3463">
                  <c:v>2.4222709827217415E-2</c:v>
                </c:pt>
                <c:pt idx="3464">
                  <c:v>2.4222709827377287E-2</c:v>
                </c:pt>
                <c:pt idx="3465">
                  <c:v>2.4222709827377287E-2</c:v>
                </c:pt>
                <c:pt idx="3466">
                  <c:v>2.4222709827297351E-2</c:v>
                </c:pt>
                <c:pt idx="3467">
                  <c:v>2.4222709827297351E-2</c:v>
                </c:pt>
                <c:pt idx="3468">
                  <c:v>2.4222709827297351E-2</c:v>
                </c:pt>
                <c:pt idx="3469">
                  <c:v>2.4222709827377287E-2</c:v>
                </c:pt>
                <c:pt idx="3470">
                  <c:v>2.4222709827297351E-2</c:v>
                </c:pt>
                <c:pt idx="3471">
                  <c:v>2.4222709827297351E-2</c:v>
                </c:pt>
                <c:pt idx="3472">
                  <c:v>2.4222709827297351E-2</c:v>
                </c:pt>
                <c:pt idx="3473">
                  <c:v>2.4222709827297351E-2</c:v>
                </c:pt>
                <c:pt idx="3474">
                  <c:v>2.4222709827297351E-2</c:v>
                </c:pt>
                <c:pt idx="3475">
                  <c:v>2.4222709827377287E-2</c:v>
                </c:pt>
                <c:pt idx="3476">
                  <c:v>2.4222709827297351E-2</c:v>
                </c:pt>
                <c:pt idx="3477">
                  <c:v>2.4222709827297351E-2</c:v>
                </c:pt>
                <c:pt idx="3478">
                  <c:v>2.4222709827297351E-2</c:v>
                </c:pt>
                <c:pt idx="3479">
                  <c:v>2.4222709827297351E-2</c:v>
                </c:pt>
                <c:pt idx="3480">
                  <c:v>2.4222709827297351E-2</c:v>
                </c:pt>
                <c:pt idx="3481">
                  <c:v>2.4222709827377287E-2</c:v>
                </c:pt>
                <c:pt idx="3482">
                  <c:v>2.4222709827217415E-2</c:v>
                </c:pt>
                <c:pt idx="3483">
                  <c:v>2.4222709827297351E-2</c:v>
                </c:pt>
                <c:pt idx="3484">
                  <c:v>2.4222709827297351E-2</c:v>
                </c:pt>
                <c:pt idx="3485">
                  <c:v>2.4222709827297351E-2</c:v>
                </c:pt>
                <c:pt idx="3486">
                  <c:v>2.4222709827377287E-2</c:v>
                </c:pt>
                <c:pt idx="3487">
                  <c:v>2.4222709827377287E-2</c:v>
                </c:pt>
                <c:pt idx="3488">
                  <c:v>2.4222709827217415E-2</c:v>
                </c:pt>
                <c:pt idx="3489">
                  <c:v>2.4222709827297351E-2</c:v>
                </c:pt>
                <c:pt idx="3490">
                  <c:v>2.4222709827377287E-2</c:v>
                </c:pt>
                <c:pt idx="3491">
                  <c:v>2.4222709827377287E-2</c:v>
                </c:pt>
                <c:pt idx="3492">
                  <c:v>2.4222709827297351E-2</c:v>
                </c:pt>
                <c:pt idx="3493">
                  <c:v>2.4222709827297351E-2</c:v>
                </c:pt>
                <c:pt idx="3494">
                  <c:v>2.4222709827297351E-2</c:v>
                </c:pt>
                <c:pt idx="3495">
                  <c:v>2.4222709827297351E-2</c:v>
                </c:pt>
                <c:pt idx="3496">
                  <c:v>2.4222709827297351E-2</c:v>
                </c:pt>
                <c:pt idx="3497">
                  <c:v>2.4222709827297351E-2</c:v>
                </c:pt>
                <c:pt idx="3498">
                  <c:v>2.4222709827297351E-2</c:v>
                </c:pt>
                <c:pt idx="3499">
                  <c:v>2.4222709827297351E-2</c:v>
                </c:pt>
                <c:pt idx="3500">
                  <c:v>2.4222709827297351E-2</c:v>
                </c:pt>
                <c:pt idx="3501">
                  <c:v>2.4222709827297351E-2</c:v>
                </c:pt>
                <c:pt idx="3502">
                  <c:v>2.4222709827377287E-2</c:v>
                </c:pt>
                <c:pt idx="3503">
                  <c:v>2.4222709827297351E-2</c:v>
                </c:pt>
                <c:pt idx="3504">
                  <c:v>2.4222709827297351E-2</c:v>
                </c:pt>
                <c:pt idx="3505">
                  <c:v>2.4222709827297351E-2</c:v>
                </c:pt>
                <c:pt idx="3506">
                  <c:v>2.4222709827297351E-2</c:v>
                </c:pt>
                <c:pt idx="3507">
                  <c:v>2.4222709827297351E-2</c:v>
                </c:pt>
                <c:pt idx="3508">
                  <c:v>2.4222709827297351E-2</c:v>
                </c:pt>
                <c:pt idx="3509">
                  <c:v>2.4222709827297351E-2</c:v>
                </c:pt>
                <c:pt idx="3510">
                  <c:v>2.4222709827297351E-2</c:v>
                </c:pt>
                <c:pt idx="3511">
                  <c:v>2.4222709827297351E-2</c:v>
                </c:pt>
                <c:pt idx="3512">
                  <c:v>2.4222709827297351E-2</c:v>
                </c:pt>
                <c:pt idx="3513">
                  <c:v>2.4222709827377287E-2</c:v>
                </c:pt>
                <c:pt idx="3514">
                  <c:v>2.4222709827377287E-2</c:v>
                </c:pt>
                <c:pt idx="3515">
                  <c:v>2.4222709827297351E-2</c:v>
                </c:pt>
                <c:pt idx="3516">
                  <c:v>2.4222709827377287E-2</c:v>
                </c:pt>
                <c:pt idx="3517">
                  <c:v>2.4222709827377287E-2</c:v>
                </c:pt>
                <c:pt idx="3518">
                  <c:v>2.4222709827297351E-2</c:v>
                </c:pt>
                <c:pt idx="3519">
                  <c:v>2.4222709827297351E-2</c:v>
                </c:pt>
                <c:pt idx="3520">
                  <c:v>2.4222709827297351E-2</c:v>
                </c:pt>
                <c:pt idx="3521">
                  <c:v>2.4222709827297351E-2</c:v>
                </c:pt>
                <c:pt idx="3522">
                  <c:v>2.4222709827297351E-2</c:v>
                </c:pt>
                <c:pt idx="3523">
                  <c:v>2.4222709827297351E-2</c:v>
                </c:pt>
                <c:pt idx="3524">
                  <c:v>2.4222709827297351E-2</c:v>
                </c:pt>
                <c:pt idx="3525">
                  <c:v>2.4224339696257147E-2</c:v>
                </c:pt>
                <c:pt idx="3526">
                  <c:v>2.4222709827297351E-2</c:v>
                </c:pt>
                <c:pt idx="3527">
                  <c:v>2.4222709827297351E-2</c:v>
                </c:pt>
                <c:pt idx="3528">
                  <c:v>2.4222709827377287E-2</c:v>
                </c:pt>
                <c:pt idx="3529">
                  <c:v>2.4222709827297351E-2</c:v>
                </c:pt>
                <c:pt idx="3530">
                  <c:v>2.4222709827297351E-2</c:v>
                </c:pt>
                <c:pt idx="3531">
                  <c:v>2.4222709827377287E-2</c:v>
                </c:pt>
                <c:pt idx="3532">
                  <c:v>2.4222709827297351E-2</c:v>
                </c:pt>
                <c:pt idx="3533">
                  <c:v>2.4222709827217415E-2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915264"/>
        <c:axId val="545917184"/>
      </c:lineChart>
      <c:dateAx>
        <c:axId val="545915264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17184"/>
        <c:crosses val="autoZero"/>
        <c:auto val="1"/>
        <c:lblOffset val="100"/>
        <c:baseTimeUnit val="days"/>
        <c:majorUnit val="3"/>
        <c:majorTimeUnit val="months"/>
      </c:dateAx>
      <c:valAx>
        <c:axId val="54591718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59152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8">
          <cell r="D8" t="str">
            <v>USD1M#0000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8 2015 11:10:23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str">
        <f>_xll.qlPiecewiseYieldCurve(D16,NDays,Calendar,_xll.ohPack(Selected!D2:D126),DayCounter,,,Accuracy,TraitsID,InterpolatorID,Permanent,,ObjectOverwrite)</f>
        <v>_USDYC1M#0002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str">
        <f>_xll.ohRangeRetrieveError(YieldCurve)</f>
        <v/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164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162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60</v>
      </c>
      <c r="D24" s="30" t="s">
        <v>59</v>
      </c>
      <c r="E24" s="20"/>
      <c r="F24" s="19"/>
      <c r="K24" s="66"/>
      <c r="L24" s="65" t="s">
        <v>165</v>
      </c>
      <c r="M24" s="59" t="s">
        <v>166</v>
      </c>
      <c r="N24" s="64"/>
    </row>
    <row r="25" spans="1:14" x14ac:dyDescent="0.2">
      <c r="B25" s="22"/>
      <c r="C25" s="29" t="s">
        <v>58</v>
      </c>
      <c r="D25" s="28" t="s">
        <v>57</v>
      </c>
      <c r="E25" s="20"/>
      <c r="F25" s="19"/>
      <c r="K25" s="66"/>
      <c r="L25" s="65" t="s">
        <v>167</v>
      </c>
      <c r="M25" s="56" t="str">
        <f>M24&amp;"("&amp;LocalCalendar&amp;","&amp;LiborCalendar&amp;")"</f>
        <v>JoinHolidays(UnitedStates::Settlement,UnitedKingdom::Exchange)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42138</v>
      </c>
      <c r="D27" s="25">
        <f>MAX(_xll.ohPack(Selected!J1:J126))</f>
        <v>1</v>
      </c>
      <c r="E27" s="20"/>
      <c r="F27" s="19"/>
    </row>
    <row r="28" spans="1:14" x14ac:dyDescent="0.2">
      <c r="B28" s="22"/>
      <c r="C28" s="24">
        <f>MAX(_xll.ohPack(Selected!I2:I126))</f>
        <v>60401</v>
      </c>
      <c r="D28" s="23">
        <f>MIN(_xll.ohPack(Selected!J1:J126))</f>
        <v>0.2545984071511696</v>
      </c>
      <c r="E28" s="20"/>
      <c r="F28" s="19"/>
    </row>
    <row r="29" spans="1:14" x14ac:dyDescent="0.2">
      <c r="B29" s="22"/>
      <c r="C29" s="24" t="s">
        <v>48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tr">
        <f>[1]Libor!$D$8</f>
        <v>USD1M#0000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131</v>
      </c>
      <c r="D31" s="70" t="b">
        <f>_xll.qlExtrapolatorEnableExtrapolation(YieldCurve)</f>
        <v>1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str">
        <f>Deposits!E3</f>
        <v>obj_0030f#0002</v>
      </c>
      <c r="C2" s="89" t="str">
        <f>_xll.qlRateHelperQuoteName(B2)</f>
        <v>USDSWD_SYNTH1M_Quote</v>
      </c>
      <c r="D2" s="90">
        <f>_xll.qlRateHelperQuoteValue($B2,Trigger)</f>
        <v>1.951E-3</v>
      </c>
      <c r="E2" s="90"/>
      <c r="F2" s="91" t="b">
        <v>1</v>
      </c>
      <c r="G2" s="91">
        <v>10</v>
      </c>
      <c r="H2" s="91">
        <v>1</v>
      </c>
      <c r="I2" s="92">
        <f>_xll.qlRateHelperEarliestDate($B2,Trigger)</f>
        <v>42138</v>
      </c>
      <c r="J2" s="93">
        <f>_xll.qlRateHelperLatestDate($B2,Trigger)</f>
        <v>42145</v>
      </c>
      <c r="K2" s="1">
        <v>40</v>
      </c>
      <c r="L2" s="1" t="s">
        <v>39</v>
      </c>
    </row>
    <row r="3" spans="2:12" x14ac:dyDescent="0.2">
      <c r="B3" s="89" t="str">
        <f>Deposits!E4</f>
        <v>obj_0030e#0002</v>
      </c>
      <c r="C3" s="89" t="str">
        <f>_xll.qlRateHelperQuoteName(B3)</f>
        <v>USD1MD_SYNTH1M_Quote</v>
      </c>
      <c r="D3" s="90">
        <f>_xll.qlRateHelperQuoteValue($B3,Trigger)</f>
        <v>1.856E-3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42138</v>
      </c>
      <c r="J3" s="93">
        <f>_xll.qlRateHelperLatestDate($B3,Trigger)</f>
        <v>42170</v>
      </c>
      <c r="K3" s="1">
        <v>70</v>
      </c>
      <c r="L3" s="1" t="s">
        <v>38</v>
      </c>
    </row>
    <row r="4" spans="2:12" ht="11.25" customHeight="1" x14ac:dyDescent="0.2">
      <c r="B4" s="99" t="str">
        <f>Swaps!L5</f>
        <v>obj_0059f#0002</v>
      </c>
      <c r="C4" s="99" t="str">
        <f>_xll.qlRateHelperQuoteName(B4)</f>
        <v>USD2X1S_Quote</v>
      </c>
      <c r="D4" s="100">
        <f>_xll.qlRateHelperQuoteValue($B4,Trigger)</f>
        <v>1.8699999999999999E-3</v>
      </c>
      <c r="E4" s="100">
        <f>_xll.qlSwapRateHelperSpread($B4,Trigger)</f>
        <v>0</v>
      </c>
      <c r="F4" s="101" t="b">
        <v>0</v>
      </c>
      <c r="G4" s="101">
        <v>40</v>
      </c>
      <c r="H4" s="101">
        <v>1</v>
      </c>
      <c r="I4" s="102">
        <f>_xll.qlRateHelperEarliestDate($B4,Trigger)</f>
        <v>42138</v>
      </c>
      <c r="J4" s="103">
        <f>_xll.qlRateHelperLatestDate($B4,Trigger)</f>
        <v>42199</v>
      </c>
      <c r="K4" s="104"/>
    </row>
    <row r="5" spans="2:12" x14ac:dyDescent="0.2">
      <c r="B5" s="89" t="str">
        <f>Swaps!L6</f>
        <v>obj_005a3#0002</v>
      </c>
      <c r="C5" s="89" t="str">
        <f>_xll.qlRateHelperQuoteName(B5)</f>
        <v>USD3X1S_Quote</v>
      </c>
      <c r="D5" s="90">
        <f>_xll.qlRateHelperQuoteValue($B5,Trigger)</f>
        <v>1.9E-3</v>
      </c>
      <c r="E5" s="90">
        <f>_xll.qlSwapRateHelperSpread($B5,Trigger)</f>
        <v>0</v>
      </c>
      <c r="F5" s="91" t="b">
        <v>1</v>
      </c>
      <c r="G5" s="91">
        <v>40</v>
      </c>
      <c r="H5" s="91">
        <v>1</v>
      </c>
      <c r="I5" s="92">
        <f>_xll.qlRateHelperEarliestDate($B5,Trigger)</f>
        <v>42138</v>
      </c>
      <c r="J5" s="93">
        <f>_xll.qlRateHelperLatestDate($B5,Trigger)</f>
        <v>42230</v>
      </c>
      <c r="K5" s="105"/>
    </row>
    <row r="6" spans="2:12" x14ac:dyDescent="0.2">
      <c r="B6" s="89" t="str">
        <f>Swaps!L7</f>
        <v>obj_005a1#0002</v>
      </c>
      <c r="C6" s="89" t="str">
        <f>_xll.qlRateHelperQuoteName(B6)</f>
        <v>USD4X1S_Quote</v>
      </c>
      <c r="D6" s="90">
        <f>_xll.qlRateHelperQuoteValue($B6,Trigger)</f>
        <v>1.9500000000000001E-3</v>
      </c>
      <c r="E6" s="90">
        <f>_xll.qlSwapRateHelperSpread($B6,Trigger)</f>
        <v>0</v>
      </c>
      <c r="F6" s="91" t="b">
        <v>0</v>
      </c>
      <c r="G6" s="91">
        <v>40</v>
      </c>
      <c r="H6" s="91">
        <v>1</v>
      </c>
      <c r="I6" s="92">
        <f>_xll.qlRateHelperEarliestDate($B6,Trigger)</f>
        <v>42138</v>
      </c>
      <c r="J6" s="93">
        <f>_xll.qlRateHelperLatestDate($B6,Trigger)</f>
        <v>42261</v>
      </c>
    </row>
    <row r="7" spans="2:12" x14ac:dyDescent="0.2">
      <c r="B7" s="89" t="str">
        <f>Swaps!L8</f>
        <v>obj_005a9#0002</v>
      </c>
      <c r="C7" s="89" t="str">
        <f>_xll.qlRateHelperQuoteName(B7)</f>
        <v>USD5X1S_Quote</v>
      </c>
      <c r="D7" s="90">
        <f>_xll.qlRateHelperQuoteValue($B7,Trigger)</f>
        <v>2.1300000000000004E-3</v>
      </c>
      <c r="E7" s="90">
        <f>_xll.qlSwapRateHelperSpread($B7,Trigger)</f>
        <v>0</v>
      </c>
      <c r="F7" s="91" t="b">
        <v>0</v>
      </c>
      <c r="G7" s="91">
        <v>40</v>
      </c>
      <c r="H7" s="91">
        <v>1</v>
      </c>
      <c r="I7" s="92">
        <f>_xll.qlRateHelperEarliestDate($B7,Trigger)</f>
        <v>42138</v>
      </c>
      <c r="J7" s="93">
        <f>_xll.qlRateHelperLatestDate($B7,Trigger)</f>
        <v>42291</v>
      </c>
    </row>
    <row r="8" spans="2:12" ht="11.25" customHeight="1" x14ac:dyDescent="0.2">
      <c r="B8" s="89" t="str">
        <f>Swaps!L9</f>
        <v>obj_005a8#0002</v>
      </c>
      <c r="C8" s="89" t="str">
        <f>_xll.qlRateHelperQuoteName(B8)</f>
        <v>USD6X1S_Quote</v>
      </c>
      <c r="D8" s="90">
        <f>_xll.qlRateHelperQuoteValue($B8,Trigger)</f>
        <v>2.33E-3</v>
      </c>
      <c r="E8" s="90">
        <f>_xll.qlSwapRateHelperSpread($B8,Trigger)</f>
        <v>0</v>
      </c>
      <c r="F8" s="91" t="b">
        <v>1</v>
      </c>
      <c r="G8" s="91">
        <v>40</v>
      </c>
      <c r="H8" s="91">
        <v>1</v>
      </c>
      <c r="I8" s="92">
        <f>_xll.qlRateHelperEarliestDate($B8,Trigger)</f>
        <v>42138</v>
      </c>
      <c r="J8" s="93">
        <f>_xll.qlRateHelperLatestDate($B8,Trigger)</f>
        <v>42324</v>
      </c>
    </row>
    <row r="9" spans="2:12" x14ac:dyDescent="0.2">
      <c r="B9" s="89" t="str">
        <f>Swaps!L10</f>
        <v>obj_005a7#0002</v>
      </c>
      <c r="C9" s="89" t="str">
        <f>_xll.qlRateHelperQuoteName(B9)</f>
        <v>USD7X1S_Quote</v>
      </c>
      <c r="D9" s="90">
        <f>_xll.qlRateHelperQuoteValue($B9,Trigger)</f>
        <v>2.47E-3</v>
      </c>
      <c r="E9" s="90">
        <f>_xll.qlSwapRateHelperSpread($B9,Trigger)</f>
        <v>0</v>
      </c>
      <c r="F9" s="91" t="b">
        <v>0</v>
      </c>
      <c r="G9" s="91">
        <v>40</v>
      </c>
      <c r="H9" s="91">
        <v>1</v>
      </c>
      <c r="I9" s="92">
        <f>_xll.qlRateHelperEarliestDate($B9,Trigger)</f>
        <v>42138</v>
      </c>
      <c r="J9" s="93">
        <f>_xll.qlRateHelperLatestDate($B9,Trigger)</f>
        <v>42352</v>
      </c>
    </row>
    <row r="10" spans="2:12" x14ac:dyDescent="0.2">
      <c r="B10" s="89" t="str">
        <f>Swaps!L11</f>
        <v>obj_005a6#0002</v>
      </c>
      <c r="C10" s="89" t="str">
        <f>_xll.qlRateHelperQuoteName(B10)</f>
        <v>USD8X1S_Quote</v>
      </c>
      <c r="D10" s="90">
        <f>_xll.qlRateHelperQuoteValue($B10,Trigger)</f>
        <v>2.7200000000000002E-3</v>
      </c>
      <c r="E10" s="90">
        <f>_xll.qlSwapRateHelperSpread($B10,Trigger)</f>
        <v>0</v>
      </c>
      <c r="F10" s="91" t="b">
        <v>0</v>
      </c>
      <c r="G10" s="91">
        <v>40</v>
      </c>
      <c r="H10" s="91">
        <v>1</v>
      </c>
      <c r="I10" s="92">
        <f>_xll.qlRateHelperEarliestDate($B10,Trigger)</f>
        <v>42138</v>
      </c>
      <c r="J10" s="93">
        <f>_xll.qlRateHelperLatestDate($B10,Trigger)</f>
        <v>42383</v>
      </c>
    </row>
    <row r="11" spans="2:12" ht="11.25" customHeight="1" x14ac:dyDescent="0.2">
      <c r="B11" s="89" t="str">
        <f>Swaps!L12</f>
        <v>obj_005a5#0002</v>
      </c>
      <c r="C11" s="89" t="str">
        <f>_xll.qlRateHelperQuoteName(B11)</f>
        <v>USD9X1S_Quote</v>
      </c>
      <c r="D11" s="90">
        <f>_xll.qlRateHelperQuoteValue($B11,Trigger)</f>
        <v>2.9900000000000005E-3</v>
      </c>
      <c r="E11" s="90">
        <f>_xll.qlSwapRateHelperSpread($B11,Trigger)</f>
        <v>0</v>
      </c>
      <c r="F11" s="91" t="b">
        <v>1</v>
      </c>
      <c r="G11" s="91">
        <v>40</v>
      </c>
      <c r="H11" s="91">
        <v>1</v>
      </c>
      <c r="I11" s="92">
        <f>_xll.qlRateHelperEarliestDate($B11,Trigger)</f>
        <v>42138</v>
      </c>
      <c r="J11" s="93">
        <f>_xll.qlRateHelperLatestDate($B11,Trigger)</f>
        <v>42415</v>
      </c>
    </row>
    <row r="12" spans="2:12" x14ac:dyDescent="0.2">
      <c r="B12" s="89" t="str">
        <f>Swaps!L13</f>
        <v>obj_005a4#0002</v>
      </c>
      <c r="C12" s="89" t="str">
        <f>_xll.qlRateHelperQuoteName(B12)</f>
        <v>USD10X1S_Quote</v>
      </c>
      <c r="D12" s="90">
        <f>_xll.qlRateHelperQuoteValue($B12,Trigger)</f>
        <v>3.1900000000000001E-3</v>
      </c>
      <c r="E12" s="90">
        <f>_xll.qlSwapRateHelperSpread($B12,Trigger)</f>
        <v>0</v>
      </c>
      <c r="F12" s="91" t="b">
        <v>0</v>
      </c>
      <c r="G12" s="91">
        <v>40</v>
      </c>
      <c r="H12" s="91">
        <v>1</v>
      </c>
      <c r="I12" s="92">
        <f>_xll.qlRateHelperEarliestDate($B12,Trigger)</f>
        <v>42138</v>
      </c>
      <c r="J12" s="93">
        <f>_xll.qlRateHelperLatestDate($B12,Trigger)</f>
        <v>42443</v>
      </c>
    </row>
    <row r="13" spans="2:12" x14ac:dyDescent="0.2">
      <c r="B13" s="89" t="str">
        <f>Swaps!L14</f>
        <v>obj_005a2#0002</v>
      </c>
      <c r="C13" s="89" t="str">
        <f>_xll.qlRateHelperQuoteName(B13)</f>
        <v>USD11X1S_Quote</v>
      </c>
      <c r="D13" s="90">
        <f>_xll.qlRateHelperQuoteValue($B13,Trigger)</f>
        <v>3.4699999999999996E-3</v>
      </c>
      <c r="E13" s="90">
        <f>_xll.qlSwapRateHelperSpread($B13,Trigger)</f>
        <v>0</v>
      </c>
      <c r="F13" s="91" t="b">
        <v>0</v>
      </c>
      <c r="G13" s="91">
        <v>40</v>
      </c>
      <c r="H13" s="91">
        <v>1</v>
      </c>
      <c r="I13" s="92">
        <f>_xll.qlRateHelperEarliestDate($B13,Trigger)</f>
        <v>42138</v>
      </c>
      <c r="J13" s="93">
        <f>_xll.qlRateHelperLatestDate($B13,Trigger)</f>
        <v>42474</v>
      </c>
    </row>
    <row r="14" spans="2:12" x14ac:dyDescent="0.2">
      <c r="B14" s="94" t="str">
        <f>Swaps!L15</f>
        <v>obj_005a0#0002</v>
      </c>
      <c r="C14" s="94" t="str">
        <f>_xll.qlRateHelperQuoteName(B14)</f>
        <v>USD12X1S_Quote</v>
      </c>
      <c r="D14" s="95">
        <f>_xll.qlRateHelperQuoteValue($B14,Trigger)</f>
        <v>3.7599999999999999E-3</v>
      </c>
      <c r="E14" s="95">
        <f>_xll.qlSwapRateHelperSpread($B14,Trigger)</f>
        <v>0</v>
      </c>
      <c r="F14" s="96" t="b">
        <v>1</v>
      </c>
      <c r="G14" s="96">
        <v>40</v>
      </c>
      <c r="H14" s="91">
        <v>1</v>
      </c>
      <c r="I14" s="97">
        <f>_xll.qlRateHelperEarliestDate($B14,Trigger)</f>
        <v>42138</v>
      </c>
      <c r="J14" s="98">
        <f>_xll.qlRateHelperLatestDate($B14,Trigger)</f>
        <v>42506</v>
      </c>
    </row>
    <row r="15" spans="2:12" x14ac:dyDescent="0.2">
      <c r="B15" s="99" t="str">
        <f>SwapsFromBasis!L5</f>
        <v>obj_005aa#0002</v>
      </c>
      <c r="C15" s="99" t="str">
        <f>SUBSTITUTE(_xll.qlRateHelperQuoteName(B15),"3L","1LBASIS")</f>
        <v>USDAM1LBASIS1Y_Quote</v>
      </c>
      <c r="D15" s="100">
        <f>_xll.qlRateHelperQuoteValue($B15,Trigger)</f>
        <v>4.7999999999999996E-3</v>
      </c>
      <c r="E15" s="100">
        <f>_xll.qlSwapRateHelperSpread($B15,Trigger)</f>
        <v>1.0300000000000001E-3</v>
      </c>
      <c r="F15" s="101" t="b">
        <v>0</v>
      </c>
      <c r="G15" s="101">
        <v>40</v>
      </c>
      <c r="H15" s="101">
        <v>1</v>
      </c>
      <c r="I15" s="102">
        <f>_xll.qlRateHelperEarliestDate($B15,Trigger)</f>
        <v>42138</v>
      </c>
      <c r="J15" s="103">
        <f>_xll.qlRateHelperLatestDate($B15,Trigger)</f>
        <v>42506</v>
      </c>
    </row>
    <row r="16" spans="2:12" x14ac:dyDescent="0.2">
      <c r="B16" s="89" t="str">
        <f>SwapsFromBasis!L6</f>
        <v>obj_005be#0002</v>
      </c>
      <c r="C16" s="89" t="str">
        <f>SUBSTITUTE(_xll.qlRateHelperQuoteName(B16),"3L","1LBASIS")</f>
        <v>USDAM1LBASIS15M_Quote</v>
      </c>
      <c r="D16" s="90" t="e">
        <f>_xll.qlRateHelperQuoteValue($B16,Trigger)</f>
        <v>#NUM!</v>
      </c>
      <c r="E16" s="90">
        <f>_xll.qlSwapRateHelperSpread($B16,Trigger)</f>
        <v>1.0709531634728645E-3</v>
      </c>
      <c r="F16" s="91" t="b">
        <v>0</v>
      </c>
      <c r="G16" s="91">
        <v>40</v>
      </c>
      <c r="H16" s="91">
        <v>1</v>
      </c>
      <c r="I16" s="92">
        <f>_xll.qlRateHelperEarliestDate($B16,Trigger)</f>
        <v>42138</v>
      </c>
      <c r="J16" s="93">
        <f>_xll.qlRateHelperLatestDate($B16,Trigger)</f>
        <v>42597</v>
      </c>
    </row>
    <row r="17" spans="2:10" x14ac:dyDescent="0.2">
      <c r="B17" s="89" t="str">
        <f>SwapsFromBasis!L7</f>
        <v>obj_005bd#0002</v>
      </c>
      <c r="C17" s="89" t="str">
        <f>SUBSTITUTE(_xll.qlRateHelperQuoteName(B17),"3L","1LBASIS")</f>
        <v>USDAM1LBASIS18M_Quote</v>
      </c>
      <c r="D17" s="90" t="e">
        <f>_xll.qlRateHelperQuoteValue($B17,Trigger)</f>
        <v>#NUM!</v>
      </c>
      <c r="E17" s="90">
        <f>_xll.qlSwapRateHelperSpread($B17,Trigger)</f>
        <v>1.1025313269457289E-3</v>
      </c>
      <c r="F17" s="91" t="b">
        <v>0</v>
      </c>
      <c r="G17" s="91">
        <v>40</v>
      </c>
      <c r="H17" s="91">
        <v>1</v>
      </c>
      <c r="I17" s="92">
        <f>_xll.qlRateHelperEarliestDate($B17,Trigger)</f>
        <v>42138</v>
      </c>
      <c r="J17" s="93">
        <f>_xll.qlRateHelperLatestDate($B17,Trigger)</f>
        <v>42688</v>
      </c>
    </row>
    <row r="18" spans="2:10" x14ac:dyDescent="0.2">
      <c r="B18" s="89" t="str">
        <f>SwapsFromBasis!L8</f>
        <v>obj_005b6#0002</v>
      </c>
      <c r="C18" s="89" t="str">
        <f>SUBSTITUTE(_xll.qlRateHelperQuoteName(B18),"3L","1LBASIS")</f>
        <v>USDAM1LBASIS21M_Quote</v>
      </c>
      <c r="D18" s="90" t="e">
        <f>_xll.qlRateHelperQuoteValue($B18,Trigger)</f>
        <v>#NUM!</v>
      </c>
      <c r="E18" s="90">
        <f>_xll.qlSwapRateHelperSpread($B18,Trigger)</f>
        <v>1.1278438269457288E-3</v>
      </c>
      <c r="F18" s="91" t="b">
        <v>0</v>
      </c>
      <c r="G18" s="91">
        <v>40</v>
      </c>
      <c r="H18" s="91">
        <v>1</v>
      </c>
      <c r="I18" s="92">
        <f>_xll.qlRateHelperEarliestDate($B18,Trigger)</f>
        <v>42138</v>
      </c>
      <c r="J18" s="93">
        <f>_xll.qlRateHelperLatestDate($B18,Trigger)</f>
        <v>42780</v>
      </c>
    </row>
    <row r="19" spans="2:10" x14ac:dyDescent="0.2">
      <c r="B19" s="89" t="str">
        <f>SwapsFromBasis!L9</f>
        <v>obj_005af#0002</v>
      </c>
      <c r="C19" s="89" t="str">
        <f>SUBSTITUTE(_xll.qlRateHelperQuoteName(B19),"3L","1LBASIS")</f>
        <v>USDAM1LBASIS2Y_Quote</v>
      </c>
      <c r="D19" s="90">
        <f>_xll.qlRateHelperQuoteValue($B19,Trigger)</f>
        <v>8.7899999999999992E-3</v>
      </c>
      <c r="E19" s="90">
        <f>_xll.qlSwapRateHelperSpread($B19,Trigger)</f>
        <v>1.15E-3</v>
      </c>
      <c r="F19" s="91" t="b">
        <v>1</v>
      </c>
      <c r="G19" s="91">
        <v>40</v>
      </c>
      <c r="H19" s="91">
        <v>1</v>
      </c>
      <c r="I19" s="92">
        <f>_xll.qlRateHelperEarliestDate($B19,Trigger)</f>
        <v>42138</v>
      </c>
      <c r="J19" s="93">
        <f>_xll.qlRateHelperLatestDate($B19,Trigger)</f>
        <v>42870</v>
      </c>
    </row>
    <row r="20" spans="2:10" x14ac:dyDescent="0.2">
      <c r="B20" s="89" t="str">
        <f>SwapsFromBasis!L10</f>
        <v>obj_005cd#0002</v>
      </c>
      <c r="C20" s="89" t="str">
        <f>SUBSTITUTE(_xll.qlRateHelperQuoteName(B20),"3L","1LBASIS")</f>
        <v>USDAM1LBASIS3Y_Quote</v>
      </c>
      <c r="D20" s="90">
        <f>_xll.qlRateHelperQuoteValue($B20,Trigger)</f>
        <v>1.24E-2</v>
      </c>
      <c r="E20" s="90">
        <f>_xll.qlSwapRateHelperSpread($B20,Trigger)</f>
        <v>1.23E-3</v>
      </c>
      <c r="F20" s="91" t="b">
        <v>1</v>
      </c>
      <c r="G20" s="91">
        <v>40</v>
      </c>
      <c r="H20" s="91">
        <v>1</v>
      </c>
      <c r="I20" s="92">
        <f>_xll.qlRateHelperEarliestDate($B20,Trigger)</f>
        <v>42138</v>
      </c>
      <c r="J20" s="93">
        <f>_xll.qlRateHelperLatestDate($B20,Trigger)</f>
        <v>43234</v>
      </c>
    </row>
    <row r="21" spans="2:10" x14ac:dyDescent="0.2">
      <c r="B21" s="89" t="str">
        <f>SwapsFromBasis!L11</f>
        <v>obj_005ce#0002</v>
      </c>
      <c r="C21" s="89" t="str">
        <f>SUBSTITUTE(_xll.qlRateHelperQuoteName(B21),"3L","1LBASIS")</f>
        <v>USDAM1LBASIS4Y_Quote</v>
      </c>
      <c r="D21" s="90">
        <f>_xll.qlRateHelperQuoteValue($B21,Trigger)</f>
        <v>1.5190000000000002E-2</v>
      </c>
      <c r="E21" s="90">
        <f>_xll.qlSwapRateHelperSpread($B21,Trigger)</f>
        <v>1.2800000000000001E-3</v>
      </c>
      <c r="F21" s="91" t="b">
        <v>1</v>
      </c>
      <c r="G21" s="91">
        <v>40</v>
      </c>
      <c r="H21" s="91">
        <v>1</v>
      </c>
      <c r="I21" s="92">
        <f>_xll.qlRateHelperEarliestDate($B21,Trigger)</f>
        <v>42138</v>
      </c>
      <c r="J21" s="93">
        <f>_xll.qlRateHelperLatestDate($B21,Trigger)</f>
        <v>43599</v>
      </c>
    </row>
    <row r="22" spans="2:10" x14ac:dyDescent="0.2">
      <c r="B22" s="89" t="str">
        <f>SwapsFromBasis!L12</f>
        <v>obj_005c9#0002</v>
      </c>
      <c r="C22" s="89" t="str">
        <f>SUBSTITUTE(_xll.qlRateHelperQuoteName(B22),"3L","1LBASIS")</f>
        <v>USDAM1LBASIS5Y_Quote</v>
      </c>
      <c r="D22" s="90">
        <f>_xll.qlRateHelperQuoteValue($B22,Trigger)</f>
        <v>1.7390000000000003E-2</v>
      </c>
      <c r="E22" s="90">
        <f>_xll.qlSwapRateHelperSpread($B22,Trigger)</f>
        <v>1.2999999999999999E-3</v>
      </c>
      <c r="F22" s="91" t="b">
        <v>1</v>
      </c>
      <c r="G22" s="91">
        <v>40</v>
      </c>
      <c r="H22" s="91">
        <v>1</v>
      </c>
      <c r="I22" s="92">
        <f>_xll.qlRateHelperEarliestDate($B22,Trigger)</f>
        <v>42138</v>
      </c>
      <c r="J22" s="93">
        <f>_xll.qlRateHelperLatestDate($B22,Trigger)</f>
        <v>43965</v>
      </c>
    </row>
    <row r="23" spans="2:10" x14ac:dyDescent="0.2">
      <c r="B23" s="89" t="str">
        <f>SwapsFromBasis!L13</f>
        <v>obj_005c5#0002</v>
      </c>
      <c r="C23" s="89" t="str">
        <f>SUBSTITUTE(_xll.qlRateHelperQuoteName(B23),"3L","1LBASIS")</f>
        <v>USDAM1LBASIS6Y_Quote</v>
      </c>
      <c r="D23" s="90">
        <f>_xll.qlRateHelperQuoteValue($B23,Trigger)</f>
        <v>1.915E-2</v>
      </c>
      <c r="E23" s="90">
        <f>_xll.qlSwapRateHelperSpread($B23,Trigger)</f>
        <v>1.2999999999999999E-3</v>
      </c>
      <c r="F23" s="91" t="b">
        <v>1</v>
      </c>
      <c r="G23" s="91">
        <v>40</v>
      </c>
      <c r="H23" s="91">
        <v>1</v>
      </c>
      <c r="I23" s="92">
        <f>_xll.qlRateHelperEarliestDate($B23,Trigger)</f>
        <v>42138</v>
      </c>
      <c r="J23" s="93">
        <f>_xll.qlRateHelperLatestDate($B23,Trigger)</f>
        <v>44330</v>
      </c>
    </row>
    <row r="24" spans="2:10" x14ac:dyDescent="0.2">
      <c r="B24" s="89" t="str">
        <f>SwapsFromBasis!L14</f>
        <v>obj_005b7#0002</v>
      </c>
      <c r="C24" s="89" t="str">
        <f>SUBSTITUTE(_xll.qlRateHelperQuoteName(B24),"3L","1LBASIS")</f>
        <v>USDAM1LBASIS7Y_Quote</v>
      </c>
      <c r="D24" s="90">
        <f>_xll.qlRateHelperQuoteValue($B24,Trigger)</f>
        <v>2.0569999999999998E-2</v>
      </c>
      <c r="E24" s="90">
        <f>_xll.qlSwapRateHelperSpread($B24,Trigger)</f>
        <v>1.2900000000000001E-3</v>
      </c>
      <c r="F24" s="91" t="b">
        <v>1</v>
      </c>
      <c r="G24" s="91">
        <v>40</v>
      </c>
      <c r="H24" s="91">
        <v>1</v>
      </c>
      <c r="I24" s="92">
        <f>_xll.qlRateHelperEarliestDate($B24,Trigger)</f>
        <v>42138</v>
      </c>
      <c r="J24" s="93">
        <f>_xll.qlRateHelperLatestDate($B24,Trigger)</f>
        <v>44697</v>
      </c>
    </row>
    <row r="25" spans="2:10" x14ac:dyDescent="0.2">
      <c r="B25" s="89" t="str">
        <f>SwapsFromBasis!L15</f>
        <v>obj_005bc#0002</v>
      </c>
      <c r="C25" s="89" t="str">
        <f>SUBSTITUTE(_xll.qlRateHelperQuoteName(B25),"3L","1LBASIS")</f>
        <v>USDAM1LBASIS8Y_Quote</v>
      </c>
      <c r="D25" s="90">
        <f>_xll.qlRateHelperQuoteValue($B25,Trigger)</f>
        <v>2.1700000000000001E-2</v>
      </c>
      <c r="E25" s="90">
        <f>_xll.qlSwapRateHelperSpread($B25,Trigger)</f>
        <v>1.2600000000000001E-3</v>
      </c>
      <c r="F25" s="91" t="b">
        <v>1</v>
      </c>
      <c r="G25" s="91">
        <v>40</v>
      </c>
      <c r="H25" s="91">
        <v>1</v>
      </c>
      <c r="I25" s="92">
        <f>_xll.qlRateHelperEarliestDate($B25,Trigger)</f>
        <v>42138</v>
      </c>
      <c r="J25" s="93">
        <f>_xll.qlRateHelperLatestDate($B25,Trigger)</f>
        <v>45061</v>
      </c>
    </row>
    <row r="26" spans="2:10" x14ac:dyDescent="0.2">
      <c r="B26" s="89" t="str">
        <f>SwapsFromBasis!L16</f>
        <v>obj_005b5#0002</v>
      </c>
      <c r="C26" s="89" t="str">
        <f>SUBSTITUTE(_xll.qlRateHelperQuoteName(B26),"3L","1LBASIS")</f>
        <v>USDAM1LBASIS9Y_Quote</v>
      </c>
      <c r="D26" s="90">
        <f>_xll.qlRateHelperQuoteValue($B26,Trigger)</f>
        <v>2.2629999999999997E-2</v>
      </c>
      <c r="E26" s="90">
        <f>_xll.qlSwapRateHelperSpread($B26,Trigger)</f>
        <v>1.2200000000000002E-3</v>
      </c>
      <c r="F26" s="91" t="b">
        <v>1</v>
      </c>
      <c r="G26" s="91">
        <v>40</v>
      </c>
      <c r="H26" s="91">
        <v>1</v>
      </c>
      <c r="I26" s="92">
        <f>_xll.qlRateHelperEarliestDate($B26,Trigger)</f>
        <v>42138</v>
      </c>
      <c r="J26" s="93">
        <f>_xll.qlRateHelperLatestDate($B26,Trigger)</f>
        <v>45426</v>
      </c>
    </row>
    <row r="27" spans="2:10" x14ac:dyDescent="0.2">
      <c r="B27" s="89" t="str">
        <f>SwapsFromBasis!L17</f>
        <v>obj_005ae#0002</v>
      </c>
      <c r="C27" s="89" t="str">
        <f>SUBSTITUTE(_xll.qlRateHelperQuoteName(B27),"3L","1LBASIS")</f>
        <v>USDAM1LBASIS10Y_Quote</v>
      </c>
      <c r="D27" s="90">
        <f>_xll.qlRateHelperQuoteValue($B27,Trigger)</f>
        <v>2.3390000000000001E-2</v>
      </c>
      <c r="E27" s="90">
        <f>_xll.qlSwapRateHelperSpread($B27,Trigger)</f>
        <v>1.1900000000000001E-3</v>
      </c>
      <c r="F27" s="91" t="b">
        <v>1</v>
      </c>
      <c r="G27" s="91">
        <v>40</v>
      </c>
      <c r="H27" s="91">
        <v>1</v>
      </c>
      <c r="I27" s="92">
        <f>_xll.qlRateHelperEarliestDate($B27,Trigger)</f>
        <v>42138</v>
      </c>
      <c r="J27" s="93">
        <f>_xll.qlRateHelperLatestDate($B27,Trigger)</f>
        <v>45791</v>
      </c>
    </row>
    <row r="28" spans="2:10" x14ac:dyDescent="0.2">
      <c r="B28" s="89" t="str">
        <f>SwapsFromBasis!L18</f>
        <v>obj_005cc#0002</v>
      </c>
      <c r="C28" s="89" t="str">
        <f>SUBSTITUTE(_xll.qlRateHelperQuoteName(B28),"3L","1LBASIS")</f>
        <v>USDAM1LBASIS11Y_Quote</v>
      </c>
      <c r="D28" s="90" t="e">
        <f>_xll.qlRateHelperQuoteValue($B28,Trigger)</f>
        <v>#NUM!</v>
      </c>
      <c r="E28" s="90">
        <f>_xll.qlSwapRateHelperSpread($B28,Trigger)</f>
        <v>1.1630966548718373E-3</v>
      </c>
      <c r="F28" s="91" t="b">
        <v>0</v>
      </c>
      <c r="G28" s="91">
        <v>40</v>
      </c>
      <c r="H28" s="91">
        <v>1</v>
      </c>
      <c r="I28" s="92">
        <f>_xll.qlRateHelperEarliestDate($B28,Trigger)</f>
        <v>42138</v>
      </c>
      <c r="J28" s="93">
        <f>_xll.qlRateHelperLatestDate($B28,Trigger)</f>
        <v>46156</v>
      </c>
    </row>
    <row r="29" spans="2:10" x14ac:dyDescent="0.2">
      <c r="B29" s="89" t="str">
        <f>SwapsFromBasis!L19</f>
        <v>obj_005b1#0002</v>
      </c>
      <c r="C29" s="89" t="str">
        <f>SUBSTITUTE(_xll.qlRateHelperQuoteName(B29),"3L","1LBASIS")</f>
        <v>USDAM1LBASIS12Y_Quote</v>
      </c>
      <c r="D29" s="90">
        <f>_xll.qlRateHelperQuoteValue($B29,Trigger)</f>
        <v>2.4660000000000001E-2</v>
      </c>
      <c r="E29" s="90">
        <f>_xll.qlSwapRateHelperSpread($B29,Trigger)</f>
        <v>1.14E-3</v>
      </c>
      <c r="F29" s="91" t="b">
        <v>1</v>
      </c>
      <c r="G29" s="91">
        <v>40</v>
      </c>
      <c r="H29" s="91">
        <v>1</v>
      </c>
      <c r="I29" s="92">
        <f>_xll.qlRateHelperEarliestDate($B29,Trigger)</f>
        <v>42138</v>
      </c>
      <c r="J29" s="93">
        <f>_xll.qlRateHelperLatestDate($B29,Trigger)</f>
        <v>46521</v>
      </c>
    </row>
    <row r="30" spans="2:10" x14ac:dyDescent="0.2">
      <c r="B30" s="89" t="str">
        <f>SwapsFromBasis!L20</f>
        <v>obj_005c8#0002</v>
      </c>
      <c r="C30" s="89" t="str">
        <f>SUBSTITUTE(_xll.qlRateHelperQuoteName(B30),"3L","1LBASIS")</f>
        <v>USDAM1LBASIS13Y_Quote</v>
      </c>
      <c r="D30" s="90" t="e">
        <f>_xll.qlRateHelperQuoteValue($B30,Trigger)</f>
        <v>#NUM!</v>
      </c>
      <c r="E30" s="90">
        <f>_xll.qlSwapRateHelperSpread($B30,Trigger)</f>
        <v>1.1238390523904266E-3</v>
      </c>
      <c r="F30" s="91" t="b">
        <v>0</v>
      </c>
      <c r="G30" s="91">
        <v>40</v>
      </c>
      <c r="H30" s="91">
        <v>1</v>
      </c>
      <c r="I30" s="92">
        <f>_xll.qlRateHelperEarliestDate($B30,Trigger)</f>
        <v>42138</v>
      </c>
      <c r="J30" s="93">
        <f>_xll.qlRateHelperLatestDate($B30,Trigger)</f>
        <v>46888</v>
      </c>
    </row>
    <row r="31" spans="2:10" x14ac:dyDescent="0.2">
      <c r="B31" s="89" t="str">
        <f>SwapsFromBasis!L21</f>
        <v>obj_005b0#0002</v>
      </c>
      <c r="C31" s="89" t="str">
        <f>SUBSTITUTE(_xll.qlRateHelperQuoteName(B31),"3L","1LBASIS")</f>
        <v>USDAM1LBASIS14Y_Quote</v>
      </c>
      <c r="D31" s="90" t="e">
        <f>_xll.qlRateHelperQuoteValue($B31,Trigger)</f>
        <v>#NUM!</v>
      </c>
      <c r="E31" s="90">
        <f>_xll.qlSwapRateHelperSpread($B31,Trigger)</f>
        <v>1.1140861928618801E-3</v>
      </c>
      <c r="F31" s="91" t="b">
        <v>0</v>
      </c>
      <c r="G31" s="91">
        <v>40</v>
      </c>
      <c r="H31" s="91">
        <v>1</v>
      </c>
      <c r="I31" s="92">
        <f>_xll.qlRateHelperEarliestDate($B31,Trigger)</f>
        <v>42138</v>
      </c>
      <c r="J31" s="93">
        <f>_xll.qlRateHelperLatestDate($B31,Trigger)</f>
        <v>47252</v>
      </c>
    </row>
    <row r="32" spans="2:10" x14ac:dyDescent="0.2">
      <c r="B32" s="89" t="str">
        <f>SwapsFromBasis!L22</f>
        <v>obj_005c2#0002</v>
      </c>
      <c r="C32" s="89" t="str">
        <f>SUBSTITUTE(_xll.qlRateHelperQuoteName(B32),"3L","1LBASIS")</f>
        <v>USDAM1LBASIS15Y_Quote</v>
      </c>
      <c r="D32" s="90">
        <f>_xll.qlRateHelperQuoteValue($B32,Trigger)</f>
        <v>2.5920000000000002E-2</v>
      </c>
      <c r="E32" s="90">
        <f>_xll.qlSwapRateHelperSpread($B32,Trigger)</f>
        <v>1.1100000000000001E-3</v>
      </c>
      <c r="F32" s="91" t="b">
        <v>1</v>
      </c>
      <c r="G32" s="91">
        <v>40</v>
      </c>
      <c r="H32" s="91">
        <v>1</v>
      </c>
      <c r="I32" s="92">
        <f>_xll.qlRateHelperEarliestDate($B32,Trigger)</f>
        <v>42138</v>
      </c>
      <c r="J32" s="93">
        <f>_xll.qlRateHelperLatestDate($B32,Trigger)</f>
        <v>47617</v>
      </c>
    </row>
    <row r="33" spans="2:10" x14ac:dyDescent="0.2">
      <c r="B33" s="89" t="str">
        <f>SwapsFromBasis!L23</f>
        <v>obj_005bb#0002</v>
      </c>
      <c r="C33" s="89" t="str">
        <f>SUBSTITUTE(_xll.qlRateHelperQuoteName(B33),"3L","1LBASIS")</f>
        <v>USDAM1LBASIS16Y_Quote</v>
      </c>
      <c r="D33" s="90" t="e">
        <f>_xll.qlRateHelperQuoteValue($B33,Trigger)</f>
        <v>#NUM!</v>
      </c>
      <c r="E33" s="90">
        <f>_xll.qlSwapRateHelperSpread($B33,Trigger)</f>
        <v>1.1088000000000001E-3</v>
      </c>
      <c r="F33" s="91" t="b">
        <v>0</v>
      </c>
      <c r="G33" s="91">
        <v>40</v>
      </c>
      <c r="H33" s="91">
        <v>1</v>
      </c>
      <c r="I33" s="92">
        <f>_xll.qlRateHelperEarliestDate($B33,Trigger)</f>
        <v>42138</v>
      </c>
      <c r="J33" s="93">
        <f>_xll.qlRateHelperLatestDate($B33,Trigger)</f>
        <v>47982</v>
      </c>
    </row>
    <row r="34" spans="2:10" x14ac:dyDescent="0.2">
      <c r="B34" s="89" t="str">
        <f>SwapsFromBasis!L24</f>
        <v>obj_005b4#0002</v>
      </c>
      <c r="C34" s="89" t="str">
        <f>SUBSTITUTE(_xll.qlRateHelperQuoteName(B34),"3L","1LBASIS")</f>
        <v>USDAM1LBASIS17Y_Quote</v>
      </c>
      <c r="D34" s="90" t="e">
        <f>_xll.qlRateHelperQuoteValue($B34,Trigger)</f>
        <v>#NUM!</v>
      </c>
      <c r="E34" s="90">
        <f>_xll.qlSwapRateHelperSpread($B34,Trigger)</f>
        <v>1.1082000000000002E-3</v>
      </c>
      <c r="F34" s="91" t="b">
        <v>0</v>
      </c>
      <c r="G34" s="91">
        <v>40</v>
      </c>
      <c r="H34" s="91">
        <v>1</v>
      </c>
      <c r="I34" s="92">
        <f>_xll.qlRateHelperEarliestDate($B34,Trigger)</f>
        <v>42138</v>
      </c>
      <c r="J34" s="93">
        <f>_xll.qlRateHelperLatestDate($B34,Trigger)</f>
        <v>48348</v>
      </c>
    </row>
    <row r="35" spans="2:10" x14ac:dyDescent="0.2">
      <c r="B35" s="89" t="str">
        <f>SwapsFromBasis!L25</f>
        <v>obj_005ad#0002</v>
      </c>
      <c r="C35" s="89" t="str">
        <f>SUBSTITUTE(_xll.qlRateHelperQuoteName(B35),"3L","1LBASIS")</f>
        <v>USDAM1LBASIS18Y_Quote</v>
      </c>
      <c r="D35" s="90" t="e">
        <f>_xll.qlRateHelperQuoteValue($B35,Trigger)</f>
        <v>#NUM!</v>
      </c>
      <c r="E35" s="90">
        <f>_xll.qlSwapRateHelperSpread($B35,Trigger)</f>
        <v>1.1082000000000002E-3</v>
      </c>
      <c r="F35" s="91" t="b">
        <v>0</v>
      </c>
      <c r="G35" s="91">
        <v>40</v>
      </c>
      <c r="H35" s="91">
        <v>1</v>
      </c>
      <c r="I35" s="92">
        <f>_xll.qlRateHelperEarliestDate($B35,Trigger)</f>
        <v>42138</v>
      </c>
      <c r="J35" s="93">
        <f>_xll.qlRateHelperLatestDate($B35,Trigger)</f>
        <v>48715</v>
      </c>
    </row>
    <row r="36" spans="2:10" x14ac:dyDescent="0.2">
      <c r="B36" s="89" t="str">
        <f>SwapsFromBasis!L26</f>
        <v>obj_005cb#0002</v>
      </c>
      <c r="C36" s="89" t="str">
        <f>SUBSTITUTE(_xll.qlRateHelperQuoteName(B36),"3L","1LBASIS")</f>
        <v>USDAM1LBASIS19Y_Quote</v>
      </c>
      <c r="D36" s="90" t="e">
        <f>_xll.qlRateHelperQuoteValue($B36,Trigger)</f>
        <v>#NUM!</v>
      </c>
      <c r="E36" s="90">
        <f>_xll.qlSwapRateHelperSpread($B36,Trigger)</f>
        <v>1.1088000000000001E-3</v>
      </c>
      <c r="F36" s="91" t="b">
        <v>0</v>
      </c>
      <c r="G36" s="91">
        <v>40</v>
      </c>
      <c r="H36" s="91">
        <v>1</v>
      </c>
      <c r="I36" s="92">
        <f>_xll.qlRateHelperEarliestDate($B36,Trigger)</f>
        <v>42138</v>
      </c>
      <c r="J36" s="93">
        <f>_xll.qlRateHelperLatestDate($B36,Trigger)</f>
        <v>49079</v>
      </c>
    </row>
    <row r="37" spans="2:10" x14ac:dyDescent="0.2">
      <c r="B37" s="89" t="str">
        <f>SwapsFromBasis!L27</f>
        <v>obj_005b8#0002</v>
      </c>
      <c r="C37" s="89" t="str">
        <f>SUBSTITUTE(_xll.qlRateHelperQuoteName(B37),"3L","1LBASIS")</f>
        <v>USDAM1LBASIS20Y_Quote</v>
      </c>
      <c r="D37" s="90">
        <f>_xll.qlRateHelperQuoteValue($B37,Trigger)</f>
        <v>2.7130000000000001E-2</v>
      </c>
      <c r="E37" s="90">
        <f>_xll.qlSwapRateHelperSpread($B37,Trigger)</f>
        <v>1.1100000000000001E-3</v>
      </c>
      <c r="F37" s="91" t="b">
        <v>1</v>
      </c>
      <c r="G37" s="91">
        <v>40</v>
      </c>
      <c r="H37" s="91">
        <v>1</v>
      </c>
      <c r="I37" s="92">
        <f>_xll.qlRateHelperEarliestDate($B37,Trigger)</f>
        <v>42138</v>
      </c>
      <c r="J37" s="93">
        <f>_xll.qlRateHelperLatestDate($B37,Trigger)</f>
        <v>49443</v>
      </c>
    </row>
    <row r="38" spans="2:10" x14ac:dyDescent="0.2">
      <c r="B38" s="89" t="str">
        <f>SwapsFromBasis!L28</f>
        <v>obj_005c7#0002</v>
      </c>
      <c r="C38" s="89" t="str">
        <f>SUBSTITUTE(_xll.qlRateHelperQuoteName(B38),"3L","1LBASIS")</f>
        <v>USDAM1LBASIS21Y_Quote</v>
      </c>
      <c r="D38" s="90" t="e">
        <f>_xll.qlRateHelperQuoteValue($B38,Trigger)</f>
        <v>#NUM!</v>
      </c>
      <c r="E38" s="90">
        <f>_xll.qlSwapRateHelperSpread($B38,Trigger)</f>
        <v>1.1116750900977356E-3</v>
      </c>
      <c r="F38" s="91" t="b">
        <v>0</v>
      </c>
      <c r="G38" s="91">
        <v>40</v>
      </c>
      <c r="H38" s="91">
        <v>1</v>
      </c>
      <c r="I38" s="92">
        <f>_xll.qlRateHelperEarliestDate($B38,Trigger)</f>
        <v>42138</v>
      </c>
      <c r="J38" s="93">
        <f>_xll.qlRateHelperLatestDate($B38,Trigger)</f>
        <v>49809</v>
      </c>
    </row>
    <row r="39" spans="2:10" x14ac:dyDescent="0.2">
      <c r="B39" s="89" t="str">
        <f>SwapsFromBasis!L29</f>
        <v>obj_005c4#0002</v>
      </c>
      <c r="C39" s="89" t="str">
        <f>SUBSTITUTE(_xll.qlRateHelperQuoteName(B39),"3L","1LBASIS")</f>
        <v>USDAM1LBASIS22Y_Quote</v>
      </c>
      <c r="D39" s="90" t="e">
        <f>_xll.qlRateHelperQuoteValue($B39,Trigger)</f>
        <v>#NUM!</v>
      </c>
      <c r="E39" s="90">
        <f>_xll.qlSwapRateHelperSpread($B39,Trigger)</f>
        <v>1.1136252702932067E-3</v>
      </c>
      <c r="F39" s="91" t="b">
        <v>0</v>
      </c>
      <c r="G39" s="91">
        <v>40</v>
      </c>
      <c r="H39" s="91">
        <v>1</v>
      </c>
      <c r="I39" s="92">
        <f>_xll.qlRateHelperEarliestDate($B39,Trigger)</f>
        <v>42138</v>
      </c>
      <c r="J39" s="93">
        <f>_xll.qlRateHelperLatestDate($B39,Trigger)</f>
        <v>50174</v>
      </c>
    </row>
    <row r="40" spans="2:10" x14ac:dyDescent="0.2">
      <c r="B40" s="89" t="str">
        <f>SwapsFromBasis!L30</f>
        <v>obj_005c1#0002</v>
      </c>
      <c r="C40" s="89" t="str">
        <f>SUBSTITUTE(_xll.qlRateHelperQuoteName(B40),"3L","1LBASIS")</f>
        <v>USDAM1LBASIS23Y_Quote</v>
      </c>
      <c r="D40" s="90" t="e">
        <f>_xll.qlRateHelperQuoteValue($B40,Trigger)</f>
        <v>#NUM!</v>
      </c>
      <c r="E40" s="90">
        <f>_xll.qlSwapRateHelperSpread($B40,Trigger)</f>
        <v>1.11573790543981E-3</v>
      </c>
      <c r="F40" s="91" t="b">
        <v>0</v>
      </c>
      <c r="G40" s="91">
        <v>40</v>
      </c>
      <c r="H40" s="91">
        <v>1</v>
      </c>
      <c r="I40" s="92">
        <f>_xll.qlRateHelperEarliestDate($B40,Trigger)</f>
        <v>42138</v>
      </c>
      <c r="J40" s="93">
        <f>_xll.qlRateHelperLatestDate($B40,Trigger)</f>
        <v>50539</v>
      </c>
    </row>
    <row r="41" spans="2:10" x14ac:dyDescent="0.2">
      <c r="B41" s="89" t="str">
        <f>SwapsFromBasis!L31</f>
        <v>obj_005ba#0002</v>
      </c>
      <c r="C41" s="89" t="str">
        <f>SUBSTITUTE(_xll.qlRateHelperQuoteName(B41),"3L","1LBASIS")</f>
        <v>USDAM1LBASIS24Y_Quote</v>
      </c>
      <c r="D41" s="90" t="e">
        <f>_xll.qlRateHelperQuoteValue($B41,Trigger)</f>
        <v>#NUM!</v>
      </c>
      <c r="E41" s="90">
        <f>_xll.qlSwapRateHelperSpread($B41,Trigger)</f>
        <v>1.1179003603909421E-3</v>
      </c>
      <c r="F41" s="91" t="b">
        <v>0</v>
      </c>
      <c r="G41" s="91">
        <v>40</v>
      </c>
      <c r="H41" s="91">
        <v>1</v>
      </c>
      <c r="I41" s="92">
        <f>_xll.qlRateHelperEarliestDate($B41,Trigger)</f>
        <v>42138</v>
      </c>
      <c r="J41" s="93">
        <f>_xll.qlRateHelperLatestDate($B41,Trigger)</f>
        <v>50906</v>
      </c>
    </row>
    <row r="42" spans="2:10" x14ac:dyDescent="0.2">
      <c r="B42" s="89" t="str">
        <f>SwapsFromBasis!L32</f>
        <v>obj_005b3#0002</v>
      </c>
      <c r="C42" s="89" t="str">
        <f>SUBSTITUTE(_xll.qlRateHelperQuoteName(B42),"3L","1LBASIS")</f>
        <v>USDAM1LBASIS25Y_Quote</v>
      </c>
      <c r="D42" s="90">
        <f>_xll.qlRateHelperQuoteValue($B42,Trigger)</f>
        <v>2.7690000000000003E-2</v>
      </c>
      <c r="E42" s="90">
        <f>_xll.qlSwapRateHelperSpread($B42,Trigger)</f>
        <v>1.1200000000000001E-3</v>
      </c>
      <c r="F42" s="91" t="b">
        <v>1</v>
      </c>
      <c r="G42" s="91">
        <v>40</v>
      </c>
      <c r="H42" s="91">
        <v>1</v>
      </c>
      <c r="I42" s="92">
        <f>_xll.qlRateHelperEarliestDate($B42,Trigger)</f>
        <v>42138</v>
      </c>
      <c r="J42" s="93">
        <f>_xll.qlRateHelperLatestDate($B42,Trigger)</f>
        <v>51270</v>
      </c>
    </row>
    <row r="43" spans="2:10" x14ac:dyDescent="0.2">
      <c r="B43" s="89" t="str">
        <f>SwapsFromBasis!L33</f>
        <v>obj_005ac#0002</v>
      </c>
      <c r="C43" s="89" t="str">
        <f>SUBSTITUTE(_xll.qlRateHelperQuoteName(B43),"3L","1LBASIS")</f>
        <v>USDAM1LBASIS26Y_Quote</v>
      </c>
      <c r="D43" s="90" t="e">
        <f>_xll.qlRateHelperQuoteValue($B43,Trigger)</f>
        <v>#NUM!</v>
      </c>
      <c r="E43" s="90">
        <f>_xll.qlSwapRateHelperSpread($B43,Trigger)</f>
        <v>1.1220220945601903E-3</v>
      </c>
      <c r="F43" s="91" t="b">
        <v>0</v>
      </c>
      <c r="G43" s="91">
        <v>40</v>
      </c>
      <c r="H43" s="91">
        <v>1</v>
      </c>
      <c r="I43" s="92">
        <f>_xll.qlRateHelperEarliestDate($B43,Trigger)</f>
        <v>42138</v>
      </c>
      <c r="J43" s="93">
        <f>_xll.qlRateHelperLatestDate($B43,Trigger)</f>
        <v>51635</v>
      </c>
    </row>
    <row r="44" spans="2:10" x14ac:dyDescent="0.2">
      <c r="B44" s="89" t="str">
        <f>SwapsFromBasis!L34</f>
        <v>obj_005ca#0002</v>
      </c>
      <c r="C44" s="89" t="str">
        <f>SUBSTITUTE(_xll.qlRateHelperQuoteName(B44),"3L","1LBASIS")</f>
        <v>USDAM1LBASIS27Y_Quote</v>
      </c>
      <c r="D44" s="90" t="e">
        <f>_xll.qlRateHelperQuoteValue($B44,Trigger)</f>
        <v>#NUM!</v>
      </c>
      <c r="E44" s="90">
        <f>_xll.qlSwapRateHelperSpread($B44,Trigger)</f>
        <v>1.1240294594135867E-3</v>
      </c>
      <c r="F44" s="91" t="b">
        <v>0</v>
      </c>
      <c r="G44" s="91">
        <v>40</v>
      </c>
      <c r="H44" s="91">
        <v>1</v>
      </c>
      <c r="I44" s="92">
        <f>_xll.qlRateHelperEarliestDate($B44,Trigger)</f>
        <v>42138</v>
      </c>
      <c r="J44" s="93">
        <f>_xll.qlRateHelperLatestDate($B44,Trigger)</f>
        <v>52000</v>
      </c>
    </row>
    <row r="45" spans="2:10" x14ac:dyDescent="0.2">
      <c r="B45" s="89" t="str">
        <f>SwapsFromBasis!L35</f>
        <v>obj_005bf#0002</v>
      </c>
      <c r="C45" s="89" t="str">
        <f>SUBSTITUTE(_xll.qlRateHelperQuoteName(B45),"3L","1LBASIS")</f>
        <v>USDAM1LBASIS28Y_Quote</v>
      </c>
      <c r="D45" s="90" t="e">
        <f>_xll.qlRateHelperQuoteValue($B45,Trigger)</f>
        <v>#NUM!</v>
      </c>
      <c r="E45" s="90">
        <f>_xll.qlSwapRateHelperSpread($B45,Trigger)</f>
        <v>1.1260257769868886E-3</v>
      </c>
      <c r="F45" s="91" t="b">
        <v>0</v>
      </c>
      <c r="G45" s="91">
        <v>40</v>
      </c>
      <c r="H45" s="91">
        <v>1</v>
      </c>
      <c r="I45" s="92">
        <f>_xll.qlRateHelperEarliestDate($B45,Trigger)</f>
        <v>42138</v>
      </c>
      <c r="J45" s="93">
        <f>_xll.qlRateHelperLatestDate($B45,Trigger)</f>
        <v>52365</v>
      </c>
    </row>
    <row r="46" spans="2:10" x14ac:dyDescent="0.2">
      <c r="B46" s="89" t="str">
        <f>SwapsFromBasis!L36</f>
        <v>obj_005c6#0002</v>
      </c>
      <c r="C46" s="89" t="str">
        <f>SUBSTITUTE(_xll.qlRateHelperQuoteName(B46),"3L","1LBASIS")</f>
        <v>USDAM1LBASIS29Y_Quote</v>
      </c>
      <c r="D46" s="90" t="e">
        <f>_xll.qlRateHelperQuoteValue($B46,Trigger)</f>
        <v>#NUM!</v>
      </c>
      <c r="E46" s="90">
        <f>_xll.qlSwapRateHelperSpread($B46,Trigger)</f>
        <v>1.1280147297067934E-3</v>
      </c>
      <c r="F46" s="91" t="b">
        <v>0</v>
      </c>
      <c r="G46" s="91">
        <v>40</v>
      </c>
      <c r="H46" s="91">
        <v>1</v>
      </c>
      <c r="I46" s="92">
        <f>_xll.qlRateHelperEarliestDate($B46,Trigger)</f>
        <v>42138</v>
      </c>
      <c r="J46" s="93">
        <f>_xll.qlRateHelperLatestDate($B46,Trigger)</f>
        <v>52733</v>
      </c>
    </row>
    <row r="47" spans="2:10" x14ac:dyDescent="0.2">
      <c r="B47" s="89" t="str">
        <f>SwapsFromBasis!L37</f>
        <v>obj_005c3#0002</v>
      </c>
      <c r="C47" s="89" t="str">
        <f>SUBSTITUTE(_xll.qlRateHelperQuoteName(B47),"3L","1LBASIS")</f>
        <v>USDAM1LBASIS30Y_Quote</v>
      </c>
      <c r="D47" s="90">
        <f>_xll.qlRateHelperQuoteValue($B47,Trigger)</f>
        <v>2.8029999999999999E-2</v>
      </c>
      <c r="E47" s="90">
        <f>_xll.qlSwapRateHelperSpread($B47,Trigger)</f>
        <v>1.1300000000000001E-3</v>
      </c>
      <c r="F47" s="91" t="b">
        <v>1</v>
      </c>
      <c r="G47" s="91">
        <v>40</v>
      </c>
      <c r="H47" s="91">
        <v>1</v>
      </c>
      <c r="I47" s="92">
        <f>_xll.qlRateHelperEarliestDate($B47,Trigger)</f>
        <v>42138</v>
      </c>
      <c r="J47" s="93">
        <f>_xll.qlRateHelperLatestDate($B47,Trigger)</f>
        <v>53097</v>
      </c>
    </row>
    <row r="48" spans="2:10" x14ac:dyDescent="0.2">
      <c r="B48" s="89" t="str">
        <f>SwapsFromBasis!L38</f>
        <v>obj_005c0#0002</v>
      </c>
      <c r="C48" s="89" t="str">
        <f>SUBSTITUTE(_xll.qlRateHelperQuoteName(B48),"3L","1LBASIS")</f>
        <v>USDAM1LBASIS35Y_Quote</v>
      </c>
      <c r="D48" s="90" t="e">
        <f>_xll.qlRateHelperQuoteValue($B48,Trigger)</f>
        <v>#NUM!</v>
      </c>
      <c r="E48" s="90">
        <f>_xll.qlSwapRateHelperSpread($B48,Trigger)</f>
        <v>1.1300000000000001E-3</v>
      </c>
      <c r="F48" s="91" t="b">
        <v>0</v>
      </c>
      <c r="G48" s="91">
        <v>40</v>
      </c>
      <c r="H48" s="91">
        <v>1</v>
      </c>
      <c r="I48" s="92">
        <f>_xll.qlRateHelperEarliestDate($B48,Trigger)</f>
        <v>42138</v>
      </c>
      <c r="J48" s="93">
        <f>_xll.qlRateHelperLatestDate($B48,Trigger)</f>
        <v>54924</v>
      </c>
    </row>
    <row r="49" spans="2:10" x14ac:dyDescent="0.2">
      <c r="B49" s="89" t="str">
        <f>SwapsFromBasis!L39</f>
        <v>obj_005b9#0002</v>
      </c>
      <c r="C49" s="89" t="str">
        <f>SUBSTITUTE(_xll.qlRateHelperQuoteName(B49),"3L","1LBASIS")</f>
        <v>USDAM1LBASIS40Y_Quote</v>
      </c>
      <c r="D49" s="90">
        <f>_xll.qlRateHelperQuoteValue($B49,Trigger)</f>
        <v>2.8229999999999998E-2</v>
      </c>
      <c r="E49" s="90">
        <f>_xll.qlSwapRateHelperSpread($B49,Trigger)</f>
        <v>1.1300000000000001E-3</v>
      </c>
      <c r="F49" s="224" t="b">
        <f>NOT(ISERROR(D49))</f>
        <v>1</v>
      </c>
      <c r="G49" s="91">
        <v>40</v>
      </c>
      <c r="H49" s="91">
        <v>1</v>
      </c>
      <c r="I49" s="92">
        <f>_xll.qlRateHelperEarliestDate($B49,Trigger)</f>
        <v>42138</v>
      </c>
      <c r="J49" s="93">
        <f>_xll.qlRateHelperLatestDate($B49,Trigger)</f>
        <v>56748</v>
      </c>
    </row>
    <row r="50" spans="2:10" x14ac:dyDescent="0.2">
      <c r="B50" s="89" t="str">
        <f>SwapsFromBasis!L40</f>
        <v>obj_005b2#0002</v>
      </c>
      <c r="C50" s="89" t="str">
        <f>SUBSTITUTE(_xll.qlRateHelperQuoteName(B50),"3L","1LBASIS")</f>
        <v>USDAM1LBASIS50Y_Quote</v>
      </c>
      <c r="D50" s="90">
        <f>_xll.qlRateHelperQuoteValue($B50,Trigger)</f>
        <v>2.8029999999999999E-2</v>
      </c>
      <c r="E50" s="90">
        <f>_xll.qlSwapRateHelperSpread($B50,Trigger)</f>
        <v>1.1300000000000001E-3</v>
      </c>
      <c r="F50" s="224" t="b">
        <f>NOT(ISERROR(D50))</f>
        <v>1</v>
      </c>
      <c r="G50" s="91">
        <v>40</v>
      </c>
      <c r="H50" s="91">
        <v>1</v>
      </c>
      <c r="I50" s="92">
        <f>_xll.qlRateHelperEarliestDate($B50,Trigger)</f>
        <v>42138</v>
      </c>
      <c r="J50" s="93">
        <f>_xll.qlRateHelperLatestDate($B50,Trigger)</f>
        <v>60401</v>
      </c>
    </row>
    <row r="51" spans="2:10" x14ac:dyDescent="0.2">
      <c r="B51" s="94" t="str">
        <f>SwapsFromBasis!L41</f>
        <v>obj_005ab#0002</v>
      </c>
      <c r="C51" s="94" t="str">
        <f>SUBSTITUTE(_xll.qlRateHelperQuoteName(B51),"3L","1LBASIS")</f>
        <v>USDAM1LBASIS60Y_Quote</v>
      </c>
      <c r="D51" s="95" t="e">
        <f>_xll.qlRateHelperQuoteValue($B51,Trigger)</f>
        <v>#NUM!</v>
      </c>
      <c r="E51" s="95">
        <f>_xll.qlSwapRateHelperSpread($B51,Trigger)</f>
        <v>1.1300000000000001E-3</v>
      </c>
      <c r="F51" s="96" t="b">
        <v>0</v>
      </c>
      <c r="G51" s="96">
        <v>40</v>
      </c>
      <c r="H51" s="96">
        <v>1</v>
      </c>
      <c r="I51" s="97">
        <f>_xll.qlRateHelperEarliestDate($B51,Trigger)</f>
        <v>42138</v>
      </c>
      <c r="J51" s="98">
        <f>_xll.qlRateHelperLatestDate($B51,Trigger)</f>
        <v>64053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5" t="s">
        <v>56</v>
      </c>
      <c r="B1" s="226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221" t="s">
        <v>53</v>
      </c>
      <c r="B2" s="222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obj_0030f</v>
      </c>
      <c r="E2" s="11" t="str">
        <f>SUBSTITUTE(_xll.qlRateHelperQuoteName(D2),"3L","1LBASIS")</f>
        <v>USDSWD_SYNTH1M_Quote</v>
      </c>
      <c r="F2" s="10">
        <f>_xll.qlRateHelperRate($D2)</f>
        <v>1.951E-3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42138</v>
      </c>
      <c r="I2" s="8">
        <f>_xll.qlRateHelperLatestDate($D2)</f>
        <v>42145</v>
      </c>
      <c r="J2" s="3">
        <v>0.99996206532798249</v>
      </c>
    </row>
    <row r="3" spans="1:10" ht="11.25" customHeight="1" x14ac:dyDescent="0.2">
      <c r="A3" s="13" t="s">
        <v>52</v>
      </c>
      <c r="B3" s="15">
        <v>0</v>
      </c>
      <c r="D3" s="11" t="str">
        <v>obj_0030e</v>
      </c>
      <c r="E3" s="11" t="str">
        <f>SUBSTITUTE(_xll.qlRateHelperQuoteName(D3),"3L","1LBASIS")</f>
        <v>USD1MD_SYNTH1M_Quote</v>
      </c>
      <c r="F3" s="10">
        <f>_xll.qlRateHelperRate($D3)</f>
        <v>1.856E-3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42138</v>
      </c>
      <c r="I3" s="8">
        <f>_xll.qlRateHelperLatestDate($D3)</f>
        <v>42170</v>
      </c>
      <c r="J3" s="3">
        <v>0.99983504943539969</v>
      </c>
    </row>
    <row r="4" spans="1:10" ht="11.25" customHeight="1" x14ac:dyDescent="0.2">
      <c r="A4" s="13" t="s">
        <v>51</v>
      </c>
      <c r="B4" s="15">
        <v>1</v>
      </c>
      <c r="D4" s="11" t="str">
        <v>obj_005a3</v>
      </c>
      <c r="E4" s="11" t="str">
        <f>SUBSTITUTE(_xll.qlRateHelperQuoteName(D4),"3L","1LBASIS")</f>
        <v>USD3X1S_Quote</v>
      </c>
      <c r="F4" s="10">
        <f>_xll.qlRateHelperRate($D4)</f>
        <v>1.9E-3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42138</v>
      </c>
      <c r="I4" s="8">
        <f>_xll.qlRateHelperLatestDate($D4)</f>
        <v>42230</v>
      </c>
      <c r="J4" s="3">
        <v>0.99951466115926735</v>
      </c>
    </row>
    <row r="5" spans="1:10" ht="11.25" customHeight="1" x14ac:dyDescent="0.2">
      <c r="A5" s="13" t="s">
        <v>50</v>
      </c>
      <c r="B5" s="14" t="s">
        <v>49</v>
      </c>
      <c r="D5" s="11" t="str">
        <v>obj_005a8</v>
      </c>
      <c r="E5" s="11" t="str">
        <f>SUBSTITUTE(_xll.qlRateHelperQuoteName(D5),"3L","1LBASIS")</f>
        <v>USD6X1S_Quote</v>
      </c>
      <c r="F5" s="10">
        <f>_xll.qlRateHelperRate($D5)</f>
        <v>2.33E-3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42138</v>
      </c>
      <c r="I5" s="8">
        <f>_xll.qlRateHelperLatestDate($D5)</f>
        <v>42324</v>
      </c>
      <c r="J5" s="3">
        <v>0.99879749968632281</v>
      </c>
    </row>
    <row r="6" spans="1:10" ht="11.25" customHeight="1" thickBot="1" x14ac:dyDescent="0.25">
      <c r="A6" s="223" t="s">
        <v>48</v>
      </c>
      <c r="B6" s="12" t="str">
        <f>_xll.ohRangeRetrieveError(Selected!D2)</f>
        <v/>
      </c>
      <c r="D6" s="11" t="str">
        <v>obj_005a5</v>
      </c>
      <c r="E6" s="11" t="str">
        <f>SUBSTITUTE(_xll.qlRateHelperQuoteName(D6),"3L","1LBASIS")</f>
        <v>USD9X1S_Quote</v>
      </c>
      <c r="F6" s="10">
        <f>_xll.qlRateHelperRate($D6)</f>
        <v>2.9900000000000005E-3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42138</v>
      </c>
      <c r="I6" s="8">
        <f>_xll.qlRateHelperLatestDate($D6)</f>
        <v>42415</v>
      </c>
      <c r="J6" s="3">
        <v>0.99770427930268146</v>
      </c>
    </row>
    <row r="7" spans="1:10" ht="11.25" customHeight="1" x14ac:dyDescent="0.2">
      <c r="D7" s="11" t="str">
        <v>obj_005a0</v>
      </c>
      <c r="E7" s="11" t="str">
        <f>SUBSTITUTE(_xll.qlRateHelperQuoteName(D7),"3L","1LBASIS")</f>
        <v>USD12X1S_Quote</v>
      </c>
      <c r="F7" s="10">
        <f>_xll.qlRateHelperRate($D7)</f>
        <v>3.7599999999999999E-3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42138</v>
      </c>
      <c r="I7" s="8">
        <f>_xll.qlRateHelperLatestDate($D7)</f>
        <v>42506</v>
      </c>
      <c r="J7" s="3">
        <v>0.99617041617769642</v>
      </c>
    </row>
    <row r="8" spans="1:10" ht="11.25" customHeight="1" x14ac:dyDescent="0.2">
      <c r="D8" s="11" t="str">
        <v>obj_005af</v>
      </c>
      <c r="E8" s="11" t="str">
        <f>SUBSTITUTE(_xll.qlRateHelperQuoteName(D8),"3L","1LBASIS")</f>
        <v>USDAM1LBASIS2Y_Quote</v>
      </c>
      <c r="F8" s="10">
        <f>_xll.qlRateHelperRate($D8)</f>
        <v>8.7899999999999992E-3</v>
      </c>
      <c r="G8" s="10">
        <f>IF(ISERROR(_xll.qlSwapRateHelperSpread($D8)),IF(ISERROR(_xll.qlFuturesRateHelperConvexityAdjustment($D8)),"--",_xll.qlFuturesRateHelperConvexityAdjustment($D8)),_xll.qlSwapRateHelperSpread($D8))</f>
        <v>1.15E-3</v>
      </c>
      <c r="H8" s="9">
        <f>_xll.qlRateHelperEarliestDate($D8)</f>
        <v>42138</v>
      </c>
      <c r="I8" s="8">
        <f>_xll.qlRateHelperLatestDate($D8)</f>
        <v>42870</v>
      </c>
      <c r="J8" s="3">
        <v>0.98462132251596446</v>
      </c>
    </row>
    <row r="9" spans="1:10" ht="11.25" customHeight="1" x14ac:dyDescent="0.2">
      <c r="D9" s="11" t="str">
        <v>obj_005cd</v>
      </c>
      <c r="E9" s="11" t="str">
        <f>SUBSTITUTE(_xll.qlRateHelperQuoteName(D9),"3L","1LBASIS")</f>
        <v>USDAM1LBASIS3Y_Quote</v>
      </c>
      <c r="F9" s="10">
        <f>_xll.qlRateHelperRate($D9)</f>
        <v>1.24E-2</v>
      </c>
      <c r="G9" s="10">
        <f>IF(ISERROR(_xll.qlSwapRateHelperSpread($D9)),IF(ISERROR(_xll.qlFuturesRateHelperConvexityAdjustment($D9)),"--",_xll.qlFuturesRateHelperConvexityAdjustment($D9)),_xll.qlSwapRateHelperSpread($D9))</f>
        <v>1.23E-3</v>
      </c>
      <c r="H9" s="9">
        <f>_xll.qlRateHelperEarliestDate($D9)</f>
        <v>42138</v>
      </c>
      <c r="I9" s="8">
        <f>_xll.qlRateHelperLatestDate($D9)</f>
        <v>43234</v>
      </c>
      <c r="J9" s="3">
        <v>0.96660857658643218</v>
      </c>
    </row>
    <row r="10" spans="1:10" ht="11.25" customHeight="1" x14ac:dyDescent="0.2">
      <c r="D10" s="11" t="str">
        <v>obj_005ce</v>
      </c>
      <c r="E10" s="11" t="str">
        <f>SUBSTITUTE(_xll.qlRateHelperQuoteName(D10),"3L","1LBASIS")</f>
        <v>USDAM1LBASIS4Y_Quote</v>
      </c>
      <c r="F10" s="10">
        <f>_xll.qlRateHelperRate($D10)</f>
        <v>1.5190000000000002E-2</v>
      </c>
      <c r="G10" s="10">
        <f>IF(ISERROR(_xll.qlSwapRateHelperSpread($D10)),IF(ISERROR(_xll.qlFuturesRateHelperConvexityAdjustment($D10)),"--",_xll.qlFuturesRateHelperConvexityAdjustment($D10)),_xll.qlSwapRateHelperSpread($D10))</f>
        <v>1.2800000000000001E-3</v>
      </c>
      <c r="H10" s="9">
        <f>_xll.qlRateHelperEarliestDate($D10)</f>
        <v>42138</v>
      </c>
      <c r="I10" s="8">
        <f>_xll.qlRateHelperLatestDate($D10)</f>
        <v>43599</v>
      </c>
      <c r="J10" s="3">
        <v>0.94510469733313263</v>
      </c>
    </row>
    <row r="11" spans="1:10" ht="11.25" customHeight="1" x14ac:dyDescent="0.2">
      <c r="D11" s="11" t="str">
        <v>obj_005c9</v>
      </c>
      <c r="E11" s="11" t="str">
        <f>SUBSTITUTE(_xll.qlRateHelperQuoteName(D11),"3L","1LBASIS")</f>
        <v>USDAM1LBASIS5Y_Quote</v>
      </c>
      <c r="F11" s="10">
        <f>_xll.qlRateHelperRate($D11)</f>
        <v>1.7390000000000003E-2</v>
      </c>
      <c r="G11" s="10">
        <f>IF(ISERROR(_xll.qlSwapRateHelperSpread($D11)),IF(ISERROR(_xll.qlFuturesRateHelperConvexityAdjustment($D11)),"--",_xll.qlFuturesRateHelperConvexityAdjustment($D11)),_xll.qlSwapRateHelperSpread($D11))</f>
        <v>1.2999999999999999E-3</v>
      </c>
      <c r="H11" s="9">
        <f>_xll.qlRateHelperEarliestDate($D11)</f>
        <v>42138</v>
      </c>
      <c r="I11" s="8">
        <f>_xll.qlRateHelperLatestDate($D11)</f>
        <v>43965</v>
      </c>
      <c r="J11" s="3">
        <v>0.92144726648152675</v>
      </c>
    </row>
    <row r="12" spans="1:10" ht="11.25" customHeight="1" x14ac:dyDescent="0.2">
      <c r="D12" s="11" t="str">
        <v>obj_005c5</v>
      </c>
      <c r="E12" s="11" t="str">
        <f>SUBSTITUTE(_xll.qlRateHelperQuoteName(D12),"3L","1LBASIS")</f>
        <v>USDAM1LBASIS6Y_Quote</v>
      </c>
      <c r="F12" s="10">
        <f>_xll.qlRateHelperRate($D12)</f>
        <v>1.915E-2</v>
      </c>
      <c r="G12" s="10">
        <f>IF(ISERROR(_xll.qlSwapRateHelperSpread($D12)),IF(ISERROR(_xll.qlFuturesRateHelperConvexityAdjustment($D12)),"--",_xll.qlFuturesRateHelperConvexityAdjustment($D12)),_xll.qlSwapRateHelperSpread($D12))</f>
        <v>1.2999999999999999E-3</v>
      </c>
      <c r="H12" s="9">
        <f>_xll.qlRateHelperEarliestDate($D12)</f>
        <v>42138</v>
      </c>
      <c r="I12" s="8">
        <f>_xll.qlRateHelperLatestDate($D12)</f>
        <v>44330</v>
      </c>
      <c r="J12" s="3">
        <v>0.89664817990245793</v>
      </c>
    </row>
    <row r="13" spans="1:10" ht="11.25" customHeight="1" x14ac:dyDescent="0.2">
      <c r="D13" s="11" t="str">
        <v>obj_005b7</v>
      </c>
      <c r="E13" s="11" t="str">
        <f>SUBSTITUTE(_xll.qlRateHelperQuoteName(D13),"3L","1LBASIS")</f>
        <v>USDAM1LBASIS7Y_Quote</v>
      </c>
      <c r="F13" s="10">
        <f>_xll.qlRateHelperRate($D13)</f>
        <v>2.0569999999999998E-2</v>
      </c>
      <c r="G13" s="10">
        <f>IF(ISERROR(_xll.qlSwapRateHelperSpread($D13)),IF(ISERROR(_xll.qlFuturesRateHelperConvexityAdjustment($D13)),"--",_xll.qlFuturesRateHelperConvexityAdjustment($D13)),_xll.qlSwapRateHelperSpread($D13))</f>
        <v>1.2900000000000001E-3</v>
      </c>
      <c r="H13" s="9">
        <f>_xll.qlRateHelperEarliestDate($D13)</f>
        <v>42138</v>
      </c>
      <c r="I13" s="8">
        <f>_xll.qlRateHelperLatestDate($D13)</f>
        <v>44697</v>
      </c>
      <c r="J13" s="3">
        <v>0.87126968089651657</v>
      </c>
    </row>
    <row r="14" spans="1:10" ht="11.25" customHeight="1" x14ac:dyDescent="0.2">
      <c r="D14" s="11" t="str">
        <v>obj_005bc</v>
      </c>
      <c r="E14" s="11" t="str">
        <f>SUBSTITUTE(_xll.qlRateHelperQuoteName(D14),"3L","1LBASIS")</f>
        <v>USDAM1LBASIS8Y_Quote</v>
      </c>
      <c r="F14" s="10">
        <f>_xll.qlRateHelperRate($D14)</f>
        <v>2.1700000000000001E-2</v>
      </c>
      <c r="G14" s="10">
        <f>IF(ISERROR(_xll.qlSwapRateHelperSpread($D14)),IF(ISERROR(_xll.qlFuturesRateHelperConvexityAdjustment($D14)),"--",_xll.qlFuturesRateHelperConvexityAdjustment($D14)),_xll.qlSwapRateHelperSpread($D14))</f>
        <v>1.2600000000000001E-3</v>
      </c>
      <c r="H14" s="9">
        <f>_xll.qlRateHelperEarliestDate($D14)</f>
        <v>42138</v>
      </c>
      <c r="I14" s="8">
        <f>_xll.qlRateHelperLatestDate($D14)</f>
        <v>45061</v>
      </c>
      <c r="J14" s="3">
        <v>0.84606376557978158</v>
      </c>
    </row>
    <row r="15" spans="1:10" ht="11.25" customHeight="1" x14ac:dyDescent="0.2">
      <c r="D15" s="11" t="str">
        <v>obj_005b5</v>
      </c>
      <c r="E15" s="11" t="str">
        <f>SUBSTITUTE(_xll.qlRateHelperQuoteName(D15),"3L","1LBASIS")</f>
        <v>USDAM1LBASIS9Y_Quote</v>
      </c>
      <c r="F15" s="10">
        <f>_xll.qlRateHelperRate($D15)</f>
        <v>2.2629999999999997E-2</v>
      </c>
      <c r="G15" s="10">
        <f>IF(ISERROR(_xll.qlSwapRateHelperSpread($D15)),IF(ISERROR(_xll.qlFuturesRateHelperConvexityAdjustment($D15)),"--",_xll.qlFuturesRateHelperConvexityAdjustment($D15)),_xll.qlSwapRateHelperSpread($D15))</f>
        <v>1.2200000000000002E-3</v>
      </c>
      <c r="H15" s="9">
        <f>_xll.qlRateHelperEarliestDate($D15)</f>
        <v>42138</v>
      </c>
      <c r="I15" s="8">
        <f>_xll.qlRateHelperLatestDate($D15)</f>
        <v>45426</v>
      </c>
      <c r="J15" s="3">
        <v>0.82096465779115912</v>
      </c>
    </row>
    <row r="16" spans="1:10" ht="11.25" customHeight="1" x14ac:dyDescent="0.2">
      <c r="D16" s="11" t="str">
        <v>obj_005ae</v>
      </c>
      <c r="E16" s="11" t="str">
        <f>SUBSTITUTE(_xll.qlRateHelperQuoteName(D16),"3L","1LBASIS")</f>
        <v>USDAM1LBASIS10Y_Quote</v>
      </c>
      <c r="F16" s="10">
        <f>_xll.qlRateHelperRate($D16)</f>
        <v>2.3390000000000001E-2</v>
      </c>
      <c r="G16" s="10">
        <f>IF(ISERROR(_xll.qlSwapRateHelperSpread($D16)),IF(ISERROR(_xll.qlFuturesRateHelperConvexityAdjustment($D16)),"--",_xll.qlFuturesRateHelperConvexityAdjustment($D16)),_xll.qlSwapRateHelperSpread($D16))</f>
        <v>1.1900000000000001E-3</v>
      </c>
      <c r="H16" s="9">
        <f>_xll.qlRateHelperEarliestDate($D16)</f>
        <v>42138</v>
      </c>
      <c r="I16" s="8">
        <f>_xll.qlRateHelperLatestDate($D16)</f>
        <v>45791</v>
      </c>
      <c r="J16" s="3">
        <v>0.79645473605844519</v>
      </c>
    </row>
    <row r="17" spans="1:10" ht="11.25" customHeight="1" x14ac:dyDescent="0.2">
      <c r="D17" s="11" t="str">
        <v>obj_005b1</v>
      </c>
      <c r="E17" s="11" t="str">
        <f>SUBSTITUTE(_xll.qlRateHelperQuoteName(D17),"3L","1LBASIS")</f>
        <v>USDAM1LBASIS12Y_Quote</v>
      </c>
      <c r="F17" s="10">
        <f>_xll.qlRateHelperRate($D17)</f>
        <v>2.4660000000000001E-2</v>
      </c>
      <c r="G17" s="10">
        <f>IF(ISERROR(_xll.qlSwapRateHelperSpread($D17)),IF(ISERROR(_xll.qlFuturesRateHelperConvexityAdjustment($D17)),"--",_xll.qlFuturesRateHelperConvexityAdjustment($D17)),_xll.qlSwapRateHelperSpread($D17))</f>
        <v>1.14E-3</v>
      </c>
      <c r="H17" s="9">
        <f>_xll.qlRateHelperEarliestDate($D17)</f>
        <v>42138</v>
      </c>
      <c r="I17" s="8">
        <f>_xll.qlRateHelperLatestDate($D17)</f>
        <v>46521</v>
      </c>
      <c r="J17" s="3">
        <v>0.74816191751128003</v>
      </c>
    </row>
    <row r="18" spans="1:10" ht="11.25" customHeight="1" x14ac:dyDescent="0.2">
      <c r="D18" s="11" t="str">
        <v>obj_005c2</v>
      </c>
      <c r="E18" s="11" t="str">
        <f>SUBSTITUTE(_xll.qlRateHelperQuoteName(D18),"3L","1LBASIS")</f>
        <v>USDAM1LBASIS15Y_Quote</v>
      </c>
      <c r="F18" s="10">
        <f>_xll.qlRateHelperRate($D18)</f>
        <v>2.5920000000000002E-2</v>
      </c>
      <c r="G18" s="10">
        <f>IF(ISERROR(_xll.qlSwapRateHelperSpread($D18)),IF(ISERROR(_xll.qlFuturesRateHelperConvexityAdjustment($D18)),"--",_xll.qlFuturesRateHelperConvexityAdjustment($D18)),_xll.qlSwapRateHelperSpread($D18))</f>
        <v>1.1100000000000001E-3</v>
      </c>
      <c r="H18" s="9">
        <f>_xll.qlRateHelperEarliestDate($D18)</f>
        <v>42138</v>
      </c>
      <c r="I18" s="8">
        <f>_xll.qlRateHelperLatestDate($D18)</f>
        <v>47617</v>
      </c>
      <c r="J18" s="3">
        <v>0.68135216465123616</v>
      </c>
    </row>
    <row r="19" spans="1:10" ht="11.25" customHeight="1" x14ac:dyDescent="0.2">
      <c r="D19" s="11" t="str">
        <v>obj_005b8</v>
      </c>
      <c r="E19" s="11" t="str">
        <f>SUBSTITUTE(_xll.qlRateHelperQuoteName(D19),"3L","1LBASIS")</f>
        <v>USDAM1LBASIS20Y_Quote</v>
      </c>
      <c r="F19" s="10">
        <f>_xll.qlRateHelperRate($D19)</f>
        <v>2.7130000000000001E-2</v>
      </c>
      <c r="G19" s="10">
        <f>IF(ISERROR(_xll.qlSwapRateHelperSpread($D19)),IF(ISERROR(_xll.qlFuturesRateHelperConvexityAdjustment($D19)),"--",_xll.qlFuturesRateHelperConvexityAdjustment($D19)),_xll.qlSwapRateHelperSpread($D19))</f>
        <v>1.1100000000000001E-3</v>
      </c>
      <c r="H19" s="9">
        <f>_xll.qlRateHelperEarliestDate($D19)</f>
        <v>42138</v>
      </c>
      <c r="I19" s="8">
        <f>_xll.qlRateHelperLatestDate($D19)</f>
        <v>49443</v>
      </c>
      <c r="J19" s="3">
        <v>0.58394235948576823</v>
      </c>
    </row>
    <row r="20" spans="1:10" ht="11.25" customHeight="1" x14ac:dyDescent="0.2">
      <c r="D20" s="11" t="str">
        <v>obj_005b3</v>
      </c>
      <c r="E20" s="11" t="str">
        <f>SUBSTITUTE(_xll.qlRateHelperQuoteName(D20),"3L","1LBASIS")</f>
        <v>USDAM1LBASIS25Y_Quote</v>
      </c>
      <c r="F20" s="10">
        <f>_xll.qlRateHelperRate($D20)</f>
        <v>2.7690000000000003E-2</v>
      </c>
      <c r="G20" s="10">
        <f>IF(ISERROR(_xll.qlSwapRateHelperSpread($D20)),IF(ISERROR(_xll.qlFuturesRateHelperConvexityAdjustment($D20)),"--",_xll.qlFuturesRateHelperConvexityAdjustment($D20)),_xll.qlSwapRateHelperSpread($D20))</f>
        <v>1.1200000000000001E-3</v>
      </c>
      <c r="H20" s="9">
        <f>_xll.qlRateHelperEarliestDate($D20)</f>
        <v>42138</v>
      </c>
      <c r="I20" s="8">
        <f>_xll.qlRateHelperLatestDate($D20)</f>
        <v>51270</v>
      </c>
      <c r="J20" s="3">
        <v>0.50321546820190699</v>
      </c>
    </row>
    <row r="21" spans="1:10" ht="11.25" customHeight="1" x14ac:dyDescent="0.2">
      <c r="D21" s="11" t="str">
        <v>obj_005c3</v>
      </c>
      <c r="E21" s="11" t="str">
        <f>SUBSTITUTE(_xll.qlRateHelperQuoteName(D21),"3L","1LBASIS")</f>
        <v>USDAM1LBASIS30Y_Quote</v>
      </c>
      <c r="F21" s="10">
        <f>_xll.qlRateHelperRate($D21)</f>
        <v>2.8029999999999999E-2</v>
      </c>
      <c r="G21" s="10">
        <f>IF(ISERROR(_xll.qlSwapRateHelperSpread($D21)),IF(ISERROR(_xll.qlFuturesRateHelperConvexityAdjustment($D21)),"--",_xll.qlFuturesRateHelperConvexityAdjustment($D21)),_xll.qlSwapRateHelperSpread($D21))</f>
        <v>1.1300000000000001E-3</v>
      </c>
      <c r="H21" s="9">
        <f>_xll.qlRateHelperEarliestDate($D21)</f>
        <v>42138</v>
      </c>
      <c r="I21" s="8">
        <f>_xll.qlRateHelperLatestDate($D21)</f>
        <v>53097</v>
      </c>
      <c r="J21" s="3">
        <v>0.43421175665361811</v>
      </c>
    </row>
    <row r="22" spans="1:10" ht="11.25" customHeight="1" x14ac:dyDescent="0.25">
      <c r="A22"/>
      <c r="B22"/>
      <c r="D22" s="11" t="str">
        <v>obj_005b9</v>
      </c>
      <c r="E22" s="11" t="str">
        <f>SUBSTITUTE(_xll.qlRateHelperQuoteName(D22),"3L","1LBASIS")</f>
        <v>USDAM1LBASIS40Y_Quote</v>
      </c>
      <c r="F22" s="10">
        <f>_xll.qlRateHelperRate($D22)</f>
        <v>2.8229999999999998E-2</v>
      </c>
      <c r="G22" s="10">
        <f>IF(ISERROR(_xll.qlSwapRateHelperSpread($D22)),IF(ISERROR(_xll.qlFuturesRateHelperConvexityAdjustment($D22)),"--",_xll.qlFuturesRateHelperConvexityAdjustment($D22)),_xll.qlSwapRateHelperSpread($D22))</f>
        <v>1.1300000000000001E-3</v>
      </c>
      <c r="H22" s="9">
        <f>_xll.qlRateHelperEarliestDate($D22)</f>
        <v>42138</v>
      </c>
      <c r="I22" s="8">
        <f>_xll.qlRateHelperLatestDate($D22)</f>
        <v>56748</v>
      </c>
      <c r="J22" s="3">
        <v>0.32771753306944978</v>
      </c>
    </row>
    <row r="23" spans="1:10" ht="11.25" customHeight="1" x14ac:dyDescent="0.2">
      <c r="D23" s="11" t="str">
        <v>obj_005b2</v>
      </c>
      <c r="E23" s="11" t="str">
        <f>SUBSTITUTE(_xll.qlRateHelperQuoteName(D23),"3L","1LBASIS")</f>
        <v>USDAM1LBASIS50Y_Quote</v>
      </c>
      <c r="F23" s="10">
        <f>_xll.qlRateHelperRate($D23)</f>
        <v>2.8029999999999999E-2</v>
      </c>
      <c r="G23" s="10">
        <f>IF(ISERROR(_xll.qlSwapRateHelperSpread($D23)),IF(ISERROR(_xll.qlFuturesRateHelperConvexityAdjustment($D23)),"--",_xll.qlFuturesRateHelperConvexityAdjustment($D23)),_xll.qlSwapRateHelperSpread($D23))</f>
        <v>1.1300000000000001E-3</v>
      </c>
      <c r="H23" s="9">
        <f>_xll.qlRateHelperEarliestDate($D23)</f>
        <v>42138</v>
      </c>
      <c r="I23" s="8">
        <f>_xll.qlRateHelperLatestDate($D23)</f>
        <v>60401</v>
      </c>
      <c r="J23" s="3">
        <v>0.2545984071511696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obj_0030c#0002</v>
      </c>
      <c r="D3" s="117" t="str">
        <f>Currency&amp;B3&amp;"D_SYNTH"&amp;$C$1&amp;QuoteSuffix</f>
        <v>USDSWD_SYNTH1M_Quote</v>
      </c>
      <c r="E3" s="118" t="str">
        <f>_xll.qlDepositRateHelper(,D3,C3,Permanent,Trigger,ObjectOverwrite)</f>
        <v>obj_0030f#0002</v>
      </c>
      <c r="F3" s="119" t="str">
        <f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obj_0030d#0002</v>
      </c>
      <c r="D4" s="117" t="str">
        <f>Currency&amp;B4&amp;"D_SYNTH"&amp;$C$1&amp;QuoteSuffix</f>
        <v>USD1MD_SYNTH1M_Quote</v>
      </c>
      <c r="E4" s="118" t="str">
        <f>_xll.qlDepositRateHelper(,D4,C4,Permanent,Trigger,ObjectOverwrite)</f>
        <v>obj_0030e#0002</v>
      </c>
      <c r="F4" s="119" t="str">
        <f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6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3" width="6" style="1" customWidth="1"/>
    <col min="4" max="4" width="7" style="1" bestFit="1" customWidth="1"/>
    <col min="5" max="5" width="3" style="1" bestFit="1" customWidth="1"/>
    <col min="6" max="6" width="4" style="1" bestFit="1" customWidth="1"/>
    <col min="7" max="7" width="7" style="1" bestFit="1" customWidth="1"/>
    <col min="8" max="8" width="19.28515625" style="1" bestFit="1" customWidth="1"/>
    <col min="9" max="10" width="11" style="1" bestFit="1" customWidth="1"/>
    <col min="11" max="11" width="22" style="1" bestFit="1" customWidth="1"/>
    <col min="12" max="12" width="15.140625" style="2" bestFit="1" customWidth="1"/>
    <col min="13" max="13" width="21" style="1" customWidth="1"/>
    <col min="14" max="14" width="2.7109375" style="1" customWidth="1"/>
    <col min="15" max="16384" width="9.140625" style="1"/>
  </cols>
  <sheetData>
    <row r="1" spans="1:14" ht="12" x14ac:dyDescent="0.2">
      <c r="A1" s="110"/>
      <c r="B1" s="107"/>
      <c r="C1" s="107"/>
      <c r="D1" s="107"/>
      <c r="E1" s="107"/>
      <c r="F1" s="107"/>
      <c r="G1" s="107"/>
      <c r="H1" s="107"/>
      <c r="I1" s="91" t="s">
        <v>89</v>
      </c>
      <c r="J1" s="91" t="str">
        <f>Currency&amp;"_YC"&amp;$I$1&amp;"RH"</f>
        <v>USD_YC1MRH</v>
      </c>
      <c r="K1" s="124" t="str">
        <f>J1&amp;"_Swaps.xml"</f>
        <v>USD_YC1MRH_Swaps.xml</v>
      </c>
      <c r="L1" s="91"/>
      <c r="M1" s="107"/>
      <c r="N1" s="123"/>
    </row>
    <row r="2" spans="1:14" ht="36" customHeight="1" x14ac:dyDescent="0.2">
      <c r="A2" s="110"/>
      <c r="B2" s="111" t="s">
        <v>168</v>
      </c>
      <c r="C2" s="111" t="s">
        <v>120</v>
      </c>
      <c r="D2" s="111" t="s">
        <v>119</v>
      </c>
      <c r="E2" s="111"/>
      <c r="F2" s="111"/>
      <c r="G2" s="111" t="s">
        <v>118</v>
      </c>
      <c r="H2" s="111" t="s">
        <v>117</v>
      </c>
      <c r="I2" s="111" t="s">
        <v>116</v>
      </c>
      <c r="J2" s="111" t="s">
        <v>115</v>
      </c>
      <c r="K2" s="111" t="s">
        <v>91</v>
      </c>
      <c r="L2" s="125" t="str">
        <f>IF(Serialize,_xll.ohObjectSave(L3:L15,SerializationPath&amp;K1,FileOverwrite,Serialize),"---")</f>
        <v>---</v>
      </c>
      <c r="M2" s="114" t="str">
        <f>_xll.ohRangeRetrieveError(L2)</f>
        <v/>
      </c>
      <c r="N2" s="123"/>
    </row>
    <row r="3" spans="1:14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26" t="str">
        <f>IF(UPPER(FamilyName)="IBOR",_xll.qlEuribor(,$I$1,,Permanent,Trigger,ObjectOverwrite),IF(UPPER(FamilyName)="LIBOR",_xll.qlLibor(,Currency,$I$1,,Permanent,Trigger,ObjectOverwrite),"--"))</f>
        <v>obj_00310#0003</v>
      </c>
      <c r="M3" s="127" t="str">
        <f>_xll.ohRangeRetrieveError(L3)</f>
        <v/>
      </c>
      <c r="N3" s="123"/>
    </row>
    <row r="4" spans="1:14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23"/>
    </row>
    <row r="5" spans="1:14" x14ac:dyDescent="0.2">
      <c r="A5" s="110"/>
      <c r="B5" s="128"/>
      <c r="C5" s="128" t="s">
        <v>104</v>
      </c>
      <c r="D5" s="128" t="s">
        <v>114</v>
      </c>
      <c r="E5" s="128">
        <v>2</v>
      </c>
      <c r="F5" s="128" t="s">
        <v>37</v>
      </c>
      <c r="G5" s="129" t="s">
        <v>102</v>
      </c>
      <c r="H5" s="129" t="s">
        <v>101</v>
      </c>
      <c r="I5" s="129" t="str">
        <f t="shared" ref="I5:I15" si="0">MoneyMarketDayCounter</f>
        <v>Actual/360</v>
      </c>
      <c r="J5" s="130">
        <v>0</v>
      </c>
      <c r="K5" s="131" t="str">
        <f t="shared" ref="K5:K15" si="1">Currency&amp;$E5&amp;$F5&amp;QuoteSuffix</f>
        <v>USD2X1S_Quote</v>
      </c>
      <c r="L5" s="132" t="str">
        <f>_xll.qlSwapRateHelper2(,$K5,,$D5,Calendar,$G5,$H5,$I5,$L$3,$J5,C5,Discounting,Permanent,,ObjectOverwrite)</f>
        <v>obj_0059f#0002</v>
      </c>
      <c r="M5" s="114" t="str">
        <f>_xll.ohRangeRetrieveError(L5)</f>
        <v/>
      </c>
      <c r="N5" s="123"/>
    </row>
    <row r="6" spans="1:14" x14ac:dyDescent="0.2">
      <c r="A6" s="110"/>
      <c r="B6" s="128"/>
      <c r="C6" s="128" t="s">
        <v>104</v>
      </c>
      <c r="D6" s="128" t="s">
        <v>113</v>
      </c>
      <c r="E6" s="128">
        <v>3</v>
      </c>
      <c r="F6" s="128" t="s">
        <v>37</v>
      </c>
      <c r="G6" s="129" t="s">
        <v>102</v>
      </c>
      <c r="H6" s="129" t="s">
        <v>101</v>
      </c>
      <c r="I6" s="133" t="str">
        <f t="shared" si="0"/>
        <v>Actual/360</v>
      </c>
      <c r="J6" s="130">
        <v>0</v>
      </c>
      <c r="K6" s="131" t="str">
        <f t="shared" si="1"/>
        <v>USD3X1S_Quote</v>
      </c>
      <c r="L6" s="132" t="str">
        <f>_xll.qlSwapRateHelper2(,$K6,,$D6,Calendar,$G6,$H6,$I6,$L$3,$J6,C6,Discounting,Permanent,,ObjectOverwrite)</f>
        <v>obj_005a3#0002</v>
      </c>
      <c r="M6" s="114" t="str">
        <f>_xll.ohRangeRetrieveError(L6)</f>
        <v/>
      </c>
      <c r="N6" s="123"/>
    </row>
    <row r="7" spans="1:14" x14ac:dyDescent="0.2">
      <c r="A7" s="110"/>
      <c r="B7" s="128"/>
      <c r="C7" s="128" t="s">
        <v>104</v>
      </c>
      <c r="D7" s="128" t="s">
        <v>112</v>
      </c>
      <c r="E7" s="128">
        <v>4</v>
      </c>
      <c r="F7" s="128" t="s">
        <v>37</v>
      </c>
      <c r="G7" s="129" t="s">
        <v>102</v>
      </c>
      <c r="H7" s="129" t="s">
        <v>101</v>
      </c>
      <c r="I7" s="133" t="str">
        <f t="shared" si="0"/>
        <v>Actual/360</v>
      </c>
      <c r="J7" s="130">
        <v>0</v>
      </c>
      <c r="K7" s="131" t="str">
        <f t="shared" si="1"/>
        <v>USD4X1S_Quote</v>
      </c>
      <c r="L7" s="132" t="str">
        <f>_xll.qlSwapRateHelper2(,$K7,,$D7,Calendar,$G7,$H7,$I7,$L$3,$J7,C7,Discounting,Permanent,,ObjectOverwrite)</f>
        <v>obj_005a1#0002</v>
      </c>
      <c r="M7" s="114" t="str">
        <f>_xll.ohRangeRetrieveError(L7)</f>
        <v/>
      </c>
      <c r="N7" s="123"/>
    </row>
    <row r="8" spans="1:14" x14ac:dyDescent="0.2">
      <c r="A8" s="110"/>
      <c r="B8" s="128"/>
      <c r="C8" s="128" t="s">
        <v>104</v>
      </c>
      <c r="D8" s="128" t="s">
        <v>111</v>
      </c>
      <c r="E8" s="128">
        <v>5</v>
      </c>
      <c r="F8" s="128" t="s">
        <v>37</v>
      </c>
      <c r="G8" s="129" t="s">
        <v>102</v>
      </c>
      <c r="H8" s="129" t="s">
        <v>101</v>
      </c>
      <c r="I8" s="133" t="str">
        <f t="shared" si="0"/>
        <v>Actual/360</v>
      </c>
      <c r="J8" s="130">
        <v>0</v>
      </c>
      <c r="K8" s="131" t="str">
        <f t="shared" si="1"/>
        <v>USD5X1S_Quote</v>
      </c>
      <c r="L8" s="132" t="str">
        <f>_xll.qlSwapRateHelper2(,$K8,,$D8,Calendar,$G8,$H8,$I8,$L$3,$J8,C8,Discounting,Permanent,,ObjectOverwrite)</f>
        <v>obj_005a9#0002</v>
      </c>
      <c r="M8" s="114" t="str">
        <f>_xll.ohRangeRetrieveError(L8)</f>
        <v/>
      </c>
      <c r="N8" s="123"/>
    </row>
    <row r="9" spans="1:14" x14ac:dyDescent="0.2">
      <c r="A9" s="110"/>
      <c r="B9" s="128"/>
      <c r="C9" s="128" t="s">
        <v>104</v>
      </c>
      <c r="D9" s="128" t="s">
        <v>110</v>
      </c>
      <c r="E9" s="128">
        <v>6</v>
      </c>
      <c r="F9" s="128" t="s">
        <v>37</v>
      </c>
      <c r="G9" s="129" t="s">
        <v>102</v>
      </c>
      <c r="H9" s="129" t="s">
        <v>101</v>
      </c>
      <c r="I9" s="133" t="str">
        <f t="shared" si="0"/>
        <v>Actual/360</v>
      </c>
      <c r="J9" s="130">
        <v>0</v>
      </c>
      <c r="K9" s="131" t="str">
        <f t="shared" si="1"/>
        <v>USD6X1S_Quote</v>
      </c>
      <c r="L9" s="132" t="str">
        <f>_xll.qlSwapRateHelper2(,$K9,,$D9,Calendar,$G9,$H9,$I9,$L$3,$J9,C9,Discounting,Permanent,,ObjectOverwrite)</f>
        <v>obj_005a8#0002</v>
      </c>
      <c r="M9" s="114" t="str">
        <f>_xll.ohRangeRetrieveError(L9)</f>
        <v/>
      </c>
      <c r="N9" s="123"/>
    </row>
    <row r="10" spans="1:14" x14ac:dyDescent="0.2">
      <c r="A10" s="110"/>
      <c r="B10" s="128"/>
      <c r="C10" s="128" t="s">
        <v>104</v>
      </c>
      <c r="D10" s="128" t="s">
        <v>109</v>
      </c>
      <c r="E10" s="128">
        <v>7</v>
      </c>
      <c r="F10" s="128" t="s">
        <v>37</v>
      </c>
      <c r="G10" s="129" t="s">
        <v>102</v>
      </c>
      <c r="H10" s="129" t="s">
        <v>101</v>
      </c>
      <c r="I10" s="133" t="str">
        <f t="shared" si="0"/>
        <v>Actual/360</v>
      </c>
      <c r="J10" s="130">
        <v>0</v>
      </c>
      <c r="K10" s="131" t="str">
        <f t="shared" si="1"/>
        <v>USD7X1S_Quote</v>
      </c>
      <c r="L10" s="132" t="str">
        <f>_xll.qlSwapRateHelper2(,$K10,,$D10,Calendar,$G10,$H10,$I10,$L$3,$J10,C10,Discounting,Permanent,,ObjectOverwrite)</f>
        <v>obj_005a7#0002</v>
      </c>
      <c r="M10" s="114" t="str">
        <f>_xll.ohRangeRetrieveError(L10)</f>
        <v/>
      </c>
      <c r="N10" s="123"/>
    </row>
    <row r="11" spans="1:14" x14ac:dyDescent="0.2">
      <c r="A11" s="110"/>
      <c r="B11" s="128"/>
      <c r="C11" s="128" t="s">
        <v>104</v>
      </c>
      <c r="D11" s="128" t="s">
        <v>108</v>
      </c>
      <c r="E11" s="128">
        <v>8</v>
      </c>
      <c r="F11" s="128" t="s">
        <v>37</v>
      </c>
      <c r="G11" s="129" t="s">
        <v>102</v>
      </c>
      <c r="H11" s="129" t="s">
        <v>101</v>
      </c>
      <c r="I11" s="133" t="str">
        <f t="shared" si="0"/>
        <v>Actual/360</v>
      </c>
      <c r="J11" s="130">
        <v>0</v>
      </c>
      <c r="K11" s="131" t="str">
        <f t="shared" si="1"/>
        <v>USD8X1S_Quote</v>
      </c>
      <c r="L11" s="132" t="str">
        <f>_xll.qlSwapRateHelper2(,$K11,,$D11,Calendar,$G11,$H11,$I11,$L$3,$J11,C11,Discounting,Permanent,,ObjectOverwrite)</f>
        <v>obj_005a6#0002</v>
      </c>
      <c r="M11" s="114" t="str">
        <f>_xll.ohRangeRetrieveError(L11)</f>
        <v/>
      </c>
      <c r="N11" s="123"/>
    </row>
    <row r="12" spans="1:14" x14ac:dyDescent="0.2">
      <c r="A12" s="110"/>
      <c r="B12" s="128"/>
      <c r="C12" s="128" t="s">
        <v>104</v>
      </c>
      <c r="D12" s="128" t="s">
        <v>107</v>
      </c>
      <c r="E12" s="128">
        <v>9</v>
      </c>
      <c r="F12" s="128" t="s">
        <v>37</v>
      </c>
      <c r="G12" s="129" t="s">
        <v>102</v>
      </c>
      <c r="H12" s="129" t="s">
        <v>101</v>
      </c>
      <c r="I12" s="133" t="str">
        <f t="shared" si="0"/>
        <v>Actual/360</v>
      </c>
      <c r="J12" s="130">
        <v>0</v>
      </c>
      <c r="K12" s="131" t="str">
        <f t="shared" si="1"/>
        <v>USD9X1S_Quote</v>
      </c>
      <c r="L12" s="132" t="str">
        <f>_xll.qlSwapRateHelper2(,$K12,,$D12,Calendar,$G12,$H12,$I12,$L$3,$J12,C12,Discounting,Permanent,,ObjectOverwrite)</f>
        <v>obj_005a5#0002</v>
      </c>
      <c r="M12" s="114" t="str">
        <f>_xll.ohRangeRetrieveError(L12)</f>
        <v/>
      </c>
      <c r="N12" s="123"/>
    </row>
    <row r="13" spans="1:14" x14ac:dyDescent="0.2">
      <c r="A13" s="110"/>
      <c r="B13" s="128"/>
      <c r="C13" s="128" t="s">
        <v>104</v>
      </c>
      <c r="D13" s="128" t="s">
        <v>106</v>
      </c>
      <c r="E13" s="128">
        <v>10</v>
      </c>
      <c r="F13" s="128" t="s">
        <v>37</v>
      </c>
      <c r="G13" s="129" t="s">
        <v>102</v>
      </c>
      <c r="H13" s="129" t="s">
        <v>101</v>
      </c>
      <c r="I13" s="133" t="str">
        <f t="shared" si="0"/>
        <v>Actual/360</v>
      </c>
      <c r="J13" s="130">
        <v>0</v>
      </c>
      <c r="K13" s="131" t="str">
        <f t="shared" si="1"/>
        <v>USD10X1S_Quote</v>
      </c>
      <c r="L13" s="132" t="str">
        <f>_xll.qlSwapRateHelper2(,$K13,,$D13,Calendar,$G13,$H13,$I13,$L$3,$J13,C13,Discounting,Permanent,,ObjectOverwrite)</f>
        <v>obj_005a4#0002</v>
      </c>
      <c r="M13" s="114" t="str">
        <f>_xll.ohRangeRetrieveError(L13)</f>
        <v/>
      </c>
      <c r="N13" s="123"/>
    </row>
    <row r="14" spans="1:14" x14ac:dyDescent="0.2">
      <c r="A14" s="110"/>
      <c r="B14" s="128"/>
      <c r="C14" s="128" t="s">
        <v>104</v>
      </c>
      <c r="D14" s="128" t="s">
        <v>105</v>
      </c>
      <c r="E14" s="128">
        <v>11</v>
      </c>
      <c r="F14" s="128" t="s">
        <v>37</v>
      </c>
      <c r="G14" s="129" t="s">
        <v>102</v>
      </c>
      <c r="H14" s="129" t="s">
        <v>101</v>
      </c>
      <c r="I14" s="133" t="str">
        <f t="shared" si="0"/>
        <v>Actual/360</v>
      </c>
      <c r="J14" s="130">
        <v>0</v>
      </c>
      <c r="K14" s="131" t="str">
        <f t="shared" si="1"/>
        <v>USD11X1S_Quote</v>
      </c>
      <c r="L14" s="132" t="str">
        <f>_xll.qlSwapRateHelper2(,$K14,,$D14,Calendar,$G14,$H14,$I14,$L$3,$J14,C14,Discounting,Permanent,,ObjectOverwrite)</f>
        <v>obj_005a2#0002</v>
      </c>
      <c r="M14" s="114" t="str">
        <f>_xll.ohRangeRetrieveError(L14)</f>
        <v/>
      </c>
      <c r="N14" s="123"/>
    </row>
    <row r="15" spans="1:14" x14ac:dyDescent="0.2">
      <c r="A15" s="110"/>
      <c r="B15" s="128"/>
      <c r="C15" s="128" t="s">
        <v>104</v>
      </c>
      <c r="D15" s="128" t="s">
        <v>103</v>
      </c>
      <c r="E15" s="128">
        <v>12</v>
      </c>
      <c r="F15" s="128" t="s">
        <v>37</v>
      </c>
      <c r="G15" s="129" t="s">
        <v>102</v>
      </c>
      <c r="H15" s="129" t="s">
        <v>101</v>
      </c>
      <c r="I15" s="133" t="str">
        <f t="shared" si="0"/>
        <v>Actual/360</v>
      </c>
      <c r="J15" s="130">
        <v>0</v>
      </c>
      <c r="K15" s="131" t="str">
        <f t="shared" si="1"/>
        <v>USD12X1S_Quote</v>
      </c>
      <c r="L15" s="132" t="str">
        <f>_xll.qlSwapRateHelper2(,$K15,,$D15,Calendar,$G15,$H15,$I15,$L$3,$J15,C15,Discounting,Permanent,,ObjectOverwrite)</f>
        <v>obj_005a0#0002</v>
      </c>
      <c r="M15" s="114" t="str">
        <f>_xll.ohRangeRetrieveError(L15)</f>
        <v/>
      </c>
      <c r="N15" s="123"/>
    </row>
    <row r="16" spans="1:14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34"/>
      <c r="M16" s="134"/>
      <c r="N16" s="135"/>
    </row>
  </sheetData>
  <dataValidations count="2">
    <dataValidation type="list" allowBlank="1" showInputMessage="1" showErrorMessage="1" sqref="H5:H15">
      <formula1>"Following,Modified Following,Preceding,Modified Preceding,Month End Reference,Unadjusted Month End,Unadjusted"</formula1>
    </dataValidation>
    <dataValidation type="list" allowBlank="1" showInputMessage="1" showErrorMessage="1" sqref="G5:G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2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3" width="6.28515625" style="1" customWidth="1"/>
    <col min="4" max="4" width="4" style="1" bestFit="1" customWidth="1"/>
    <col min="5" max="6" width="3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17.28515625" style="1" bestFit="1" customWidth="1"/>
    <col min="11" max="11" width="30.7109375" style="1" bestFit="1" customWidth="1"/>
    <col min="12" max="12" width="15.140625" style="2" bestFit="1" customWidth="1"/>
    <col min="13" max="13" width="16.5703125" style="1" customWidth="1"/>
    <col min="14" max="14" width="2.7109375" style="1" customWidth="1"/>
    <col min="15" max="15" width="2.5703125" style="1" customWidth="1"/>
    <col min="16" max="16" width="4" style="1" bestFit="1" customWidth="1"/>
    <col min="17" max="17" width="3.28515625" style="1" bestFit="1" customWidth="1"/>
    <col min="18" max="18" width="2.7109375" style="1" bestFit="1" customWidth="1"/>
    <col min="19" max="16384" width="9.140625" style="1"/>
  </cols>
  <sheetData>
    <row r="1" spans="1:18" x14ac:dyDescent="0.2">
      <c r="A1" s="110"/>
      <c r="B1" s="107"/>
      <c r="C1" s="107"/>
      <c r="D1" s="107"/>
      <c r="E1" s="107"/>
      <c r="F1" s="107"/>
      <c r="G1" s="107"/>
      <c r="H1" s="91" t="s">
        <v>129</v>
      </c>
      <c r="I1" s="91" t="s">
        <v>89</v>
      </c>
      <c r="J1" s="91" t="str">
        <f>Currency&amp;"_YC"&amp;$I$1&amp;"RH"</f>
        <v>USD_YC1MRH</v>
      </c>
      <c r="K1" s="91" t="str">
        <f>J1&amp;"_SwapsFromBasis.xml"</f>
        <v>USD_YC1MRH_SwapsFromBasis.xml</v>
      </c>
      <c r="L1" s="91"/>
      <c r="M1" s="107"/>
      <c r="N1" s="123"/>
    </row>
    <row r="2" spans="1:18" ht="22.5" x14ac:dyDescent="0.2">
      <c r="A2" s="110"/>
      <c r="B2" s="111" t="s">
        <v>168</v>
      </c>
      <c r="C2" s="111" t="s">
        <v>120</v>
      </c>
      <c r="D2" s="111"/>
      <c r="E2" s="111"/>
      <c r="F2" s="111"/>
      <c r="G2" s="111" t="s">
        <v>118</v>
      </c>
      <c r="H2" s="111" t="s">
        <v>117</v>
      </c>
      <c r="I2" s="111" t="s">
        <v>116</v>
      </c>
      <c r="J2" s="111" t="s">
        <v>115</v>
      </c>
      <c r="K2" s="111" t="s">
        <v>91</v>
      </c>
      <c r="L2" s="125" t="str">
        <f>IF(Serialize,_xll.ohObjectSave(L3:L41,SerializationPath&amp;K1,FileOverwrite,Serialize),"---")</f>
        <v>---</v>
      </c>
      <c r="M2" s="136" t="str">
        <f>_xll.ohRangeRetrieveError(L2)</f>
        <v/>
      </c>
      <c r="N2" s="123"/>
    </row>
    <row r="3" spans="1:18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26" t="str">
        <f>IF(UPPER(FamilyName)="IBOR",_xll.qlEuribor(,$I$1,,Permanent,Trigger,ObjectOverwrite),IF(UPPER(FamilyName)="LIBOR",_xll.qlLibor(,Currency,$I$1,,Permanent,Trigger,ObjectOverwrite),"--"))</f>
        <v>obj_0030b#0003</v>
      </c>
      <c r="M3" s="127" t="str">
        <f>_xll.ohRangeRetrieveError(L3)</f>
        <v/>
      </c>
      <c r="N3" s="123"/>
    </row>
    <row r="4" spans="1:18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23"/>
    </row>
    <row r="5" spans="1:18" x14ac:dyDescent="0.2">
      <c r="A5" s="110"/>
      <c r="B5" s="137"/>
      <c r="C5" s="137" t="s">
        <v>104</v>
      </c>
      <c r="D5" s="128" t="s">
        <v>36</v>
      </c>
      <c r="E5" s="137" t="str">
        <f>VLOOKUP(Currency,Swap1MConventions,2)</f>
        <v>AM</v>
      </c>
      <c r="F5" s="137" t="str">
        <f>VLOOKUP(Currency,Swap1MConventions,3)</f>
        <v>1L</v>
      </c>
      <c r="G5" s="129" t="s">
        <v>102</v>
      </c>
      <c r="H5" s="129" t="s">
        <v>101</v>
      </c>
      <c r="I5" s="129" t="str">
        <f t="shared" ref="I5:I41" si="0">IF(UPPER(RIGHT($E5))="B",BondBasisDayCounter,IF(UPPER(RIGHT($E5))="M",MoneyMarketDayCounter,"--"))</f>
        <v>Actual/360</v>
      </c>
      <c r="J5" s="130" t="str">
        <f t="shared" ref="J5:J41" si="1">Currency&amp;$H$1&amp;$F5&amp;$D5&amp;QuoteSuffix</f>
        <v>USD3L1L1Y_Quote</v>
      </c>
      <c r="K5" s="131" t="str">
        <f t="shared" ref="K5:K41" si="2">Currency&amp;$E5&amp;$H$1&amp;$D5&amp;"_Quote"</f>
        <v>USDAM3L1Y_Quote</v>
      </c>
      <c r="L5" s="132" t="str">
        <f>_xll.qlSwapRateHelper2(,$K5,,$D5,Calendar,$G5,$H5,$I5,$L$3,$J5,C5,Discounting,Permanent,,ObjectOverwrite)</f>
        <v>obj_005aa#0002</v>
      </c>
      <c r="M5" s="136" t="str">
        <f>_xll.ohRangeRetrieveError(L5)</f>
        <v/>
      </c>
      <c r="N5" s="123"/>
    </row>
    <row r="6" spans="1:18" x14ac:dyDescent="0.2">
      <c r="A6" s="110"/>
      <c r="B6" s="128"/>
      <c r="C6" s="128" t="str">
        <f t="shared" ref="C6:C41" si="3">C5</f>
        <v>0D</v>
      </c>
      <c r="D6" s="128" t="s">
        <v>35</v>
      </c>
      <c r="E6" s="128" t="str">
        <f t="shared" ref="E6:E41" si="4">E5</f>
        <v>AM</v>
      </c>
      <c r="F6" s="128" t="str">
        <f t="shared" ref="F6:F41" si="5">F5</f>
        <v>1L</v>
      </c>
      <c r="G6" s="129" t="s">
        <v>102</v>
      </c>
      <c r="H6" s="133" t="s">
        <v>101</v>
      </c>
      <c r="I6" s="133" t="str">
        <f t="shared" si="0"/>
        <v>Actual/360</v>
      </c>
      <c r="J6" s="130" t="str">
        <f t="shared" si="1"/>
        <v>USD3L1L15M_Quote</v>
      </c>
      <c r="K6" s="131" t="str">
        <f t="shared" si="2"/>
        <v>USDAM3L15M_Quote</v>
      </c>
      <c r="L6" s="132" t="str">
        <f>_xll.qlSwapRateHelper2(,$K6,,$D6,Calendar,$G6,$H6,$I6,$L$3,$J6,C6,Discounting,Permanent,,ObjectOverwrite)</f>
        <v>obj_005be#0002</v>
      </c>
      <c r="M6" s="136" t="str">
        <f>_xll.ohRangeRetrieveError(L6)</f>
        <v/>
      </c>
      <c r="N6" s="123"/>
    </row>
    <row r="7" spans="1:18" x14ac:dyDescent="0.2">
      <c r="A7" s="110"/>
      <c r="B7" s="128"/>
      <c r="C7" s="128" t="str">
        <f t="shared" si="3"/>
        <v>0D</v>
      </c>
      <c r="D7" s="128" t="s">
        <v>34</v>
      </c>
      <c r="E7" s="128" t="str">
        <f t="shared" si="4"/>
        <v>AM</v>
      </c>
      <c r="F7" s="128" t="str">
        <f t="shared" si="5"/>
        <v>1L</v>
      </c>
      <c r="G7" s="129" t="s">
        <v>102</v>
      </c>
      <c r="H7" s="133" t="s">
        <v>101</v>
      </c>
      <c r="I7" s="133" t="str">
        <f t="shared" si="0"/>
        <v>Actual/360</v>
      </c>
      <c r="J7" s="130" t="str">
        <f t="shared" si="1"/>
        <v>USD3L1L18M_Quote</v>
      </c>
      <c r="K7" s="131" t="str">
        <f t="shared" si="2"/>
        <v>USDAM3L18M_Quote</v>
      </c>
      <c r="L7" s="132" t="str">
        <f>_xll.qlSwapRateHelper2(,$K7,,$D7,Calendar,$G7,$H7,$I7,$L$3,$J7,C7,Discounting,Permanent,,ObjectOverwrite)</f>
        <v>obj_005bd#0002</v>
      </c>
      <c r="M7" s="136" t="str">
        <f>_xll.ohRangeRetrieveError(L7)</f>
        <v/>
      </c>
      <c r="N7" s="123"/>
    </row>
    <row r="8" spans="1:18" ht="12" thickBot="1" x14ac:dyDescent="0.25">
      <c r="A8" s="110"/>
      <c r="B8" s="128"/>
      <c r="C8" s="128" t="str">
        <f t="shared" si="3"/>
        <v>0D</v>
      </c>
      <c r="D8" s="128" t="s">
        <v>33</v>
      </c>
      <c r="E8" s="128" t="str">
        <f t="shared" si="4"/>
        <v>AM</v>
      </c>
      <c r="F8" s="128" t="str">
        <f t="shared" si="5"/>
        <v>1L</v>
      </c>
      <c r="G8" s="129" t="s">
        <v>102</v>
      </c>
      <c r="H8" s="133" t="s">
        <v>101</v>
      </c>
      <c r="I8" s="133" t="str">
        <f t="shared" si="0"/>
        <v>Actual/360</v>
      </c>
      <c r="J8" s="130" t="str">
        <f t="shared" si="1"/>
        <v>USD3L1L21M_Quote</v>
      </c>
      <c r="K8" s="131" t="str">
        <f t="shared" si="2"/>
        <v>USDAM3L21M_Quote</v>
      </c>
      <c r="L8" s="132" t="str">
        <f>_xll.qlSwapRateHelper2(,$K8,,$D8,Calendar,$G8,$H8,$I8,$L$3,$J8,C8,Discounting,Permanent,,ObjectOverwrite)</f>
        <v>obj_005b6#0002</v>
      </c>
      <c r="M8" s="136" t="str">
        <f>_xll.ohRangeRetrieveError(L8)</f>
        <v/>
      </c>
      <c r="N8" s="123"/>
    </row>
    <row r="9" spans="1:18" x14ac:dyDescent="0.2">
      <c r="A9" s="110"/>
      <c r="B9" s="128"/>
      <c r="C9" s="128" t="str">
        <f t="shared" si="3"/>
        <v>0D</v>
      </c>
      <c r="D9" s="128" t="s">
        <v>32</v>
      </c>
      <c r="E9" s="128" t="str">
        <f t="shared" si="4"/>
        <v>AM</v>
      </c>
      <c r="F9" s="128" t="str">
        <f t="shared" si="5"/>
        <v>1L</v>
      </c>
      <c r="G9" s="129" t="s">
        <v>102</v>
      </c>
      <c r="H9" s="133" t="s">
        <v>101</v>
      </c>
      <c r="I9" s="133" t="str">
        <f t="shared" si="0"/>
        <v>Actual/360</v>
      </c>
      <c r="J9" s="130" t="str">
        <f t="shared" si="1"/>
        <v>USD3L1L2Y_Quote</v>
      </c>
      <c r="K9" s="131" t="str">
        <f t="shared" si="2"/>
        <v>USDAM3L2Y_Quote</v>
      </c>
      <c r="L9" s="132" t="str">
        <f>_xll.qlSwapRateHelper2(,$K9,,$D9,Calendar,$G9,$H9,$I9,$L$3,$J9,C9,Discounting,Permanent,,ObjectOverwrite)</f>
        <v>obj_005af#0002</v>
      </c>
      <c r="M9" s="136" t="str">
        <f>_xll.ohRangeRetrieveError(L9)</f>
        <v/>
      </c>
      <c r="N9" s="123"/>
      <c r="P9" s="138" t="s">
        <v>86</v>
      </c>
      <c r="Q9" s="139" t="s">
        <v>83</v>
      </c>
      <c r="R9" s="140" t="s">
        <v>127</v>
      </c>
    </row>
    <row r="10" spans="1:18" x14ac:dyDescent="0.2">
      <c r="A10" s="110"/>
      <c r="B10" s="128"/>
      <c r="C10" s="128" t="str">
        <f t="shared" si="3"/>
        <v>0D</v>
      </c>
      <c r="D10" s="128" t="s">
        <v>31</v>
      </c>
      <c r="E10" s="128" t="str">
        <f t="shared" si="4"/>
        <v>AM</v>
      </c>
      <c r="F10" s="128" t="str">
        <f t="shared" si="5"/>
        <v>1L</v>
      </c>
      <c r="G10" s="129" t="s">
        <v>102</v>
      </c>
      <c r="H10" s="133" t="s">
        <v>101</v>
      </c>
      <c r="I10" s="133" t="str">
        <f t="shared" si="0"/>
        <v>Actual/360</v>
      </c>
      <c r="J10" s="130" t="str">
        <f t="shared" si="1"/>
        <v>USD3L1L3Y_Quote</v>
      </c>
      <c r="K10" s="131" t="str">
        <f t="shared" si="2"/>
        <v>USDAM3L3Y_Quote</v>
      </c>
      <c r="L10" s="132" t="str">
        <f>_xll.qlSwapRateHelper2(,$K10,,$D10,Calendar,$G10,$H10,$I10,$L$3,$J10,C10,Discounting,Permanent,,ObjectOverwrite)</f>
        <v>obj_005cd#0002</v>
      </c>
      <c r="M10" s="136" t="str">
        <f>_xll.ohRangeRetrieveError(L10)</f>
        <v/>
      </c>
      <c r="N10" s="123"/>
      <c r="P10" s="141" t="s">
        <v>84</v>
      </c>
      <c r="Q10" s="142" t="s">
        <v>83</v>
      </c>
      <c r="R10" s="143" t="s">
        <v>128</v>
      </c>
    </row>
    <row r="11" spans="1:18" x14ac:dyDescent="0.2">
      <c r="A11" s="110"/>
      <c r="B11" s="128"/>
      <c r="C11" s="128" t="str">
        <f t="shared" si="3"/>
        <v>0D</v>
      </c>
      <c r="D11" s="128" t="s">
        <v>30</v>
      </c>
      <c r="E11" s="128" t="str">
        <f t="shared" si="4"/>
        <v>AM</v>
      </c>
      <c r="F11" s="128" t="str">
        <f t="shared" si="5"/>
        <v>1L</v>
      </c>
      <c r="G11" s="129" t="s">
        <v>102</v>
      </c>
      <c r="H11" s="133" t="s">
        <v>101</v>
      </c>
      <c r="I11" s="133" t="str">
        <f t="shared" si="0"/>
        <v>Actual/360</v>
      </c>
      <c r="J11" s="130" t="str">
        <f t="shared" si="1"/>
        <v>USD3L1L4Y_Quote</v>
      </c>
      <c r="K11" s="131" t="str">
        <f t="shared" si="2"/>
        <v>USDAM3L4Y_Quote</v>
      </c>
      <c r="L11" s="132" t="str">
        <f>_xll.qlSwapRateHelper2(,$K11,,$D11,Calendar,$G11,$H11,$I11,$L$3,$J11,C11,Discounting,Permanent,,ObjectOverwrite)</f>
        <v>obj_005ce#0002</v>
      </c>
      <c r="M11" s="136" t="str">
        <f>_xll.ohRangeRetrieveError(L11)</f>
        <v/>
      </c>
      <c r="N11" s="123"/>
      <c r="P11" s="141" t="s">
        <v>81</v>
      </c>
      <c r="Q11" s="142" t="s">
        <v>75</v>
      </c>
      <c r="R11" s="143" t="s">
        <v>127</v>
      </c>
    </row>
    <row r="12" spans="1:18" x14ac:dyDescent="0.2">
      <c r="A12" s="110"/>
      <c r="B12" s="128"/>
      <c r="C12" s="128" t="str">
        <f t="shared" si="3"/>
        <v>0D</v>
      </c>
      <c r="D12" s="128" t="s">
        <v>29</v>
      </c>
      <c r="E12" s="128" t="str">
        <f t="shared" si="4"/>
        <v>AM</v>
      </c>
      <c r="F12" s="128" t="str">
        <f t="shared" si="5"/>
        <v>1L</v>
      </c>
      <c r="G12" s="129" t="s">
        <v>102</v>
      </c>
      <c r="H12" s="133" t="s">
        <v>101</v>
      </c>
      <c r="I12" s="133" t="str">
        <f t="shared" si="0"/>
        <v>Actual/360</v>
      </c>
      <c r="J12" s="130" t="str">
        <f t="shared" si="1"/>
        <v>USD3L1L5Y_Quote</v>
      </c>
      <c r="K12" s="131" t="str">
        <f t="shared" si="2"/>
        <v>USDAM3L5Y_Quote</v>
      </c>
      <c r="L12" s="132" t="str">
        <f>_xll.qlSwapRateHelper2(,$K12,,$D12,Calendar,$G12,$H12,$I12,$L$3,$J12,C12,Discounting,Permanent,,ObjectOverwrite)</f>
        <v>obj_005c9#0002</v>
      </c>
      <c r="M12" s="136" t="str">
        <f>_xll.ohRangeRetrieveError(L12)</f>
        <v/>
      </c>
      <c r="N12" s="123"/>
      <c r="P12" s="141" t="s">
        <v>78</v>
      </c>
      <c r="Q12" s="142" t="s">
        <v>80</v>
      </c>
      <c r="R12" s="143" t="s">
        <v>127</v>
      </c>
    </row>
    <row r="13" spans="1:18" ht="12" thickBot="1" x14ac:dyDescent="0.25">
      <c r="A13" s="110"/>
      <c r="B13" s="128"/>
      <c r="C13" s="128" t="str">
        <f t="shared" si="3"/>
        <v>0D</v>
      </c>
      <c r="D13" s="128" t="s">
        <v>28</v>
      </c>
      <c r="E13" s="128" t="str">
        <f t="shared" si="4"/>
        <v>AM</v>
      </c>
      <c r="F13" s="128" t="str">
        <f t="shared" si="5"/>
        <v>1L</v>
      </c>
      <c r="G13" s="129" t="s">
        <v>102</v>
      </c>
      <c r="H13" s="133" t="s">
        <v>101</v>
      </c>
      <c r="I13" s="133" t="str">
        <f t="shared" si="0"/>
        <v>Actual/360</v>
      </c>
      <c r="J13" s="130" t="str">
        <f t="shared" si="1"/>
        <v>USD3L1L6Y_Quote</v>
      </c>
      <c r="K13" s="131" t="str">
        <f t="shared" si="2"/>
        <v>USDAM3L6Y_Quote</v>
      </c>
      <c r="L13" s="132" t="str">
        <f>_xll.qlSwapRateHelper2(,$K13,,$D13,Calendar,$G13,$H13,$I13,$L$3,$J13,C13,Discounting,Permanent,,ObjectOverwrite)</f>
        <v>obj_005c5#0002</v>
      </c>
      <c r="M13" s="136" t="str">
        <f>_xll.ohRangeRetrieveError(L13)</f>
        <v/>
      </c>
      <c r="N13" s="123"/>
      <c r="P13" s="144" t="s">
        <v>76</v>
      </c>
      <c r="Q13" s="145" t="s">
        <v>75</v>
      </c>
      <c r="R13" s="146" t="s">
        <v>127</v>
      </c>
    </row>
    <row r="14" spans="1:18" x14ac:dyDescent="0.2">
      <c r="A14" s="110"/>
      <c r="B14" s="128"/>
      <c r="C14" s="128" t="str">
        <f t="shared" si="3"/>
        <v>0D</v>
      </c>
      <c r="D14" s="128" t="s">
        <v>27</v>
      </c>
      <c r="E14" s="128" t="str">
        <f t="shared" si="4"/>
        <v>AM</v>
      </c>
      <c r="F14" s="128" t="str">
        <f t="shared" si="5"/>
        <v>1L</v>
      </c>
      <c r="G14" s="129" t="s">
        <v>102</v>
      </c>
      <c r="H14" s="133" t="s">
        <v>101</v>
      </c>
      <c r="I14" s="133" t="str">
        <f t="shared" si="0"/>
        <v>Actual/360</v>
      </c>
      <c r="J14" s="130" t="str">
        <f t="shared" si="1"/>
        <v>USD3L1L7Y_Quote</v>
      </c>
      <c r="K14" s="131" t="str">
        <f t="shared" si="2"/>
        <v>USDAM3L7Y_Quote</v>
      </c>
      <c r="L14" s="132" t="str">
        <f>_xll.qlSwapRateHelper2(,$K14,,$D14,Calendar,$G14,$H14,$I14,$L$3,$J14,C14,Discounting,Permanent,,ObjectOverwrite)</f>
        <v>obj_005b7#0002</v>
      </c>
      <c r="M14" s="136" t="str">
        <f>_xll.ohRangeRetrieveError(L14)</f>
        <v/>
      </c>
      <c r="N14" s="123"/>
      <c r="P14" s="142"/>
      <c r="Q14" s="142"/>
      <c r="R14" s="142"/>
    </row>
    <row r="15" spans="1:18" x14ac:dyDescent="0.2">
      <c r="A15" s="110"/>
      <c r="B15" s="128"/>
      <c r="C15" s="128" t="str">
        <f t="shared" si="3"/>
        <v>0D</v>
      </c>
      <c r="D15" s="128" t="s">
        <v>26</v>
      </c>
      <c r="E15" s="128" t="str">
        <f t="shared" si="4"/>
        <v>AM</v>
      </c>
      <c r="F15" s="128" t="str">
        <f t="shared" si="5"/>
        <v>1L</v>
      </c>
      <c r="G15" s="129" t="s">
        <v>102</v>
      </c>
      <c r="H15" s="133" t="s">
        <v>101</v>
      </c>
      <c r="I15" s="133" t="str">
        <f t="shared" si="0"/>
        <v>Actual/360</v>
      </c>
      <c r="J15" s="130" t="str">
        <f t="shared" si="1"/>
        <v>USD3L1L8Y_Quote</v>
      </c>
      <c r="K15" s="131" t="str">
        <f t="shared" si="2"/>
        <v>USDAM3L8Y_Quote</v>
      </c>
      <c r="L15" s="132" t="str">
        <f>_xll.qlSwapRateHelper2(,$K15,,$D15,Calendar,$G15,$H15,$I15,$L$3,$J15,C15,Discounting,Permanent,,ObjectOverwrite)</f>
        <v>obj_005bc#0002</v>
      </c>
      <c r="M15" s="136" t="str">
        <f>_xll.ohRangeRetrieveError(L15)</f>
        <v/>
      </c>
      <c r="N15" s="123"/>
    </row>
    <row r="16" spans="1:18" x14ac:dyDescent="0.2">
      <c r="A16" s="110"/>
      <c r="B16" s="128"/>
      <c r="C16" s="128" t="str">
        <f t="shared" si="3"/>
        <v>0D</v>
      </c>
      <c r="D16" s="128" t="s">
        <v>25</v>
      </c>
      <c r="E16" s="128" t="str">
        <f t="shared" si="4"/>
        <v>AM</v>
      </c>
      <c r="F16" s="128" t="str">
        <f t="shared" si="5"/>
        <v>1L</v>
      </c>
      <c r="G16" s="129" t="s">
        <v>102</v>
      </c>
      <c r="H16" s="133" t="s">
        <v>101</v>
      </c>
      <c r="I16" s="133" t="str">
        <f t="shared" si="0"/>
        <v>Actual/360</v>
      </c>
      <c r="J16" s="130" t="str">
        <f t="shared" si="1"/>
        <v>USD3L1L9Y_Quote</v>
      </c>
      <c r="K16" s="131" t="str">
        <f t="shared" si="2"/>
        <v>USDAM3L9Y_Quote</v>
      </c>
      <c r="L16" s="132" t="str">
        <f>_xll.qlSwapRateHelper2(,$K16,,$D16,Calendar,$G16,$H16,$I16,$L$3,$J16,C16,Discounting,Permanent,,ObjectOverwrite)</f>
        <v>obj_005b5#0002</v>
      </c>
      <c r="M16" s="136" t="str">
        <f>_xll.ohRangeRetrieveError(L16)</f>
        <v/>
      </c>
      <c r="N16" s="123"/>
    </row>
    <row r="17" spans="1:14" x14ac:dyDescent="0.2">
      <c r="A17" s="110"/>
      <c r="B17" s="128"/>
      <c r="C17" s="128" t="str">
        <f t="shared" si="3"/>
        <v>0D</v>
      </c>
      <c r="D17" s="128" t="s">
        <v>24</v>
      </c>
      <c r="E17" s="128" t="str">
        <f t="shared" si="4"/>
        <v>AM</v>
      </c>
      <c r="F17" s="128" t="str">
        <f t="shared" si="5"/>
        <v>1L</v>
      </c>
      <c r="G17" s="129" t="s">
        <v>102</v>
      </c>
      <c r="H17" s="133" t="s">
        <v>101</v>
      </c>
      <c r="I17" s="133" t="str">
        <f t="shared" si="0"/>
        <v>Actual/360</v>
      </c>
      <c r="J17" s="130" t="str">
        <f t="shared" si="1"/>
        <v>USD3L1L10Y_Quote</v>
      </c>
      <c r="K17" s="131" t="str">
        <f t="shared" si="2"/>
        <v>USDAM3L10Y_Quote</v>
      </c>
      <c r="L17" s="132" t="str">
        <f>_xll.qlSwapRateHelper2(,$K17,,$D17,Calendar,$G17,$H17,$I17,$L$3,$J17,C17,Discounting,Permanent,,ObjectOverwrite)</f>
        <v>obj_005ae#0002</v>
      </c>
      <c r="M17" s="136" t="str">
        <f>_xll.ohRangeRetrieveError(L17)</f>
        <v/>
      </c>
      <c r="N17" s="123"/>
    </row>
    <row r="18" spans="1:14" x14ac:dyDescent="0.2">
      <c r="A18" s="110"/>
      <c r="B18" s="128"/>
      <c r="C18" s="128" t="str">
        <f t="shared" si="3"/>
        <v>0D</v>
      </c>
      <c r="D18" s="128" t="s">
        <v>23</v>
      </c>
      <c r="E18" s="128" t="str">
        <f t="shared" si="4"/>
        <v>AM</v>
      </c>
      <c r="F18" s="128" t="str">
        <f t="shared" si="5"/>
        <v>1L</v>
      </c>
      <c r="G18" s="129" t="s">
        <v>102</v>
      </c>
      <c r="H18" s="133" t="s">
        <v>101</v>
      </c>
      <c r="I18" s="133" t="str">
        <f t="shared" si="0"/>
        <v>Actual/360</v>
      </c>
      <c r="J18" s="130" t="str">
        <f t="shared" si="1"/>
        <v>USD3L1L11Y_Quote</v>
      </c>
      <c r="K18" s="131" t="str">
        <f t="shared" si="2"/>
        <v>USDAM3L11Y_Quote</v>
      </c>
      <c r="L18" s="132" t="str">
        <f>_xll.qlSwapRateHelper2(,$K18,,$D18,Calendar,$G18,$H18,$I18,$L$3,$J18,C18,Discounting,Permanent,,ObjectOverwrite)</f>
        <v>obj_005cc#0002</v>
      </c>
      <c r="M18" s="136" t="str">
        <f>_xll.ohRangeRetrieveError(L18)</f>
        <v/>
      </c>
      <c r="N18" s="123"/>
    </row>
    <row r="19" spans="1:14" x14ac:dyDescent="0.2">
      <c r="A19" s="110"/>
      <c r="B19" s="128"/>
      <c r="C19" s="128" t="str">
        <f t="shared" si="3"/>
        <v>0D</v>
      </c>
      <c r="D19" s="128" t="s">
        <v>22</v>
      </c>
      <c r="E19" s="128" t="str">
        <f t="shared" si="4"/>
        <v>AM</v>
      </c>
      <c r="F19" s="128" t="str">
        <f t="shared" si="5"/>
        <v>1L</v>
      </c>
      <c r="G19" s="129" t="s">
        <v>102</v>
      </c>
      <c r="H19" s="133" t="s">
        <v>101</v>
      </c>
      <c r="I19" s="133" t="str">
        <f t="shared" si="0"/>
        <v>Actual/360</v>
      </c>
      <c r="J19" s="130" t="str">
        <f t="shared" si="1"/>
        <v>USD3L1L12Y_Quote</v>
      </c>
      <c r="K19" s="131" t="str">
        <f t="shared" si="2"/>
        <v>USDAM3L12Y_Quote</v>
      </c>
      <c r="L19" s="132" t="str">
        <f>_xll.qlSwapRateHelper2(,$K19,,$D19,Calendar,$G19,$H19,$I19,$L$3,$J19,C19,Discounting,Permanent,,ObjectOverwrite)</f>
        <v>obj_005b1#0002</v>
      </c>
      <c r="M19" s="136" t="str">
        <f>_xll.ohRangeRetrieveError(L19)</f>
        <v/>
      </c>
      <c r="N19" s="123"/>
    </row>
    <row r="20" spans="1:14" x14ac:dyDescent="0.2">
      <c r="A20" s="110"/>
      <c r="B20" s="128"/>
      <c r="C20" s="128" t="str">
        <f t="shared" si="3"/>
        <v>0D</v>
      </c>
      <c r="D20" s="128" t="s">
        <v>21</v>
      </c>
      <c r="E20" s="128" t="str">
        <f t="shared" si="4"/>
        <v>AM</v>
      </c>
      <c r="F20" s="128" t="str">
        <f t="shared" si="5"/>
        <v>1L</v>
      </c>
      <c r="G20" s="129" t="s">
        <v>102</v>
      </c>
      <c r="H20" s="133" t="s">
        <v>101</v>
      </c>
      <c r="I20" s="133" t="str">
        <f t="shared" si="0"/>
        <v>Actual/360</v>
      </c>
      <c r="J20" s="130" t="str">
        <f t="shared" si="1"/>
        <v>USD3L1L13Y_Quote</v>
      </c>
      <c r="K20" s="131" t="str">
        <f t="shared" si="2"/>
        <v>USDAM3L13Y_Quote</v>
      </c>
      <c r="L20" s="132" t="str">
        <f>_xll.qlSwapRateHelper2(,$K20,,$D20,Calendar,$G20,$H20,$I20,$L$3,$J20,C20,Discounting,Permanent,,ObjectOverwrite)</f>
        <v>obj_005c8#0002</v>
      </c>
      <c r="M20" s="136" t="str">
        <f>_xll.ohRangeRetrieveError(L20)</f>
        <v/>
      </c>
      <c r="N20" s="123"/>
    </row>
    <row r="21" spans="1:14" x14ac:dyDescent="0.2">
      <c r="A21" s="110"/>
      <c r="B21" s="128"/>
      <c r="C21" s="128" t="str">
        <f t="shared" si="3"/>
        <v>0D</v>
      </c>
      <c r="D21" s="128" t="s">
        <v>20</v>
      </c>
      <c r="E21" s="128" t="str">
        <f t="shared" si="4"/>
        <v>AM</v>
      </c>
      <c r="F21" s="128" t="str">
        <f t="shared" si="5"/>
        <v>1L</v>
      </c>
      <c r="G21" s="129" t="s">
        <v>102</v>
      </c>
      <c r="H21" s="133" t="s">
        <v>101</v>
      </c>
      <c r="I21" s="133" t="str">
        <f t="shared" si="0"/>
        <v>Actual/360</v>
      </c>
      <c r="J21" s="130" t="str">
        <f t="shared" si="1"/>
        <v>USD3L1L14Y_Quote</v>
      </c>
      <c r="K21" s="131" t="str">
        <f t="shared" si="2"/>
        <v>USDAM3L14Y_Quote</v>
      </c>
      <c r="L21" s="132" t="str">
        <f>_xll.qlSwapRateHelper2(,$K21,,$D21,Calendar,$G21,$H21,$I21,$L$3,$J21,C21,Discounting,Permanent,,ObjectOverwrite)</f>
        <v>obj_005b0#0002</v>
      </c>
      <c r="M21" s="136" t="str">
        <f>_xll.ohRangeRetrieveError(L21)</f>
        <v/>
      </c>
      <c r="N21" s="123"/>
    </row>
    <row r="22" spans="1:14" x14ac:dyDescent="0.2">
      <c r="A22" s="110"/>
      <c r="B22" s="128"/>
      <c r="C22" s="128" t="str">
        <f t="shared" si="3"/>
        <v>0D</v>
      </c>
      <c r="D22" s="128" t="s">
        <v>19</v>
      </c>
      <c r="E22" s="128" t="str">
        <f t="shared" si="4"/>
        <v>AM</v>
      </c>
      <c r="F22" s="128" t="str">
        <f t="shared" si="5"/>
        <v>1L</v>
      </c>
      <c r="G22" s="129" t="s">
        <v>102</v>
      </c>
      <c r="H22" s="133" t="s">
        <v>101</v>
      </c>
      <c r="I22" s="133" t="str">
        <f t="shared" si="0"/>
        <v>Actual/360</v>
      </c>
      <c r="J22" s="130" t="str">
        <f t="shared" si="1"/>
        <v>USD3L1L15Y_Quote</v>
      </c>
      <c r="K22" s="131" t="str">
        <f t="shared" si="2"/>
        <v>USDAM3L15Y_Quote</v>
      </c>
      <c r="L22" s="132" t="str">
        <f>_xll.qlSwapRateHelper2(,$K22,,$D22,Calendar,$G22,$H22,$I22,$L$3,$J22,C22,Discounting,Permanent,,ObjectOverwrite)</f>
        <v>obj_005c2#0002</v>
      </c>
      <c r="M22" s="136" t="str">
        <f>_xll.ohRangeRetrieveError(L22)</f>
        <v/>
      </c>
      <c r="N22" s="123"/>
    </row>
    <row r="23" spans="1:14" x14ac:dyDescent="0.2">
      <c r="A23" s="110"/>
      <c r="B23" s="128"/>
      <c r="C23" s="128" t="str">
        <f t="shared" si="3"/>
        <v>0D</v>
      </c>
      <c r="D23" s="128" t="s">
        <v>18</v>
      </c>
      <c r="E23" s="128" t="str">
        <f t="shared" si="4"/>
        <v>AM</v>
      </c>
      <c r="F23" s="128" t="str">
        <f t="shared" si="5"/>
        <v>1L</v>
      </c>
      <c r="G23" s="129" t="s">
        <v>102</v>
      </c>
      <c r="H23" s="133" t="s">
        <v>101</v>
      </c>
      <c r="I23" s="133" t="str">
        <f t="shared" si="0"/>
        <v>Actual/360</v>
      </c>
      <c r="J23" s="130" t="str">
        <f t="shared" si="1"/>
        <v>USD3L1L16Y_Quote</v>
      </c>
      <c r="K23" s="131" t="str">
        <f t="shared" si="2"/>
        <v>USDAM3L16Y_Quote</v>
      </c>
      <c r="L23" s="132" t="str">
        <f>_xll.qlSwapRateHelper2(,$K23,,$D23,Calendar,$G23,$H23,$I23,$L$3,$J23,C23,Discounting,Permanent,,ObjectOverwrite)</f>
        <v>obj_005bb#0002</v>
      </c>
      <c r="M23" s="136" t="str">
        <f>_xll.ohRangeRetrieveError(L23)</f>
        <v/>
      </c>
      <c r="N23" s="123"/>
    </row>
    <row r="24" spans="1:14" x14ac:dyDescent="0.2">
      <c r="A24" s="110"/>
      <c r="B24" s="128"/>
      <c r="C24" s="128" t="str">
        <f t="shared" si="3"/>
        <v>0D</v>
      </c>
      <c r="D24" s="128" t="s">
        <v>17</v>
      </c>
      <c r="E24" s="128" t="str">
        <f t="shared" si="4"/>
        <v>AM</v>
      </c>
      <c r="F24" s="128" t="str">
        <f t="shared" si="5"/>
        <v>1L</v>
      </c>
      <c r="G24" s="129" t="s">
        <v>102</v>
      </c>
      <c r="H24" s="133" t="s">
        <v>101</v>
      </c>
      <c r="I24" s="133" t="str">
        <f t="shared" si="0"/>
        <v>Actual/360</v>
      </c>
      <c r="J24" s="130" t="str">
        <f t="shared" si="1"/>
        <v>USD3L1L17Y_Quote</v>
      </c>
      <c r="K24" s="131" t="str">
        <f t="shared" si="2"/>
        <v>USDAM3L17Y_Quote</v>
      </c>
      <c r="L24" s="132" t="str">
        <f>_xll.qlSwapRateHelper2(,$K24,,$D24,Calendar,$G24,$H24,$I24,$L$3,$J24,C24,Discounting,Permanent,,ObjectOverwrite)</f>
        <v>obj_005b4#0002</v>
      </c>
      <c r="M24" s="136" t="str">
        <f>_xll.ohRangeRetrieveError(L24)</f>
        <v/>
      </c>
      <c r="N24" s="123"/>
    </row>
    <row r="25" spans="1:14" x14ac:dyDescent="0.2">
      <c r="A25" s="110"/>
      <c r="B25" s="128"/>
      <c r="C25" s="128" t="str">
        <f t="shared" si="3"/>
        <v>0D</v>
      </c>
      <c r="D25" s="128" t="s">
        <v>16</v>
      </c>
      <c r="E25" s="128" t="str">
        <f t="shared" si="4"/>
        <v>AM</v>
      </c>
      <c r="F25" s="128" t="str">
        <f t="shared" si="5"/>
        <v>1L</v>
      </c>
      <c r="G25" s="129" t="s">
        <v>102</v>
      </c>
      <c r="H25" s="133" t="s">
        <v>101</v>
      </c>
      <c r="I25" s="133" t="str">
        <f t="shared" si="0"/>
        <v>Actual/360</v>
      </c>
      <c r="J25" s="130" t="str">
        <f t="shared" si="1"/>
        <v>USD3L1L18Y_Quote</v>
      </c>
      <c r="K25" s="131" t="str">
        <f t="shared" si="2"/>
        <v>USDAM3L18Y_Quote</v>
      </c>
      <c r="L25" s="132" t="str">
        <f>_xll.qlSwapRateHelper2(,$K25,,$D25,Calendar,$G25,$H25,$I25,$L$3,$J25,C25,Discounting,Permanent,,ObjectOverwrite)</f>
        <v>obj_005ad#0002</v>
      </c>
      <c r="M25" s="136" t="str">
        <f>_xll.ohRangeRetrieveError(L25)</f>
        <v/>
      </c>
      <c r="N25" s="123"/>
    </row>
    <row r="26" spans="1:14" x14ac:dyDescent="0.2">
      <c r="A26" s="110"/>
      <c r="B26" s="128"/>
      <c r="C26" s="128" t="str">
        <f t="shared" si="3"/>
        <v>0D</v>
      </c>
      <c r="D26" s="128" t="s">
        <v>15</v>
      </c>
      <c r="E26" s="128" t="str">
        <f t="shared" si="4"/>
        <v>AM</v>
      </c>
      <c r="F26" s="128" t="str">
        <f t="shared" si="5"/>
        <v>1L</v>
      </c>
      <c r="G26" s="129" t="s">
        <v>102</v>
      </c>
      <c r="H26" s="133" t="s">
        <v>101</v>
      </c>
      <c r="I26" s="133" t="str">
        <f t="shared" si="0"/>
        <v>Actual/360</v>
      </c>
      <c r="J26" s="130" t="str">
        <f t="shared" si="1"/>
        <v>USD3L1L19Y_Quote</v>
      </c>
      <c r="K26" s="131" t="str">
        <f t="shared" si="2"/>
        <v>USDAM3L19Y_Quote</v>
      </c>
      <c r="L26" s="132" t="str">
        <f>_xll.qlSwapRateHelper2(,$K26,,$D26,Calendar,$G26,$H26,$I26,$L$3,$J26,C26,Discounting,Permanent,,ObjectOverwrite)</f>
        <v>obj_005cb#0002</v>
      </c>
      <c r="M26" s="136" t="str">
        <f>_xll.ohRangeRetrieveError(L26)</f>
        <v/>
      </c>
      <c r="N26" s="123"/>
    </row>
    <row r="27" spans="1:14" x14ac:dyDescent="0.2">
      <c r="A27" s="110"/>
      <c r="B27" s="128"/>
      <c r="C27" s="128" t="str">
        <f t="shared" si="3"/>
        <v>0D</v>
      </c>
      <c r="D27" s="128" t="s">
        <v>14</v>
      </c>
      <c r="E27" s="128" t="str">
        <f t="shared" si="4"/>
        <v>AM</v>
      </c>
      <c r="F27" s="128" t="str">
        <f t="shared" si="5"/>
        <v>1L</v>
      </c>
      <c r="G27" s="129" t="s">
        <v>102</v>
      </c>
      <c r="H27" s="133" t="s">
        <v>101</v>
      </c>
      <c r="I27" s="133" t="str">
        <f t="shared" si="0"/>
        <v>Actual/360</v>
      </c>
      <c r="J27" s="130" t="str">
        <f t="shared" si="1"/>
        <v>USD3L1L20Y_Quote</v>
      </c>
      <c r="K27" s="131" t="str">
        <f t="shared" si="2"/>
        <v>USDAM3L20Y_Quote</v>
      </c>
      <c r="L27" s="132" t="str">
        <f>_xll.qlSwapRateHelper2(,$K27,,$D27,Calendar,$G27,$H27,$I27,$L$3,$J27,C27,Discounting,Permanent,,ObjectOverwrite)</f>
        <v>obj_005b8#0002</v>
      </c>
      <c r="M27" s="136" t="str">
        <f>_xll.ohRangeRetrieveError(L27)</f>
        <v/>
      </c>
      <c r="N27" s="123"/>
    </row>
    <row r="28" spans="1:14" x14ac:dyDescent="0.2">
      <c r="A28" s="110"/>
      <c r="B28" s="128"/>
      <c r="C28" s="128" t="str">
        <f t="shared" si="3"/>
        <v>0D</v>
      </c>
      <c r="D28" s="128" t="s">
        <v>13</v>
      </c>
      <c r="E28" s="128" t="str">
        <f t="shared" si="4"/>
        <v>AM</v>
      </c>
      <c r="F28" s="128" t="str">
        <f t="shared" si="5"/>
        <v>1L</v>
      </c>
      <c r="G28" s="129" t="s">
        <v>102</v>
      </c>
      <c r="H28" s="133" t="s">
        <v>101</v>
      </c>
      <c r="I28" s="133" t="str">
        <f t="shared" si="0"/>
        <v>Actual/360</v>
      </c>
      <c r="J28" s="130" t="str">
        <f t="shared" si="1"/>
        <v>USD3L1L21Y_Quote</v>
      </c>
      <c r="K28" s="131" t="str">
        <f t="shared" si="2"/>
        <v>USDAM3L21Y_Quote</v>
      </c>
      <c r="L28" s="132" t="str">
        <f>_xll.qlSwapRateHelper2(,$K28,,$D28,Calendar,$G28,$H28,$I28,$L$3,$J28,C28,Discounting,Permanent,,ObjectOverwrite)</f>
        <v>obj_005c7#0002</v>
      </c>
      <c r="M28" s="136" t="str">
        <f>_xll.ohRangeRetrieveError(L28)</f>
        <v/>
      </c>
      <c r="N28" s="123"/>
    </row>
    <row r="29" spans="1:14" x14ac:dyDescent="0.2">
      <c r="A29" s="110"/>
      <c r="B29" s="128"/>
      <c r="C29" s="128" t="str">
        <f t="shared" si="3"/>
        <v>0D</v>
      </c>
      <c r="D29" s="128" t="s">
        <v>12</v>
      </c>
      <c r="E29" s="128" t="str">
        <f t="shared" si="4"/>
        <v>AM</v>
      </c>
      <c r="F29" s="128" t="str">
        <f t="shared" si="5"/>
        <v>1L</v>
      </c>
      <c r="G29" s="129" t="s">
        <v>102</v>
      </c>
      <c r="H29" s="133" t="s">
        <v>101</v>
      </c>
      <c r="I29" s="133" t="str">
        <f t="shared" si="0"/>
        <v>Actual/360</v>
      </c>
      <c r="J29" s="130" t="str">
        <f t="shared" si="1"/>
        <v>USD3L1L22Y_Quote</v>
      </c>
      <c r="K29" s="131" t="str">
        <f t="shared" si="2"/>
        <v>USDAM3L22Y_Quote</v>
      </c>
      <c r="L29" s="132" t="str">
        <f>_xll.qlSwapRateHelper2(,$K29,,$D29,Calendar,$G29,$H29,$I29,$L$3,$J29,C29,Discounting,Permanent,,ObjectOverwrite)</f>
        <v>obj_005c4#0002</v>
      </c>
      <c r="M29" s="136" t="str">
        <f>_xll.ohRangeRetrieveError(L29)</f>
        <v/>
      </c>
      <c r="N29" s="123"/>
    </row>
    <row r="30" spans="1:14" x14ac:dyDescent="0.2">
      <c r="A30" s="110"/>
      <c r="B30" s="128"/>
      <c r="C30" s="128" t="str">
        <f t="shared" si="3"/>
        <v>0D</v>
      </c>
      <c r="D30" s="128" t="s">
        <v>11</v>
      </c>
      <c r="E30" s="128" t="str">
        <f t="shared" si="4"/>
        <v>AM</v>
      </c>
      <c r="F30" s="128" t="str">
        <f t="shared" si="5"/>
        <v>1L</v>
      </c>
      <c r="G30" s="129" t="s">
        <v>102</v>
      </c>
      <c r="H30" s="133" t="s">
        <v>101</v>
      </c>
      <c r="I30" s="133" t="str">
        <f t="shared" si="0"/>
        <v>Actual/360</v>
      </c>
      <c r="J30" s="130" t="str">
        <f t="shared" si="1"/>
        <v>USD3L1L23Y_Quote</v>
      </c>
      <c r="K30" s="131" t="str">
        <f t="shared" si="2"/>
        <v>USDAM3L23Y_Quote</v>
      </c>
      <c r="L30" s="132" t="str">
        <f>_xll.qlSwapRateHelper2(,$K30,,$D30,Calendar,$G30,$H30,$I30,$L$3,$J30,C30,Discounting,Permanent,,ObjectOverwrite)</f>
        <v>obj_005c1#0002</v>
      </c>
      <c r="M30" s="136" t="str">
        <f>_xll.ohRangeRetrieveError(L30)</f>
        <v/>
      </c>
      <c r="N30" s="123"/>
    </row>
    <row r="31" spans="1:14" x14ac:dyDescent="0.2">
      <c r="A31" s="110"/>
      <c r="B31" s="128"/>
      <c r="C31" s="128" t="str">
        <f t="shared" si="3"/>
        <v>0D</v>
      </c>
      <c r="D31" s="128" t="s">
        <v>10</v>
      </c>
      <c r="E31" s="128" t="str">
        <f t="shared" si="4"/>
        <v>AM</v>
      </c>
      <c r="F31" s="128" t="str">
        <f t="shared" si="5"/>
        <v>1L</v>
      </c>
      <c r="G31" s="129" t="s">
        <v>102</v>
      </c>
      <c r="H31" s="133" t="s">
        <v>101</v>
      </c>
      <c r="I31" s="133" t="str">
        <f t="shared" si="0"/>
        <v>Actual/360</v>
      </c>
      <c r="J31" s="130" t="str">
        <f t="shared" si="1"/>
        <v>USD3L1L24Y_Quote</v>
      </c>
      <c r="K31" s="131" t="str">
        <f t="shared" si="2"/>
        <v>USDAM3L24Y_Quote</v>
      </c>
      <c r="L31" s="132" t="str">
        <f>_xll.qlSwapRateHelper2(,$K31,,$D31,Calendar,$G31,$H31,$I31,$L$3,$J31,C31,Discounting,Permanent,,ObjectOverwrite)</f>
        <v>obj_005ba#0002</v>
      </c>
      <c r="M31" s="136" t="str">
        <f>_xll.ohRangeRetrieveError(L31)</f>
        <v/>
      </c>
      <c r="N31" s="123"/>
    </row>
    <row r="32" spans="1:14" x14ac:dyDescent="0.2">
      <c r="A32" s="110"/>
      <c r="B32" s="128"/>
      <c r="C32" s="128" t="str">
        <f t="shared" si="3"/>
        <v>0D</v>
      </c>
      <c r="D32" s="128" t="s">
        <v>9</v>
      </c>
      <c r="E32" s="128" t="str">
        <f t="shared" si="4"/>
        <v>AM</v>
      </c>
      <c r="F32" s="128" t="str">
        <f t="shared" si="5"/>
        <v>1L</v>
      </c>
      <c r="G32" s="129" t="s">
        <v>102</v>
      </c>
      <c r="H32" s="133" t="s">
        <v>101</v>
      </c>
      <c r="I32" s="133" t="str">
        <f t="shared" si="0"/>
        <v>Actual/360</v>
      </c>
      <c r="J32" s="130" t="str">
        <f t="shared" si="1"/>
        <v>USD3L1L25Y_Quote</v>
      </c>
      <c r="K32" s="131" t="str">
        <f t="shared" si="2"/>
        <v>USDAM3L25Y_Quote</v>
      </c>
      <c r="L32" s="132" t="str">
        <f>_xll.qlSwapRateHelper2(,$K32,,$D32,Calendar,$G32,$H32,$I32,$L$3,$J32,C32,Discounting,Permanent,,ObjectOverwrite)</f>
        <v>obj_005b3#0002</v>
      </c>
      <c r="M32" s="136" t="str">
        <f>_xll.ohRangeRetrieveError(L32)</f>
        <v/>
      </c>
      <c r="N32" s="123"/>
    </row>
    <row r="33" spans="1:14" x14ac:dyDescent="0.2">
      <c r="A33" s="110"/>
      <c r="B33" s="128"/>
      <c r="C33" s="128" t="str">
        <f t="shared" si="3"/>
        <v>0D</v>
      </c>
      <c r="D33" s="128" t="s">
        <v>8</v>
      </c>
      <c r="E33" s="128" t="str">
        <f t="shared" si="4"/>
        <v>AM</v>
      </c>
      <c r="F33" s="128" t="str">
        <f t="shared" si="5"/>
        <v>1L</v>
      </c>
      <c r="G33" s="129" t="s">
        <v>102</v>
      </c>
      <c r="H33" s="133" t="s">
        <v>101</v>
      </c>
      <c r="I33" s="133" t="str">
        <f t="shared" si="0"/>
        <v>Actual/360</v>
      </c>
      <c r="J33" s="130" t="str">
        <f t="shared" si="1"/>
        <v>USD3L1L26Y_Quote</v>
      </c>
      <c r="K33" s="131" t="str">
        <f t="shared" si="2"/>
        <v>USDAM3L26Y_Quote</v>
      </c>
      <c r="L33" s="132" t="str">
        <f>_xll.qlSwapRateHelper2(,$K33,,$D33,Calendar,$G33,$H33,$I33,$L$3,$J33,C33,Discounting,Permanent,,ObjectOverwrite)</f>
        <v>obj_005ac#0002</v>
      </c>
      <c r="M33" s="136" t="str">
        <f>_xll.ohRangeRetrieveError(L33)</f>
        <v/>
      </c>
      <c r="N33" s="123"/>
    </row>
    <row r="34" spans="1:14" x14ac:dyDescent="0.2">
      <c r="A34" s="110"/>
      <c r="B34" s="128"/>
      <c r="C34" s="128" t="str">
        <f t="shared" si="3"/>
        <v>0D</v>
      </c>
      <c r="D34" s="128" t="s">
        <v>7</v>
      </c>
      <c r="E34" s="128" t="str">
        <f t="shared" si="4"/>
        <v>AM</v>
      </c>
      <c r="F34" s="128" t="str">
        <f t="shared" si="5"/>
        <v>1L</v>
      </c>
      <c r="G34" s="129" t="s">
        <v>102</v>
      </c>
      <c r="H34" s="133" t="s">
        <v>101</v>
      </c>
      <c r="I34" s="133" t="str">
        <f t="shared" si="0"/>
        <v>Actual/360</v>
      </c>
      <c r="J34" s="130" t="str">
        <f t="shared" si="1"/>
        <v>USD3L1L27Y_Quote</v>
      </c>
      <c r="K34" s="131" t="str">
        <f t="shared" si="2"/>
        <v>USDAM3L27Y_Quote</v>
      </c>
      <c r="L34" s="132" t="str">
        <f>_xll.qlSwapRateHelper2(,$K34,,$D34,Calendar,$G34,$H34,$I34,$L$3,$J34,C34,Discounting,Permanent,,ObjectOverwrite)</f>
        <v>obj_005ca#0002</v>
      </c>
      <c r="M34" s="136" t="str">
        <f>_xll.ohRangeRetrieveError(L34)</f>
        <v/>
      </c>
      <c r="N34" s="123"/>
    </row>
    <row r="35" spans="1:14" x14ac:dyDescent="0.2">
      <c r="A35" s="110"/>
      <c r="B35" s="128"/>
      <c r="C35" s="128" t="str">
        <f t="shared" si="3"/>
        <v>0D</v>
      </c>
      <c r="D35" s="128" t="s">
        <v>6</v>
      </c>
      <c r="E35" s="128" t="str">
        <f t="shared" si="4"/>
        <v>AM</v>
      </c>
      <c r="F35" s="128" t="str">
        <f t="shared" si="5"/>
        <v>1L</v>
      </c>
      <c r="G35" s="129" t="s">
        <v>102</v>
      </c>
      <c r="H35" s="133" t="s">
        <v>101</v>
      </c>
      <c r="I35" s="133" t="str">
        <f t="shared" si="0"/>
        <v>Actual/360</v>
      </c>
      <c r="J35" s="130" t="str">
        <f t="shared" si="1"/>
        <v>USD3L1L28Y_Quote</v>
      </c>
      <c r="K35" s="131" t="str">
        <f t="shared" si="2"/>
        <v>USDAM3L28Y_Quote</v>
      </c>
      <c r="L35" s="132" t="str">
        <f>_xll.qlSwapRateHelper2(,$K35,,$D35,Calendar,$G35,$H35,$I35,$L$3,$J35,C35,Discounting,Permanent,,ObjectOverwrite)</f>
        <v>obj_005bf#0002</v>
      </c>
      <c r="M35" s="136" t="str">
        <f>_xll.ohRangeRetrieveError(L35)</f>
        <v/>
      </c>
      <c r="N35" s="123"/>
    </row>
    <row r="36" spans="1:14" x14ac:dyDescent="0.2">
      <c r="A36" s="110"/>
      <c r="B36" s="128"/>
      <c r="C36" s="128" t="str">
        <f t="shared" si="3"/>
        <v>0D</v>
      </c>
      <c r="D36" s="128" t="s">
        <v>5</v>
      </c>
      <c r="E36" s="128" t="str">
        <f t="shared" si="4"/>
        <v>AM</v>
      </c>
      <c r="F36" s="128" t="str">
        <f t="shared" si="5"/>
        <v>1L</v>
      </c>
      <c r="G36" s="129" t="s">
        <v>102</v>
      </c>
      <c r="H36" s="133" t="s">
        <v>101</v>
      </c>
      <c r="I36" s="133" t="str">
        <f t="shared" si="0"/>
        <v>Actual/360</v>
      </c>
      <c r="J36" s="130" t="str">
        <f t="shared" si="1"/>
        <v>USD3L1L29Y_Quote</v>
      </c>
      <c r="K36" s="131" t="str">
        <f t="shared" si="2"/>
        <v>USDAM3L29Y_Quote</v>
      </c>
      <c r="L36" s="132" t="str">
        <f>_xll.qlSwapRateHelper2(,$K36,,$D36,Calendar,$G36,$H36,$I36,$L$3,$J36,C36,Discounting,Permanent,,ObjectOverwrite)</f>
        <v>obj_005c6#0002</v>
      </c>
      <c r="M36" s="136" t="str">
        <f>_xll.ohRangeRetrieveError(L36)</f>
        <v/>
      </c>
      <c r="N36" s="123"/>
    </row>
    <row r="37" spans="1:14" x14ac:dyDescent="0.2">
      <c r="A37" s="110"/>
      <c r="B37" s="128"/>
      <c r="C37" s="128" t="str">
        <f t="shared" si="3"/>
        <v>0D</v>
      </c>
      <c r="D37" s="128" t="s">
        <v>4</v>
      </c>
      <c r="E37" s="128" t="str">
        <f t="shared" si="4"/>
        <v>AM</v>
      </c>
      <c r="F37" s="128" t="str">
        <f t="shared" si="5"/>
        <v>1L</v>
      </c>
      <c r="G37" s="129" t="s">
        <v>102</v>
      </c>
      <c r="H37" s="133" t="s">
        <v>101</v>
      </c>
      <c r="I37" s="133" t="str">
        <f t="shared" si="0"/>
        <v>Actual/360</v>
      </c>
      <c r="J37" s="130" t="str">
        <f t="shared" si="1"/>
        <v>USD3L1L30Y_Quote</v>
      </c>
      <c r="K37" s="131" t="str">
        <f t="shared" si="2"/>
        <v>USDAM3L30Y_Quote</v>
      </c>
      <c r="L37" s="132" t="str">
        <f>_xll.qlSwapRateHelper2(,$K37,,$D37,Calendar,$G37,$H37,$I37,$L$3,$J37,C37,Discounting,Permanent,,ObjectOverwrite)</f>
        <v>obj_005c3#0002</v>
      </c>
      <c r="M37" s="136" t="str">
        <f>_xll.ohRangeRetrieveError(L37)</f>
        <v/>
      </c>
      <c r="N37" s="123"/>
    </row>
    <row r="38" spans="1:14" x14ac:dyDescent="0.2">
      <c r="A38" s="110"/>
      <c r="B38" s="128"/>
      <c r="C38" s="128" t="str">
        <f t="shared" si="3"/>
        <v>0D</v>
      </c>
      <c r="D38" s="128" t="s">
        <v>3</v>
      </c>
      <c r="E38" s="128" t="str">
        <f t="shared" si="4"/>
        <v>AM</v>
      </c>
      <c r="F38" s="128" t="str">
        <f t="shared" si="5"/>
        <v>1L</v>
      </c>
      <c r="G38" s="129" t="s">
        <v>102</v>
      </c>
      <c r="H38" s="133" t="s">
        <v>101</v>
      </c>
      <c r="I38" s="133" t="str">
        <f t="shared" si="0"/>
        <v>Actual/360</v>
      </c>
      <c r="J38" s="130" t="str">
        <f t="shared" si="1"/>
        <v>USD3L1L35Y_Quote</v>
      </c>
      <c r="K38" s="131" t="str">
        <f t="shared" si="2"/>
        <v>USDAM3L35Y_Quote</v>
      </c>
      <c r="L38" s="132" t="str">
        <f>_xll.qlSwapRateHelper2(,$K38,,$D38,Calendar,$G38,$H38,$I38,$L$3,$J38,C38,Discounting,Permanent,,ObjectOverwrite)</f>
        <v>obj_005c0#0002</v>
      </c>
      <c r="M38" s="136" t="str">
        <f>_xll.ohRangeRetrieveError(L38)</f>
        <v/>
      </c>
      <c r="N38" s="123"/>
    </row>
    <row r="39" spans="1:14" x14ac:dyDescent="0.2">
      <c r="A39" s="110"/>
      <c r="B39" s="128"/>
      <c r="C39" s="128" t="str">
        <f t="shared" si="3"/>
        <v>0D</v>
      </c>
      <c r="D39" s="128" t="s">
        <v>2</v>
      </c>
      <c r="E39" s="128" t="str">
        <f t="shared" si="4"/>
        <v>AM</v>
      </c>
      <c r="F39" s="128" t="str">
        <f t="shared" si="5"/>
        <v>1L</v>
      </c>
      <c r="G39" s="129" t="s">
        <v>102</v>
      </c>
      <c r="H39" s="133" t="s">
        <v>101</v>
      </c>
      <c r="I39" s="133" t="str">
        <f t="shared" si="0"/>
        <v>Actual/360</v>
      </c>
      <c r="J39" s="130" t="str">
        <f t="shared" si="1"/>
        <v>USD3L1L40Y_Quote</v>
      </c>
      <c r="K39" s="131" t="str">
        <f t="shared" si="2"/>
        <v>USDAM3L40Y_Quote</v>
      </c>
      <c r="L39" s="132" t="str">
        <f>_xll.qlSwapRateHelper2(,$K39,,$D39,Calendar,$G39,$H39,$I39,$L$3,$J39,C39,Discounting,Permanent,,ObjectOverwrite)</f>
        <v>obj_005b9#0002</v>
      </c>
      <c r="M39" s="136" t="str">
        <f>_xll.ohRangeRetrieveError(L39)</f>
        <v/>
      </c>
      <c r="N39" s="123"/>
    </row>
    <row r="40" spans="1:14" x14ac:dyDescent="0.2">
      <c r="A40" s="110"/>
      <c r="B40" s="128"/>
      <c r="C40" s="128" t="str">
        <f t="shared" si="3"/>
        <v>0D</v>
      </c>
      <c r="D40" s="128" t="s">
        <v>1</v>
      </c>
      <c r="E40" s="128" t="str">
        <f t="shared" si="4"/>
        <v>AM</v>
      </c>
      <c r="F40" s="128" t="str">
        <f t="shared" si="5"/>
        <v>1L</v>
      </c>
      <c r="G40" s="129" t="s">
        <v>102</v>
      </c>
      <c r="H40" s="133" t="s">
        <v>101</v>
      </c>
      <c r="I40" s="133" t="str">
        <f t="shared" si="0"/>
        <v>Actual/360</v>
      </c>
      <c r="J40" s="130" t="str">
        <f t="shared" si="1"/>
        <v>USD3L1L50Y_Quote</v>
      </c>
      <c r="K40" s="131" t="str">
        <f t="shared" si="2"/>
        <v>USDAM3L50Y_Quote</v>
      </c>
      <c r="L40" s="132" t="str">
        <f>_xll.qlSwapRateHelper2(,$K40,,$D40,Calendar,$G40,$H40,$I40,$L$3,$J40,C40,Discounting,Permanent,,ObjectOverwrite)</f>
        <v>obj_005b2#0002</v>
      </c>
      <c r="M40" s="136" t="str">
        <f>_xll.ohRangeRetrieveError(L40)</f>
        <v/>
      </c>
      <c r="N40" s="123"/>
    </row>
    <row r="41" spans="1:14" x14ac:dyDescent="0.2">
      <c r="A41" s="110"/>
      <c r="B41" s="128"/>
      <c r="C41" s="128" t="str">
        <f t="shared" si="3"/>
        <v>0D</v>
      </c>
      <c r="D41" s="128" t="s">
        <v>0</v>
      </c>
      <c r="E41" s="128" t="str">
        <f t="shared" si="4"/>
        <v>AM</v>
      </c>
      <c r="F41" s="128" t="str">
        <f t="shared" si="5"/>
        <v>1L</v>
      </c>
      <c r="G41" s="129" t="s">
        <v>102</v>
      </c>
      <c r="H41" s="133" t="s">
        <v>101</v>
      </c>
      <c r="I41" s="133" t="str">
        <f t="shared" si="0"/>
        <v>Actual/360</v>
      </c>
      <c r="J41" s="130" t="str">
        <f t="shared" si="1"/>
        <v>USD3L1L60Y_Quote</v>
      </c>
      <c r="K41" s="131" t="str">
        <f t="shared" si="2"/>
        <v>USDAM3L60Y_Quote</v>
      </c>
      <c r="L41" s="132" t="str">
        <f>_xll.qlSwapRateHelper2(,$K41,,$D41,Calendar,$G41,$H41,$I41,$L$3,$J41,C41,Discounting,Permanent,,ObjectOverwrite)</f>
        <v>obj_005ab#0002</v>
      </c>
      <c r="M41" s="136" t="str">
        <f>_xll.ohRangeRetrieveError(L41)</f>
        <v/>
      </c>
      <c r="N41" s="123"/>
    </row>
    <row r="42" spans="1:14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34"/>
      <c r="M42" s="134"/>
      <c r="N42" s="135"/>
    </row>
  </sheetData>
  <dataValidations count="2">
    <dataValidation type="list" allowBlank="1" showInputMessage="1" showErrorMessage="1" sqref="H5:H41">
      <formula1>"Following,Modified Following,Preceding,Modified Preceding,Month End Reference,Unadjusted Month End,Unadjusted"</formula1>
    </dataValidation>
    <dataValidation type="list" allowBlank="1" showInputMessage="1" showErrorMessage="1" sqref="G5:G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5.140625" style="159" bestFit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42124</v>
      </c>
      <c r="D3" s="164">
        <v>12</v>
      </c>
      <c r="E3" s="163">
        <f t="shared" ref="E3:E16" si="0">EDATE($Y$19,$D3)</f>
        <v>42504</v>
      </c>
      <c r="F3" s="165">
        <f>IF(D3&lt;=12,1,IF(D3&lt;=24,3,IF(D3&lt;=120,6,IF(D3&lt;=240,12,IF(D3&lt;=360,36,60)))))</f>
        <v>1</v>
      </c>
      <c r="G3" s="166">
        <f>ROUNDDOWN(J3*10,2)/10</f>
        <v>1E-3</v>
      </c>
      <c r="H3" s="167">
        <f>IF(K3-J3&gt;1%,(QUOTIENT(K3*10000,50)+1)*0.5%,(QUOTIENT(K3*10000,10)+1)*0.1%)</f>
        <v>8.0000000000000002E-3</v>
      </c>
      <c r="I3" s="168">
        <f>IF(H3-G3&lt;0.5%,0.05%,IF(H3-G3&lt;1%,0.1%,IF(H3-G3&lt;2%,0.25%,0.5%)))</f>
        <v>1E-3</v>
      </c>
      <c r="J3" s="167">
        <f>MIN(_xll.ohPack($Z$19:INDEX($Z$19:$Z$3552,MATCH(E3+1,$Y$19:$Y$3552,1),1)))</f>
        <v>1.805049005998427E-3</v>
      </c>
      <c r="K3" s="168">
        <f>MAX(_xll.ohPack($Z$19:INDEX($Z$19:$Z$3552,MATCH(E3+1,$Y$19:$Y$3552,1),1)))</f>
        <v>7.4961829627938304E-3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42094</v>
      </c>
      <c r="D4" s="164">
        <v>24</v>
      </c>
      <c r="E4" s="163">
        <f t="shared" si="0"/>
        <v>42869</v>
      </c>
      <c r="F4" s="165">
        <f t="shared" ref="F4:F16" si="1">IF(D4&lt;=12,1,IF(D4&lt;=24,3,IF(D4&lt;=120,6,IF(D4&lt;=240,12,IF(D4&lt;=360,36,60)))))</f>
        <v>3</v>
      </c>
      <c r="G4" s="166">
        <f t="shared" ref="G4:G16" si="2">ROUNDDOWN(J4*10,2)/10</f>
        <v>1E-3</v>
      </c>
      <c r="H4" s="167">
        <f t="shared" ref="H4:H16" si="3">IF(K4-J4&gt;1%,(QUOTIENT(K4*10000,50)+1)*0.5%,(QUOTIENT(K4*10000,10)+1)*0.1%)</f>
        <v>0.02</v>
      </c>
      <c r="I4" s="168">
        <f t="shared" ref="I4:I16" si="4">IF(H4-G4&lt;0.5%,0.05%,IF(H4-G4&lt;1%,0.1%,IF(H4-G4&lt;2%,0.25%,0.5%)))</f>
        <v>2.5000000000000001E-3</v>
      </c>
      <c r="J4" s="167">
        <f>MIN(_xll.ohPack($Z$19:INDEX($Z$19:$Z$3552,MATCH(E4+1,$Y$19:$Y$3552,1),1)))</f>
        <v>1.805049005998427E-3</v>
      </c>
      <c r="K4" s="168">
        <f>MAX(_xll.ohPack($Z$19:INDEX($Z$19:$Z$3552,MATCH(E4+1,$Y$19:$Y$3552,1),1)))</f>
        <v>1.5709994465687025E-2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64">
        <v>60</v>
      </c>
      <c r="E5" s="163">
        <f t="shared" si="0"/>
        <v>43965</v>
      </c>
      <c r="F5" s="165">
        <f t="shared" si="1"/>
        <v>6</v>
      </c>
      <c r="G5" s="166">
        <f t="shared" si="2"/>
        <v>1E-3</v>
      </c>
      <c r="H5" s="167">
        <f t="shared" si="3"/>
        <v>0.03</v>
      </c>
      <c r="I5" s="168">
        <f t="shared" si="4"/>
        <v>5.0000000000000001E-3</v>
      </c>
      <c r="J5" s="167">
        <f>MIN(_xll.ohPack($Z$19:INDEX($Z$19:$Z$3552,MATCH(E5+1,$Y$19:$Y$3552,1),1)))</f>
        <v>1.805049005998427E-3</v>
      </c>
      <c r="K5" s="168">
        <f>MAX(_xll.ohPack($Z$19:INDEX($Z$19:$Z$3552,MATCH(E5+1,$Y$19:$Y$3552,1),1)))</f>
        <v>2.6168103565865353E-2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42004</v>
      </c>
      <c r="D6" s="164">
        <v>120</v>
      </c>
      <c r="E6" s="163">
        <f t="shared" si="0"/>
        <v>45791</v>
      </c>
      <c r="F6" s="165">
        <f t="shared" si="1"/>
        <v>6</v>
      </c>
      <c r="G6" s="166">
        <f t="shared" si="2"/>
        <v>1E-3</v>
      </c>
      <c r="H6" s="167">
        <f t="shared" si="3"/>
        <v>3.5000000000000003E-2</v>
      </c>
      <c r="I6" s="168">
        <f t="shared" si="4"/>
        <v>5.0000000000000001E-3</v>
      </c>
      <c r="J6" s="167">
        <f>MIN(_xll.ohPack($Z$19:INDEX($Z$19:$Z$3552,MATCH(E6+1,$Y$19:$Y$3552,1),1)))</f>
        <v>1.805049005998427E-3</v>
      </c>
      <c r="K6" s="168">
        <f>MAX(_xll.ohPack($Z$19:INDEX($Z$19:$Z$3552,MATCH(E6+1,$Y$19:$Y$3552,1),1)))</f>
        <v>3.0314634947914698E-2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42004</v>
      </c>
      <c r="D7" s="164">
        <v>240</v>
      </c>
      <c r="E7" s="163">
        <f t="shared" si="0"/>
        <v>49443</v>
      </c>
      <c r="F7" s="165">
        <f t="shared" si="1"/>
        <v>12</v>
      </c>
      <c r="G7" s="166">
        <f t="shared" si="2"/>
        <v>1E-3</v>
      </c>
      <c r="H7" s="167">
        <f t="shared" si="3"/>
        <v>3.5000000000000003E-2</v>
      </c>
      <c r="I7" s="168">
        <f t="shared" si="4"/>
        <v>5.0000000000000001E-3</v>
      </c>
      <c r="J7" s="167">
        <f>MIN(_xll.ohPack($Z$19:INDEX($Z$19:$Z$3552,MATCH(E7+1,$Y$19:$Y$3552,1),1)))</f>
        <v>1.805049005998427E-3</v>
      </c>
      <c r="K7" s="168">
        <f>MAX(_xll.ohPack($Z$19:INDEX($Z$19:$Z$3552,MATCH(E7+1,$Y$19:$Y$3552,1),1)))</f>
        <v>3.1115302782987186E-2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42004</v>
      </c>
      <c r="D8" s="164">
        <v>360</v>
      </c>
      <c r="E8" s="163">
        <f t="shared" si="0"/>
        <v>53096</v>
      </c>
      <c r="F8" s="165">
        <f t="shared" si="1"/>
        <v>36</v>
      </c>
      <c r="G8" s="166">
        <f t="shared" si="2"/>
        <v>1E-3</v>
      </c>
      <c r="H8" s="167">
        <f t="shared" si="3"/>
        <v>3.5000000000000003E-2</v>
      </c>
      <c r="I8" s="168">
        <f t="shared" si="4"/>
        <v>5.0000000000000001E-3</v>
      </c>
      <c r="J8" s="167">
        <f>MIN(_xll.ohPack($Z$19:INDEX($Z$19:$Z$3552,MATCH(E8+1,$Y$19:$Y$3552,1),1)))</f>
        <v>1.805049005998427E-3</v>
      </c>
      <c r="K8" s="168">
        <f>MAX(_xll.ohPack($Z$19:INDEX($Z$19:$Z$3552,MATCH(E8+1,$Y$19:$Y$3552,1),1)))</f>
        <v>3.1115302782987186E-2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42004</v>
      </c>
      <c r="D9" s="164">
        <f>60*12</f>
        <v>720</v>
      </c>
      <c r="E9" s="163">
        <f t="shared" si="0"/>
        <v>64053</v>
      </c>
      <c r="F9" s="165">
        <f t="shared" si="1"/>
        <v>60</v>
      </c>
      <c r="G9" s="166">
        <f t="shared" si="2"/>
        <v>1E-3</v>
      </c>
      <c r="H9" s="167">
        <f t="shared" si="3"/>
        <v>3.5000000000000003E-2</v>
      </c>
      <c r="I9" s="168">
        <f t="shared" si="4"/>
        <v>5.0000000000000001E-3</v>
      </c>
      <c r="J9" s="167">
        <f>MIN(_xll.ohPack($Z$19:INDEX($Z$19:$Z$3552,MATCH(E9+1,$Y$19:$Y$3552,1),1)))</f>
        <v>1.805049005998427E-3</v>
      </c>
      <c r="K9" s="168">
        <f>MAX(_xll.ohPack($Z$19:INDEX($Z$19:$Z$3552,MATCH(E9+1,$Y$19:$Y$3552,1),1)))</f>
        <v>3.1115302782987186E-2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42124</v>
      </c>
      <c r="D10" s="174">
        <v>12</v>
      </c>
      <c r="E10" s="173">
        <f t="shared" si="0"/>
        <v>42504</v>
      </c>
      <c r="F10" s="175">
        <f t="shared" si="1"/>
        <v>1</v>
      </c>
      <c r="G10" s="176">
        <f t="shared" si="2"/>
        <v>1E-3</v>
      </c>
      <c r="H10" s="177">
        <f t="shared" si="3"/>
        <v>8.0000000000000002E-3</v>
      </c>
      <c r="I10" s="178">
        <f t="shared" si="4"/>
        <v>1E-3</v>
      </c>
      <c r="J10" s="177">
        <f>MIN(_xll.ohPack($AA$19:INDEX($AA$19:$AA$3552,MATCH(E10+1,$Y$19:$Y$3552,1),1)))</f>
        <v>1.7898963332285689E-3</v>
      </c>
      <c r="K10" s="178">
        <f>MAX(_xll.ohPack($AA$19:INDEX($AA$19:$AA$3552,MATCH(E10+1,$Y$19:$Y$3552,1),1)))</f>
        <v>7.2026990965134985E-3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42094</v>
      </c>
      <c r="D11" s="164">
        <v>24</v>
      </c>
      <c r="E11" s="163">
        <f t="shared" si="0"/>
        <v>42869</v>
      </c>
      <c r="F11" s="165">
        <f t="shared" si="1"/>
        <v>3</v>
      </c>
      <c r="G11" s="166">
        <f t="shared" si="2"/>
        <v>1E-3</v>
      </c>
      <c r="H11" s="167">
        <f t="shared" si="3"/>
        <v>0.02</v>
      </c>
      <c r="I11" s="168">
        <f t="shared" si="4"/>
        <v>2.5000000000000001E-3</v>
      </c>
      <c r="J11" s="167">
        <f>MIN(_xll.ohPack($AA$19:INDEX($AA$19:$AA$3552,MATCH(E11+1,$Y$19:$Y$3552,1),1)))</f>
        <v>1.7898963332285689E-3</v>
      </c>
      <c r="K11" s="168">
        <f>MAX(_xll.ohPack($AA$19:INDEX($AA$19:$AA$3552,MATCH(E11+1,$Y$19:$Y$3552,1),1)))</f>
        <v>1.5461288593261457E-2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42004</v>
      </c>
      <c r="D12" s="164">
        <v>60</v>
      </c>
      <c r="E12" s="163">
        <f t="shared" si="0"/>
        <v>43965</v>
      </c>
      <c r="F12" s="165">
        <f t="shared" si="1"/>
        <v>6</v>
      </c>
      <c r="G12" s="166">
        <f t="shared" si="2"/>
        <v>1E-3</v>
      </c>
      <c r="H12" s="167">
        <f t="shared" si="3"/>
        <v>0.03</v>
      </c>
      <c r="I12" s="168">
        <f t="shared" si="4"/>
        <v>5.0000000000000001E-3</v>
      </c>
      <c r="J12" s="167">
        <f>MIN(_xll.ohPack($AA$19:INDEX($AA$19:$AA$3552,MATCH(E12+1,$Y$19:$Y$3552,1),1)))</f>
        <v>1.7898963332285689E-3</v>
      </c>
      <c r="K12" s="168">
        <f>MAX(_xll.ohPack($AA$19:INDEX($AA$19:$AA$3552,MATCH(E12+1,$Y$19:$Y$3552,1),1)))</f>
        <v>2.607741250090001E-2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42004</v>
      </c>
      <c r="D13" s="164">
        <v>120</v>
      </c>
      <c r="E13" s="163">
        <f t="shared" si="0"/>
        <v>45791</v>
      </c>
      <c r="F13" s="165">
        <f t="shared" si="1"/>
        <v>6</v>
      </c>
      <c r="G13" s="166">
        <f t="shared" si="2"/>
        <v>1E-3</v>
      </c>
      <c r="H13" s="167">
        <f t="shared" si="3"/>
        <v>3.5000000000000003E-2</v>
      </c>
      <c r="I13" s="168">
        <f t="shared" si="4"/>
        <v>5.0000000000000001E-3</v>
      </c>
      <c r="J13" s="167">
        <f>MIN(_xll.ohPack($AA$19:INDEX($AA$19:$AA$3552,MATCH(E13+1,$Y$19:$Y$3552,1),1)))</f>
        <v>1.7898963332285689E-3</v>
      </c>
      <c r="K13" s="168">
        <f>MAX(_xll.ohPack($AA$19:INDEX($AA$19:$AA$3552,MATCH(E13+1,$Y$19:$Y$3552,1),1)))</f>
        <v>3.0241774539305766E-2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42004</v>
      </c>
      <c r="D14" s="164">
        <v>240</v>
      </c>
      <c r="E14" s="163">
        <f t="shared" si="0"/>
        <v>49443</v>
      </c>
      <c r="F14" s="165">
        <f t="shared" si="1"/>
        <v>12</v>
      </c>
      <c r="G14" s="166">
        <f t="shared" si="2"/>
        <v>1E-3</v>
      </c>
      <c r="H14" s="167">
        <f t="shared" si="3"/>
        <v>3.5000000000000003E-2</v>
      </c>
      <c r="I14" s="168">
        <f t="shared" si="4"/>
        <v>5.0000000000000001E-3</v>
      </c>
      <c r="J14" s="167">
        <f>MIN(_xll.ohPack($AA$19:INDEX($AA$19:$AA$3552,MATCH(E14+1,$Y$19:$Y$3552,1),1)))</f>
        <v>1.7898963332285689E-3</v>
      </c>
      <c r="K14" s="168">
        <f>MAX(_xll.ohPack($AA$19:INDEX($AA$19:$AA$3552,MATCH(E14+1,$Y$19:$Y$3552,1),1)))</f>
        <v>3.1073894232456212E-2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42004</v>
      </c>
      <c r="D15" s="164">
        <v>360</v>
      </c>
      <c r="E15" s="163">
        <f t="shared" si="0"/>
        <v>53096</v>
      </c>
      <c r="F15" s="165">
        <f t="shared" si="1"/>
        <v>36</v>
      </c>
      <c r="G15" s="166">
        <f t="shared" si="2"/>
        <v>1E-3</v>
      </c>
      <c r="H15" s="167">
        <f t="shared" si="3"/>
        <v>3.5000000000000003E-2</v>
      </c>
      <c r="I15" s="168">
        <f t="shared" si="4"/>
        <v>5.0000000000000001E-3</v>
      </c>
      <c r="J15" s="167">
        <f>MIN(_xll.ohPack($AA$19:INDEX($AA$19:$AA$3552,MATCH(E15+1,$Y$19:$Y$3552,1),1)))</f>
        <v>1.7898963332285689E-3</v>
      </c>
      <c r="K15" s="168">
        <f>MAX(_xll.ohPack($AA$19:INDEX($AA$19:$AA$3552,MATCH(E15+1,$Y$19:$Y$3552,1),1)))</f>
        <v>3.1073894232456212E-2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42004</v>
      </c>
      <c r="D16" s="164">
        <v>720</v>
      </c>
      <c r="E16" s="163">
        <f t="shared" si="0"/>
        <v>64053</v>
      </c>
      <c r="F16" s="165">
        <f t="shared" si="1"/>
        <v>60</v>
      </c>
      <c r="G16" s="166">
        <f t="shared" si="2"/>
        <v>1E-3</v>
      </c>
      <c r="H16" s="167">
        <f t="shared" si="3"/>
        <v>3.5000000000000003E-2</v>
      </c>
      <c r="I16" s="168">
        <f t="shared" si="4"/>
        <v>5.0000000000000001E-3</v>
      </c>
      <c r="J16" s="167">
        <f>MIN(_xll.ohPack($AA$19:INDEX($AA$19:$AA$3552,MATCH(E16+1,$Y$19:$Y$3552,1),1)))</f>
        <v>1.7898963332285689E-3</v>
      </c>
      <c r="K16" s="168">
        <f>MAX(_xll.ohPack($AA$19:INDEX($AA$19:$AA$3552,MATCH(E16+1,$Y$19:$Y$3552,1),1)))</f>
        <v>3.1073894232456212E-2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str">
        <f>_xll.qlLibor(,Currency,IndexTenor,YieldCurve,,YieldCurve)</f>
        <v>obj_005d1#0002</v>
      </c>
      <c r="AA17" s="184" t="str">
        <f>_xll.qlOvernightIndex(,FamilyName,NDays,Currency,Calendar,MoneyMarketDayCounter,YieldCurve)</f>
        <v>obj_005d0#0002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 t="str">
        <f t="array" ref="M19:M30">_xll.ohFilter(RateHelpers!B4:B14,IF(ISERROR(RateHelpers!D4:D14),FALSE,TRUE))</f>
        <v>obj_0059f#0002</v>
      </c>
      <c r="N19" s="193" t="str">
        <f>_xll.qlRateHelperQuoteName(M19)</f>
        <v>USD2X1S_Quote</v>
      </c>
      <c r="O19" s="194">
        <f>_xll.qlRateHelperLatestDate(M19,Trigger)</f>
        <v>42199</v>
      </c>
      <c r="P19" s="210">
        <f>_xll.qlRateHelperQuoteValue(M19,_xll.ohTrigger(RecalcTrigger,YieldCurve))</f>
        <v>1.8699999999999999E-3</v>
      </c>
      <c r="Q19" s="211" t="str">
        <f>SUBSTITUTE(SUBSTITUTE(N19,"X1S_Quote","M"),"USD","")</f>
        <v>2M</v>
      </c>
      <c r="R19" s="183" t="str">
        <f>_xll.qlSwapIndex(,FamilyName,Q19,NDays,Currency,Calendar,"1Y","modified following",MoneyMarketDayCounter,IborIndex,Discounting,,_xll.ohTrigger(Trigger,RecalcTrigger))</f>
        <v>obj_005d6#0003</v>
      </c>
      <c r="S19" s="212">
        <f>_xll.qlIndexFixing(R19,$X$19,TRUE,Trigger)</f>
        <v>1.8456975668555205E-3</v>
      </c>
      <c r="T19" s="195">
        <f t="shared" ref="T19:T23" si="6">S19-P19</f>
        <v>-2.4302433144479402E-5</v>
      </c>
      <c r="U19" s="196">
        <f t="array" ref="U19">MAX(ABS(_xll.ohFilter(T19:T30,IF(ISERROR(T19:T30),FALSE,TRUE))))</f>
        <v>5.357846411910218E-5</v>
      </c>
      <c r="V19" s="197"/>
      <c r="W19" s="193" t="s">
        <v>153</v>
      </c>
      <c r="X19" s="198">
        <f>_xll.qlSettingsEvaluationDate(Trigger)</f>
        <v>42136</v>
      </c>
      <c r="Y19" s="198">
        <f>_xll.qlInterestRateIndexValueDate(IborIndex,X19,Trigger)</f>
        <v>42138</v>
      </c>
      <c r="Z19" s="199">
        <f t="array" ref="Z19:Z3552">IFERROR(_xll.qlIndexFixing(IborIndex,X19:X3552,TRUE,RecalcTrigger),NA())</f>
        <v>1.8560000000014676E-3</v>
      </c>
      <c r="AA19" s="201">
        <f t="array" ref="AA19:AA3552">IFERROR(_xll.qlIndexFixing(OverNightIndex,Y19:Y3552,TRUE,RecalcTrigger),NA())</f>
        <v>1.9475366799248661E-3</v>
      </c>
    </row>
    <row r="20" spans="1:27" ht="12" thickBot="1" x14ac:dyDescent="0.25">
      <c r="J20" s="203"/>
      <c r="M20" s="204" t="str">
        <v>obj_005a3#0002</v>
      </c>
      <c r="N20" s="193" t="str">
        <f>_xll.qlRateHelperQuoteName(M20)</f>
        <v>USD3X1S_Quote</v>
      </c>
      <c r="O20" s="194">
        <f>_xll.qlRateHelperLatestDate(M20,Trigger)</f>
        <v>42230</v>
      </c>
      <c r="P20" s="210">
        <f>_xll.qlRateHelperQuoteValue(M20,_xll.ohTrigger(RecalcTrigger,YieldCurve))</f>
        <v>1.9E-3</v>
      </c>
      <c r="Q20" s="211" t="str">
        <f t="shared" ref="Q20:Q30" si="7">SUBSTITUTE(SUBSTITUTE(N20,"X1S_Quote","M"),"USD","")</f>
        <v>3M</v>
      </c>
      <c r="R20" s="183" t="str">
        <f>_xll.qlSwapIndex(,FamilyName,Q20,NDays,Currency,Calendar,"1Y","modified following",MoneyMarketDayCounter,IborIndex,Discounting,,_xll.ohTrigger(Trigger,RecalcTrigger))</f>
        <v>obj_005dc#0003</v>
      </c>
      <c r="S20" s="212">
        <f>_xll.qlIndexFixing(R20,$X$19,TRUE,Trigger)</f>
        <v>1.8999999999604333E-3</v>
      </c>
      <c r="T20" s="195">
        <f t="shared" si="6"/>
        <v>-3.9566657242251502E-14</v>
      </c>
      <c r="W20" s="193" t="str">
        <f>W19</f>
        <v>1D</v>
      </c>
      <c r="X20" s="194">
        <f>_xll.qlCalendarAdvance(LiborCalendar,X19,W20,"f",FALSE)</f>
        <v>42137</v>
      </c>
      <c r="Y20" s="198">
        <f>_xll.qlInterestRateIndexValueDate(IborIndex,X20,Trigger)</f>
        <v>42139</v>
      </c>
      <c r="Z20" s="199">
        <v>1.8524836099575645E-3</v>
      </c>
      <c r="AA20" s="201">
        <v>1.9389576780159956E-3</v>
      </c>
    </row>
    <row r="21" spans="1:27" ht="12" thickBot="1" x14ac:dyDescent="0.25">
      <c r="M21" s="204" t="str">
        <v>obj_005a1#0002</v>
      </c>
      <c r="N21" s="193" t="str">
        <f>_xll.qlRateHelperQuoteName(M21)</f>
        <v>USD4X1S_Quote</v>
      </c>
      <c r="O21" s="194">
        <f>_xll.qlRateHelperLatestDate(M21,Trigger)</f>
        <v>42261</v>
      </c>
      <c r="P21" s="210">
        <f>_xll.qlRateHelperQuoteValue(M21,_xll.ohTrigger(RecalcTrigger,YieldCurve))</f>
        <v>1.9500000000000001E-3</v>
      </c>
      <c r="Q21" s="211" t="str">
        <f t="shared" si="7"/>
        <v>4M</v>
      </c>
      <c r="R21" s="183" t="str">
        <f>_xll.qlSwapIndex(,FamilyName,Q21,NDays,Currency,Calendar,"1Y","modified following",MoneyMarketDayCounter,IborIndex,Discounting,,_xll.ohTrigger(Trigger,RecalcTrigger))</f>
        <v>obj_005d3#0003</v>
      </c>
      <c r="S21" s="212">
        <f>_xll.qlIndexFixing(R21,$X$19,TRUE,Trigger)</f>
        <v>2.0035784641191023E-3</v>
      </c>
      <c r="T21" s="195">
        <f t="shared" si="6"/>
        <v>5.357846411910218E-5</v>
      </c>
      <c r="W21" s="193" t="str">
        <f t="shared" ref="W21:W84" si="8">W20</f>
        <v>1D</v>
      </c>
      <c r="X21" s="194">
        <f>_xll.qlCalendarAdvance(LiborCalendar,X20,W21,"f",FALSE)</f>
        <v>42138</v>
      </c>
      <c r="Y21" s="198">
        <f>_xll.qlInterestRateIndexValueDate(IborIndex,X21,Trigger)</f>
        <v>42142</v>
      </c>
      <c r="Z21" s="199">
        <v>1.8365551652214705E-3</v>
      </c>
      <c r="AA21" s="201">
        <v>1.9286628759651592E-3</v>
      </c>
    </row>
    <row r="22" spans="1:27" ht="23.25" thickBot="1" x14ac:dyDescent="0.25">
      <c r="J22" s="220" t="s">
        <v>163</v>
      </c>
      <c r="M22" s="204" t="str">
        <v>obj_005a9#0002</v>
      </c>
      <c r="N22" s="193" t="str">
        <f>_xll.qlRateHelperQuoteName(M22)</f>
        <v>USD5X1S_Quote</v>
      </c>
      <c r="O22" s="194">
        <f>_xll.qlRateHelperLatestDate(M22,Trigger)</f>
        <v>42291</v>
      </c>
      <c r="P22" s="210">
        <f>_xll.qlRateHelperQuoteValue(M22,_xll.ohTrigger(RecalcTrigger,YieldCurve))</f>
        <v>2.1300000000000004E-3</v>
      </c>
      <c r="Q22" s="211" t="str">
        <f t="shared" si="7"/>
        <v>5M</v>
      </c>
      <c r="R22" s="183" t="str">
        <f>_xll.qlSwapIndex(,FamilyName,Q22,NDays,Currency,Calendar,"1Y","modified following",MoneyMarketDayCounter,IborIndex,Discounting,,_xll.ohTrigger(Trigger,RecalcTrigger))</f>
        <v>obj_005d9#0003</v>
      </c>
      <c r="S22" s="212">
        <f>_xll.qlIndexFixing(R22,$X$19,TRUE,Trigger)</f>
        <v>2.1412334337220303E-3</v>
      </c>
      <c r="T22" s="195">
        <f t="shared" si="6"/>
        <v>1.1233433722029895E-5</v>
      </c>
      <c r="U22" s="206"/>
      <c r="W22" s="193" t="str">
        <f t="shared" si="8"/>
        <v>1D</v>
      </c>
      <c r="X22" s="194">
        <f>_xll.qlCalendarAdvance(LiborCalendar,X21,W22,"f",FALSE)</f>
        <v>42139</v>
      </c>
      <c r="Y22" s="198">
        <f>_xll.qlInterestRateIndexValueDate(IborIndex,X22,Trigger)</f>
        <v>42143</v>
      </c>
      <c r="Z22" s="199">
        <v>1.8317346752761941E-3</v>
      </c>
      <c r="AA22" s="201">
        <v>1.91702849354769E-3</v>
      </c>
    </row>
    <row r="23" spans="1:27" ht="12" thickBot="1" x14ac:dyDescent="0.25">
      <c r="J23" s="219" t="str">
        <f>ROUNDDOWN((_xll.qlTermStructureMaxDate(YieldCurve,Trigger)-_xll.qlTermStructureReferenceDate(YieldCurve,Trigger))/365,)&amp;"Y"</f>
        <v>50Y</v>
      </c>
      <c r="M23" s="204" t="str">
        <v>obj_005a8#0002</v>
      </c>
      <c r="N23" s="193" t="str">
        <f>_xll.qlRateHelperQuoteName(M23)</f>
        <v>USD6X1S_Quote</v>
      </c>
      <c r="O23" s="194">
        <f>_xll.qlRateHelperLatestDate(M23,Trigger)</f>
        <v>42324</v>
      </c>
      <c r="P23" s="210">
        <f>_xll.qlRateHelperQuoteValue(M23,_xll.ohTrigger(RecalcTrigger,YieldCurve))</f>
        <v>2.33E-3</v>
      </c>
      <c r="Q23" s="211" t="str">
        <f t="shared" si="7"/>
        <v>6M</v>
      </c>
      <c r="R23" s="183" t="str">
        <f>_xll.qlSwapIndex(,FamilyName,Q23,NDays,Currency,Calendar,"1Y","modified following",MoneyMarketDayCounter,IborIndex,Discounting,,_xll.ohTrigger(Trigger,RecalcTrigger))</f>
        <v>obj_005d8#0003</v>
      </c>
      <c r="S23" s="212">
        <f>_xll.qlIndexFixing(R23,$X$19,TRUE,Trigger)</f>
        <v>2.329999998917396E-3</v>
      </c>
      <c r="T23" s="195">
        <f t="shared" si="6"/>
        <v>-1.0826040584832608E-12</v>
      </c>
      <c r="W23" s="193" t="str">
        <f t="shared" si="8"/>
        <v>1D</v>
      </c>
      <c r="X23" s="194">
        <f>_xll.qlCalendarAdvance(LiborCalendar,X22,W23,"f",FALSE)</f>
        <v>42142</v>
      </c>
      <c r="Y23" s="198">
        <f>_xll.qlInterestRateIndexValueDate(IborIndex,X23,Trigger)</f>
        <v>42144</v>
      </c>
      <c r="Z23" s="199">
        <v>1.8258450728330707E-3</v>
      </c>
      <c r="AA23" s="201">
        <v>1.8897244548576886E-3</v>
      </c>
    </row>
    <row r="24" spans="1:27" x14ac:dyDescent="0.2">
      <c r="M24" s="204" t="str">
        <v>obj_005a7#0002</v>
      </c>
      <c r="N24" s="193" t="str">
        <f>_xll.qlRateHelperQuoteName(M24)</f>
        <v>USD7X1S_Quote</v>
      </c>
      <c r="O24" s="194">
        <f>_xll.qlRateHelperLatestDate(M24,Trigger)</f>
        <v>42352</v>
      </c>
      <c r="P24" s="210">
        <f>_xll.qlRateHelperQuoteValue(M24,_xll.ohTrigger(RecalcTrigger,YieldCurve))</f>
        <v>2.47E-3</v>
      </c>
      <c r="Q24" s="211" t="str">
        <f t="shared" si="7"/>
        <v>7M</v>
      </c>
      <c r="R24" s="183" t="str">
        <f>_xll.qlSwapIndex(,FamilyName,Q24,NDays,Currency,Calendar,"1Y","modified following",MoneyMarketDayCounter,IborIndex,Discounting,,_xll.ohTrigger(Trigger,RecalcTrigger))</f>
        <v>obj_005db#0003</v>
      </c>
      <c r="S24" s="212">
        <f>_xll.qlIndexFixing(R24,$X$19,TRUE,Trigger)</f>
        <v>2.517277779758072E-3</v>
      </c>
      <c r="T24" s="195">
        <f>S24-P24</f>
        <v>4.7277779758071996E-5</v>
      </c>
      <c r="W24" s="193" t="str">
        <f t="shared" si="8"/>
        <v>1D</v>
      </c>
      <c r="X24" s="194">
        <f>_xll.qlCalendarAdvance(LiborCalendar,X23,W24,"f",FALSE)</f>
        <v>42143</v>
      </c>
      <c r="Y24" s="198">
        <f>_xll.qlInterestRateIndexValueDate(IborIndex,X24,Trigger)</f>
        <v>42145</v>
      </c>
      <c r="Z24" s="199">
        <v>1.8226222519734936E-3</v>
      </c>
      <c r="AA24" s="201">
        <v>1.865098245046326E-3</v>
      </c>
    </row>
    <row r="25" spans="1:27" x14ac:dyDescent="0.2">
      <c r="M25" s="204" t="str">
        <v>obj_005a6#0002</v>
      </c>
      <c r="N25" s="193" t="str">
        <f>_xll.qlRateHelperQuoteName(M25)</f>
        <v>USD8X1S_Quote</v>
      </c>
      <c r="O25" s="194">
        <f>_xll.qlRateHelperLatestDate(M25,Trigger)</f>
        <v>42383</v>
      </c>
      <c r="P25" s="210">
        <f>_xll.qlRateHelperQuoteValue(M25,_xll.ohTrigger(RecalcTrigger,YieldCurve))</f>
        <v>2.7200000000000002E-3</v>
      </c>
      <c r="Q25" s="211" t="str">
        <f t="shared" si="7"/>
        <v>8M</v>
      </c>
      <c r="R25" s="183" t="str">
        <f>_xll.qlSwapIndex(,FamilyName,Q25,NDays,Currency,Calendar,"1Y","modified following",MoneyMarketDayCounter,IborIndex,Discounting,,_xll.ohTrigger(Trigger,RecalcTrigger))</f>
        <v>obj_005d5#0003</v>
      </c>
      <c r="S25" s="212">
        <f>_xll.qlIndexFixing(R25,$X$19,TRUE,Trigger)</f>
        <v>2.7436974366991753E-3</v>
      </c>
      <c r="T25" s="195">
        <f t="shared" ref="T25:T30" si="9">S25-P25</f>
        <v>2.3697436699175126E-5</v>
      </c>
      <c r="W25" s="193" t="str">
        <f t="shared" si="8"/>
        <v>1D</v>
      </c>
      <c r="X25" s="194">
        <f>_xll.qlCalendarAdvance(LiborCalendar,X24,W25,"f",FALSE)</f>
        <v>42144</v>
      </c>
      <c r="Y25" s="198">
        <f>_xll.qlInterestRateIndexValueDate(IborIndex,X25,Trigger)</f>
        <v>42146</v>
      </c>
      <c r="Z25" s="199">
        <v>1.8195672000037039E-3</v>
      </c>
      <c r="AA25" s="201">
        <v>1.8563367473589665E-3</v>
      </c>
    </row>
    <row r="26" spans="1:27" x14ac:dyDescent="0.2">
      <c r="M26" s="204" t="str">
        <v>obj_005a5#0002</v>
      </c>
      <c r="N26" s="193" t="str">
        <f>_xll.qlRateHelperQuoteName(M26)</f>
        <v>USD9X1S_Quote</v>
      </c>
      <c r="O26" s="194">
        <f>_xll.qlRateHelperLatestDate(M26,Trigger)</f>
        <v>42415</v>
      </c>
      <c r="P26" s="210">
        <f>_xll.qlRateHelperQuoteValue(M26,_xll.ohTrigger(RecalcTrigger,YieldCurve))</f>
        <v>2.9900000000000005E-3</v>
      </c>
      <c r="Q26" s="211" t="str">
        <f t="shared" si="7"/>
        <v>9M</v>
      </c>
      <c r="R26" s="183" t="str">
        <f>_xll.qlSwapIndex(,FamilyName,Q26,NDays,Currency,Calendar,"1Y","modified following",MoneyMarketDayCounter,IborIndex,Discounting,,_xll.ohTrigger(Trigger,RecalcTrigger))</f>
        <v>obj_005da#0003</v>
      </c>
      <c r="S26" s="212">
        <f>_xll.qlIndexFixing(R26,$X$19,TRUE,Trigger)</f>
        <v>2.9899999996303005E-3</v>
      </c>
      <c r="T26" s="195">
        <f t="shared" si="9"/>
        <v>-3.6969993039148719E-13</v>
      </c>
      <c r="W26" s="193" t="str">
        <f t="shared" si="8"/>
        <v>1D</v>
      </c>
      <c r="X26" s="194">
        <f>_xll.qlCalendarAdvance(LiborCalendar,X25,W26,"f",FALSE)</f>
        <v>42145</v>
      </c>
      <c r="Y26" s="198">
        <f>_xll.qlInterestRateIndexValueDate(IborIndex,X26,Trigger)</f>
        <v>42150</v>
      </c>
      <c r="Z26" s="199">
        <v>1.8094737039260488E-3</v>
      </c>
      <c r="AA26" s="201">
        <v>1.8481167668227272E-3</v>
      </c>
    </row>
    <row r="27" spans="1:27" x14ac:dyDescent="0.2">
      <c r="M27" s="204" t="str">
        <v>obj_005a4#0002</v>
      </c>
      <c r="N27" s="193" t="str">
        <f>_xll.qlRateHelperQuoteName(M27)</f>
        <v>USD10X1S_Quote</v>
      </c>
      <c r="O27" s="194">
        <f>_xll.qlRateHelperLatestDate(M27,Trigger)</f>
        <v>42443</v>
      </c>
      <c r="P27" s="210">
        <f>_xll.qlRateHelperQuoteValue(M27,_xll.ohTrigger(RecalcTrigger,YieldCurve))</f>
        <v>3.1900000000000001E-3</v>
      </c>
      <c r="Q27" s="211" t="str">
        <f t="shared" si="7"/>
        <v>10M</v>
      </c>
      <c r="R27" s="183" t="str">
        <f>_xll.qlSwapIndex(,FamilyName,Q27,NDays,Currency,Calendar,"1Y","modified following",MoneyMarketDayCounter,IborIndex,Discounting,,_xll.ohTrigger(Trigger,RecalcTrigger))</f>
        <v>obj_005d7#0003</v>
      </c>
      <c r="S27" s="212">
        <f>_xll.qlIndexFixing(R27,$X$19,TRUE,Trigger)</f>
        <v>3.213061454136793E-3</v>
      </c>
      <c r="T27" s="195">
        <f t="shared" si="9"/>
        <v>2.3061454136792843E-5</v>
      </c>
      <c r="W27" s="193" t="str">
        <f t="shared" si="8"/>
        <v>1D</v>
      </c>
      <c r="X27" s="194">
        <f>_xll.qlCalendarAdvance(LiborCalendar,X26,W27,"f",FALSE)</f>
        <v>42146</v>
      </c>
      <c r="Y27" s="198">
        <f>_xll.qlInterestRateIndexValueDate(IborIndex,X27,Trigger)</f>
        <v>42151</v>
      </c>
      <c r="Z27" s="199">
        <v>1.8089574266812812E-3</v>
      </c>
      <c r="AA27" s="201">
        <v>1.8334912010509186E-3</v>
      </c>
    </row>
    <row r="28" spans="1:27" x14ac:dyDescent="0.2">
      <c r="M28" s="204" t="str">
        <v>obj_005a2#0002</v>
      </c>
      <c r="N28" s="193" t="str">
        <f>_xll.qlRateHelperQuoteName(M28)</f>
        <v>USD11X1S_Quote</v>
      </c>
      <c r="O28" s="194">
        <f>_xll.qlRateHelperLatestDate(M28,Trigger)</f>
        <v>42474</v>
      </c>
      <c r="P28" s="210">
        <f>_xll.qlRateHelperQuoteValue(M28,_xll.ohTrigger(RecalcTrigger,YieldCurve))</f>
        <v>3.4699999999999996E-3</v>
      </c>
      <c r="Q28" s="211" t="str">
        <f t="shared" si="7"/>
        <v>11M</v>
      </c>
      <c r="R28" s="183" t="str">
        <f>_xll.qlSwapIndex(,FamilyName,Q28,NDays,Currency,Calendar,"1Y","modified following",MoneyMarketDayCounter,IborIndex,Discounting,,_xll.ohTrigger(Trigger,RecalcTrigger))</f>
        <v>obj_005d4#0003</v>
      </c>
      <c r="S28" s="212">
        <f>_xll.qlIndexFixing(R28,$X$19,TRUE,Trigger)</f>
        <v>3.4728480766318104E-3</v>
      </c>
      <c r="T28" s="195">
        <f t="shared" si="9"/>
        <v>2.8480766318108794E-6</v>
      </c>
      <c r="W28" s="193" t="str">
        <f t="shared" si="8"/>
        <v>1D</v>
      </c>
      <c r="X28" s="194">
        <f>_xll.qlCalendarAdvance(LiborCalendar,X27,W28,"f",FALSE)</f>
        <v>42150</v>
      </c>
      <c r="Y28" s="198">
        <f>_xll.qlInterestRateIndexValueDate(IborIndex,X28,Trigger)</f>
        <v>42152</v>
      </c>
      <c r="Z28" s="199">
        <v>1.8074675027204834E-3</v>
      </c>
      <c r="AA28" s="201">
        <v>1.8206520165886531E-3</v>
      </c>
    </row>
    <row r="29" spans="1:27" x14ac:dyDescent="0.2">
      <c r="M29" s="204" t="str">
        <v>obj_005a0#0002</v>
      </c>
      <c r="N29" s="193" t="str">
        <f>_xll.qlRateHelperQuoteName(M29)</f>
        <v>USD12X1S_Quote</v>
      </c>
      <c r="O29" s="194">
        <f>_xll.qlRateHelperLatestDate(M29,Trigger)</f>
        <v>42506</v>
      </c>
      <c r="P29" s="210">
        <f>_xll.qlRateHelperQuoteValue(M29,_xll.ohTrigger(RecalcTrigger,YieldCurve))</f>
        <v>3.7599999999999999E-3</v>
      </c>
      <c r="Q29" s="211" t="str">
        <f t="shared" si="7"/>
        <v>12M</v>
      </c>
      <c r="R29" s="183" t="str">
        <f>_xll.qlSwapIndex(,FamilyName,Q29,NDays,Currency,Calendar,"1Y","modified following",MoneyMarketDayCounter,IborIndex,Discounting,,_xll.ohTrigger(Trigger,RecalcTrigger))</f>
        <v>obj_005d2#0003</v>
      </c>
      <c r="S29" s="212">
        <f>_xll.qlIndexFixing(R29,$X$19,TRUE,Trigger)</f>
        <v>3.7599999999943152E-3</v>
      </c>
      <c r="T29" s="195">
        <f t="shared" si="9"/>
        <v>-5.6846888307759968E-15</v>
      </c>
      <c r="W29" s="193" t="str">
        <f t="shared" si="8"/>
        <v>1D</v>
      </c>
      <c r="X29" s="194">
        <f>_xll.qlCalendarAdvance(LiborCalendar,X28,W29,"f",FALSE)</f>
        <v>42151</v>
      </c>
      <c r="Y29" s="198">
        <f>_xll.qlInterestRateIndexValueDate(IborIndex,X29,Trigger)</f>
        <v>42153</v>
      </c>
      <c r="Z29" s="199">
        <v>1.8068696703768539E-3</v>
      </c>
      <c r="AA29" s="201">
        <v>1.8151396217280791E-3</v>
      </c>
    </row>
    <row r="30" spans="1:27" ht="12" thickBot="1" x14ac:dyDescent="0.25">
      <c r="M30" s="215" t="e">
        <v>#N/A</v>
      </c>
      <c r="N30" s="205" t="e">
        <f>_xll.qlRateHelperQuoteName(M30)</f>
        <v>#VALUE!</v>
      </c>
      <c r="O30" s="208" t="e">
        <f>_xll.qlRateHelperLatestDate(M30,Trigger)</f>
        <v>#VALUE!</v>
      </c>
      <c r="P30" s="213" t="e">
        <f>_xll.qlRateHelperQuoteValue(M30,_xll.ohTrigger(RecalcTrigger,YieldCurve))</f>
        <v>#VALUE!</v>
      </c>
      <c r="Q30" s="216" t="e">
        <f t="shared" si="7"/>
        <v>#VALUE!</v>
      </c>
      <c r="R30" s="209" t="e">
        <f>_xll.qlSwapIndex(,FamilyName,Q30,NDays,Currency,Calendar,"1Y","modified following",MoneyMarketDayCounter,IborIndex,Discounting,,_xll.ohTrigger(Trigger,RecalcTrigger))</f>
        <v>#VALUE!</v>
      </c>
      <c r="S30" s="214" t="e">
        <f>_xll.qlIndexFixing(R30,$X$19,TRUE,Trigger)</f>
        <v>#VALUE!</v>
      </c>
      <c r="T30" s="217" t="e">
        <f t="shared" si="9"/>
        <v>#VALUE!</v>
      </c>
      <c r="W30" s="193" t="str">
        <f t="shared" si="8"/>
        <v>1D</v>
      </c>
      <c r="X30" s="194">
        <f>_xll.qlCalendarAdvance(LiborCalendar,X29,W30,"f",FALSE)</f>
        <v>42152</v>
      </c>
      <c r="Y30" s="198">
        <f>_xll.qlInterestRateIndexValueDate(IborIndex,X30,Trigger)</f>
        <v>42156</v>
      </c>
      <c r="Z30" s="199">
        <v>1.805049005998427E-3</v>
      </c>
      <c r="AA30" s="201">
        <v>1.8101687439386893E-3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42153</v>
      </c>
      <c r="Y31" s="198">
        <f>_xll.qlInterestRateIndexValueDate(IborIndex,X31,Trigger)</f>
        <v>42157</v>
      </c>
      <c r="Z31" s="199">
        <v>1.8055756054318195E-3</v>
      </c>
      <c r="AA31" s="201">
        <v>1.8057393832204838E-3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42156</v>
      </c>
      <c r="Y32" s="198">
        <f>_xll.qlInterestRateIndexValueDate(IborIndex,X32,Trigger)</f>
        <v>42158</v>
      </c>
      <c r="Z32" s="199">
        <v>1.8102918475532642E-3</v>
      </c>
      <c r="AA32" s="201">
        <v>1.7986947052062163E-3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42157</v>
      </c>
      <c r="Y33" s="198">
        <f>_xll.qlInterestRateIndexValueDate(IborIndex,X33,Trigger)</f>
        <v>42159</v>
      </c>
      <c r="Z33" s="199">
        <v>1.8102865919750188E-3</v>
      </c>
      <c r="AA33" s="201">
        <v>1.793437110020335E-3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42158</v>
      </c>
      <c r="Y34" s="198">
        <f>_xll.qlInterestRateIndexValueDate(IborIndex,X34,Trigger)</f>
        <v>42160</v>
      </c>
      <c r="Z34" s="199">
        <v>1.810424195144684E-3</v>
      </c>
      <c r="AA34" s="201">
        <v>1.7917153341784342E-3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42159</v>
      </c>
      <c r="Y35" s="198">
        <f>_xll.qlInterestRateIndexValueDate(IborIndex,X35,Trigger)</f>
        <v>42163</v>
      </c>
      <c r="Z35" s="199">
        <v>1.8148884213715633E-3</v>
      </c>
      <c r="AA35" s="201">
        <v>1.7905350752478455E-3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42160</v>
      </c>
      <c r="Y36" s="198">
        <f>_xll.qlInterestRateIndexValueDate(IborIndex,X36,Trigger)</f>
        <v>42164</v>
      </c>
      <c r="Z36" s="199">
        <v>1.8173418021341092E-3</v>
      </c>
      <c r="AA36" s="201">
        <v>1.7898963332285689E-3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42163</v>
      </c>
      <c r="Y37" s="198">
        <f>_xll.qlInterestRateIndexValueDate(IborIndex,X37,Trigger)</f>
        <v>42165</v>
      </c>
      <c r="Z37" s="199">
        <v>1.8200171695150758E-3</v>
      </c>
      <c r="AA37" s="201">
        <v>1.7904328101714384E-3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42164</v>
      </c>
      <c r="Y38" s="198">
        <f>_xll.qlInterestRateIndexValueDate(IborIndex,X38,Trigger)</f>
        <v>42166</v>
      </c>
      <c r="Z38" s="199">
        <v>1.8267972086288831E-3</v>
      </c>
      <c r="AA38" s="201">
        <v>1.7926899587994427E-3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42165</v>
      </c>
      <c r="Y39" s="198">
        <f>_xll.qlInterestRateIndexValueDate(IborIndex,X39,Trigger)</f>
        <v>42167</v>
      </c>
      <c r="Z39" s="199">
        <v>1.8279784708603013E-3</v>
      </c>
      <c r="AA39" s="201">
        <v>1.7943593473468411E-3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42166</v>
      </c>
      <c r="Y40" s="198">
        <f>_xll.qlInterestRateIndexValueDate(IborIndex,X40,Trigger)</f>
        <v>42170</v>
      </c>
      <c r="Z40" s="199">
        <v>1.836257712476197E-3</v>
      </c>
      <c r="AA40" s="201">
        <v>1.7961707984959219E-3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42167</v>
      </c>
      <c r="Y41" s="198">
        <f>_xll.qlInterestRateIndexValueDate(IborIndex,X41,Trigger)</f>
        <v>42171</v>
      </c>
      <c r="Z41" s="199">
        <v>1.8399875630699114E-3</v>
      </c>
      <c r="AA41" s="201">
        <v>1.7981243124065571E-3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42170</v>
      </c>
      <c r="Y42" s="198">
        <f>_xll.qlInterestRateIndexValueDate(IborIndex,X42,Trigger)</f>
        <v>42172</v>
      </c>
      <c r="Z42" s="199">
        <v>1.8438594986633916E-3</v>
      </c>
      <c r="AA42" s="201">
        <v>1.8025139077870733E-3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42171</v>
      </c>
      <c r="Y43" s="198">
        <f>_xll.qlInterestRateIndexValueDate(IborIndex,X43,Trigger)</f>
        <v>42173</v>
      </c>
      <c r="Z43" s="199">
        <v>1.852773260703211E-3</v>
      </c>
      <c r="AA43" s="201">
        <v>1.8073589955047709E-3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42172</v>
      </c>
      <c r="Y44" s="198">
        <f>_xll.qlInterestRateIndexValueDate(IborIndex,X44,Trigger)</f>
        <v>42174</v>
      </c>
      <c r="Z44" s="199">
        <v>1.8545268670307783E-3</v>
      </c>
      <c r="AA44" s="201">
        <v>1.8100228231432425E-3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42173</v>
      </c>
      <c r="Y45" s="198">
        <f>_xll.qlInterestRateIndexValueDate(IborIndex,X45,Trigger)</f>
        <v>42177</v>
      </c>
      <c r="Z45" s="199">
        <v>1.8653504566499279E-3</v>
      </c>
      <c r="AA45" s="201">
        <v>1.8128287134633325E-3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42174</v>
      </c>
      <c r="Y46" s="198">
        <f>_xll.qlInterestRateIndexValueDate(IborIndex,X46,Trigger)</f>
        <v>42178</v>
      </c>
      <c r="Z46" s="199">
        <v>1.8700749053168764E-3</v>
      </c>
      <c r="AA46" s="201">
        <v>1.8157766666249131E-3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42177</v>
      </c>
      <c r="Y47" s="198">
        <f>_xll.qlInterestRateIndexValueDate(IborIndex,X47,Trigger)</f>
        <v>42179</v>
      </c>
      <c r="Z47" s="199">
        <v>1.8749414400520692E-3</v>
      </c>
      <c r="AA47" s="201">
        <v>1.8221553382424815E-3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42178</v>
      </c>
      <c r="Y48" s="198">
        <f>_xll.qlInterestRateIndexValueDate(IborIndex,X48,Trigger)</f>
        <v>42180</v>
      </c>
      <c r="Z48" s="199">
        <v>1.8858447491684749E-3</v>
      </c>
      <c r="AA48" s="201">
        <v>1.8289891067269082E-3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42179</v>
      </c>
      <c r="Y49" s="198">
        <f>_xll.qlInterestRateIndexValueDate(IborIndex,X49,Trigger)</f>
        <v>42181</v>
      </c>
      <c r="Z49" s="199">
        <v>1.8880954866721865E-3</v>
      </c>
      <c r="AA49" s="201">
        <v>1.8326473736962612E-3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42180</v>
      </c>
      <c r="Y50" s="198">
        <f>_xll.qlInterestRateIndexValueDate(IborIndex,X50,Trigger)</f>
        <v>42184</v>
      </c>
      <c r="Z50" s="199">
        <v>1.9014054110160217E-3</v>
      </c>
      <c r="AA50" s="201">
        <v>1.8364477034271687E-3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42181</v>
      </c>
      <c r="Y51" s="198">
        <f>_xll.qlInterestRateIndexValueDate(IborIndex,X51,Trigger)</f>
        <v>42185</v>
      </c>
      <c r="Z51" s="199">
        <v>1.9104034766435861E-3</v>
      </c>
      <c r="AA51" s="201">
        <v>1.8403900959995667E-3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42184</v>
      </c>
      <c r="Y52" s="198">
        <f>_xll.qlInterestRateIndexValueDate(IborIndex,X52,Trigger)</f>
        <v>42186</v>
      </c>
      <c r="Z52" s="199">
        <v>1.9231780636686968E-3</v>
      </c>
      <c r="AA52" s="201">
        <v>1.8487579176618141E-3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42185</v>
      </c>
      <c r="Y53" s="198">
        <f>_xll.qlInterestRateIndexValueDate(IborIndex,X53,Trigger)</f>
        <v>42187</v>
      </c>
      <c r="Z53" s="199">
        <v>1.925878563049932E-3</v>
      </c>
      <c r="AA53" s="201">
        <v>1.8575802938247676E-3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42186</v>
      </c>
      <c r="Y54" s="198">
        <f>_xll.qlInterestRateIndexValueDate(IborIndex,X54,Trigger)</f>
        <v>42191</v>
      </c>
      <c r="Z54" s="199">
        <v>1.9481281165406774E-3</v>
      </c>
      <c r="AA54" s="201">
        <v>1.8670277696664073E-3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42187</v>
      </c>
      <c r="Y55" s="198">
        <f>_xll.qlInterestRateIndexValueDate(IborIndex,X55,Trigger)</f>
        <v>42191</v>
      </c>
      <c r="Z55" s="199">
        <v>1.9481281165406774E-3</v>
      </c>
      <c r="AA55" s="201">
        <v>1.8670277696664073E-3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42188</v>
      </c>
      <c r="Y56" s="198">
        <f>_xll.qlInterestRateIndexValueDate(IborIndex,X56,Trigger)</f>
        <v>42192</v>
      </c>
      <c r="Z56" s="199">
        <v>1.9549128691765199E-3</v>
      </c>
      <c r="AA56" s="201">
        <v>1.8719646017295588E-3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42191</v>
      </c>
      <c r="Y57" s="198">
        <f>_xll.qlInterestRateIndexValueDate(IborIndex,X57,Trigger)</f>
        <v>42193</v>
      </c>
      <c r="Z57" s="199">
        <v>1.9696772132515861E-3</v>
      </c>
      <c r="AA57" s="201">
        <v>1.8823216507080076E-3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42192</v>
      </c>
      <c r="Y58" s="198">
        <f>_xll.qlInterestRateIndexValueDate(IborIndex,X58,Trigger)</f>
        <v>42194</v>
      </c>
      <c r="Z58" s="199">
        <v>1.972874776665634E-3</v>
      </c>
      <c r="AA58" s="201">
        <v>1.8931325585569425E-3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42193</v>
      </c>
      <c r="Y59" s="198">
        <f>_xll.qlInterestRateIndexValueDate(IborIndex,X59,Trigger)</f>
        <v>42195</v>
      </c>
      <c r="Z59" s="199">
        <v>1.9761196679683869E-3</v>
      </c>
      <c r="AA59" s="201">
        <v>1.8987797048275468E-3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42194</v>
      </c>
      <c r="Y60" s="198">
        <f>_xll.qlInterestRateIndexValueDate(IborIndex,X60,Trigger)</f>
        <v>42198</v>
      </c>
      <c r="Z60" s="199">
        <v>1.9986052835830131E-3</v>
      </c>
      <c r="AA60" s="201">
        <v>1.9045689139396416E-3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42195</v>
      </c>
      <c r="Y61" s="198">
        <f>_xll.qlInterestRateIndexValueDate(IborIndex,X61,Trigger)</f>
        <v>42199</v>
      </c>
      <c r="Z61" s="199">
        <v>2.0063846715761575E-3</v>
      </c>
      <c r="AA61" s="201">
        <v>1.910500185973163E-3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42198</v>
      </c>
      <c r="Y62" s="198">
        <f>_xll.qlInterestRateIndexValueDate(IborIndex,X62,Trigger)</f>
        <v>42200</v>
      </c>
      <c r="Z62" s="199">
        <v>2.0231322238004816E-3</v>
      </c>
      <c r="AA62" s="201">
        <v>1.9228465431631037E-3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42199</v>
      </c>
      <c r="Y63" s="198">
        <f>_xll.qlInterestRateIndexValueDate(IborIndex,X63,Trigger)</f>
        <v>42201</v>
      </c>
      <c r="Z63" s="199">
        <v>2.0268266043685368E-3</v>
      </c>
      <c r="AA63" s="201">
        <v>1.9356459027619621E-3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42200</v>
      </c>
      <c r="Y64" s="198">
        <f>_xll.qlInterestRateIndexValueDate(IborIndex,X64,Trigger)</f>
        <v>42202</v>
      </c>
      <c r="Z64" s="199">
        <v>2.0305682933651598E-3</v>
      </c>
      <c r="AA64" s="201">
        <v>1.9422874892427444E-3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42201</v>
      </c>
      <c r="Y65" s="198">
        <f>_xll.qlInterestRateIndexValueDate(IborIndex,X65,Trigger)</f>
        <v>42205</v>
      </c>
      <c r="Z65" s="199">
        <v>2.0559881825445562E-3</v>
      </c>
      <c r="AA65" s="201">
        <v>1.9490711384850812E-3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42202</v>
      </c>
      <c r="Y66" s="198">
        <f>_xll.qlInterestRateIndexValueDate(IborIndex,X66,Trigger)</f>
        <v>42206</v>
      </c>
      <c r="Z66" s="199">
        <v>2.0647288490834967E-3</v>
      </c>
      <c r="AA66" s="201">
        <v>1.9559968507287806E-3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42205</v>
      </c>
      <c r="Y67" s="198">
        <f>_xll.qlInterestRateIndexValueDate(IborIndex,X67,Trigger)</f>
        <v>42207</v>
      </c>
      <c r="Z67" s="199">
        <v>2.0833163514504868E-3</v>
      </c>
      <c r="AA67" s="201">
        <v>1.970332602114766E-3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42206</v>
      </c>
      <c r="Y68" s="198">
        <f>_xll.qlInterestRateIndexValueDate(IborIndex,X68,Trigger)</f>
        <v>42208</v>
      </c>
      <c r="Z68" s="199">
        <v>2.0875002124487452E-3</v>
      </c>
      <c r="AA68" s="201">
        <v>1.9851203290777164E-3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42207</v>
      </c>
      <c r="Y69" s="198">
        <f>_xll.qlInterestRateIndexValueDate(IborIndex,X69,Trigger)</f>
        <v>42209</v>
      </c>
      <c r="Z69" s="199">
        <v>2.0917308913217811E-3</v>
      </c>
      <c r="AA69" s="201">
        <v>1.9927563559285488E-3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42208</v>
      </c>
      <c r="Y70" s="198">
        <f>_xll.qlInterestRateIndexValueDate(IborIndex,X70,Trigger)</f>
        <v>42212</v>
      </c>
      <c r="Z70" s="199">
        <v>2.1198698957257713E-3</v>
      </c>
      <c r="AA70" s="201">
        <v>2.000534445940616E-3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42209</v>
      </c>
      <c r="Y71" s="198">
        <f>_xll.qlInterestRateIndexValueDate(IborIndex,X71,Trigger)</f>
        <v>42213</v>
      </c>
      <c r="Z71" s="199">
        <v>2.1294948661670743E-3</v>
      </c>
      <c r="AA71" s="201">
        <v>2.0084545987941738E-3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42212</v>
      </c>
      <c r="Y72" s="198">
        <f>_xll.qlInterestRateIndexValueDate(IborIndex,X72,Trigger)</f>
        <v>42214</v>
      </c>
      <c r="Z72" s="199">
        <v>2.1340410036616575E-3</v>
      </c>
      <c r="AA72" s="201">
        <v>2.024779835823054E-3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42213</v>
      </c>
      <c r="Y73" s="198">
        <f>_xll.qlInterestRateIndexValueDate(IborIndex,X73,Trigger)</f>
        <v>42215</v>
      </c>
      <c r="Z73" s="199">
        <v>2.1386327936000061E-3</v>
      </c>
      <c r="AA73" s="201">
        <v>2.0415558402220313E-3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42214</v>
      </c>
      <c r="Y74" s="198">
        <f>_xll.qlInterestRateIndexValueDate(IborIndex,X74,Trigger)</f>
        <v>42216</v>
      </c>
      <c r="Z74" s="199">
        <v>2.1432700574537072E-3</v>
      </c>
      <c r="AA74" s="201">
        <v>2.0501863081623384E-3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42215</v>
      </c>
      <c r="Y75" s="198">
        <f>_xll.qlInterestRateIndexValueDate(IborIndex,X75,Trigger)</f>
        <v>42219</v>
      </c>
      <c r="Z75" s="199">
        <v>2.1897100233965326E-3</v>
      </c>
      <c r="AA75" s="201">
        <v>2.0589588391040081E-3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42216</v>
      </c>
      <c r="Y76" s="198">
        <f>_xll.qlInterestRateIndexValueDate(IborIndex,X76,Trigger)</f>
        <v>42220</v>
      </c>
      <c r="Z76" s="199">
        <v>2.2001420600375127E-3</v>
      </c>
      <c r="AA76" s="201">
        <v>2.0678734330470405E-3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42219</v>
      </c>
      <c r="Y77" s="198">
        <f>_xll.qlInterestRateIndexValueDate(IborIndex,X77,Trigger)</f>
        <v>42221</v>
      </c>
      <c r="Z77" s="199">
        <v>2.2275373786059325E-3</v>
      </c>
      <c r="AA77" s="201">
        <v>2.0861882537737131E-3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42220</v>
      </c>
      <c r="Y78" s="198">
        <f>_xll.qlInterestRateIndexValueDate(IborIndex,X78,Trigger)</f>
        <v>42222</v>
      </c>
      <c r="Z78" s="199">
        <v>2.2326330500317807E-3</v>
      </c>
      <c r="AA78" s="201">
        <v>2.1049524397120933E-3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42221</v>
      </c>
      <c r="Y79" s="198">
        <f>_xll.qlInterestRateIndexValueDate(IborIndex,X79,Trigger)</f>
        <v>42223</v>
      </c>
      <c r="Z79" s="199">
        <v>2.2377689341096518E-3</v>
      </c>
      <c r="AA79" s="201">
        <v>2.1145773489816833E-3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42222</v>
      </c>
      <c r="Y80" s="198">
        <f>_xll.qlInterestRateIndexValueDate(IborIndex,X80,Trigger)</f>
        <v>42226</v>
      </c>
      <c r="Z80" s="199">
        <v>2.2649678998072497E-3</v>
      </c>
      <c r="AA80" s="201">
        <v>2.124344321492444E-3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42223</v>
      </c>
      <c r="Y81" s="198">
        <f>_xll.qlInterestRateIndexValueDate(IborIndex,X81,Trigger)</f>
        <v>42227</v>
      </c>
      <c r="Z81" s="199">
        <v>2.2761297642593186E-3</v>
      </c>
      <c r="AA81" s="201">
        <v>2.1342533570845035E-3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42226</v>
      </c>
      <c r="Y82" s="198">
        <f>_xll.qlInterestRateIndexValueDate(IborIndex,X82,Trigger)</f>
        <v>42228</v>
      </c>
      <c r="Z82" s="199">
        <v>2.2992593294174865E-3</v>
      </c>
      <c r="AA82" s="201">
        <v>2.154484567791215E-3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42227</v>
      </c>
      <c r="Y83" s="198">
        <f>_xll.qlInterestRateIndexValueDate(IborIndex,X83,Trigger)</f>
        <v>42229</v>
      </c>
      <c r="Z83" s="199">
        <v>2.3047118234090225E-3</v>
      </c>
      <c r="AA83" s="201">
        <v>2.1750087948291252E-3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42228</v>
      </c>
      <c r="Y84" s="198">
        <f>_xll.qlInterestRateIndexValueDate(IborIndex,X84,Trigger)</f>
        <v>42230</v>
      </c>
      <c r="Z84" s="199">
        <v>2.310196787655123E-3</v>
      </c>
      <c r="AA84" s="201">
        <v>2.1854326849801708E-3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42229</v>
      </c>
      <c r="Y85" s="198">
        <f>_xll.qlInterestRateIndexValueDate(IborIndex,X85,Trigger)</f>
        <v>42233</v>
      </c>
      <c r="Z85" s="199">
        <v>2.3451099480436572E-3</v>
      </c>
      <c r="AA85" s="201">
        <v>2.1959497729806543E-3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42230</v>
      </c>
      <c r="Y86" s="198">
        <f>_xll.qlInterestRateIndexValueDate(IborIndex,X86,Trigger)</f>
        <v>42234</v>
      </c>
      <c r="Z86" s="199">
        <v>2.3569341233161071E-3</v>
      </c>
      <c r="AA86" s="201">
        <v>2.2065600588305756E-3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42233</v>
      </c>
      <c r="Y87" s="198">
        <f>_xll.qlInterestRateIndexValueDate(IborIndex,X87,Trigger)</f>
        <v>42235</v>
      </c>
      <c r="Z87" s="199">
        <v>2.3813750622757694E-3</v>
      </c>
      <c r="AA87" s="201">
        <v>2.2281050800909696E-3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42234</v>
      </c>
      <c r="Y88" s="198">
        <f>_xll.qlInterestRateIndexValueDate(IborIndex,X88,Trigger)</f>
        <v>42236</v>
      </c>
      <c r="Z88" s="199">
        <v>2.3871550412540854E-3</v>
      </c>
      <c r="AA88" s="201">
        <v>2.2499331812042556E-3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42235</v>
      </c>
      <c r="Y89" s="198">
        <f>_xll.qlInterestRateIndexValueDate(IborIndex,X89,Trigger)</f>
        <v>42237</v>
      </c>
      <c r="Z89" s="199">
        <v>2.3929660185616521E-3</v>
      </c>
      <c r="AA89" s="201">
        <v>2.2610094566211103E-3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42236</v>
      </c>
      <c r="Y90" s="198">
        <f>_xll.qlInterestRateIndexValueDate(IborIndex,X90,Trigger)</f>
        <v>42240</v>
      </c>
      <c r="Z90" s="199">
        <v>2.4298369740349463E-3</v>
      </c>
      <c r="AA90" s="201">
        <v>2.2721789298874029E-3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42237</v>
      </c>
      <c r="Y91" s="198">
        <f>_xll.qlInterestRateIndexValueDate(IborIndex,X91,Trigger)</f>
        <v>42241</v>
      </c>
      <c r="Z91" s="199">
        <v>2.4423137517311099E-3</v>
      </c>
      <c r="AA91" s="201">
        <v>2.2834416011630054E-3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42240</v>
      </c>
      <c r="Y92" s="198">
        <f>_xll.qlInterestRateIndexValueDate(IborIndex,X92,Trigger)</f>
        <v>42242</v>
      </c>
      <c r="Z92" s="199">
        <v>2.4680610730041445E-3</v>
      </c>
      <c r="AA92" s="201">
        <v>2.3120865423620351E-3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42241</v>
      </c>
      <c r="Y93" s="198">
        <f>_xll.qlInterestRateIndexValueDate(IborIndex,X93,Trigger)</f>
        <v>42243</v>
      </c>
      <c r="Z93" s="199">
        <v>2.4741667740055262E-3</v>
      </c>
      <c r="AA93" s="201">
        <v>2.3411529267214348E-3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42242</v>
      </c>
      <c r="Y94" s="198">
        <f>_xll.qlInterestRateIndexValueDate(IborIndex,X94,Trigger)</f>
        <v>42244</v>
      </c>
      <c r="Z94" s="199">
        <v>2.4936675958165855E-3</v>
      </c>
      <c r="AA94" s="201">
        <v>2.3529747857331529E-3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42243</v>
      </c>
      <c r="Y95" s="198">
        <f>_xll.qlInterestRateIndexValueDate(IborIndex,X95,Trigger)</f>
        <v>42248</v>
      </c>
      <c r="Z95" s="199">
        <v>2.5254395193661239E-3</v>
      </c>
      <c r="AA95" s="201">
        <v>2.3648898427541809E-3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42244</v>
      </c>
      <c r="Y96" s="198">
        <f>_xll.qlInterestRateIndexValueDate(IborIndex,X96,Trigger)</f>
        <v>42249</v>
      </c>
      <c r="Z96" s="199">
        <v>2.5386154373654435E-3</v>
      </c>
      <c r="AA96" s="201">
        <v>2.3890464708387071E-3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42248</v>
      </c>
      <c r="Y97" s="198">
        <f>_xll.qlInterestRateIndexValueDate(IborIndex,X97,Trigger)</f>
        <v>42250</v>
      </c>
      <c r="Z97" s="199">
        <v>2.5657468730747035E-3</v>
      </c>
      <c r="AA97" s="201">
        <v>2.4134820510912647E-3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42249</v>
      </c>
      <c r="Y98" s="198">
        <f>_xll.qlInterestRateIndexValueDate(IborIndex,X98,Trigger)</f>
        <v>42251</v>
      </c>
      <c r="Z98" s="199">
        <v>2.572209234918822E-3</v>
      </c>
      <c r="AA98" s="201">
        <v>2.4258630982387785E-3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42250</v>
      </c>
      <c r="Y99" s="198">
        <f>_xll.qlInterestRateIndexValueDate(IborIndex,X99,Trigger)</f>
        <v>42255</v>
      </c>
      <c r="Z99" s="199">
        <v>2.6196288131545842E-3</v>
      </c>
      <c r="AA99" s="201">
        <v>2.4509047868015443E-3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42251</v>
      </c>
      <c r="Y100" s="198">
        <f>_xll.qlInterestRateIndexValueDate(IborIndex,X100,Trigger)</f>
        <v>42255</v>
      </c>
      <c r="Z100" s="199">
        <v>2.6196288131545842E-3</v>
      </c>
      <c r="AA100" s="201">
        <v>2.4509047868015443E-3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42254</v>
      </c>
      <c r="Y101" s="198">
        <f>_xll.qlInterestRateIndexValueDate(IborIndex,X101,Trigger)</f>
        <v>42256</v>
      </c>
      <c r="Z101" s="199">
        <v>2.6334573566861863E-3</v>
      </c>
      <c r="AA101" s="201">
        <v>2.4763673676719833E-3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42255</v>
      </c>
      <c r="Y102" s="198">
        <f>_xll.qlInterestRateIndexValueDate(IborIndex,X102,Trigger)</f>
        <v>42257</v>
      </c>
      <c r="Z102" s="199">
        <v>2.6692003856569487E-3</v>
      </c>
      <c r="AA102" s="201">
        <v>2.5021065407582199E-3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42256</v>
      </c>
      <c r="Y103" s="198">
        <f>_xll.qlInterestRateIndexValueDate(IborIndex,X103,Trigger)</f>
        <v>42258</v>
      </c>
      <c r="Z103" s="199">
        <v>2.6760039047044049E-3</v>
      </c>
      <c r="AA103" s="201">
        <v>2.5151399745304559E-3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42257</v>
      </c>
      <c r="Y104" s="198">
        <f>_xll.qlInterestRateIndexValueDate(IborIndex,X104,Trigger)</f>
        <v>42261</v>
      </c>
      <c r="Z104" s="199">
        <v>2.7039985832315594E-3</v>
      </c>
      <c r="AA104" s="201">
        <v>2.528266606471874E-3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42258</v>
      </c>
      <c r="Y105" s="198">
        <f>_xll.qlInterestRateIndexValueDate(IborIndex,X105,Trigger)</f>
        <v>42262</v>
      </c>
      <c r="Z105" s="199">
        <v>2.7183865326181333E-3</v>
      </c>
      <c r="AA105" s="201">
        <v>2.541486436422602E-3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42261</v>
      </c>
      <c r="Y106" s="198">
        <f>_xll.qlInterestRateIndexValueDate(IborIndex,X106,Trigger)</f>
        <v>42263</v>
      </c>
      <c r="Z106" s="199">
        <v>2.7328677174720539E-3</v>
      </c>
      <c r="AA106" s="201">
        <v>2.5682550786321201E-3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42262</v>
      </c>
      <c r="Y107" s="198">
        <f>_xll.qlInterestRateIndexValueDate(IborIndex,X107,Trigger)</f>
        <v>42264</v>
      </c>
      <c r="Z107" s="199">
        <v>2.762612621844962E-3</v>
      </c>
      <c r="AA107" s="201">
        <v>2.5952977379972708E-3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42263</v>
      </c>
      <c r="Y108" s="198">
        <f>_xll.qlInterestRateIndexValueDate(IborIndex,X108,Trigger)</f>
        <v>42265</v>
      </c>
      <c r="Z108" s="199">
        <v>2.7697261712093576E-3</v>
      </c>
      <c r="AA108" s="201">
        <v>2.6089835589537813E-3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42264</v>
      </c>
      <c r="Y109" s="198">
        <f>_xll.qlInterestRateIndexValueDate(IborIndex,X109,Trigger)</f>
        <v>42268</v>
      </c>
      <c r="Z109" s="199">
        <v>2.8066721856783161E-3</v>
      </c>
      <c r="AA109" s="201">
        <v>2.6227625779196018E-3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42265</v>
      </c>
      <c r="Y110" s="198">
        <f>_xll.qlInterestRateIndexValueDate(IborIndex,X110,Trigger)</f>
        <v>42269</v>
      </c>
      <c r="Z110" s="199">
        <v>2.8217127905119099E-3</v>
      </c>
      <c r="AA110" s="201">
        <v>2.6366347952144764E-3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42268</v>
      </c>
      <c r="Y111" s="198">
        <f>_xll.qlInterestRateIndexValueDate(IborIndex,X111,Trigger)</f>
        <v>42270</v>
      </c>
      <c r="Z111" s="199">
        <v>2.8368466332215903E-3</v>
      </c>
      <c r="AA111" s="201">
        <v>2.6647096141374504E-3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42269</v>
      </c>
      <c r="Y112" s="198">
        <f>_xll.qlInterestRateIndexValueDate(IborIndex,X112,Trigger)</f>
        <v>42271</v>
      </c>
      <c r="Z112" s="199">
        <v>2.8678985113017585E-3</v>
      </c>
      <c r="AA112" s="201">
        <v>2.693055646485476E-3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42270</v>
      </c>
      <c r="Y113" s="198">
        <f>_xll.qlInterestRateIndexValueDate(IborIndex,X113,Trigger)</f>
        <v>42272</v>
      </c>
      <c r="Z113" s="199">
        <v>2.8753375722454584E-3</v>
      </c>
      <c r="AA113" s="201">
        <v>2.7073938550259413E-3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42271</v>
      </c>
      <c r="Y114" s="198">
        <f>_xll.qlInterestRateIndexValueDate(IborIndex,X114,Trigger)</f>
        <v>42275</v>
      </c>
      <c r="Z114" s="199">
        <v>2.9139144273546691E-3</v>
      </c>
      <c r="AA114" s="201">
        <v>2.7218252617355887E-3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42272</v>
      </c>
      <c r="Y115" s="198">
        <f>_xll.qlInterestRateIndexValueDate(IborIndex,X115,Trigger)</f>
        <v>42276</v>
      </c>
      <c r="Z115" s="199">
        <v>2.9296077048082125E-3</v>
      </c>
      <c r="AA115" s="201">
        <v>2.7363498666943542E-3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42275</v>
      </c>
      <c r="Y116" s="198">
        <f>_xll.qlInterestRateIndexValueDate(IborIndex,X116,Trigger)</f>
        <v>42277</v>
      </c>
      <c r="Z116" s="199">
        <v>2.9453942226558283E-3</v>
      </c>
      <c r="AA116" s="201">
        <v>2.765730985272441E-3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42276</v>
      </c>
      <c r="Y117" s="198">
        <f>_xll.qlInterestRateIndexValueDate(IborIndex,X117,Trigger)</f>
        <v>42278</v>
      </c>
      <c r="Z117" s="199">
        <v>2.9777532465802281E-3</v>
      </c>
      <c r="AA117" s="201">
        <v>2.7953802698998942E-3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42277</v>
      </c>
      <c r="Y118" s="198">
        <f>_xll.qlInterestRateIndexValueDate(IborIndex,X118,Trigger)</f>
        <v>42279</v>
      </c>
      <c r="Z118" s="199">
        <v>2.9855177595444222E-3</v>
      </c>
      <c r="AA118" s="201">
        <v>2.8103708665039306E-3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42278</v>
      </c>
      <c r="Y119" s="198">
        <f>_xll.qlInterestRateIndexValueDate(IborIndex,X119,Trigger)</f>
        <v>42282</v>
      </c>
      <c r="Z119" s="199">
        <v>3.0341364798792646E-3</v>
      </c>
      <c r="AA119" s="201">
        <v>2.8254546614370213E-3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42279</v>
      </c>
      <c r="Y120" s="198">
        <f>_xll.qlInterestRateIndexValueDate(IborIndex,X120,Trigger)</f>
        <v>42283</v>
      </c>
      <c r="Z120" s="199">
        <v>3.0505292081714755E-3</v>
      </c>
      <c r="AA120" s="201">
        <v>2.8406316547791022E-3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42282</v>
      </c>
      <c r="Y121" s="198">
        <f>_xll.qlInterestRateIndexValueDate(IborIndex,X121,Trigger)</f>
        <v>42284</v>
      </c>
      <c r="Z121" s="199">
        <v>3.0841180010134717E-3</v>
      </c>
      <c r="AA121" s="201">
        <v>2.8713192035212387E-3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42283</v>
      </c>
      <c r="Y122" s="198">
        <f>_xll.qlInterestRateIndexValueDate(IborIndex,X122,Trigger)</f>
        <v>42285</v>
      </c>
      <c r="Z122" s="199">
        <v>3.0921769614708494E-3</v>
      </c>
      <c r="AA122" s="201">
        <v>2.90227161199752E-3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42284</v>
      </c>
      <c r="Y123" s="198">
        <f>_xll.qlInterestRateIndexValueDate(IborIndex,X123,Trigger)</f>
        <v>42286</v>
      </c>
      <c r="Z123" s="199">
        <v>3.1002668631029085E-3</v>
      </c>
      <c r="AA123" s="201">
        <v>2.9179145973046161E-3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42285</v>
      </c>
      <c r="Y124" s="198">
        <f>_xll.qlInterestRateIndexValueDate(IborIndex,X124,Trigger)</f>
        <v>42290</v>
      </c>
      <c r="Z124" s="199">
        <v>3.1678891814542502E-3</v>
      </c>
      <c r="AA124" s="201">
        <v>2.9494801633056511E-3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42286</v>
      </c>
      <c r="Y125" s="198">
        <f>_xll.qlInterestRateIndexValueDate(IborIndex,X125,Trigger)</f>
        <v>42290</v>
      </c>
      <c r="Z125" s="199">
        <v>3.1678891814542502E-3</v>
      </c>
      <c r="AA125" s="201">
        <v>2.9494801633056511E-3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42289</v>
      </c>
      <c r="Y126" s="198">
        <f>_xll.qlInterestRateIndexValueDate(IborIndex,X126,Trigger)</f>
        <v>42291</v>
      </c>
      <c r="Z126" s="199">
        <v>3.2027855031824264E-3</v>
      </c>
      <c r="AA126" s="201">
        <v>2.981474280927543E-3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42290</v>
      </c>
      <c r="Y127" s="198">
        <f>_xll.qlInterestRateIndexValueDate(IborIndex,X127,Trigger)</f>
        <v>42292</v>
      </c>
      <c r="Z127" s="199">
        <v>3.2111697953296492E-3</v>
      </c>
      <c r="AA127" s="201">
        <v>3.0137296770149646E-3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42291</v>
      </c>
      <c r="Y128" s="198">
        <f>_xll.qlInterestRateIndexValueDate(IborIndex,X128,Trigger)</f>
        <v>42293</v>
      </c>
      <c r="Z128" s="199">
        <v>3.2195850182990772E-3</v>
      </c>
      <c r="AA128" s="201">
        <v>3.0300250515846727E-3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42292</v>
      </c>
      <c r="Y129" s="198">
        <f>_xll.qlInterestRateIndexValueDate(IborIndex,X129,Trigger)</f>
        <v>42296</v>
      </c>
      <c r="Z129" s="199">
        <v>3.2721045305015009E-3</v>
      </c>
      <c r="AA129" s="201">
        <v>3.0464136248031792E-3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42293</v>
      </c>
      <c r="Y130" s="198">
        <f>_xll.qlInterestRateIndexValueDate(IborIndex,X130,Trigger)</f>
        <v>42297</v>
      </c>
      <c r="Z130" s="199">
        <v>3.2897813936669869E-3</v>
      </c>
      <c r="AA130" s="201">
        <v>3.062895396510612E-3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42296</v>
      </c>
      <c r="Y131" s="198">
        <f>_xll.qlInterestRateIndexValueDate(IborIndex,X131,Trigger)</f>
        <v>42298</v>
      </c>
      <c r="Z131" s="199">
        <v>3.3258365984399E-3</v>
      </c>
      <c r="AA131" s="201">
        <v>3.0961962301478962E-3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42297</v>
      </c>
      <c r="Y132" s="198">
        <f>_xll.qlInterestRateIndexValueDate(IborIndex,X132,Trigger)</f>
        <v>42299</v>
      </c>
      <c r="Z132" s="199">
        <v>3.3345403486179093E-3</v>
      </c>
      <c r="AA132" s="201">
        <v>3.1297544690289669E-3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42298</v>
      </c>
      <c r="Y133" s="198">
        <f>_xll.qlInterestRateIndexValueDate(IborIndex,X133,Trigger)</f>
        <v>42300</v>
      </c>
      <c r="Z133" s="199">
        <v>3.3432746442857608E-3</v>
      </c>
      <c r="AA133" s="201">
        <v>3.1467022335807115E-3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42299</v>
      </c>
      <c r="Y134" s="198">
        <f>_xll.qlInterestRateIndexValueDate(IborIndex,X134,Trigger)</f>
        <v>42303</v>
      </c>
      <c r="Z134" s="199">
        <v>3.4066470833760132E-3</v>
      </c>
      <c r="AA134" s="201">
        <v>3.1637431967812546E-3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42300</v>
      </c>
      <c r="Y135" s="198">
        <f>_xll.qlInterestRateIndexValueDate(IborIndex,X135,Trigger)</f>
        <v>42304</v>
      </c>
      <c r="Z135" s="199">
        <v>3.4155494092199283E-3</v>
      </c>
      <c r="AA135" s="201">
        <v>3.1808773586305961E-3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42303</v>
      </c>
      <c r="Y136" s="198">
        <f>_xll.qlInterestRateIndexValueDate(IborIndex,X136,Trigger)</f>
        <v>42305</v>
      </c>
      <c r="Z136" s="199">
        <v>3.4523427160116815E-3</v>
      </c>
      <c r="AA136" s="201">
        <v>3.2154850641852306E-3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42304</v>
      </c>
      <c r="Y137" s="198">
        <f>_xll.qlInterestRateIndexValueDate(IborIndex,X137,Trigger)</f>
        <v>42306</v>
      </c>
      <c r="Z137" s="199">
        <v>3.4613310322026414E-3</v>
      </c>
      <c r="AA137" s="201">
        <v>3.2503459925958822E-3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42305</v>
      </c>
      <c r="Y138" s="198">
        <f>_xll.qlInterestRateIndexValueDate(IborIndex,X138,Trigger)</f>
        <v>42307</v>
      </c>
      <c r="Z138" s="199">
        <v>3.470347261705239E-3</v>
      </c>
      <c r="AA138" s="201">
        <v>3.2679461477691518E-3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42306</v>
      </c>
      <c r="Y139" s="198">
        <f>_xll.qlInterestRateIndexValueDate(IborIndex,X139,Trigger)</f>
        <v>42310</v>
      </c>
      <c r="Z139" s="199">
        <v>3.5162198446796467E-3</v>
      </c>
      <c r="AA139" s="201">
        <v>3.2856395015912199E-3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42307</v>
      </c>
      <c r="Y140" s="198">
        <f>_xll.qlInterestRateIndexValueDate(IborIndex,X140,Trigger)</f>
        <v>42311</v>
      </c>
      <c r="Z140" s="199">
        <v>3.5346901052912827E-3</v>
      </c>
      <c r="AA140" s="201">
        <v>3.3034260542219585E-3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42310</v>
      </c>
      <c r="Y141" s="198">
        <f>_xll.qlInterestRateIndexValueDate(IborIndex,X141,Trigger)</f>
        <v>42312</v>
      </c>
      <c r="Z141" s="199">
        <v>3.5531928608110164E-3</v>
      </c>
      <c r="AA141" s="201">
        <v>3.3393407967086119E-3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42311</v>
      </c>
      <c r="Y142" s="198">
        <f>_xll.qlInterestRateIndexValueDate(IborIndex,X142,Trigger)</f>
        <v>42313</v>
      </c>
      <c r="Z142" s="199">
        <v>3.5903926687530507E-3</v>
      </c>
      <c r="AA142" s="201">
        <v>3.3755042521921297E-3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42312</v>
      </c>
      <c r="Y143" s="198">
        <f>_xll.qlInterestRateIndexValueDate(IborIndex,X143,Trigger)</f>
        <v>42314</v>
      </c>
      <c r="Z143" s="199">
        <v>3.5996166255739788E-3</v>
      </c>
      <c r="AA143" s="201">
        <v>3.3937567986264128E-3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42313</v>
      </c>
      <c r="Y144" s="198">
        <f>_xll.qlInterestRateIndexValueDate(IborIndex,X144,Trigger)</f>
        <v>42317</v>
      </c>
      <c r="Z144" s="199">
        <v>3.6460689761375065E-3</v>
      </c>
      <c r="AA144" s="201">
        <v>3.4121025438693664E-3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42314</v>
      </c>
      <c r="Y145" s="198">
        <f>_xll.qlInterestRateIndexValueDate(IborIndex,X145,Trigger)</f>
        <v>42318</v>
      </c>
      <c r="Z145" s="199">
        <v>3.664691649255758E-3</v>
      </c>
      <c r="AA145" s="201">
        <v>3.4305414879209906E-3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42317</v>
      </c>
      <c r="Y146" s="198">
        <f>_xll.qlInterestRateIndexValueDate(IborIndex,X146,Trigger)</f>
        <v>42320</v>
      </c>
      <c r="Z146" s="199">
        <v>3.7205760301789459E-3</v>
      </c>
      <c r="AA146" s="201">
        <v>3.5052113877842572E-3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42318</v>
      </c>
      <c r="Y147" s="198">
        <f>_xll.qlInterestRateIndexValueDate(IborIndex,X147,Trigger)</f>
        <v>42320</v>
      </c>
      <c r="Z147" s="199">
        <v>3.7205760301789459E-3</v>
      </c>
      <c r="AA147" s="201">
        <v>3.5052113877842572E-3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42319</v>
      </c>
      <c r="Y148" s="198">
        <f>_xll.qlInterestRateIndexValueDate(IborIndex,X148,Trigger)</f>
        <v>42321</v>
      </c>
      <c r="Z148" s="199">
        <v>3.7298964399195573E-3</v>
      </c>
      <c r="AA148" s="201">
        <v>3.5240091366617321E-3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42320</v>
      </c>
      <c r="Y149" s="198">
        <f>_xll.qlInterestRateIndexValueDate(IborIndex,X149,Trigger)</f>
        <v>42324</v>
      </c>
      <c r="Z149" s="199">
        <v>3.7764596224096891E-3</v>
      </c>
      <c r="AA149" s="201">
        <v>3.5427928948905674E-3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42321</v>
      </c>
      <c r="Y150" s="198">
        <f>_xll.qlInterestRateIndexValueDate(IborIndex,X150,Trigger)</f>
        <v>42325</v>
      </c>
      <c r="Z150" s="199">
        <v>3.7950601780254445E-3</v>
      </c>
      <c r="AA150" s="201">
        <v>3.5615626626306351E-3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42324</v>
      </c>
      <c r="Y151" s="198">
        <f>_xll.qlInterestRateIndexValueDate(IborIndex,X151,Trigger)</f>
        <v>42326</v>
      </c>
      <c r="Z151" s="199">
        <v>3.8136467665657037E-3</v>
      </c>
      <c r="AA151" s="201">
        <v>3.5990915435135662E-3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42325</v>
      </c>
      <c r="Y152" s="198">
        <f>_xll.qlInterestRateIndexValueDate(IborIndex,X152,Trigger)</f>
        <v>42327</v>
      </c>
      <c r="Z152" s="199">
        <v>3.8507469144180573E-3</v>
      </c>
      <c r="AA152" s="201">
        <v>3.6365018271844463E-3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42326</v>
      </c>
      <c r="Y153" s="198">
        <f>_xll.qlInterestRateIndexValueDate(IborIndex,X153,Trigger)</f>
        <v>42328</v>
      </c>
      <c r="Z153" s="199">
        <v>3.8600372504347543E-3</v>
      </c>
      <c r="AA153" s="201">
        <v>3.6552016418411881E-3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42327</v>
      </c>
      <c r="Y154" s="198">
        <f>_xll.qlInterestRateIndexValueDate(IborIndex,X154,Trigger)</f>
        <v>42331</v>
      </c>
      <c r="Z154" s="199">
        <v>3.9063702009123347E-3</v>
      </c>
      <c r="AA154" s="201">
        <v>3.6738874657693543E-3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42328</v>
      </c>
      <c r="Y155" s="198">
        <f>_xll.qlInterestRateIndexValueDate(IborIndex,X155,Trigger)</f>
        <v>42332</v>
      </c>
      <c r="Z155" s="199">
        <v>3.9248729856540265E-3</v>
      </c>
      <c r="AA155" s="201">
        <v>3.692559299208753E-3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42331</v>
      </c>
      <c r="Y156" s="198">
        <f>_xll.qlInterestRateIndexValueDate(IborIndex,X156,Trigger)</f>
        <v>42333</v>
      </c>
      <c r="Z156" s="199">
        <v>3.9802362431880477E-3</v>
      </c>
      <c r="AA156" s="201">
        <v>3.7298949742403664E-3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42332</v>
      </c>
      <c r="Y157" s="198">
        <f>_xll.qlInterestRateIndexValueDate(IborIndex,X157,Trigger)</f>
        <v>42335</v>
      </c>
      <c r="Z157" s="199">
        <v>3.9987165458107987E-3</v>
      </c>
      <c r="AA157" s="201">
        <v>3.7857086065962164E-3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42333</v>
      </c>
      <c r="Y158" s="198">
        <f>_xll.qlInterestRateIndexValueDate(IborIndex,X158,Trigger)</f>
        <v>42335</v>
      </c>
      <c r="Z158" s="199">
        <v>3.9987165458107987E-3</v>
      </c>
      <c r="AA158" s="201">
        <v>3.7857086065962164E-3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42334</v>
      </c>
      <c r="Y159" s="198">
        <f>_xll.qlInterestRateIndexValueDate(IborIndex,X159,Trigger)</f>
        <v>42338</v>
      </c>
      <c r="Z159" s="199">
        <v>4.0447877714790536E-3</v>
      </c>
      <c r="AA159" s="201">
        <v>3.8042964961437775E-3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42335</v>
      </c>
      <c r="Y160" s="198">
        <f>_xll.qlInterestRateIndexValueDate(IborIndex,X160,Trigger)</f>
        <v>42339</v>
      </c>
      <c r="Z160" s="199">
        <v>4.0907131618248809E-3</v>
      </c>
      <c r="AA160" s="201">
        <v>3.822870395122635E-3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42338</v>
      </c>
      <c r="Y161" s="198">
        <f>_xll.qlInterestRateIndexValueDate(IborIndex,X161,Trigger)</f>
        <v>42340</v>
      </c>
      <c r="Z161" s="199">
        <v>4.0999126100104248E-3</v>
      </c>
      <c r="AA161" s="201">
        <v>3.8600129445054421E-3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42339</v>
      </c>
      <c r="Y162" s="198">
        <f>_xll.qlInterestRateIndexValueDate(IborIndex,X162,Trigger)</f>
        <v>42341</v>
      </c>
      <c r="Z162" s="199">
        <v>4.1091071906185217E-3</v>
      </c>
      <c r="AA162" s="201">
        <v>3.897026084471733E-3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42340</v>
      </c>
      <c r="Y163" s="198">
        <f>_xll.qlInterestRateIndexValueDate(IborIndex,X163,Trigger)</f>
        <v>42342</v>
      </c>
      <c r="Z163" s="199">
        <v>4.1182969030917694E-3</v>
      </c>
      <c r="AA163" s="201">
        <v>3.9155300301274565E-3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42341</v>
      </c>
      <c r="Y164" s="198">
        <f>_xll.qlInterestRateIndexValueDate(IborIndex,X164,Trigger)</f>
        <v>42345</v>
      </c>
      <c r="Z164" s="199">
        <v>4.1732820940469789E-3</v>
      </c>
      <c r="AA164" s="201">
        <v>3.9340199852944124E-3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42342</v>
      </c>
      <c r="Y165" s="198">
        <f>_xll.qlInterestRateIndexValueDate(IborIndex,X165,Trigger)</f>
        <v>42346</v>
      </c>
      <c r="Z165" s="199">
        <v>4.191582555869048E-3</v>
      </c>
      <c r="AA165" s="201">
        <v>3.9524959496528567E-3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42345</v>
      </c>
      <c r="Y166" s="198">
        <f>_xll.qlInterestRateIndexValueDate(IborIndex,X166,Trigger)</f>
        <v>42347</v>
      </c>
      <c r="Z166" s="199">
        <v>4.2281165795866509E-3</v>
      </c>
      <c r="AA166" s="201">
        <v>3.9894454520705835E-3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42346</v>
      </c>
      <c r="Y167" s="198">
        <f>_xll.qlInterestRateIndexValueDate(IborIndex,X167,Trigger)</f>
        <v>42348</v>
      </c>
      <c r="Z167" s="199">
        <v>4.2372607940777129E-3</v>
      </c>
      <c r="AA167" s="201">
        <v>4.0262599007601096E-3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42347</v>
      </c>
      <c r="Y168" s="198">
        <f>_xll.qlInterestRateIndexValueDate(IborIndex,X168,Trigger)</f>
        <v>42349</v>
      </c>
      <c r="Z168" s="199">
        <v>4.2464001349153888E-3</v>
      </c>
      <c r="AA168" s="201">
        <v>4.0446659118753558E-3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42348</v>
      </c>
      <c r="Y169" s="198">
        <f>_xll.qlInterestRateIndexValueDate(IborIndex,X169,Trigger)</f>
        <v>42352</v>
      </c>
      <c r="Z169" s="199">
        <v>4.3010920029485167E-3</v>
      </c>
      <c r="AA169" s="201">
        <v>4.0630579323419624E-3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42349</v>
      </c>
      <c r="Y170" s="198">
        <f>_xll.qlInterestRateIndexValueDate(IborIndex,X170,Trigger)</f>
        <v>42353</v>
      </c>
      <c r="Z170" s="199">
        <v>4.3192946895426725E-3</v>
      </c>
      <c r="AA170" s="201">
        <v>4.0814359621599294E-3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42352</v>
      </c>
      <c r="Y171" s="198">
        <f>_xll.qlInterestRateIndexValueDate(IborIndex,X171,Trigger)</f>
        <v>42354</v>
      </c>
      <c r="Z171" s="199">
        <v>4.3647059378289464E-3</v>
      </c>
      <c r="AA171" s="201">
        <v>4.1181924946975812E-3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42353</v>
      </c>
      <c r="Y172" s="198">
        <f>_xll.qlInterestRateIndexValueDate(IborIndex,X172,Trigger)</f>
        <v>42355</v>
      </c>
      <c r="Z172" s="199">
        <v>4.3737974226119233E-3</v>
      </c>
      <c r="AA172" s="201">
        <v>4.1548081746256571E-3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42354</v>
      </c>
      <c r="Y173" s="198">
        <f>_xll.qlInterestRateIndexValueDate(IborIndex,X173,Trigger)</f>
        <v>42356</v>
      </c>
      <c r="Z173" s="199">
        <v>4.3828840280815684E-3</v>
      </c>
      <c r="AA173" s="201">
        <v>4.1731162510405539E-3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42355</v>
      </c>
      <c r="Y174" s="198">
        <f>_xll.qlInterestRateIndexValueDate(IborIndex,X174,Trigger)</f>
        <v>42359</v>
      </c>
      <c r="Z174" s="199">
        <v>4.4282174755643439E-3</v>
      </c>
      <c r="AA174" s="201">
        <v>4.1914103367268751E-3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42356</v>
      </c>
      <c r="Y175" s="198">
        <f>_xll.qlInterestRateIndexValueDate(IborIndex,X175,Trigger)</f>
        <v>42360</v>
      </c>
      <c r="Z175" s="199">
        <v>4.4463223837047788E-3</v>
      </c>
      <c r="AA175" s="201">
        <v>4.2462948270554079E-3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42359</v>
      </c>
      <c r="Y176" s="198">
        <f>_xll.qlInterestRateIndexValueDate(IborIndex,X176,Trigger)</f>
        <v>42361</v>
      </c>
      <c r="Z176" s="199">
        <v>4.4824714487487231E-3</v>
      </c>
      <c r="AA176" s="201">
        <v>4.3008810467437542E-3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42360</v>
      </c>
      <c r="Y177" s="198">
        <f>_xll.qlInterestRateIndexValueDate(IborIndex,X177,Trigger)</f>
        <v>42362</v>
      </c>
      <c r="Z177" s="199">
        <v>4.4915148146626449E-3</v>
      </c>
      <c r="AA177" s="201">
        <v>4.319077197729726E-3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42361</v>
      </c>
      <c r="Y178" s="198">
        <f>_xll.qlInterestRateIndexValueDate(IborIndex,X178,Trigger)</f>
        <v>42367</v>
      </c>
      <c r="Z178" s="199">
        <v>4.5726656158752831E-3</v>
      </c>
      <c r="AA178" s="201">
        <v>4.3645769917222133E-3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42362</v>
      </c>
      <c r="Y179" s="198">
        <f>_xll.qlInterestRateIndexValueDate(IborIndex,X179,Trigger)</f>
        <v>42368</v>
      </c>
      <c r="Z179" s="199">
        <v>4.5816703647938439E-3</v>
      </c>
      <c r="AA179" s="201">
        <v>4.4098480917309502E-3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42367</v>
      </c>
      <c r="Y180" s="198">
        <f>_xll.qlInterestRateIndexValueDate(IborIndex,X180,Trigger)</f>
        <v>42369</v>
      </c>
      <c r="Z180" s="199">
        <v>4.5906702253118263E-3</v>
      </c>
      <c r="AA180" s="201">
        <v>4.4279602985053401E-3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42368</v>
      </c>
      <c r="Y181" s="198">
        <f>_xll.qlInterestRateIndexValueDate(IborIndex,X181,Trigger)</f>
        <v>42373</v>
      </c>
      <c r="Z181" s="199">
        <v>4.6804150220546327E-3</v>
      </c>
      <c r="AA181" s="201">
        <v>4.4460585143912823E-3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42369</v>
      </c>
      <c r="Y182" s="198">
        <f>_xll.qlInterestRateIndexValueDate(IborIndex,X182,Trigger)</f>
        <v>42374</v>
      </c>
      <c r="Z182" s="199">
        <v>4.6983243636927203E-3</v>
      </c>
      <c r="AA182" s="201">
        <v>4.4641427397085209E-3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42373</v>
      </c>
      <c r="Y183" s="198">
        <f>_xll.qlInterestRateIndexValueDate(IborIndex,X183,Trigger)</f>
        <v>42375</v>
      </c>
      <c r="Z183" s="199">
        <v>4.734088731743343E-3</v>
      </c>
      <c r="AA183" s="201">
        <v>4.5003208110738768E-3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42374</v>
      </c>
      <c r="Y184" s="198">
        <f>_xll.qlInterestRateIndexValueDate(IborIndex,X184,Trigger)</f>
        <v>42376</v>
      </c>
      <c r="Z184" s="199">
        <v>4.7430310988300084E-3</v>
      </c>
      <c r="AA184" s="201">
        <v>4.5363397336917188E-3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42375</v>
      </c>
      <c r="Y185" s="198">
        <f>_xll.qlInterestRateIndexValueDate(IborIndex,X185,Trigger)</f>
        <v>42377</v>
      </c>
      <c r="Z185" s="199">
        <v>4.7519685712152458E-3</v>
      </c>
      <c r="AA185" s="201">
        <v>4.5543540052861431E-3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42376</v>
      </c>
      <c r="Y186" s="198">
        <f>_xll.qlInterestRateIndexValueDate(IborIndex,X186,Trigger)</f>
        <v>42380</v>
      </c>
      <c r="Z186" s="199">
        <v>4.8054870512938318E-3</v>
      </c>
      <c r="AA186" s="201">
        <v>4.5723542862319277E-3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42377</v>
      </c>
      <c r="Y187" s="198">
        <f>_xll.qlInterestRateIndexValueDate(IborIndex,X187,Trigger)</f>
        <v>42381</v>
      </c>
      <c r="Z187" s="199">
        <v>4.8232986049168147E-3</v>
      </c>
      <c r="AA187" s="201">
        <v>4.5903405765290728E-3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42380</v>
      </c>
      <c r="Y188" s="198">
        <f>_xll.qlInterestRateIndexValueDate(IborIndex,X188,Trigger)</f>
        <v>42382</v>
      </c>
      <c r="Z188" s="199">
        <v>4.8677519171668642E-3</v>
      </c>
      <c r="AA188" s="201">
        <v>4.6263259720724648E-3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42381</v>
      </c>
      <c r="Y189" s="198">
        <f>_xll.qlInterestRateIndexValueDate(IborIndex,X189,Trigger)</f>
        <v>42383</v>
      </c>
      <c r="Z189" s="199">
        <v>4.8766414223817963E-3</v>
      </c>
      <c r="AA189" s="201">
        <v>4.6621458300322161E-3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42382</v>
      </c>
      <c r="Y190" s="198">
        <f>_xll.qlInterestRateIndexValueDate(IborIndex,X190,Trigger)</f>
        <v>42384</v>
      </c>
      <c r="Z190" s="199">
        <v>4.8855260287355984E-3</v>
      </c>
      <c r="AA190" s="201">
        <v>4.6800621666065467E-3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42383</v>
      </c>
      <c r="Y191" s="198">
        <f>_xll.qlInterestRateIndexValueDate(IborIndex,X191,Trigger)</f>
        <v>42388</v>
      </c>
      <c r="Z191" s="199">
        <v>4.9476277941058969E-3</v>
      </c>
      <c r="AA191" s="201">
        <v>4.7158528675694811E-3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42384</v>
      </c>
      <c r="Y192" s="198">
        <f>_xll.qlInterestRateIndexValueDate(IborIndex,X192,Trigger)</f>
        <v>42388</v>
      </c>
      <c r="Z192" s="199">
        <v>4.9476277941058969E-3</v>
      </c>
      <c r="AA192" s="201">
        <v>4.7158528675694811E-3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42387</v>
      </c>
      <c r="Y193" s="198">
        <f>_xll.qlInterestRateIndexValueDate(IborIndex,X193,Trigger)</f>
        <v>42389</v>
      </c>
      <c r="Z193" s="199">
        <v>4.9831669929281926E-3</v>
      </c>
      <c r="AA193" s="201">
        <v>4.7516456572349597E-3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42388</v>
      </c>
      <c r="Y194" s="198">
        <f>_xll.qlInterestRateIndexValueDate(IborIndex,X194,Trigger)</f>
        <v>42390</v>
      </c>
      <c r="Z194" s="199">
        <v>4.9920144251464071E-3</v>
      </c>
      <c r="AA194" s="201">
        <v>4.7872663804326976E-3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42389</v>
      </c>
      <c r="Y195" s="198">
        <f>_xll.qlInterestRateIndexValueDate(IborIndex,X195,Trigger)</f>
        <v>42391</v>
      </c>
      <c r="Z195" s="199">
        <v>5.0008573533024247E-3</v>
      </c>
      <c r="AA195" s="201">
        <v>4.8050847817471265E-3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42390</v>
      </c>
      <c r="Y196" s="198">
        <f>_xll.qlInterestRateIndexValueDate(IborIndex,X196,Trigger)</f>
        <v>42394</v>
      </c>
      <c r="Z196" s="199">
        <v>5.0541943398047144E-3</v>
      </c>
      <c r="AA196" s="201">
        <v>4.8228891923329797E-3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42391</v>
      </c>
      <c r="Y197" s="198">
        <f>_xll.qlInterestRateIndexValueDate(IborIndex,X197,Trigger)</f>
        <v>42395</v>
      </c>
      <c r="Z197" s="199">
        <v>5.07201447952727E-3</v>
      </c>
      <c r="AA197" s="201">
        <v>4.8406796121103213E-3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42394</v>
      </c>
      <c r="Y198" s="198">
        <f>_xll.qlInterestRateIndexValueDate(IborIndex,X198,Trigger)</f>
        <v>42396</v>
      </c>
      <c r="Z198" s="199">
        <v>5.1079713178828461E-3</v>
      </c>
      <c r="AA198" s="201">
        <v>4.8762798644297334E-3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42395</v>
      </c>
      <c r="Y199" s="198">
        <f>_xll.qlInterestRateIndexValueDate(IborIndex,X199,Trigger)</f>
        <v>42397</v>
      </c>
      <c r="Z199" s="199">
        <v>5.1168115848201912E-3</v>
      </c>
      <c r="AA199" s="201">
        <v>4.9117013838539947E-3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42396</v>
      </c>
      <c r="Y200" s="198">
        <f>_xll.qlInterestRateIndexValueDate(IborIndex,X200,Trigger)</f>
        <v>42398</v>
      </c>
      <c r="Z200" s="199">
        <v>5.125650146616919E-3</v>
      </c>
      <c r="AA200" s="201">
        <v>4.9294218498285858E-3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42397</v>
      </c>
      <c r="Y201" s="198">
        <f>_xll.qlInterestRateIndexValueDate(IborIndex,X201,Trigger)</f>
        <v>42401</v>
      </c>
      <c r="Z201" s="199">
        <v>5.1612851462974185E-3</v>
      </c>
      <c r="AA201" s="201">
        <v>4.9471283250746012E-3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42398</v>
      </c>
      <c r="Y202" s="198">
        <f>_xll.qlInterestRateIndexValueDate(IborIndex,X202,Trigger)</f>
        <v>42402</v>
      </c>
      <c r="Z202" s="199">
        <v>5.1792921845386156E-3</v>
      </c>
      <c r="AA202" s="201">
        <v>4.964820809592041E-3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42401</v>
      </c>
      <c r="Y203" s="198">
        <f>_xll.qlInterestRateIndexValueDate(IborIndex,X203,Trigger)</f>
        <v>42403</v>
      </c>
      <c r="Z203" s="199">
        <v>5.1973485499318319E-3</v>
      </c>
      <c r="AA203" s="201">
        <v>5.0002285914718669E-3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42402</v>
      </c>
      <c r="Y204" s="198">
        <f>_xll.qlInterestRateIndexValueDate(IborIndex,X204,Trigger)</f>
        <v>42404</v>
      </c>
      <c r="Z204" s="199">
        <v>5.2154581988378221E-3</v>
      </c>
      <c r="AA204" s="201">
        <v>5.0354508397365549E-3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42403</v>
      </c>
      <c r="Y205" s="198">
        <f>_xll.qlInterestRateIndexValueDate(IborIndex,X205,Trigger)</f>
        <v>42405</v>
      </c>
      <c r="Z205" s="199">
        <v>5.2522972996062577E-3</v>
      </c>
      <c r="AA205" s="201">
        <v>5.0530733702913722E-3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42404</v>
      </c>
      <c r="Y206" s="198">
        <f>_xll.qlInterestRateIndexValueDate(IborIndex,X206,Trigger)</f>
        <v>42408</v>
      </c>
      <c r="Z206" s="199">
        <v>5.2885087578024735E-3</v>
      </c>
      <c r="AA206" s="201">
        <v>5.0706819100376777E-3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42405</v>
      </c>
      <c r="Y207" s="198">
        <f>_xll.qlInterestRateIndexValueDate(IborIndex,X207,Trigger)</f>
        <v>42409</v>
      </c>
      <c r="Z207" s="199">
        <v>5.3069441706318872E-3</v>
      </c>
      <c r="AA207" s="201">
        <v>5.0882764591353435E-3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42408</v>
      </c>
      <c r="Y208" s="198">
        <f>_xll.qlInterestRateIndexValueDate(IborIndex,X208,Trigger)</f>
        <v>42410</v>
      </c>
      <c r="Z208" s="199">
        <v>5.3254566056898951E-3</v>
      </c>
      <c r="AA208" s="201">
        <v>5.1234918362830228E-3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42409</v>
      </c>
      <c r="Y209" s="198">
        <f>_xll.qlInterestRateIndexValueDate(IborIndex,X209,Trigger)</f>
        <v>42411</v>
      </c>
      <c r="Z209" s="199">
        <v>5.3440500195081524E-3</v>
      </c>
      <c r="AA209" s="201">
        <v>5.1585338608717279E-3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42410</v>
      </c>
      <c r="Y210" s="198">
        <f>_xll.qlInterestRateIndexValueDate(IborIndex,X210,Trigger)</f>
        <v>42412</v>
      </c>
      <c r="Z210" s="199">
        <v>5.3820683422122597E-3</v>
      </c>
      <c r="AA210" s="201">
        <v>5.1761731378707765E-3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42411</v>
      </c>
      <c r="Y211" s="198">
        <f>_xll.qlInterestRateIndexValueDate(IborIndex,X211,Trigger)</f>
        <v>42416</v>
      </c>
      <c r="Z211" s="199">
        <v>5.4383695912637846E-3</v>
      </c>
      <c r="AA211" s="201">
        <v>5.2117537651152901E-3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42412</v>
      </c>
      <c r="Y212" s="198">
        <f>_xll.qlInterestRateIndexValueDate(IborIndex,X212,Trigger)</f>
        <v>42416</v>
      </c>
      <c r="Z212" s="199">
        <v>5.4383695912637846E-3</v>
      </c>
      <c r="AA212" s="201">
        <v>5.2117537651152901E-3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42415</v>
      </c>
      <c r="Y213" s="198">
        <f>_xll.qlInterestRateIndexValueDate(IborIndex,X213,Trigger)</f>
        <v>42417</v>
      </c>
      <c r="Z213" s="199">
        <v>5.4575273507777343E-3</v>
      </c>
      <c r="AA213" s="201">
        <v>5.2478472181416436E-3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42416</v>
      </c>
      <c r="Y214" s="198">
        <f>_xll.qlInterestRateIndexValueDate(IborIndex,X214,Trigger)</f>
        <v>42418</v>
      </c>
      <c r="Z214" s="199">
        <v>5.4767858730525778E-3</v>
      </c>
      <c r="AA214" s="201">
        <v>5.2841233133094079E-3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42417</v>
      </c>
      <c r="Y215" s="198">
        <f>_xll.qlInterestRateIndexValueDate(IborIndex,X215,Trigger)</f>
        <v>42419</v>
      </c>
      <c r="Z215" s="199">
        <v>5.516193384464246E-3</v>
      </c>
      <c r="AA215" s="201">
        <v>5.3024674282564632E-3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42418</v>
      </c>
      <c r="Y216" s="198">
        <f>_xll.qlInterestRateIndexValueDate(IborIndex,X216,Trigger)</f>
        <v>42422</v>
      </c>
      <c r="Z216" s="199">
        <v>5.5548275991878287E-3</v>
      </c>
      <c r="AA216" s="201">
        <v>5.3209122344988202E-3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42419</v>
      </c>
      <c r="Y217" s="198">
        <f>_xll.qlInterestRateIndexValueDate(IborIndex,X217,Trigger)</f>
        <v>42423</v>
      </c>
      <c r="Z217" s="199">
        <v>5.574589942356642E-3</v>
      </c>
      <c r="AA217" s="201">
        <v>5.3394577318766068E-3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42422</v>
      </c>
      <c r="Y218" s="198">
        <f>_xll.qlInterestRateIndexValueDate(IborIndex,X218,Trigger)</f>
        <v>42424</v>
      </c>
      <c r="Z218" s="199">
        <v>5.5944530511337267E-3</v>
      </c>
      <c r="AA218" s="201">
        <v>5.3769646723633713E-3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42423</v>
      </c>
      <c r="Y219" s="198">
        <f>_xll.qlInterestRateIndexValueDate(IborIndex,X219,Trigger)</f>
        <v>42425</v>
      </c>
      <c r="Z219" s="199">
        <v>5.6558655819862547E-3</v>
      </c>
      <c r="AA219" s="201">
        <v>5.4146466342608335E-3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42424</v>
      </c>
      <c r="Y220" s="198">
        <f>_xll.qlInterestRateIndexValueDate(IborIndex,X220,Trigger)</f>
        <v>42426</v>
      </c>
      <c r="Z220" s="199">
        <v>5.6656692950760035E-3</v>
      </c>
      <c r="AA220" s="201">
        <v>5.4336955880351923E-3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42425</v>
      </c>
      <c r="Y221" s="198">
        <f>_xll.qlInterestRateIndexValueDate(IborIndex,X221,Trigger)</f>
        <v>42429</v>
      </c>
      <c r="Z221" s="199">
        <v>5.7163422370268011E-3</v>
      </c>
      <c r="AA221" s="201">
        <v>5.4528452331847888E-3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42426</v>
      </c>
      <c r="Y222" s="198">
        <f>_xll.qlInterestRateIndexValueDate(IborIndex,X222,Trigger)</f>
        <v>42430</v>
      </c>
      <c r="Z222" s="199">
        <v>5.7369113738154681E-3</v>
      </c>
      <c r="AA222" s="201">
        <v>5.4720955695497508E-3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42429</v>
      </c>
      <c r="Y223" s="198">
        <f>_xll.qlInterestRateIndexValueDate(IborIndex,X223,Trigger)</f>
        <v>42431</v>
      </c>
      <c r="Z223" s="199">
        <v>5.7789819984418759E-3</v>
      </c>
      <c r="AA223" s="201">
        <v>5.5110162426075249E-3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42430</v>
      </c>
      <c r="Y224" s="198">
        <f>_xll.qlInterestRateIndexValueDate(IborIndex,X224,Trigger)</f>
        <v>42432</v>
      </c>
      <c r="Z224" s="199">
        <v>5.7890860862727656E-3</v>
      </c>
      <c r="AA224" s="201">
        <v>5.5501038291616567E-3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42431</v>
      </c>
      <c r="Y225" s="198">
        <f>_xll.qlInterestRateIndexValueDate(IborIndex,X225,Trigger)</f>
        <v>42433</v>
      </c>
      <c r="Z225" s="199">
        <v>5.799223437076965E-3</v>
      </c>
      <c r="AA225" s="201">
        <v>5.5698576224827434E-3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42432</v>
      </c>
      <c r="Y226" s="198">
        <f>_xll.qlInterestRateIndexValueDate(IborIndex,X226,Trigger)</f>
        <v>42436</v>
      </c>
      <c r="Z226" s="199">
        <v>5.8624424910455157E-3</v>
      </c>
      <c r="AA226" s="201">
        <v>5.58971210733894E-3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42433</v>
      </c>
      <c r="Y227" s="198">
        <f>_xll.qlInterestRateIndexValueDate(IborIndex,X227,Trigger)</f>
        <v>42437</v>
      </c>
      <c r="Z227" s="199">
        <v>5.8837170650782866E-3</v>
      </c>
      <c r="AA227" s="201">
        <v>5.6096672835703743E-3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42436</v>
      </c>
      <c r="Y228" s="198">
        <f>_xll.qlInterestRateIndexValueDate(IborIndex,X228,Trigger)</f>
        <v>42438</v>
      </c>
      <c r="Z228" s="199">
        <v>5.9272034008954356E-3</v>
      </c>
      <c r="AA228" s="201">
        <v>5.6500019453675776E-3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42437</v>
      </c>
      <c r="Y229" s="198">
        <f>_xll.qlInterestRateIndexValueDate(IborIndex,X229,Trigger)</f>
        <v>42439</v>
      </c>
      <c r="Z229" s="199">
        <v>5.9376578099365473E-3</v>
      </c>
      <c r="AA229" s="201">
        <v>5.6904949036074015E-3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42438</v>
      </c>
      <c r="Y230" s="198">
        <f>_xll.qlInterestRateIndexValueDate(IborIndex,X230,Trigger)</f>
        <v>42440</v>
      </c>
      <c r="Z230" s="199">
        <v>5.9481454630601564E-3</v>
      </c>
      <c r="AA230" s="201">
        <v>5.7109535372745768E-3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42439</v>
      </c>
      <c r="Y231" s="198">
        <f>_xll.qlInterestRateIndexValueDate(IborIndex,X231,Trigger)</f>
        <v>42443</v>
      </c>
      <c r="Z231" s="199">
        <v>6.013480886616674E-3</v>
      </c>
      <c r="AA231" s="201">
        <v>5.73151286271667E-3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42440</v>
      </c>
      <c r="Y232" s="198">
        <f>_xll.qlInterestRateIndexValueDate(IborIndex,X232,Trigger)</f>
        <v>42444</v>
      </c>
      <c r="Z232" s="199">
        <v>6.0354609250125001E-3</v>
      </c>
      <c r="AA232" s="201">
        <v>5.7521728796139371E-3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42443</v>
      </c>
      <c r="Y233" s="198">
        <f>_xll.qlInterestRateIndexValueDate(IborIndex,X233,Trigger)</f>
        <v>42445</v>
      </c>
      <c r="Z233" s="199">
        <v>6.0803633155566547E-3</v>
      </c>
      <c r="AA233" s="201">
        <v>5.7939217978564272E-3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42444</v>
      </c>
      <c r="Y234" s="198">
        <f>_xll.qlInterestRateIndexValueDate(IborIndex,X234,Trigger)</f>
        <v>42446</v>
      </c>
      <c r="Z234" s="199">
        <v>6.0911679155212228E-3</v>
      </c>
      <c r="AA234" s="201">
        <v>5.8358198632735281E-3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42445</v>
      </c>
      <c r="Y235" s="198">
        <f>_xll.qlInterestRateIndexValueDate(IborIndex,X235,Trigger)</f>
        <v>42447</v>
      </c>
      <c r="Z235" s="199">
        <v>6.1020057398400171E-3</v>
      </c>
      <c r="AA235" s="201">
        <v>5.8569833383259606E-3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42446</v>
      </c>
      <c r="Y236" s="198">
        <f>_xll.qlInterestRateIndexValueDate(IborIndex,X236,Trigger)</f>
        <v>42450</v>
      </c>
      <c r="Z236" s="199">
        <v>6.1694576162701371E-3</v>
      </c>
      <c r="AA236" s="201">
        <v>5.8782475049934391E-3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42447</v>
      </c>
      <c r="Y237" s="198">
        <f>_xll.qlInterestRateIndexValueDate(IborIndex,X237,Trigger)</f>
        <v>42451</v>
      </c>
      <c r="Z237" s="199">
        <v>6.1921431470478962E-3</v>
      </c>
      <c r="AA237" s="201">
        <v>5.9429410502342961E-3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42450</v>
      </c>
      <c r="Y238" s="198">
        <f>_xll.qlInterestRateIndexValueDate(IborIndex,X238,Trigger)</f>
        <v>42452</v>
      </c>
      <c r="Z238" s="199">
        <v>6.2384619502641285E-3</v>
      </c>
      <c r="AA238" s="201">
        <v>6.0079470314722272E-3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42451</v>
      </c>
      <c r="Y239" s="198">
        <f>_xll.qlInterestRateIndexValueDate(IborIndex,X239,Trigger)</f>
        <v>42453</v>
      </c>
      <c r="Z239" s="199">
        <v>6.249616605030206E-3</v>
      </c>
      <c r="AA239" s="201">
        <v>6.0299160403243235E-3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42452</v>
      </c>
      <c r="Y240" s="198">
        <f>_xll.qlInterestRateIndexValueDate(IborIndex,X240,Trigger)</f>
        <v>42458</v>
      </c>
      <c r="Z240" s="199">
        <v>6.3537639309111634E-3</v>
      </c>
      <c r="AA240" s="201">
        <v>6.0519857411112099E-3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42453</v>
      </c>
      <c r="Y241" s="198">
        <f>_xll.qlInterestRateIndexValueDate(IborIndex,X241,Trigger)</f>
        <v>42459</v>
      </c>
      <c r="Z241" s="199">
        <v>6.3651849339665389E-3</v>
      </c>
      <c r="AA241" s="201">
        <v>6.0965640234567076E-3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42458</v>
      </c>
      <c r="Y242" s="198">
        <f>_xll.qlInterestRateIndexValueDate(IborIndex,X242,Trigger)</f>
        <v>42460</v>
      </c>
      <c r="Z242" s="199">
        <v>6.3766391230794086E-3</v>
      </c>
      <c r="AA242" s="201">
        <v>6.1412714627273601E-3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42459</v>
      </c>
      <c r="Y243" s="198">
        <f>_xll.qlInterestRateIndexValueDate(IborIndex,X243,Trigger)</f>
        <v>42461</v>
      </c>
      <c r="Z243" s="199">
        <v>6.4367483349844767E-3</v>
      </c>
      <c r="AA243" s="201">
        <v>6.1638446228684529E-3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42460</v>
      </c>
      <c r="Y244" s="198">
        <f>_xll.qlInterestRateIndexValueDate(IborIndex,X244,Trigger)</f>
        <v>42464</v>
      </c>
      <c r="Z244" s="199">
        <v>6.4839019356357497E-3</v>
      </c>
      <c r="AA244" s="201">
        <v>6.1865184749443358E-3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42461</v>
      </c>
      <c r="Y245" s="198">
        <f>_xll.qlInterestRateIndexValueDate(IborIndex,X245,Trigger)</f>
        <v>42465</v>
      </c>
      <c r="Z245" s="199">
        <v>6.507947707009798E-3</v>
      </c>
      <c r="AA245" s="201">
        <v>6.2092930189550088E-3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42464</v>
      </c>
      <c r="Y246" s="198">
        <f>_xll.qlInterestRateIndexValueDate(IborIndex,X246,Trigger)</f>
        <v>42466</v>
      </c>
      <c r="Z246" s="199">
        <v>6.5320942701374562E-3</v>
      </c>
      <c r="AA246" s="201">
        <v>6.2552864339249226E-3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42465</v>
      </c>
      <c r="Y247" s="198">
        <f>_xll.qlInterestRateIndexValueDate(IborIndex,X247,Trigger)</f>
        <v>42467</v>
      </c>
      <c r="Z247" s="199">
        <v>6.5813305762937868E-3</v>
      </c>
      <c r="AA247" s="201">
        <v>6.3013981150650267E-3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42466</v>
      </c>
      <c r="Y248" s="198">
        <f>_xll.qlInterestRateIndexValueDate(IborIndex,X248,Trigger)</f>
        <v>42468</v>
      </c>
      <c r="Z248" s="199">
        <v>6.5932180677578008E-3</v>
      </c>
      <c r="AA248" s="201">
        <v>6.3246761191493306E-3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42467</v>
      </c>
      <c r="Y249" s="198">
        <f>_xll.qlInterestRateIndexValueDate(IborIndex,X249,Trigger)</f>
        <v>42471</v>
      </c>
      <c r="Z249" s="199">
        <v>6.6543389834521349E-3</v>
      </c>
      <c r="AA249" s="201">
        <v>6.3480548152483607E-3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42468</v>
      </c>
      <c r="Y250" s="198">
        <f>_xll.qlInterestRateIndexValueDate(IborIndex,X250,Trigger)</f>
        <v>42472</v>
      </c>
      <c r="Z250" s="199">
        <v>6.6790903099578358E-3</v>
      </c>
      <c r="AA250" s="201">
        <v>6.3715342035219891E-3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42471</v>
      </c>
      <c r="Y251" s="198">
        <f>_xll.qlInterestRateIndexValueDate(IborIndex,X251,Trigger)</f>
        <v>42473</v>
      </c>
      <c r="Z251" s="199">
        <v>6.7039424325257002E-3</v>
      </c>
      <c r="AA251" s="201">
        <v>6.4189430687555671E-3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42472</v>
      </c>
      <c r="Y252" s="198">
        <f>_xll.qlInterestRateIndexValueDate(IborIndex,X252,Trigger)</f>
        <v>42474</v>
      </c>
      <c r="Z252" s="199">
        <v>6.7545962945492199E-3</v>
      </c>
      <c r="AA252" s="201">
        <v>6.4664586777229971E-3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42473</v>
      </c>
      <c r="Y253" s="198">
        <f>_xll.qlInterestRateIndexValueDate(IborIndex,X253,Trigger)</f>
        <v>42475</v>
      </c>
      <c r="Z253" s="199">
        <v>6.7668333720018589E-3</v>
      </c>
      <c r="AA253" s="201">
        <v>6.4904415267097448E-3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42474</v>
      </c>
      <c r="Y254" s="198">
        <f>_xll.qlInterestRateIndexValueDate(IborIndex,X254,Trigger)</f>
        <v>42478</v>
      </c>
      <c r="Z254" s="199">
        <v>6.8297095457294787E-3</v>
      </c>
      <c r="AA254" s="201">
        <v>6.5145250678710909E-3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42475</v>
      </c>
      <c r="Y255" s="198">
        <f>_xll.qlInterestRateIndexValueDate(IborIndex,X255,Trigger)</f>
        <v>42479</v>
      </c>
      <c r="Z255" s="199">
        <v>6.855153484261578E-3</v>
      </c>
      <c r="AA255" s="201">
        <v>6.5387093012869713E-3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42478</v>
      </c>
      <c r="Y256" s="198">
        <f>_xll.qlInterestRateIndexValueDate(IborIndex,X256,Trigger)</f>
        <v>42480</v>
      </c>
      <c r="Z256" s="199">
        <v>6.8806859324039849E-3</v>
      </c>
      <c r="AA256" s="201">
        <v>6.587533948119173E-3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42479</v>
      </c>
      <c r="Y257" s="198">
        <f>_xll.qlInterestRateIndexValueDate(IborIndex,X257,Trigger)</f>
        <v>42481</v>
      </c>
      <c r="Z257" s="199">
        <v>6.9325818897464364E-3</v>
      </c>
      <c r="AA257" s="201">
        <v>6.6364531576557084E-3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42480</v>
      </c>
      <c r="Y258" s="198">
        <f>_xll.qlInterestRateIndexValueDate(IborIndex,X258,Trigger)</f>
        <v>42482</v>
      </c>
      <c r="Z258" s="199">
        <v>6.9451613115859463E-3</v>
      </c>
      <c r="AA258" s="201">
        <v>6.6611408525041327E-3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42481</v>
      </c>
      <c r="Y259" s="198">
        <f>_xll.qlInterestRateIndexValueDate(IborIndex,X259,Trigger)</f>
        <v>42485</v>
      </c>
      <c r="Z259" s="199">
        <v>7.0095324425158978E-3</v>
      </c>
      <c r="AA259" s="201">
        <v>6.6859292396870273E-3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42482</v>
      </c>
      <c r="Y260" s="198">
        <f>_xll.qlInterestRateIndexValueDate(IborIndex,X260,Trigger)</f>
        <v>42486</v>
      </c>
      <c r="Z260" s="199">
        <v>7.0355099229999496E-3</v>
      </c>
      <c r="AA260" s="201">
        <v>6.7108183192843285E-3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42485</v>
      </c>
      <c r="Y261" s="198">
        <f>_xll.qlInterestRateIndexValueDate(IborIndex,X261,Trigger)</f>
        <v>42487</v>
      </c>
      <c r="Z261" s="199">
        <v>7.0615472376749366E-3</v>
      </c>
      <c r="AA261" s="201">
        <v>6.7737356520081171E-3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42486</v>
      </c>
      <c r="Y262" s="198">
        <f>_xll.qlInterestRateIndexValueDate(IborIndex,X262,Trigger)</f>
        <v>42488</v>
      </c>
      <c r="Z262" s="199">
        <v>7.1274653959011152E-3</v>
      </c>
      <c r="AA262" s="201">
        <v>6.8367741034869312E-3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42487</v>
      </c>
      <c r="Y263" s="198">
        <f>_xll.qlInterestRateIndexValueDate(IborIndex,X263,Trigger)</f>
        <v>42489</v>
      </c>
      <c r="Z263" s="199">
        <v>7.140352512575443E-3</v>
      </c>
      <c r="AA263" s="201">
        <v>6.8622673377305432E-3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42488</v>
      </c>
      <c r="Y264" s="198">
        <f>_xll.qlInterestRateIndexValueDate(IborIndex,X264,Trigger)</f>
        <v>42493</v>
      </c>
      <c r="Z264" s="199">
        <v>7.2320997480010687E-3</v>
      </c>
      <c r="AA264" s="201">
        <v>6.8878612644684978E-3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42489</v>
      </c>
      <c r="Y265" s="198">
        <f>_xll.qlInterestRateIndexValueDate(IborIndex,X265,Trigger)</f>
        <v>42494</v>
      </c>
      <c r="Z265" s="199">
        <v>7.2850300622239288E-3</v>
      </c>
      <c r="AA265" s="201">
        <v>6.9395185241916124E-3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42493</v>
      </c>
      <c r="Y266" s="198">
        <f>_xll.qlInterestRateIndexValueDate(IborIndex,X266,Trigger)</f>
        <v>42495</v>
      </c>
      <c r="Z266" s="199">
        <v>7.2981022820051145E-3</v>
      </c>
      <c r="AA266" s="201">
        <v>6.991243897243038E-3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42494</v>
      </c>
      <c r="Y267" s="198">
        <f>_xll.qlInterestRateIndexValueDate(IborIndex,X267,Trigger)</f>
        <v>42496</v>
      </c>
      <c r="Z267" s="199">
        <v>7.3111959784824994E-3</v>
      </c>
      <c r="AA267" s="201">
        <v>7.0173412869323215E-3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42495</v>
      </c>
      <c r="Y268" s="198">
        <f>_xll.qlInterestRateIndexValueDate(IborIndex,X268,Trigger)</f>
        <v>42499</v>
      </c>
      <c r="Z268" s="199">
        <v>7.390450131761349E-3</v>
      </c>
      <c r="AA268" s="201">
        <v>7.0435393692758197E-3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42496</v>
      </c>
      <c r="Y269" s="198">
        <f>_xll.qlInterestRateIndexValueDate(IborIndex,X269,Trigger)</f>
        <v>42500</v>
      </c>
      <c r="Z269" s="199">
        <v>7.4168847738314931E-3</v>
      </c>
      <c r="AA269" s="201">
        <v>7.0698381442735325E-3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42499</v>
      </c>
      <c r="Y270" s="198">
        <f>_xll.qlInterestRateIndexValueDate(IborIndex,X270,Trigger)</f>
        <v>42501</v>
      </c>
      <c r="Z270" s="199">
        <v>7.4698272128555362E-3</v>
      </c>
      <c r="AA270" s="201">
        <v>7.1229122643590159E-3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42500</v>
      </c>
      <c r="Y271" s="198">
        <f>_xll.qlInterestRateIndexValueDate(IborIndex,X271,Trigger)</f>
        <v>42502</v>
      </c>
      <c r="Z271" s="199">
        <v>7.4830023001315471E-3</v>
      </c>
      <c r="AA271" s="201">
        <v>7.1760196980630298E-3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42501</v>
      </c>
      <c r="Y272" s="198">
        <f>_xll.qlInterestRateIndexValueDate(IborIndex,X272,Trigger)</f>
        <v>42503</v>
      </c>
      <c r="Z272" s="199">
        <v>7.4961829627938304E-3</v>
      </c>
      <c r="AA272" s="201">
        <v>7.2026990965134985E-3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42502</v>
      </c>
      <c r="Y273" s="198">
        <f>_xll.qlInterestRateIndexValueDate(IborIndex,X273,Trigger)</f>
        <v>42506</v>
      </c>
      <c r="Z273" s="199">
        <v>7.5753892786973292E-3</v>
      </c>
      <c r="AA273" s="201">
        <v>7.2293563472403122E-3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42503</v>
      </c>
      <c r="Y274" s="198">
        <f>_xll.qlInterestRateIndexValueDate(IborIndex,X274,Trigger)</f>
        <v>42507</v>
      </c>
      <c r="Z274" s="199">
        <v>7.6017531244618811E-3</v>
      </c>
      <c r="AA274" s="201">
        <v>7.255991450563215E-3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42506</v>
      </c>
      <c r="Y275" s="198">
        <f>_xll.qlInterestRateIndexValueDate(IborIndex,X275,Trigger)</f>
        <v>42508</v>
      </c>
      <c r="Z275" s="199">
        <v>7.6544590097540133E-3</v>
      </c>
      <c r="AA275" s="201">
        <v>7.3093362328080502E-3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42507</v>
      </c>
      <c r="Y276" s="198">
        <f>_xll.qlInterestRateIndexValueDate(IborIndex,X276,Trigger)</f>
        <v>42509</v>
      </c>
      <c r="Z276" s="199">
        <v>7.6675894909089548E-3</v>
      </c>
      <c r="AA276" s="201">
        <v>7.3623103878972529E-3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42508</v>
      </c>
      <c r="Y277" s="198">
        <f>_xll.qlInterestRateIndexValueDate(IborIndex,X277,Trigger)</f>
        <v>42510</v>
      </c>
      <c r="Z277" s="199">
        <v>7.6807120382150007E-3</v>
      </c>
      <c r="AA277" s="201">
        <v>7.388834753241369E-3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42509</v>
      </c>
      <c r="Y278" s="198">
        <f>_xll.qlInterestRateIndexValueDate(IborIndex,X278,Trigger)</f>
        <v>42513</v>
      </c>
      <c r="Z278" s="199">
        <v>7.7594720135024196E-3</v>
      </c>
      <c r="AA278" s="201">
        <v>7.4153369711016381E-3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42510</v>
      </c>
      <c r="Y279" s="198">
        <f>_xll.qlInterestRateIndexValueDate(IborIndex,X279,Trigger)</f>
        <v>42514</v>
      </c>
      <c r="Z279" s="199">
        <v>7.7856811293503508E-3</v>
      </c>
      <c r="AA279" s="201">
        <v>7.4418170413181883E-3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42513</v>
      </c>
      <c r="Y280" s="198">
        <f>_xll.qlInterestRateIndexValueDate(IborIndex,X280,Trigger)</f>
        <v>42515</v>
      </c>
      <c r="Z280" s="199">
        <v>7.8380854491485775E-3</v>
      </c>
      <c r="AA280" s="201">
        <v>7.50814135026312E-3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42514</v>
      </c>
      <c r="Y281" s="198">
        <f>_xll.qlInterestRateIndexValueDate(IborIndex,X281,Trigger)</f>
        <v>42516</v>
      </c>
      <c r="Z281" s="199">
        <v>7.8511346201767807E-3</v>
      </c>
      <c r="AA281" s="201">
        <v>7.5738851783047068E-3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42515</v>
      </c>
      <c r="Y282" s="198">
        <f>_xll.qlInterestRateIndexValueDate(IborIndex,X282,Trigger)</f>
        <v>42517</v>
      </c>
      <c r="Z282" s="199">
        <v>7.8641758470489719E-3</v>
      </c>
      <c r="AA282" s="201">
        <v>7.6002323628188151E-3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42516</v>
      </c>
      <c r="Y283" s="198">
        <f>_xll.qlInterestRateIndexValueDate(IborIndex,X283,Trigger)</f>
        <v>42521</v>
      </c>
      <c r="Z283" s="199">
        <v>7.9554700202129069E-3</v>
      </c>
      <c r="AA283" s="201">
        <v>7.6265573996892044E-3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42517</v>
      </c>
      <c r="Y284" s="198">
        <f>_xll.qlInterestRateIndexValueDate(IborIndex,X284,Trigger)</f>
        <v>42522</v>
      </c>
      <c r="Z284" s="199">
        <v>7.9815127697244748E-3</v>
      </c>
      <c r="AA284" s="201">
        <v>7.679297451694822E-3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42521</v>
      </c>
      <c r="Y285" s="198">
        <f>_xll.qlInterestRateIndexValueDate(IborIndex,X285,Trigger)</f>
        <v>42523</v>
      </c>
      <c r="Z285" s="199">
        <v>8.0466180936269258E-3</v>
      </c>
      <c r="AA285" s="201">
        <v>7.73163607097338E-3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42522</v>
      </c>
      <c r="Y286" s="198">
        <f>_xll.qlInterestRateIndexValueDate(IborIndex,X286,Trigger)</f>
        <v>42524</v>
      </c>
      <c r="Z286" s="199">
        <v>8.059574249186241E-3</v>
      </c>
      <c r="AA286" s="201">
        <v>7.7578503697850465E-3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42523</v>
      </c>
      <c r="Y287" s="198">
        <f>_xll.qlInterestRateIndexValueDate(IborIndex,X287,Trigger)</f>
        <v>42527</v>
      </c>
      <c r="Z287" s="199">
        <v>8.1113949036284438E-3</v>
      </c>
      <c r="AA287" s="201">
        <v>7.7840425207931219E-3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42524</v>
      </c>
      <c r="Y288" s="198">
        <f>_xll.qlInterestRateIndexValueDate(IborIndex,X288,Trigger)</f>
        <v>42528</v>
      </c>
      <c r="Z288" s="199">
        <v>8.137305006672868E-3</v>
      </c>
      <c r="AA288" s="201">
        <v>7.8102125241574782E-3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42527</v>
      </c>
      <c r="Y289" s="198">
        <f>_xll.qlInterestRateIndexValueDate(IborIndex,X289,Trigger)</f>
        <v>42529</v>
      </c>
      <c r="Z289" s="199">
        <v>8.1631930014713916E-3</v>
      </c>
      <c r="AA289" s="201">
        <v>7.8626504242862438E-3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42528</v>
      </c>
      <c r="Y290" s="198">
        <f>_xll.qlInterestRateIndexValueDate(IborIndex,X290,Trigger)</f>
        <v>42530</v>
      </c>
      <c r="Z290" s="199">
        <v>8.2149755626237386E-3</v>
      </c>
      <c r="AA290" s="201">
        <v>7.9146710610178417E-3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42529</v>
      </c>
      <c r="Y291" s="198">
        <f>_xll.qlInterestRateIndexValueDate(IborIndex,X291,Trigger)</f>
        <v>42531</v>
      </c>
      <c r="Z291" s="199">
        <v>8.2278539312539579E-3</v>
      </c>
      <c r="AA291" s="201">
        <v>7.940730326083667E-3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42530</v>
      </c>
      <c r="Y292" s="198">
        <f>_xll.qlInterestRateIndexValueDate(IborIndex,X292,Trigger)</f>
        <v>42534</v>
      </c>
      <c r="Z292" s="199">
        <v>8.292301346744857E-3</v>
      </c>
      <c r="AA292" s="201">
        <v>7.9667674433459013E-3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42531</v>
      </c>
      <c r="Y293" s="198">
        <f>_xll.qlInterestRateIndexValueDate(IborIndex,X293,Trigger)</f>
        <v>42535</v>
      </c>
      <c r="Z293" s="199">
        <v>8.3180566890543872E-3</v>
      </c>
      <c r="AA293" s="201">
        <v>7.9927824130443526E-3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42534</v>
      </c>
      <c r="Y294" s="198">
        <f>_xll.qlInterestRateIndexValueDate(IborIndex,X294,Trigger)</f>
        <v>42536</v>
      </c>
      <c r="Z294" s="199">
        <v>8.3437899221214806E-3</v>
      </c>
      <c r="AA294" s="201">
        <v>8.0449182990260937E-3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42535</v>
      </c>
      <c r="Y295" s="198">
        <f>_xll.qlInterestRateIndexValueDate(IborIndex,X295,Trigger)</f>
        <v>42537</v>
      </c>
      <c r="Z295" s="199">
        <v>8.3952712705995247E-3</v>
      </c>
      <c r="AA295" s="201">
        <v>8.0966208144417351E-3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42536</v>
      </c>
      <c r="Y296" s="198">
        <f>_xll.qlInterestRateIndexValueDate(IborIndex,X296,Trigger)</f>
        <v>42538</v>
      </c>
      <c r="Z296" s="199">
        <v>8.4080681047477551E-3</v>
      </c>
      <c r="AA296" s="201">
        <v>8.1225250456018472E-3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42537</v>
      </c>
      <c r="Y297" s="198">
        <f>_xll.qlInterestRateIndexValueDate(IborIndex,X297,Trigger)</f>
        <v>42541</v>
      </c>
      <c r="Z297" s="199">
        <v>8.4721244437604426E-3</v>
      </c>
      <c r="AA297" s="201">
        <v>8.1484071289583682E-3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42538</v>
      </c>
      <c r="Y298" s="198">
        <f>_xll.qlInterestRateIndexValueDate(IborIndex,X298,Trigger)</f>
        <v>42542</v>
      </c>
      <c r="Z298" s="199">
        <v>8.4977250183593256E-3</v>
      </c>
      <c r="AA298" s="201">
        <v>8.174267064511298E-3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42541</v>
      </c>
      <c r="Y299" s="198">
        <f>_xll.qlInterestRateIndexValueDate(IborIndex,X299,Trigger)</f>
        <v>42543</v>
      </c>
      <c r="Z299" s="199">
        <v>8.5233034827139065E-3</v>
      </c>
      <c r="AA299" s="201">
        <v>8.226101070958336E-3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42542</v>
      </c>
      <c r="Y300" s="198">
        <f>_xll.qlInterestRateIndexValueDate(IborIndex,X300,Trigger)</f>
        <v>42544</v>
      </c>
      <c r="Z300" s="199">
        <v>8.5744837334567059E-3</v>
      </c>
      <c r="AA300" s="201">
        <v>8.2774853296463391E-3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42543</v>
      </c>
      <c r="Y301" s="198">
        <f>_xll.qlInterestRateIndexValueDate(IborIndex,X301,Trigger)</f>
        <v>42545</v>
      </c>
      <c r="Z301" s="199">
        <v>8.5871989650913999E-3</v>
      </c>
      <c r="AA301" s="201">
        <v>8.3032345266609298E-3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42544</v>
      </c>
      <c r="Y302" s="198">
        <f>_xll.qlInterestRateIndexValueDate(IborIndex,X302,Trigger)</f>
        <v>42548</v>
      </c>
      <c r="Z302" s="199">
        <v>8.6508641459301927E-3</v>
      </c>
      <c r="AA302" s="201">
        <v>8.3289615757120572E-3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42545</v>
      </c>
      <c r="Y303" s="198">
        <f>_xll.qlInterestRateIndexValueDate(IborIndex,X303,Trigger)</f>
        <v>42549</v>
      </c>
      <c r="Z303" s="199">
        <v>8.676309945871985E-3</v>
      </c>
      <c r="AA303" s="201">
        <v>8.3546664771994017E-3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42548</v>
      </c>
      <c r="Y304" s="198">
        <f>_xll.qlInterestRateIndexValueDate(IborIndex,X304,Trigger)</f>
        <v>42550</v>
      </c>
      <c r="Z304" s="199">
        <v>8.7017336345862617E-3</v>
      </c>
      <c r="AA304" s="201">
        <v>8.4061987351802259E-3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42549</v>
      </c>
      <c r="Y305" s="198">
        <f>_xll.qlInterestRateIndexValueDate(IborIndex,X305,Trigger)</f>
        <v>42551</v>
      </c>
      <c r="Z305" s="199">
        <v>8.7143862274318869E-3</v>
      </c>
      <c r="AA305" s="201">
        <v>8.4572646050329325E-3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42550</v>
      </c>
      <c r="Y306" s="198">
        <f>_xll.qlInterestRateIndexValueDate(IborIndex,X306,Trigger)</f>
        <v>42552</v>
      </c>
      <c r="Z306" s="199">
        <v>8.7652464621005184E-3</v>
      </c>
      <c r="AA306" s="201">
        <v>8.4828587675822575E-3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42551</v>
      </c>
      <c r="Y307" s="198">
        <f>_xll.qlInterestRateIndexValueDate(IborIndex,X307,Trigger)</f>
        <v>42556</v>
      </c>
      <c r="Z307" s="199">
        <v>8.8665014617318426E-3</v>
      </c>
      <c r="AA307" s="201">
        <v>8.5339806491901982E-3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42552</v>
      </c>
      <c r="Y308" s="198">
        <f>_xll.qlInterestRateIndexValueDate(IborIndex,X308,Trigger)</f>
        <v>42556</v>
      </c>
      <c r="Z308" s="199">
        <v>8.8665014617318426E-3</v>
      </c>
      <c r="AA308" s="201">
        <v>8.5339806491901982E-3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42555</v>
      </c>
      <c r="Y309" s="198">
        <f>_xll.qlInterestRateIndexValueDate(IborIndex,X309,Trigger)</f>
        <v>42557</v>
      </c>
      <c r="Z309" s="199">
        <v>8.9170988868750561E-3</v>
      </c>
      <c r="AA309" s="201">
        <v>8.5852112867890185E-3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42556</v>
      </c>
      <c r="Y310" s="198">
        <f>_xll.qlInterestRateIndexValueDate(IborIndex,X310,Trigger)</f>
        <v>42558</v>
      </c>
      <c r="Z310" s="199">
        <v>8.9296587168583019E-3</v>
      </c>
      <c r="AA310" s="201">
        <v>8.6359586388429221E-3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42557</v>
      </c>
      <c r="Y311" s="198">
        <f>_xll.qlInterestRateIndexValueDate(IborIndex,X311,Trigger)</f>
        <v>42559</v>
      </c>
      <c r="Z311" s="199">
        <v>8.9422105459053252E-3</v>
      </c>
      <c r="AA311" s="201">
        <v>8.6613977667671094E-3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42558</v>
      </c>
      <c r="Y312" s="198">
        <f>_xll.qlInterestRateIndexValueDate(IborIndex,X312,Trigger)</f>
        <v>42562</v>
      </c>
      <c r="Z312" s="199">
        <v>9.0177206267050281E-3</v>
      </c>
      <c r="AA312" s="201">
        <v>8.6868147468077694E-3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42559</v>
      </c>
      <c r="Y313" s="198">
        <f>_xll.qlInterestRateIndexValueDate(IborIndex,X313,Trigger)</f>
        <v>42563</v>
      </c>
      <c r="Z313" s="199">
        <v>9.0428464299933016E-3</v>
      </c>
      <c r="AA313" s="201">
        <v>8.7122095790448384E-3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42562</v>
      </c>
      <c r="Y314" s="198">
        <f>_xll.qlInterestRateIndexValueDate(IborIndex,X314,Trigger)</f>
        <v>42564</v>
      </c>
      <c r="Z314" s="199">
        <v>9.093143092890282E-3</v>
      </c>
      <c r="AA314" s="201">
        <v>8.7631387209352596E-3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42563</v>
      </c>
      <c r="Y315" s="198">
        <f>_xll.qlInterestRateIndexValueDate(IborIndex,X315,Trigger)</f>
        <v>42565</v>
      </c>
      <c r="Z315" s="199">
        <v>9.1056211346948746E-3</v>
      </c>
      <c r="AA315" s="201">
        <v>8.8135674295575228E-3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42564</v>
      </c>
      <c r="Y316" s="198">
        <f>_xll.qlInterestRateIndexValueDate(IborIndex,X316,Trigger)</f>
        <v>42566</v>
      </c>
      <c r="Z316" s="199">
        <v>9.1180911669222573E-3</v>
      </c>
      <c r="AA316" s="201">
        <v>8.8388515226167641E-3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42565</v>
      </c>
      <c r="Y317" s="198">
        <f>_xll.qlInterestRateIndexValueDate(IborIndex,X317,Trigger)</f>
        <v>42569</v>
      </c>
      <c r="Z317" s="199">
        <v>9.1931368914291885E-3</v>
      </c>
      <c r="AA317" s="201">
        <v>8.8641134677924782E-3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42566</v>
      </c>
      <c r="Y318" s="198">
        <f>_xll.qlInterestRateIndexValueDate(IborIndex,X318,Trigger)</f>
        <v>42570</v>
      </c>
      <c r="Z318" s="199">
        <v>9.2181079072829793E-3</v>
      </c>
      <c r="AA318" s="201">
        <v>8.8893532650846652E-3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42569</v>
      </c>
      <c r="Y319" s="198">
        <f>_xll.qlInterestRateIndexValueDate(IborIndex,X319,Trigger)</f>
        <v>42571</v>
      </c>
      <c r="Z319" s="199">
        <v>9.2681039101449869E-3</v>
      </c>
      <c r="AA319" s="201">
        <v>8.9399810327694951E-3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42570</v>
      </c>
      <c r="Y320" s="198">
        <f>_xll.qlInterestRateIndexValueDate(IborIndex,X320,Trigger)</f>
        <v>42572</v>
      </c>
      <c r="Z320" s="199">
        <v>9.2805001020071498E-3</v>
      </c>
      <c r="AA320" s="201">
        <v>8.9900909756579495E-3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42571</v>
      </c>
      <c r="Y321" s="198">
        <f>_xll.qlInterestRateIndexValueDate(IborIndex,X321,Trigger)</f>
        <v>42573</v>
      </c>
      <c r="Z321" s="199">
        <v>9.292888275887496E-3</v>
      </c>
      <c r="AA321" s="201">
        <v>9.0152200336124366E-3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42572</v>
      </c>
      <c r="Y322" s="198">
        <f>_xll.qlInterestRateIndexValueDate(IborIndex,X322,Trigger)</f>
        <v>42576</v>
      </c>
      <c r="Z322" s="199">
        <v>9.3674696230784723E-3</v>
      </c>
      <c r="AA322" s="201">
        <v>9.0403269436034606E-3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42573</v>
      </c>
      <c r="Y323" s="198">
        <f>_xll.qlInterestRateIndexValueDate(IborIndex,X323,Trigger)</f>
        <v>42577</v>
      </c>
      <c r="Z323" s="199">
        <v>9.3922858444969275E-3</v>
      </c>
      <c r="AA323" s="201">
        <v>9.0654117057908934E-3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42576</v>
      </c>
      <c r="Y324" s="198">
        <f>_xll.qlInterestRateIndexValueDate(IborIndex,X324,Trigger)</f>
        <v>42578</v>
      </c>
      <c r="Z324" s="199">
        <v>9.4544218623629338E-3</v>
      </c>
      <c r="AA324" s="201">
        <v>9.1157382175488522E-3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42577</v>
      </c>
      <c r="Y325" s="198">
        <f>_xll.qlInterestRateIndexValueDate(IborIndex,X325,Trigger)</f>
        <v>42579</v>
      </c>
      <c r="Z325" s="199">
        <v>9.4667324644668524E-3</v>
      </c>
      <c r="AA325" s="201">
        <v>9.1655292753856088E-3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42578</v>
      </c>
      <c r="Y326" s="198">
        <f>_xll.qlInterestRateIndexValueDate(IborIndex,X326,Trigger)</f>
        <v>42580</v>
      </c>
      <c r="Z326" s="199">
        <v>9.4914615302195554E-3</v>
      </c>
      <c r="AA326" s="201">
        <v>9.1905032979955337E-3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42579</v>
      </c>
      <c r="Y327" s="198">
        <f>_xll.qlInterestRateIndexValueDate(IborIndex,X327,Trigger)</f>
        <v>42583</v>
      </c>
      <c r="Z327" s="199">
        <v>9.5407187728067892E-3</v>
      </c>
      <c r="AA327" s="201">
        <v>9.2154551726419953E-3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42580</v>
      </c>
      <c r="Y328" s="198">
        <f>_xll.qlInterestRateIndexValueDate(IborIndex,X328,Trigger)</f>
        <v>42584</v>
      </c>
      <c r="Z328" s="199">
        <v>9.5653801928406324E-3</v>
      </c>
      <c r="AA328" s="201">
        <v>9.2403848994049298E-3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42583</v>
      </c>
      <c r="Y329" s="198">
        <f>_xll.qlInterestRateIndexValueDate(IborIndex,X329,Trigger)</f>
        <v>42585</v>
      </c>
      <c r="Z329" s="199">
        <v>9.6271429259603743E-3</v>
      </c>
      <c r="AA329" s="201">
        <v>9.290410270450522E-3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42584</v>
      </c>
      <c r="Y330" s="198">
        <f>_xll.qlInterestRateIndexValueDate(IborIndex,X330,Trigger)</f>
        <v>42586</v>
      </c>
      <c r="Z330" s="199">
        <v>9.6393715591013389E-3</v>
      </c>
      <c r="AA330" s="201">
        <v>9.3398823271417797E-3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42585</v>
      </c>
      <c r="Y331" s="198">
        <f>_xll.qlInterestRateIndexValueDate(IborIndex,X331,Trigger)</f>
        <v>42587</v>
      </c>
      <c r="Z331" s="199">
        <v>9.6515921576964536E-3</v>
      </c>
      <c r="AA331" s="201">
        <v>9.3647013142472701E-3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42586</v>
      </c>
      <c r="Y332" s="198">
        <f>_xll.qlInterestRateIndexValueDate(IborIndex,X332,Trigger)</f>
        <v>42590</v>
      </c>
      <c r="Z332" s="199">
        <v>9.7128842920852203E-3</v>
      </c>
      <c r="AA332" s="201">
        <v>9.3894981533892974E-3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42587</v>
      </c>
      <c r="Y333" s="198">
        <f>_xll.qlInterestRateIndexValueDate(IborIndex,X333,Trigger)</f>
        <v>42591</v>
      </c>
      <c r="Z333" s="199">
        <v>9.7373909038238476E-3</v>
      </c>
      <c r="AA333" s="201">
        <v>9.4142728445678614E-3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42590</v>
      </c>
      <c r="Y334" s="198">
        <f>_xll.qlInterestRateIndexValueDate(IborIndex,X334,Trigger)</f>
        <v>42592</v>
      </c>
      <c r="Z334" s="199">
        <v>9.7864855092117346E-3</v>
      </c>
      <c r="AA334" s="201">
        <v>9.4639971867582773E-3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42591</v>
      </c>
      <c r="Y335" s="198">
        <f>_xll.qlInterestRateIndexValueDate(IborIndex,X335,Trigger)</f>
        <v>42593</v>
      </c>
      <c r="Z335" s="199">
        <v>9.798635796658961E-3</v>
      </c>
      <c r="AA335" s="201">
        <v>9.5131501295675491E-3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42592</v>
      </c>
      <c r="Y336" s="198">
        <f>_xll.qlInterestRateIndexValueDate(IborIndex,X336,Trigger)</f>
        <v>42594</v>
      </c>
      <c r="Z336" s="199">
        <v>9.8107780422829194E-3</v>
      </c>
      <c r="AA336" s="201">
        <v>9.537814080848861E-3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42593</v>
      </c>
      <c r="Y337" s="198">
        <f>_xll.qlInterestRateIndexValueDate(IborIndex,X337,Trigger)</f>
        <v>42597</v>
      </c>
      <c r="Z337" s="199">
        <v>9.8839661326787977E-3</v>
      </c>
      <c r="AA337" s="201">
        <v>9.5624558841667096E-3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42594</v>
      </c>
      <c r="Y338" s="198">
        <f>_xll.qlInterestRateIndexValueDate(IborIndex,X338,Trigger)</f>
        <v>42598</v>
      </c>
      <c r="Z338" s="199">
        <v>9.908317929255445E-3</v>
      </c>
      <c r="AA338" s="201">
        <v>9.5870755395210949E-3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42597</v>
      </c>
      <c r="Y339" s="198">
        <f>_xll.qlInterestRateIndexValueDate(IborIndex,X339,Trigger)</f>
        <v>42599</v>
      </c>
      <c r="Z339" s="199">
        <v>9.9571122529082158E-3</v>
      </c>
      <c r="AA339" s="201">
        <v>9.6364989617558905E-3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42598</v>
      </c>
      <c r="Y340" s="198">
        <f>_xll.qlInterestRateIndexValueDate(IborIndex,X340,Trigger)</f>
        <v>42600</v>
      </c>
      <c r="Z340" s="199">
        <v>9.9691804592960676E-3</v>
      </c>
      <c r="AA340" s="201">
        <v>9.6853326808243878E-3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42599</v>
      </c>
      <c r="Y341" s="198">
        <f>_xll.qlInterestRateIndexValueDate(IborIndex,X341,Trigger)</f>
        <v>42601</v>
      </c>
      <c r="Z341" s="199">
        <v>9.9812406163751928E-3</v>
      </c>
      <c r="AA341" s="201">
        <v>9.7098415962015849E-3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42600</v>
      </c>
      <c r="Y342" s="198">
        <f>_xll.qlInterestRateIndexValueDate(IborIndex,X342,Trigger)</f>
        <v>42604</v>
      </c>
      <c r="Z342" s="199">
        <v>1.0053964246656832E-2</v>
      </c>
      <c r="AA342" s="201">
        <v>9.7343283634554467E-3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42601</v>
      </c>
      <c r="Y343" s="198">
        <f>_xll.qlInterestRateIndexValueDate(IborIndex,X343,Trigger)</f>
        <v>42605</v>
      </c>
      <c r="Z343" s="199">
        <v>1.0078161221251148E-2</v>
      </c>
      <c r="AA343" s="201">
        <v>9.7587929827458453E-3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42604</v>
      </c>
      <c r="Y344" s="198">
        <f>_xll.qlInterestRateIndexValueDate(IborIndex,X344,Trigger)</f>
        <v>42606</v>
      </c>
      <c r="Z344" s="199">
        <v>1.0126655350198148E-2</v>
      </c>
      <c r="AA344" s="201">
        <v>9.8202455859519588E-3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42605</v>
      </c>
      <c r="Y345" s="198">
        <f>_xll.qlInterestRateIndexValueDate(IborIndex,X345,Trigger)</f>
        <v>42607</v>
      </c>
      <c r="Z345" s="199">
        <v>1.0138641421688632E-2</v>
      </c>
      <c r="AA345" s="201">
        <v>9.8807838587067209E-3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42606</v>
      </c>
      <c r="Y346" s="198">
        <f>_xll.qlInterestRateIndexValueDate(IborIndex,X346,Trigger)</f>
        <v>42608</v>
      </c>
      <c r="Z346" s="199">
        <v>1.0150619436601463E-2</v>
      </c>
      <c r="AA346" s="201">
        <v>9.9051155896567877E-3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42607</v>
      </c>
      <c r="Y347" s="198">
        <f>_xll.qlInterestRateIndexValueDate(IborIndex,X347,Trigger)</f>
        <v>42612</v>
      </c>
      <c r="Z347" s="199">
        <v>1.0246920732228373E-2</v>
      </c>
      <c r="AA347" s="201">
        <v>9.9294251727233274E-3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42608</v>
      </c>
      <c r="Y348" s="198">
        <f>_xll.qlInterestRateIndexValueDate(IborIndex,X348,Trigger)</f>
        <v>42613</v>
      </c>
      <c r="Z348" s="199">
        <v>1.0258843724074929E-2</v>
      </c>
      <c r="AA348" s="201">
        <v>9.9782470691422986E-3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42612</v>
      </c>
      <c r="Y349" s="198">
        <f>_xll.qlInterestRateIndexValueDate(IborIndex,X349,Trigger)</f>
        <v>42614</v>
      </c>
      <c r="Z349" s="199">
        <v>1.030701863482586E-2</v>
      </c>
      <c r="AA349" s="201">
        <v>1.0026442024155813E-2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42613</v>
      </c>
      <c r="Y350" s="198">
        <f>_xll.qlInterestRateIndexValueDate(IborIndex,X350,Trigger)</f>
        <v>42615</v>
      </c>
      <c r="Z350" s="199">
        <v>1.0318914455508076E-2</v>
      </c>
      <c r="AA350" s="201">
        <v>1.0050640866765548E-2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42614</v>
      </c>
      <c r="Y351" s="198">
        <f>_xll.qlInterestRateIndexValueDate(IborIndex,X351,Trigger)</f>
        <v>42619</v>
      </c>
      <c r="Z351" s="199">
        <v>1.0402561616472461E-2</v>
      </c>
      <c r="AA351" s="201">
        <v>1.0098972107934756E-2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42615</v>
      </c>
      <c r="Y352" s="198">
        <f>_xll.qlInterestRateIndexValueDate(IborIndex,X352,Trigger)</f>
        <v>42619</v>
      </c>
      <c r="Z352" s="199">
        <v>1.0402561616472461E-2</v>
      </c>
      <c r="AA352" s="201">
        <v>1.0098972107934756E-2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42618</v>
      </c>
      <c r="Y353" s="198">
        <f>_xll.qlInterestRateIndexValueDate(IborIndex,X353,Trigger)</f>
        <v>42620</v>
      </c>
      <c r="Z353" s="199">
        <v>1.042643717657743E-2</v>
      </c>
      <c r="AA353" s="201">
        <v>1.0147493392258511E-2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42619</v>
      </c>
      <c r="Y354" s="198">
        <f>_xll.qlInterestRateIndexValueDate(IborIndex,X354,Trigger)</f>
        <v>42621</v>
      </c>
      <c r="Z354" s="199">
        <v>1.04863127391623E-2</v>
      </c>
      <c r="AA354" s="201">
        <v>1.0195368813032957E-2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42620</v>
      </c>
      <c r="Y355" s="198">
        <f>_xll.qlInterestRateIndexValueDate(IborIndex,X355,Trigger)</f>
        <v>42622</v>
      </c>
      <c r="Z355" s="199">
        <v>1.0498122633201823E-2</v>
      </c>
      <c r="AA355" s="201">
        <v>1.0219412619019153E-2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42621</v>
      </c>
      <c r="Y356" s="198">
        <f>_xll.qlInterestRateIndexValueDate(IborIndex,X356,Trigger)</f>
        <v>42625</v>
      </c>
      <c r="Z356" s="199">
        <v>1.0545483160781188E-2</v>
      </c>
      <c r="AA356" s="201">
        <v>1.0243434276961949E-2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42622</v>
      </c>
      <c r="Y357" s="198">
        <f>_xll.qlInterestRateIndexValueDate(IborIndex,X357,Trigger)</f>
        <v>42626</v>
      </c>
      <c r="Z357" s="199">
        <v>1.0569225993433129E-2</v>
      </c>
      <c r="AA357" s="201">
        <v>1.0267433786701474E-2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42625</v>
      </c>
      <c r="Y358" s="198">
        <f>_xll.qlInterestRateIndexValueDate(IborIndex,X358,Trigger)</f>
        <v>42627</v>
      </c>
      <c r="Z358" s="199">
        <v>1.0592946704383266E-2</v>
      </c>
      <c r="AA358" s="201">
        <v>1.0315654555519416E-2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42626</v>
      </c>
      <c r="Y359" s="198">
        <f>_xll.qlInterestRateIndexValueDate(IborIndex,X359,Trigger)</f>
        <v>42628</v>
      </c>
      <c r="Z359" s="199">
        <v>1.0640521618877352E-2</v>
      </c>
      <c r="AA359" s="201">
        <v>1.0363210344745966E-2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42627</v>
      </c>
      <c r="Y360" s="198">
        <f>_xll.qlInterestRateIndexValueDate(IborIndex,X360,Trigger)</f>
        <v>42629</v>
      </c>
      <c r="Z360" s="199">
        <v>1.0652252901066495E-2</v>
      </c>
      <c r="AA360" s="201">
        <v>1.0387099113868814E-2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42628</v>
      </c>
      <c r="Y361" s="198">
        <f>_xll.qlInterestRateIndexValueDate(IborIndex,X361,Trigger)</f>
        <v>42632</v>
      </c>
      <c r="Z361" s="199">
        <v>1.0711218428999913E-2</v>
      </c>
      <c r="AA361" s="201">
        <v>1.0410965734868327E-2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42629</v>
      </c>
      <c r="Y362" s="198">
        <f>_xll.qlInterestRateIndexValueDate(IborIndex,X362,Trigger)</f>
        <v>42633</v>
      </c>
      <c r="Z362" s="199">
        <v>1.0734806406981434E-2</v>
      </c>
      <c r="AA362" s="201">
        <v>1.0434810207744505E-2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42632</v>
      </c>
      <c r="Y363" s="198">
        <f>_xll.qlInterestRateIndexValueDate(IborIndex,X363,Trigger)</f>
        <v>42634</v>
      </c>
      <c r="Z363" s="199">
        <v>1.0758372262341886E-2</v>
      </c>
      <c r="AA363" s="201">
        <v>1.0482730554395303E-2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42633</v>
      </c>
      <c r="Y364" s="198">
        <f>_xll.qlInterestRateIndexValueDate(IborIndex,X364,Trigger)</f>
        <v>42635</v>
      </c>
      <c r="Z364" s="199">
        <v>1.0805647293346266E-2</v>
      </c>
      <c r="AA364" s="201">
        <v>1.0529966617616182E-2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42634</v>
      </c>
      <c r="Y365" s="198">
        <f>_xll.qlInterestRateIndexValueDate(IborIndex,X365,Trigger)</f>
        <v>42636</v>
      </c>
      <c r="Z365" s="199">
        <v>1.081729623433236E-2</v>
      </c>
      <c r="AA365" s="201">
        <v>1.0553700349715811E-2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42635</v>
      </c>
      <c r="Y366" s="198">
        <f>_xll.qlInterestRateIndexValueDate(IborIndex,X366,Trigger)</f>
        <v>42639</v>
      </c>
      <c r="Z366" s="199">
        <v>1.0875869695309071E-2</v>
      </c>
      <c r="AA366" s="201">
        <v>1.0577411933612169E-2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42636</v>
      </c>
      <c r="Y367" s="198">
        <f>_xll.qlInterestRateIndexValueDate(IborIndex,X367,Trigger)</f>
        <v>42640</v>
      </c>
      <c r="Z367" s="199">
        <v>1.0899302812222622E-2</v>
      </c>
      <c r="AA367" s="201">
        <v>1.0601101369305255E-2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42639</v>
      </c>
      <c r="Y368" s="198">
        <f>_xll.qlInterestRateIndexValueDate(IborIndex,X368,Trigger)</f>
        <v>42641</v>
      </c>
      <c r="Z368" s="199">
        <v>1.0922713805606499E-2</v>
      </c>
      <c r="AA368" s="201">
        <v>1.0648721384303172E-2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42640</v>
      </c>
      <c r="Y369" s="198">
        <f>_xll.qlInterestRateIndexValueDate(IborIndex,X369,Trigger)</f>
        <v>42642</v>
      </c>
      <c r="Z369" s="199">
        <v>1.096968902566664E-2</v>
      </c>
      <c r="AA369" s="201">
        <v>1.0695637630364629E-2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42641</v>
      </c>
      <c r="Y370" s="198">
        <f>_xll.qlInterestRateIndexValueDate(IborIndex,X370,Trigger)</f>
        <v>42643</v>
      </c>
      <c r="Z370" s="199">
        <v>1.0981255579498941E-2</v>
      </c>
      <c r="AA370" s="201">
        <v>1.0719216325121295E-2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42642</v>
      </c>
      <c r="Y371" s="198">
        <f>_xll.qlInterestRateIndexValueDate(IborIndex,X371,Trigger)</f>
        <v>42646</v>
      </c>
      <c r="Z371" s="199">
        <v>1.1051192025797615E-2</v>
      </c>
      <c r="AA371" s="201">
        <v>1.0742772871674688E-2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42643</v>
      </c>
      <c r="Y372" s="198">
        <f>_xll.qlInterestRateIndexValueDate(IborIndex,X372,Trigger)</f>
        <v>42647</v>
      </c>
      <c r="Z372" s="199">
        <v>1.1074459927653189E-2</v>
      </c>
      <c r="AA372" s="201">
        <v>1.0766307270024811E-2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42646</v>
      </c>
      <c r="Y373" s="198">
        <f>_xll.qlInterestRateIndexValueDate(IborIndex,X373,Trigger)</f>
        <v>42648</v>
      </c>
      <c r="Z373" s="199">
        <v>1.1121154550638548E-2</v>
      </c>
      <c r="AA373" s="201">
        <v>1.0813627040766605E-2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42647</v>
      </c>
      <c r="Y374" s="198">
        <f>_xll.qlInterestRateIndexValueDate(IborIndex,X374,Trigger)</f>
        <v>42649</v>
      </c>
      <c r="Z374" s="199">
        <v>1.1132646768393928E-2</v>
      </c>
      <c r="AA374" s="201">
        <v>1.086022338131265E-2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42648</v>
      </c>
      <c r="Y375" s="198">
        <f>_xll.qlInterestRateIndexValueDate(IborIndex,X375,Trigger)</f>
        <v>42650</v>
      </c>
      <c r="Z375" s="199">
        <v>1.1144130890628795E-2</v>
      </c>
      <c r="AA375" s="201">
        <v>1.088364703856648E-2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42649</v>
      </c>
      <c r="Y376" s="198">
        <f>_xll.qlInterestRateIndexValueDate(IborIndex,X376,Trigger)</f>
        <v>42654</v>
      </c>
      <c r="Z376" s="199">
        <v>1.1271692875690697E-2</v>
      </c>
      <c r="AA376" s="201">
        <v>1.0930427908384388E-2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42650</v>
      </c>
      <c r="Y377" s="198">
        <f>_xll.qlInterestRateIndexValueDate(IborIndex,X377,Trigger)</f>
        <v>42654</v>
      </c>
      <c r="Z377" s="199">
        <v>1.1271692875690697E-2</v>
      </c>
      <c r="AA377" s="201">
        <v>1.0930427908384388E-2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42653</v>
      </c>
      <c r="Y378" s="198">
        <f>_xll.qlInterestRateIndexValueDate(IborIndex,X378,Trigger)</f>
        <v>42655</v>
      </c>
      <c r="Z378" s="199">
        <v>1.1283110725466082E-2</v>
      </c>
      <c r="AA378" s="201">
        <v>1.0977447519282535E-2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42654</v>
      </c>
      <c r="Y379" s="198">
        <f>_xll.qlInterestRateIndexValueDate(IborIndex,X379,Trigger)</f>
        <v>42656</v>
      </c>
      <c r="Z379" s="199">
        <v>1.1294520474403325E-2</v>
      </c>
      <c r="AA379" s="201">
        <v>1.1023723869101332E-2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42655</v>
      </c>
      <c r="Y380" s="198">
        <f>_xll.qlInterestRateIndexValueDate(IborIndex,X380,Trigger)</f>
        <v>42657</v>
      </c>
      <c r="Z380" s="199">
        <v>1.1305922122091321E-2</v>
      </c>
      <c r="AA380" s="201">
        <v>1.1046992488612517E-2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42656</v>
      </c>
      <c r="Y381" s="198">
        <f>_xll.qlInterestRateIndexValueDate(IborIndex,X381,Trigger)</f>
        <v>42660</v>
      </c>
      <c r="Z381" s="199">
        <v>1.1374929348922171E-2</v>
      </c>
      <c r="AA381" s="201">
        <v>1.1070238959920431E-2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42657</v>
      </c>
      <c r="Y382" s="198">
        <f>_xll.qlInterestRateIndexValueDate(IborIndex,X382,Trigger)</f>
        <v>42661</v>
      </c>
      <c r="Z382" s="199">
        <v>1.1397887507251434E-2</v>
      </c>
      <c r="AA382" s="201">
        <v>1.1093463282865201E-2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42660</v>
      </c>
      <c r="Y383" s="198">
        <f>_xll.qlInterestRateIndexValueDate(IborIndex,X383,Trigger)</f>
        <v>42662</v>
      </c>
      <c r="Z383" s="199">
        <v>1.1443982858440969E-2</v>
      </c>
      <c r="AA383" s="201">
        <v>1.1140182815481126E-2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42661</v>
      </c>
      <c r="Y384" s="198">
        <f>_xll.qlInterestRateIndexValueDate(IborIndex,X384,Trigger)</f>
        <v>42663</v>
      </c>
      <c r="Z384" s="199">
        <v>1.1455310096879778E-2</v>
      </c>
      <c r="AA384" s="201">
        <v>1.1186139092131953E-2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42662</v>
      </c>
      <c r="Y385" s="198">
        <f>_xll.qlInterestRateIndexValueDate(IborIndex,X385,Trigger)</f>
        <v>42664</v>
      </c>
      <c r="Z385" s="199">
        <v>1.1466629228555044E-2</v>
      </c>
      <c r="AA385" s="201">
        <v>1.1209252673740622E-2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42663</v>
      </c>
      <c r="Y386" s="198">
        <f>_xll.qlInterestRateIndexValueDate(IborIndex,X386,Trigger)</f>
        <v>42667</v>
      </c>
      <c r="Z386" s="199">
        <v>1.1546703131859737E-2</v>
      </c>
      <c r="AA386" s="201">
        <v>1.1232344107066083E-2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42664</v>
      </c>
      <c r="Y387" s="198">
        <f>_xll.qlInterestRateIndexValueDate(IborIndex,X387,Trigger)</f>
        <v>42668</v>
      </c>
      <c r="Z387" s="199">
        <v>1.1557975093481332E-2</v>
      </c>
      <c r="AA387" s="201">
        <v>1.1255413392028402E-2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42667</v>
      </c>
      <c r="Y388" s="198">
        <f>_xll.qlInterestRateIndexValueDate(IborIndex,X388,Trigger)</f>
        <v>42669</v>
      </c>
      <c r="Z388" s="199">
        <v>1.1603770901579774E-2</v>
      </c>
      <c r="AA388" s="201">
        <v>1.1301832924859312E-2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42668</v>
      </c>
      <c r="Y389" s="198">
        <f>_xll.qlInterestRateIndexValueDate(IborIndex,X389,Trigger)</f>
        <v>42670</v>
      </c>
      <c r="Z389" s="199">
        <v>1.1615015589320488E-2</v>
      </c>
      <c r="AA389" s="201">
        <v>1.13474690490456E-2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42669</v>
      </c>
      <c r="Y390" s="198">
        <f>_xll.qlInterestRateIndexValueDate(IborIndex,X390,Trigger)</f>
        <v>42671</v>
      </c>
      <c r="Z390" s="199">
        <v>1.162625216499533E-2</v>
      </c>
      <c r="AA390" s="201">
        <v>1.1370427592511945E-2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42670</v>
      </c>
      <c r="Y391" s="198">
        <f>_xll.qlInterestRateIndexValueDate(IborIndex,X391,Trigger)</f>
        <v>42674</v>
      </c>
      <c r="Z391" s="199">
        <v>1.1682864445935692E-2</v>
      </c>
      <c r="AA391" s="201">
        <v>1.1393363987615146E-2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42671</v>
      </c>
      <c r="Y392" s="198">
        <f>_xll.qlInterestRateIndexValueDate(IborIndex,X392,Trigger)</f>
        <v>42675</v>
      </c>
      <c r="Z392" s="199">
        <v>1.1705523163046294E-2</v>
      </c>
      <c r="AA392" s="201">
        <v>1.141627823443514E-2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42674</v>
      </c>
      <c r="Y393" s="198">
        <f>_xll.qlInterestRateIndexValueDate(IborIndex,X393,Trigger)</f>
        <v>42676</v>
      </c>
      <c r="Z393" s="199">
        <v>1.1728159752169454E-2</v>
      </c>
      <c r="AA393" s="201">
        <v>1.1462397843073902E-2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42675</v>
      </c>
      <c r="Y394" s="198">
        <f>_xll.qlInterestRateIndexValueDate(IborIndex,X394,Trigger)</f>
        <v>42677</v>
      </c>
      <c r="Z394" s="199">
        <v>1.1773636905537399E-2</v>
      </c>
      <c r="AA394" s="201">
        <v>1.1507713738243552E-2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42676</v>
      </c>
      <c r="Y395" s="198">
        <f>_xll.qlInterestRateIndexValueDate(IborIndex,X395,Trigger)</f>
        <v>42678</v>
      </c>
      <c r="Z395" s="199">
        <v>1.1784790886684089E-2</v>
      </c>
      <c r="AA395" s="201">
        <v>1.1530517243407701E-2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42677</v>
      </c>
      <c r="Y396" s="198">
        <f>_xll.qlInterestRateIndexValueDate(IborIndex,X396,Trigger)</f>
        <v>42681</v>
      </c>
      <c r="Z396" s="199">
        <v>1.1841010773539828E-2</v>
      </c>
      <c r="AA396" s="201">
        <v>1.155329860012877E-2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42678</v>
      </c>
      <c r="Y397" s="198">
        <f>_xll.qlInterestRateIndexValueDate(IborIndex,X397,Trigger)</f>
        <v>42682</v>
      </c>
      <c r="Z397" s="199">
        <v>1.1863514592089786E-2</v>
      </c>
      <c r="AA397" s="201">
        <v>1.1576057808486695E-2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42681</v>
      </c>
      <c r="Y398" s="198">
        <f>_xll.qlInterestRateIndexValueDate(IborIndex,X398,Trigger)</f>
        <v>42683</v>
      </c>
      <c r="Z398" s="199">
        <v>1.1885996281778333E-2</v>
      </c>
      <c r="AA398" s="201">
        <v>1.1621877565781702E-2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42682</v>
      </c>
      <c r="Y399" s="198">
        <f>_xll.qlInterestRateIndexValueDate(IborIndex,X399,Trigger)</f>
        <v>42684</v>
      </c>
      <c r="Z399" s="199">
        <v>1.1931173999652211E-2</v>
      </c>
      <c r="AA399" s="201">
        <v>1.1666873158446833E-2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42683</v>
      </c>
      <c r="Y400" s="198">
        <f>_xll.qlInterestRateIndexValueDate(IborIndex,X400,Trigger)</f>
        <v>42688</v>
      </c>
      <c r="Z400" s="199">
        <v>1.1998072792892778E-2</v>
      </c>
      <c r="AA400" s="201">
        <v>1.1712147943168105E-2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42684</v>
      </c>
      <c r="Y401" s="198">
        <f>_xll.qlInterestRateIndexValueDate(IborIndex,X401,Trigger)</f>
        <v>42688</v>
      </c>
      <c r="Z401" s="199">
        <v>1.1998072792892778E-2</v>
      </c>
      <c r="AA401" s="201">
        <v>1.1712147943168105E-2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42685</v>
      </c>
      <c r="Y402" s="198">
        <f>_xll.qlInterestRateIndexValueDate(IborIndex,X402,Trigger)</f>
        <v>42689</v>
      </c>
      <c r="Z402" s="199">
        <v>1.2020421706782969E-2</v>
      </c>
      <c r="AA402" s="201">
        <v>1.1734752112984026E-2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42688</v>
      </c>
      <c r="Y403" s="198">
        <f>_xll.qlInterestRateIndexValueDate(IborIndex,X403,Trigger)</f>
        <v>42690</v>
      </c>
      <c r="Z403" s="199">
        <v>1.2042748490940447E-2</v>
      </c>
      <c r="AA403" s="201">
        <v>1.1780272088612875E-2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42689</v>
      </c>
      <c r="Y404" s="198">
        <f>_xll.qlInterestRateIndexValueDate(IborIndex,X404,Trigger)</f>
        <v>42691</v>
      </c>
      <c r="Z404" s="199">
        <v>1.208762682610387E-2</v>
      </c>
      <c r="AA404" s="201">
        <v>1.1824947308136657E-2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42690</v>
      </c>
      <c r="Y405" s="198">
        <f>_xll.qlInterestRateIndexValueDate(IborIndex,X405,Trigger)</f>
        <v>42692</v>
      </c>
      <c r="Z405" s="199">
        <v>1.2098615508439227E-2</v>
      </c>
      <c r="AA405" s="201">
        <v>1.1847440735897052E-2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42691</v>
      </c>
      <c r="Y406" s="198">
        <f>_xll.qlInterestRateIndexValueDate(IborIndex,X406,Trigger)</f>
        <v>42695</v>
      </c>
      <c r="Z406" s="199">
        <v>1.2154050461409938E-2</v>
      </c>
      <c r="AA406" s="201">
        <v>1.1869912015294304E-2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42692</v>
      </c>
      <c r="Y407" s="198">
        <f>_xll.qlInterestRateIndexValueDate(IborIndex,X407,Trigger)</f>
        <v>42696</v>
      </c>
      <c r="Z407" s="199">
        <v>1.217624446457588E-2</v>
      </c>
      <c r="AA407" s="201">
        <v>1.1892361146248476E-2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42695</v>
      </c>
      <c r="Y408" s="198">
        <f>_xll.qlInterestRateIndexValueDate(IborIndex,X408,Trigger)</f>
        <v>42697</v>
      </c>
      <c r="Z408" s="199">
        <v>1.2198416337148466E-2</v>
      </c>
      <c r="AA408" s="201">
        <v>1.1937581407304165E-2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42696</v>
      </c>
      <c r="Y409" s="198">
        <f>_xll.qlInterestRateIndexValueDate(IborIndex,X409,Trigger)</f>
        <v>42699</v>
      </c>
      <c r="Z409" s="199">
        <v>1.2276296699399549E-2</v>
      </c>
      <c r="AA409" s="201">
        <v>1.200427457461295E-2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42697</v>
      </c>
      <c r="Y410" s="198">
        <f>_xll.qlInterestRateIndexValueDate(IborIndex,X410,Trigger)</f>
        <v>42699</v>
      </c>
      <c r="Z410" s="199">
        <v>1.2276296699399549E-2</v>
      </c>
      <c r="AA410" s="201">
        <v>1.200427457461295E-2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42698</v>
      </c>
      <c r="Y411" s="198">
        <f>_xll.qlInterestRateIndexValueDate(IborIndex,X411,Trigger)</f>
        <v>42702</v>
      </c>
      <c r="Z411" s="199">
        <v>1.2308943736791811E-2</v>
      </c>
      <c r="AA411" s="201">
        <v>1.2026590815068516E-2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42699</v>
      </c>
      <c r="Y412" s="198">
        <f>_xll.qlInterestRateIndexValueDate(IborIndex,X412,Trigger)</f>
        <v>42703</v>
      </c>
      <c r="Z412" s="199">
        <v>1.2330982823219649E-2</v>
      </c>
      <c r="AA412" s="201">
        <v>1.2048884906921131E-2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42702</v>
      </c>
      <c r="Y413" s="198">
        <f>_xll.qlInterestRateIndexValueDate(IborIndex,X413,Trigger)</f>
        <v>42704</v>
      </c>
      <c r="Z413" s="199">
        <v>1.235299977819615E-2</v>
      </c>
      <c r="AA413" s="201">
        <v>1.2093805517592315E-2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42703</v>
      </c>
      <c r="Y414" s="198">
        <f>_xll.qlInterestRateIndexValueDate(IborIndex,X414,Trigger)</f>
        <v>42705</v>
      </c>
      <c r="Z414" s="199">
        <v>1.2408412006341282E-2</v>
      </c>
      <c r="AA414" s="201">
        <v>1.2137839790140603E-2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42704</v>
      </c>
      <c r="Y415" s="198">
        <f>_xll.qlInterestRateIndexValueDate(IborIndex,X415,Trigger)</f>
        <v>42706</v>
      </c>
      <c r="Z415" s="199">
        <v>1.241923156738739E-2</v>
      </c>
      <c r="AA415" s="201">
        <v>1.216002313977782E-2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42705</v>
      </c>
      <c r="Y416" s="198">
        <f>_xll.qlInterestRateIndexValueDate(IborIndex,X416,Trigger)</f>
        <v>42709</v>
      </c>
      <c r="Z416" s="199">
        <v>1.2473857098585381E-2</v>
      </c>
      <c r="AA416" s="201">
        <v>1.2182184340971958E-2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42706</v>
      </c>
      <c r="Y417" s="198">
        <f>_xll.qlInterestRateIndexValueDate(IborIndex,X417,Trigger)</f>
        <v>42710</v>
      </c>
      <c r="Z417" s="199">
        <v>1.2495730954223136E-2</v>
      </c>
      <c r="AA417" s="201">
        <v>1.2204323393723016E-2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42709</v>
      </c>
      <c r="Y418" s="198">
        <f>_xll.qlInterestRateIndexValueDate(IborIndex,X418,Trigger)</f>
        <v>42711</v>
      </c>
      <c r="Z418" s="199">
        <v>1.2539730627784837E-2</v>
      </c>
      <c r="AA418" s="201">
        <v>1.2248944415214069E-2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42710</v>
      </c>
      <c r="Y419" s="198">
        <f>_xll.qlInterestRateIndexValueDate(IborIndex,X419,Trigger)</f>
        <v>42712</v>
      </c>
      <c r="Z419" s="199">
        <v>1.255047924854813E-2</v>
      </c>
      <c r="AA419" s="201">
        <v>1.2292658119736899E-2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42711</v>
      </c>
      <c r="Y420" s="198">
        <f>_xll.qlInterestRateIndexValueDate(IborIndex,X420,Trigger)</f>
        <v>42713</v>
      </c>
      <c r="Z420" s="199">
        <v>1.2561219729812662E-2</v>
      </c>
      <c r="AA420" s="201">
        <v>1.2314686429952815E-2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42712</v>
      </c>
      <c r="Y421" s="198">
        <f>_xll.qlInterestRateIndexValueDate(IborIndex,X421,Trigger)</f>
        <v>42716</v>
      </c>
      <c r="Z421" s="199">
        <v>1.2626509315798021E-2</v>
      </c>
      <c r="AA421" s="201">
        <v>1.2336692591805587E-2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42713</v>
      </c>
      <c r="Y422" s="198">
        <f>_xll.qlInterestRateIndexValueDate(IborIndex,X422,Trigger)</f>
        <v>42717</v>
      </c>
      <c r="Z422" s="199">
        <v>1.2648228246186374E-2</v>
      </c>
      <c r="AA422" s="201">
        <v>1.2358676605055408E-2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42716</v>
      </c>
      <c r="Y423" s="198">
        <f>_xll.qlInterestRateIndexValueDate(IborIndex,X423,Trigger)</f>
        <v>42718</v>
      </c>
      <c r="Z423" s="199">
        <v>1.2702920641649443E-2</v>
      </c>
      <c r="AA423" s="201">
        <v>1.2402998095959461E-2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42717</v>
      </c>
      <c r="Y424" s="198">
        <f>_xll.qlInterestRateIndexValueDate(IborIndex,X424,Trigger)</f>
        <v>42719</v>
      </c>
      <c r="Z424" s="199">
        <v>1.2713582784777765E-2</v>
      </c>
      <c r="AA424" s="201">
        <v>1.2446391173144278E-2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42718</v>
      </c>
      <c r="Y425" s="198">
        <f>_xll.qlInterestRateIndexValueDate(IborIndex,X425,Trigger)</f>
        <v>42720</v>
      </c>
      <c r="Z425" s="199">
        <v>1.2724236784205367E-2</v>
      </c>
      <c r="AA425" s="201">
        <v>1.246826444377902E-2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42719</v>
      </c>
      <c r="Y426" s="198">
        <f>_xll.qlInterestRateIndexValueDate(IborIndex,X426,Trigger)</f>
        <v>42723</v>
      </c>
      <c r="Z426" s="199">
        <v>1.2778077037995581E-2</v>
      </c>
      <c r="AA426" s="201">
        <v>1.2490115565970683E-2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42720</v>
      </c>
      <c r="Y427" s="198">
        <f>_xll.qlInterestRateIndexValueDate(IborIndex,X427,Trigger)</f>
        <v>42724</v>
      </c>
      <c r="Z427" s="199">
        <v>1.2799641037051654E-2</v>
      </c>
      <c r="AA427" s="201">
        <v>1.251194453963933E-2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42723</v>
      </c>
      <c r="Y428" s="198">
        <f>_xll.qlInterestRateIndexValueDate(IborIndex,X428,Trigger)</f>
        <v>42725</v>
      </c>
      <c r="Z428" s="199">
        <v>1.2843042361785352E-2</v>
      </c>
      <c r="AA428" s="201">
        <v>1.2578155271848246E-2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42724</v>
      </c>
      <c r="Y429" s="198">
        <f>_xll.qlInterestRateIndexValueDate(IborIndex,X429,Trigger)</f>
        <v>42726</v>
      </c>
      <c r="Z429" s="199">
        <v>1.2853625370637944E-2</v>
      </c>
      <c r="AA429" s="201">
        <v>1.2642453262268205E-2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42725</v>
      </c>
      <c r="Y430" s="198">
        <f>_xll.qlInterestRateIndexValueDate(IborIndex,X430,Trigger)</f>
        <v>42727</v>
      </c>
      <c r="Z430" s="199">
        <v>1.2864200232481235E-2</v>
      </c>
      <c r="AA430" s="201">
        <v>1.2664127196115871E-2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42726</v>
      </c>
      <c r="Y431" s="198">
        <f>_xll.qlInterestRateIndexValueDate(IborIndex,X431,Trigger)</f>
        <v>42732</v>
      </c>
      <c r="Z431" s="199">
        <v>1.2993071490655954E-2</v>
      </c>
      <c r="AA431" s="201">
        <v>1.2718875272288432E-2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42727</v>
      </c>
      <c r="Y432" s="198">
        <f>_xll.qlInterestRateIndexValueDate(IborIndex,X432,Trigger)</f>
        <v>42733</v>
      </c>
      <c r="Z432" s="199">
        <v>1.3003571651829526E-2</v>
      </c>
      <c r="AA432" s="201">
        <v>1.277216463678954E-2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42732</v>
      </c>
      <c r="Y433" s="198">
        <f>_xll.qlInterestRateIndexValueDate(IborIndex,X433,Trigger)</f>
        <v>42734</v>
      </c>
      <c r="Z433" s="199">
        <v>1.3024904013184402E-2</v>
      </c>
      <c r="AA433" s="201">
        <v>1.2793705679179368E-2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42733</v>
      </c>
      <c r="Y434" s="198">
        <f>_xll.qlInterestRateIndexValueDate(IborIndex,X434,Trigger)</f>
        <v>42738</v>
      </c>
      <c r="Z434" s="199">
        <v>1.3099212946090941E-2</v>
      </c>
      <c r="AA434" s="201">
        <v>1.281522457304618E-2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42734</v>
      </c>
      <c r="Y435" s="198">
        <f>_xll.qlInterestRateIndexValueDate(IborIndex,X435,Trigger)</f>
        <v>42739</v>
      </c>
      <c r="Z435" s="199">
        <v>1.3142016067664904E-2</v>
      </c>
      <c r="AA435" s="201">
        <v>1.2858647795424005E-2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42738</v>
      </c>
      <c r="Y436" s="198">
        <f>_xll.qlInterestRateIndexValueDate(IborIndex,X436,Trigger)</f>
        <v>42740</v>
      </c>
      <c r="Z436" s="199">
        <v>1.3152433355191062E-2</v>
      </c>
      <c r="AA436" s="201">
        <v>1.2901078662324039E-2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42739</v>
      </c>
      <c r="Y437" s="198">
        <f>_xll.qlInterestRateIndexValueDate(IborIndex,X437,Trigger)</f>
        <v>42741</v>
      </c>
      <c r="Z437" s="199">
        <v>1.3162842489000395E-2</v>
      </c>
      <c r="AA437" s="201">
        <v>1.2922486813176093E-2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42740</v>
      </c>
      <c r="Y438" s="198">
        <f>_xll.qlInterestRateIndexValueDate(IborIndex,X438,Trigger)</f>
        <v>42744</v>
      </c>
      <c r="Z438" s="199">
        <v>1.3226272811342065E-2</v>
      </c>
      <c r="AA438" s="201">
        <v>1.2943872815425195E-2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42741</v>
      </c>
      <c r="Y439" s="198">
        <f>_xll.qlInterestRateIndexValueDate(IborIndex,X439,Trigger)</f>
        <v>42745</v>
      </c>
      <c r="Z439" s="199">
        <v>1.3247371980321773E-2</v>
      </c>
      <c r="AA439" s="201">
        <v>1.2965236668991409E-2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42744</v>
      </c>
      <c r="Y440" s="198">
        <f>_xll.qlInterestRateIndexValueDate(IborIndex,X440,Trigger)</f>
        <v>42746</v>
      </c>
      <c r="Z440" s="199">
        <v>1.3289876048387132E-2</v>
      </c>
      <c r="AA440" s="201">
        <v>1.3008360567203781E-2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42745</v>
      </c>
      <c r="Y441" s="198">
        <f>_xll.qlInterestRateIndexValueDate(IborIndex,X441,Trigger)</f>
        <v>42747</v>
      </c>
      <c r="Z441" s="199">
        <v>1.3300210437661997E-2</v>
      </c>
      <c r="AA441" s="201">
        <v>1.3050470597226749E-2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42746</v>
      </c>
      <c r="Y442" s="198">
        <f>_xll.qlInterestRateIndexValueDate(IborIndex,X442,Trigger)</f>
        <v>42748</v>
      </c>
      <c r="Z442" s="199">
        <v>1.3310536670161641E-2</v>
      </c>
      <c r="AA442" s="201">
        <v>1.3071723707698268E-2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42747</v>
      </c>
      <c r="Y443" s="198">
        <f>_xll.qlInterestRateIndexValueDate(IborIndex,X443,Trigger)</f>
        <v>42752</v>
      </c>
      <c r="Z443" s="199">
        <v>1.3394446345570875E-2</v>
      </c>
      <c r="AA443" s="201">
        <v>1.3114163482752517E-2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42748</v>
      </c>
      <c r="Y444" s="198">
        <f>_xll.qlInterestRateIndexValueDate(IborIndex,X444,Trigger)</f>
        <v>42752</v>
      </c>
      <c r="Z444" s="199">
        <v>1.3394446345570875E-2</v>
      </c>
      <c r="AA444" s="201">
        <v>1.3114163482752517E-2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42751</v>
      </c>
      <c r="Y445" s="198">
        <f>_xll.qlInterestRateIndexValueDate(IborIndex,X445,Trigger)</f>
        <v>42753</v>
      </c>
      <c r="Z445" s="199">
        <v>1.3447282969850845E-2</v>
      </c>
      <c r="AA445" s="201">
        <v>1.3156988101563627E-2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42752</v>
      </c>
      <c r="Y446" s="198">
        <f>_xll.qlInterestRateIndexValueDate(IborIndex,X446,Trigger)</f>
        <v>42754</v>
      </c>
      <c r="Z446" s="199">
        <v>1.3457530749849476E-2</v>
      </c>
      <c r="AA446" s="201">
        <v>1.319877724906604E-2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42753</v>
      </c>
      <c r="Y447" s="198">
        <f>_xll.qlInterestRateIndexValueDate(IborIndex,X447,Trigger)</f>
        <v>42755</v>
      </c>
      <c r="Z447" s="199">
        <v>1.3467770369886278E-2</v>
      </c>
      <c r="AA447" s="201">
        <v>1.3219875318997154E-2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42754</v>
      </c>
      <c r="Y448" s="198">
        <f>_xll.qlInterestRateIndexValueDate(IborIndex,X448,Trigger)</f>
        <v>42758</v>
      </c>
      <c r="Z448" s="199">
        <v>1.3519646748000862E-2</v>
      </c>
      <c r="AA448" s="201">
        <v>1.324095124024538E-2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42755</v>
      </c>
      <c r="Y449" s="198">
        <f>_xll.qlInterestRateIndexValueDate(IborIndex,X449,Trigger)</f>
        <v>42759</v>
      </c>
      <c r="Z449" s="199">
        <v>1.3540436000627343E-2</v>
      </c>
      <c r="AA449" s="201">
        <v>1.3262005012890654E-2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42758</v>
      </c>
      <c r="Y450" s="198">
        <f>_xll.qlInterestRateIndexValueDate(IborIndex,X450,Trigger)</f>
        <v>42760</v>
      </c>
      <c r="Z450" s="199">
        <v>1.3582342044879556E-2</v>
      </c>
      <c r="AA450" s="201">
        <v>1.330453039440016E-2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42759</v>
      </c>
      <c r="Y451" s="198">
        <f>_xll.qlInterestRateIndexValueDate(IborIndex,X451,Trigger)</f>
        <v>42761</v>
      </c>
      <c r="Z451" s="199">
        <v>1.3592510569273575E-2</v>
      </c>
      <c r="AA451" s="201">
        <v>1.3345998616562937E-2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42760</v>
      </c>
      <c r="Y452" s="198">
        <f>_xll.qlInterestRateIndexValueDate(IborIndex,X452,Trigger)</f>
        <v>42762</v>
      </c>
      <c r="Z452" s="199">
        <v>1.3602670931361378E-2</v>
      </c>
      <c r="AA452" s="201">
        <v>1.3366941645713837E-2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42761</v>
      </c>
      <c r="Y453" s="198">
        <f>_xll.qlInterestRateIndexValueDate(IborIndex,X453,Trigger)</f>
        <v>42765</v>
      </c>
      <c r="Z453" s="199">
        <v>1.3643644165912528E-2</v>
      </c>
      <c r="AA453" s="201">
        <v>1.3387862526261785E-2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42762</v>
      </c>
      <c r="Y454" s="198">
        <f>_xll.qlInterestRateIndexValueDate(IborIndex,X454,Trigger)</f>
        <v>42766</v>
      </c>
      <c r="Z454" s="199">
        <v>1.3653768188627766E-2</v>
      </c>
      <c r="AA454" s="201">
        <v>1.3408761258046908E-2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42765</v>
      </c>
      <c r="Y455" s="198">
        <f>_xll.qlInterestRateIndexValueDate(IborIndex,X455,Trigger)</f>
        <v>42767</v>
      </c>
      <c r="Z455" s="199">
        <v>1.367441119441537E-2</v>
      </c>
      <c r="AA455" s="201">
        <v>1.3450987441716578E-2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42766</v>
      </c>
      <c r="Y456" s="198">
        <f>_xll.qlInterestRateIndexValueDate(IborIndex,X456,Trigger)</f>
        <v>42768</v>
      </c>
      <c r="Z456" s="199">
        <v>1.369503206063565E-2</v>
      </c>
      <c r="AA456" s="201">
        <v>1.3492134698278591E-2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42767</v>
      </c>
      <c r="Y457" s="198">
        <f>_xll.qlInterestRateIndexValueDate(IborIndex,X457,Trigger)</f>
        <v>42769</v>
      </c>
      <c r="Z457" s="199">
        <v>1.3715630787177271E-2</v>
      </c>
      <c r="AA457" s="201">
        <v>1.351292268656934E-2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42768</v>
      </c>
      <c r="Y458" s="198">
        <f>_xll.qlInterestRateIndexValueDate(IborIndex,X458,Trigger)</f>
        <v>42772</v>
      </c>
      <c r="Z458" s="199">
        <v>1.3777294127676714E-2</v>
      </c>
      <c r="AA458" s="201">
        <v>1.3533688526177201E-2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42769</v>
      </c>
      <c r="Y459" s="198">
        <f>_xll.qlInterestRateIndexValueDate(IborIndex,X459,Trigger)</f>
        <v>42773</v>
      </c>
      <c r="Z459" s="199">
        <v>1.3797804294447387E-2</v>
      </c>
      <c r="AA459" s="201">
        <v>1.3554432216942303E-2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42772</v>
      </c>
      <c r="Y460" s="198">
        <f>_xll.qlInterestRateIndexValueDate(IborIndex,X460,Trigger)</f>
        <v>42774</v>
      </c>
      <c r="Z460" s="199">
        <v>1.3818292321011252E-2</v>
      </c>
      <c r="AA460" s="201">
        <v>1.3596359239569367E-2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42773</v>
      </c>
      <c r="Y461" s="198">
        <f>_xll.qlInterestRateIndexValueDate(IborIndex,X461,Trigger)</f>
        <v>42775</v>
      </c>
      <c r="Z461" s="199">
        <v>1.3838758207259818E-2</v>
      </c>
      <c r="AA461" s="201">
        <v>1.3637185493013959E-2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42774</v>
      </c>
      <c r="Y462" s="198">
        <f>_xll.qlInterestRateIndexValueDate(IborIndex,X462,Trigger)</f>
        <v>42776</v>
      </c>
      <c r="Z462" s="199">
        <v>1.3859201953093172E-2</v>
      </c>
      <c r="AA462" s="201">
        <v>1.365781844020475E-2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42775</v>
      </c>
      <c r="Y463" s="198">
        <f>_xll.qlInterestRateIndexValueDate(IborIndex,X463,Trigger)</f>
        <v>42779</v>
      </c>
      <c r="Z463" s="199">
        <v>1.3920400347014234E-2</v>
      </c>
      <c r="AA463" s="201">
        <v>1.3678429238552781E-2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42776</v>
      </c>
      <c r="Y464" s="198">
        <f>_xll.qlInterestRateIndexValueDate(IborIndex,X464,Trigger)</f>
        <v>42780</v>
      </c>
      <c r="Z464" s="199">
        <v>1.3940755530113298E-2</v>
      </c>
      <c r="AA464" s="201">
        <v>1.369901788829786E-2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42779</v>
      </c>
      <c r="Y465" s="198">
        <f>_xll.qlInterestRateIndexValueDate(IborIndex,X465,Trigger)</f>
        <v>42781</v>
      </c>
      <c r="Z465" s="199">
        <v>1.3961088572263287E-2</v>
      </c>
      <c r="AA465" s="201">
        <v>1.3740645784015015E-2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42780</v>
      </c>
      <c r="Y466" s="198">
        <f>_xll.qlInterestRateIndexValueDate(IborIndex,X466,Trigger)</f>
        <v>42782</v>
      </c>
      <c r="Z466" s="199">
        <v>1.3981399473367136E-2</v>
      </c>
      <c r="AA466" s="201">
        <v>1.378115099941013E-2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42781</v>
      </c>
      <c r="Y467" s="198">
        <f>_xll.qlInterestRateIndexValueDate(IborIndex,X467,Trigger)</f>
        <v>42783</v>
      </c>
      <c r="Z467" s="199">
        <v>1.4001688233310652E-2</v>
      </c>
      <c r="AA467" s="201">
        <v>1.380162890534109E-2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42782</v>
      </c>
      <c r="Y468" s="198">
        <f>_xll.qlInterestRateIndexValueDate(IborIndex,X468,Trigger)</f>
        <v>42787</v>
      </c>
      <c r="Z468" s="199">
        <v>1.4082621859437301E-2</v>
      </c>
      <c r="AA468" s="201">
        <v>1.3842518270674731E-2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42783</v>
      </c>
      <c r="Y469" s="198">
        <f>_xll.qlInterestRateIndexValueDate(IborIndex,X469,Trigger)</f>
        <v>42787</v>
      </c>
      <c r="Z469" s="199">
        <v>1.4082621859437301E-2</v>
      </c>
      <c r="AA469" s="201">
        <v>1.3842518270674731E-2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42786</v>
      </c>
      <c r="Y470" s="198">
        <f>_xll.qlInterestRateIndexValueDate(IborIndex,X470,Trigger)</f>
        <v>42788</v>
      </c>
      <c r="Z470" s="199">
        <v>1.4102799912031814E-2</v>
      </c>
      <c r="AA470" s="201">
        <v>1.3883847071110011E-2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42787</v>
      </c>
      <c r="Y471" s="198">
        <f>_xll.qlInterestRateIndexValueDate(IborIndex,X471,Trigger)</f>
        <v>42789</v>
      </c>
      <c r="Z471" s="199">
        <v>1.4122955822843635E-2</v>
      </c>
      <c r="AA471" s="201">
        <v>1.3924031216188126E-2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42788</v>
      </c>
      <c r="Y472" s="198">
        <f>_xll.qlInterestRateIndexValueDate(IborIndex,X472,Trigger)</f>
        <v>42790</v>
      </c>
      <c r="Z472" s="199">
        <v>1.4143089591767133E-2</v>
      </c>
      <c r="AA472" s="201">
        <v>1.3944354080539512E-2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42789</v>
      </c>
      <c r="Y473" s="198">
        <f>_xll.qlInterestRateIndexValueDate(IborIndex,X473,Trigger)</f>
        <v>42793</v>
      </c>
      <c r="Z473" s="199">
        <v>1.4203358046179939E-2</v>
      </c>
      <c r="AA473" s="201">
        <v>1.3964654796128073E-2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42790</v>
      </c>
      <c r="Y474" s="198">
        <f>_xll.qlInterestRateIndexValueDate(IborIndex,X474,Trigger)</f>
        <v>42794</v>
      </c>
      <c r="Z474" s="199">
        <v>1.4254112201867937E-2</v>
      </c>
      <c r="AA474" s="201">
        <v>1.3984933362953811E-2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42793</v>
      </c>
      <c r="Y475" s="198">
        <f>_xll.qlInterestRateIndexValueDate(IborIndex,X475,Trigger)</f>
        <v>42795</v>
      </c>
      <c r="Z475" s="199">
        <v>1.4294523553460534E-2</v>
      </c>
      <c r="AA475" s="201">
        <v>1.4025963096990779E-2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42794</v>
      </c>
      <c r="Y476" s="198">
        <f>_xll.qlInterestRateIndexValueDate(IborIndex,X476,Trigger)</f>
        <v>42796</v>
      </c>
      <c r="Z476" s="199">
        <v>1.4304277079094652E-2</v>
      </c>
      <c r="AA476" s="201">
        <v>1.4065826141989035E-2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42795</v>
      </c>
      <c r="Y477" s="198">
        <f>_xll.qlInterestRateIndexValueDate(IborIndex,X477,Trigger)</f>
        <v>42797</v>
      </c>
      <c r="Z477" s="199">
        <v>1.4314022431932586E-2</v>
      </c>
      <c r="AA477" s="201">
        <v>1.408599396468091E-2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42796</v>
      </c>
      <c r="Y478" s="198">
        <f>_xll.qlInterestRateIndexValueDate(IborIndex,X478,Trigger)</f>
        <v>42800</v>
      </c>
      <c r="Z478" s="199">
        <v>1.4373733382178783E-2</v>
      </c>
      <c r="AA478" s="201">
        <v>1.410613963860996E-2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42797</v>
      </c>
      <c r="Y479" s="198">
        <f>_xll.qlInterestRateIndexValueDate(IborIndex,X479,Trigger)</f>
        <v>42801</v>
      </c>
      <c r="Z479" s="199">
        <v>1.4393592747327278E-2</v>
      </c>
      <c r="AA479" s="201">
        <v>1.4126263163696251E-2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42800</v>
      </c>
      <c r="Y480" s="198">
        <f>_xll.qlInterestRateIndexValueDate(IborIndex,X480,Trigger)</f>
        <v>42802</v>
      </c>
      <c r="Z480" s="199">
        <v>1.4433705203321556E-2</v>
      </c>
      <c r="AA480" s="201">
        <v>1.4166993857767096E-2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42801</v>
      </c>
      <c r="Y481" s="198">
        <f>_xll.qlInterestRateIndexValueDate(IborIndex,X481,Trigger)</f>
        <v>42803</v>
      </c>
      <c r="Z481" s="199">
        <v>1.4443375682013093E-2</v>
      </c>
      <c r="AA481" s="201">
        <v>1.4206535775613816E-2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42802</v>
      </c>
      <c r="Y482" s="198">
        <f>_xll.qlInterestRateIndexValueDate(IborIndex,X482,Trigger)</f>
        <v>42804</v>
      </c>
      <c r="Z482" s="199">
        <v>1.4453037986370758E-2</v>
      </c>
      <c r="AA482" s="201">
        <v>1.4226548556486307E-2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42803</v>
      </c>
      <c r="Y483" s="198">
        <f>_xll.qlInterestRateIndexValueDate(IborIndex,X483,Trigger)</f>
        <v>42807</v>
      </c>
      <c r="Z483" s="199">
        <v>1.4512283938440217E-2</v>
      </c>
      <c r="AA483" s="201">
        <v>1.4246539188516039E-2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42804</v>
      </c>
      <c r="Y484" s="198">
        <f>_xll.qlInterestRateIndexValueDate(IborIndex,X484,Trigger)</f>
        <v>42808</v>
      </c>
      <c r="Z484" s="199">
        <v>1.4572265761889065E-2</v>
      </c>
      <c r="AA484" s="201">
        <v>1.426650767170301E-2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42807</v>
      </c>
      <c r="Y485" s="198">
        <f>_xll.qlInterestRateIndexValueDate(IborIndex,X485,Trigger)</f>
        <v>42809</v>
      </c>
      <c r="Z485" s="199">
        <v>1.4581857666361508E-2</v>
      </c>
      <c r="AA485" s="201">
        <v>1.4306939349655323E-2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42808</v>
      </c>
      <c r="Y486" s="198">
        <f>_xll.qlInterestRateIndexValueDate(IborIndex,X486,Trigger)</f>
        <v>42810</v>
      </c>
      <c r="Z486" s="199">
        <v>1.4591441394741526E-2</v>
      </c>
      <c r="AA486" s="201">
        <v>1.4346160115703555E-2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42809</v>
      </c>
      <c r="Y487" s="198">
        <f>_xll.qlInterestRateIndexValueDate(IborIndex,X487,Trigger)</f>
        <v>42811</v>
      </c>
      <c r="Z487" s="199">
        <v>1.460101694714222E-2</v>
      </c>
      <c r="AA487" s="201">
        <v>1.4366017854596791E-2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42810</v>
      </c>
      <c r="Y488" s="198">
        <f>_xll.qlInterestRateIndexValueDate(IborIndex,X488,Trigger)</f>
        <v>42814</v>
      </c>
      <c r="Z488" s="199">
        <v>1.4649749471270549E-2</v>
      </c>
      <c r="AA488" s="201">
        <v>1.4385853444567331E-2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42811</v>
      </c>
      <c r="Y489" s="198">
        <f>_xll.qlInterestRateIndexValueDate(IborIndex,X489,Trigger)</f>
        <v>42815</v>
      </c>
      <c r="Z489" s="199">
        <v>1.4669298828941291E-2</v>
      </c>
      <c r="AA489" s="201">
        <v>1.4405666885615176E-2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42814</v>
      </c>
      <c r="Y490" s="198">
        <f>_xll.qlInterestRateIndexValueDate(IborIndex,X490,Trigger)</f>
        <v>42816</v>
      </c>
      <c r="Z490" s="199">
        <v>1.4708813517111903E-2</v>
      </c>
      <c r="AA490" s="201">
        <v>1.444579956887182E-2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42815</v>
      </c>
      <c r="Y491" s="198">
        <f>_xll.qlInterestRateIndexValueDate(IborIndex,X491,Trigger)</f>
        <v>42817</v>
      </c>
      <c r="Z491" s="199">
        <v>1.4718317865033692E-2</v>
      </c>
      <c r="AA491" s="201">
        <v>1.4484699161059211E-2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42816</v>
      </c>
      <c r="Y492" s="198">
        <f>_xll.qlInterestRateIndexValueDate(IborIndex,X492,Trigger)</f>
        <v>42818</v>
      </c>
      <c r="Z492" s="199">
        <v>1.4727814036101006E-2</v>
      </c>
      <c r="AA492" s="201">
        <v>1.4504401857733384E-2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42817</v>
      </c>
      <c r="Y493" s="198">
        <f>_xll.qlInterestRateIndexValueDate(IborIndex,X493,Trigger)</f>
        <v>42821</v>
      </c>
      <c r="Z493" s="199">
        <v>1.4786129942145754E-2</v>
      </c>
      <c r="AA493" s="201">
        <v>1.4524082405484862E-2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42818</v>
      </c>
      <c r="Y494" s="198">
        <f>_xll.qlInterestRateIndexValueDate(IborIndex,X494,Trigger)</f>
        <v>42822</v>
      </c>
      <c r="Z494" s="199">
        <v>1.480552428783905E-2</v>
      </c>
      <c r="AA494" s="201">
        <v>1.4543740804313643E-2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42821</v>
      </c>
      <c r="Y495" s="198">
        <f>_xll.qlInterestRateIndexValueDate(IborIndex,X495,Trigger)</f>
        <v>42823</v>
      </c>
      <c r="Z495" s="199">
        <v>1.4814964807165154E-2</v>
      </c>
      <c r="AA495" s="201">
        <v>1.4583574511579656E-2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42822</v>
      </c>
      <c r="Y496" s="198">
        <f>_xll.qlInterestRateIndexValueDate(IborIndex,X496,Trigger)</f>
        <v>42824</v>
      </c>
      <c r="Z496" s="199">
        <v>1.4824397149349524E-2</v>
      </c>
      <c r="AA496" s="201">
        <v>1.4622152910481745E-2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42823</v>
      </c>
      <c r="Y497" s="198">
        <f>_xll.qlInterestRateIndexValueDate(IborIndex,X497,Trigger)</f>
        <v>42825</v>
      </c>
      <c r="Z497" s="199">
        <v>1.483382131454317E-2</v>
      </c>
      <c r="AA497" s="201">
        <v>1.4641700564697047E-2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42824</v>
      </c>
      <c r="Y498" s="198">
        <f>_xll.qlInterestRateIndexValueDate(IborIndex,X498,Trigger)</f>
        <v>42828</v>
      </c>
      <c r="Z498" s="199">
        <v>1.491154501028813E-2</v>
      </c>
      <c r="AA498" s="201">
        <v>1.4661226070069588E-2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42825</v>
      </c>
      <c r="Y499" s="198">
        <f>_xll.qlInterestRateIndexValueDate(IborIndex,X499,Trigger)</f>
        <v>42829</v>
      </c>
      <c r="Z499" s="199">
        <v>1.4930794614140375E-2</v>
      </c>
      <c r="AA499" s="201">
        <v>1.4680729426439498E-2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42828</v>
      </c>
      <c r="Y500" s="198">
        <f>_xll.qlInterestRateIndexValueDate(IborIndex,X500,Trigger)</f>
        <v>42830</v>
      </c>
      <c r="Z500" s="199">
        <v>1.4950022072152791E-2</v>
      </c>
      <c r="AA500" s="201">
        <v>1.4720264174101771E-2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42829</v>
      </c>
      <c r="Y501" s="198">
        <f>_xll.qlInterestRateIndexValueDate(IborIndex,X501,Trigger)</f>
        <v>42831</v>
      </c>
      <c r="Z501" s="199">
        <v>1.4988919753053387E-2</v>
      </c>
      <c r="AA501" s="201">
        <v>1.4758521362612242E-2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42830</v>
      </c>
      <c r="Y502" s="198">
        <f>_xll.qlInterestRateIndexValueDate(IborIndex,X502,Trigger)</f>
        <v>42832</v>
      </c>
      <c r="Z502" s="199">
        <v>1.4998249750808252E-2</v>
      </c>
      <c r="AA502" s="201">
        <v>1.4777913974288737E-2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42831</v>
      </c>
      <c r="Y503" s="198">
        <f>_xll.qlInterestRateIndexValueDate(IborIndex,X503,Trigger)</f>
        <v>42835</v>
      </c>
      <c r="Z503" s="199">
        <v>1.5045827170895087E-2</v>
      </c>
      <c r="AA503" s="201">
        <v>1.4797284437042535E-2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42832</v>
      </c>
      <c r="Y504" s="198">
        <f>_xll.qlInterestRateIndexValueDate(IborIndex,X504,Trigger)</f>
        <v>42836</v>
      </c>
      <c r="Z504" s="199">
        <v>1.5064921751635652E-2</v>
      </c>
      <c r="AA504" s="201">
        <v>1.4856466821939307E-2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42835</v>
      </c>
      <c r="Y505" s="198">
        <f>_xll.qlInterestRateIndexValueDate(IborIndex,X505,Trigger)</f>
        <v>42837</v>
      </c>
      <c r="Z505" s="199">
        <v>1.5083994185795646E-2</v>
      </c>
      <c r="AA505" s="201">
        <v>1.4913042085229478E-2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42836</v>
      </c>
      <c r="Y506" s="198">
        <f>_xll.qlInterestRateIndexValueDate(IborIndex,X506,Trigger)</f>
        <v>42838</v>
      </c>
      <c r="Z506" s="199">
        <v>1.5122592988396633E-2</v>
      </c>
      <c r="AA506" s="201">
        <v>1.493225750520466E-2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42837</v>
      </c>
      <c r="Y507" s="198">
        <f>_xll.qlInterestRateIndexValueDate(IborIndex,X507,Trigger)</f>
        <v>42843</v>
      </c>
      <c r="Z507" s="199">
        <v>1.5197963319065089E-2</v>
      </c>
      <c r="AA507" s="201">
        <v>1.4951450776177211E-2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42838</v>
      </c>
      <c r="Y508" s="198">
        <f>_xll.qlInterestRateIndexValueDate(IborIndex,X508,Trigger)</f>
        <v>42844</v>
      </c>
      <c r="Z508" s="199">
        <v>1.5216880193094973E-2</v>
      </c>
      <c r="AA508" s="201">
        <v>1.4990387643747383E-2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42843</v>
      </c>
      <c r="Y509" s="198">
        <f>_xll.qlInterestRateIndexValueDate(IborIndex,X509,Trigger)</f>
        <v>42845</v>
      </c>
      <c r="Z509" s="199">
        <v>1.5255176416795191E-2</v>
      </c>
      <c r="AA509" s="201">
        <v>1.5028002370200966E-2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42844</v>
      </c>
      <c r="Y510" s="198">
        <f>_xll.qlInterestRateIndexValueDate(IborIndex,X510,Trigger)</f>
        <v>42846</v>
      </c>
      <c r="Z510" s="199">
        <v>1.5264340062469075E-2</v>
      </c>
      <c r="AA510" s="201">
        <v>1.5047084896240293E-2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42845</v>
      </c>
      <c r="Y511" s="198">
        <f>_xll.qlInterestRateIndexValueDate(IborIndex,X511,Trigger)</f>
        <v>42849</v>
      </c>
      <c r="Z511" s="199">
        <v>1.5311125459728459E-2</v>
      </c>
      <c r="AA511" s="201">
        <v>1.5066145273276987E-2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42846</v>
      </c>
      <c r="Y512" s="198">
        <f>_xll.qlInterestRateIndexValueDate(IborIndex,X512,Trigger)</f>
        <v>42850</v>
      </c>
      <c r="Z512" s="199">
        <v>1.5329906088724421E-2</v>
      </c>
      <c r="AA512" s="201">
        <v>1.508518350131105E-2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42849</v>
      </c>
      <c r="Y513" s="198">
        <f>_xll.qlInterestRateIndexValueDate(IborIndex,X513,Trigger)</f>
        <v>42851</v>
      </c>
      <c r="Z513" s="199">
        <v>1.5348663708400601E-2</v>
      </c>
      <c r="AA513" s="201">
        <v>1.5133622509255762E-2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42850</v>
      </c>
      <c r="Y514" s="198">
        <f>_xll.qlInterestRateIndexValueDate(IborIndex,X514,Trigger)</f>
        <v>42852</v>
      </c>
      <c r="Z514" s="199">
        <v>1.5396260333660131E-2</v>
      </c>
      <c r="AA514" s="201">
        <v>1.5180042406202077E-2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42851</v>
      </c>
      <c r="Y515" s="198">
        <f>_xll.qlInterestRateIndexValueDate(IborIndex,X515,Trigger)</f>
        <v>42853</v>
      </c>
      <c r="Z515" s="199">
        <v>1.5414938172668905E-2</v>
      </c>
      <c r="AA515" s="201">
        <v>1.5198947740060476E-2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42852</v>
      </c>
      <c r="Y516" s="198">
        <f>_xll.qlInterestRateIndexValueDate(IborIndex,X516,Trigger)</f>
        <v>42857</v>
      </c>
      <c r="Z516" s="199">
        <v>1.5470293227048458E-2</v>
      </c>
      <c r="AA516" s="201">
        <v>1.5217830924996179E-2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42853</v>
      </c>
      <c r="Y517" s="198">
        <f>_xll.qlInterestRateIndexValueDate(IborIndex,X517,Trigger)</f>
        <v>42858</v>
      </c>
      <c r="Z517" s="199">
        <v>1.5507974778177024E-2</v>
      </c>
      <c r="AA517" s="201">
        <v>1.525616994841883E-2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42857</v>
      </c>
      <c r="Y518" s="198">
        <f>_xll.qlInterestRateIndexValueDate(IborIndex,X518,Trigger)</f>
        <v>42859</v>
      </c>
      <c r="Z518" s="199">
        <v>1.5516976757229128E-2</v>
      </c>
      <c r="AA518" s="201">
        <v>1.5293142174153118E-2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42858</v>
      </c>
      <c r="Y519" s="198">
        <f>_xll.qlInterestRateIndexValueDate(IborIndex,X519,Trigger)</f>
        <v>42860</v>
      </c>
      <c r="Z519" s="199">
        <v>1.5525970312810921E-2</v>
      </c>
      <c r="AA519" s="201">
        <v>1.5311914613835853E-2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42859</v>
      </c>
      <c r="Y520" s="198">
        <f>_xll.qlInterestRateIndexValueDate(IborIndex,X520,Trigger)</f>
        <v>42863</v>
      </c>
      <c r="Z520" s="199">
        <v>1.5581432302214595E-2</v>
      </c>
      <c r="AA520" s="201">
        <v>1.533066490443602E-2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42860</v>
      </c>
      <c r="Y521" s="198">
        <f>_xll.qlInterestRateIndexValueDate(IborIndex,X521,Trigger)</f>
        <v>42864</v>
      </c>
      <c r="Z521" s="199">
        <v>1.5599871443308601E-2</v>
      </c>
      <c r="AA521" s="201">
        <v>1.5349393046033555E-2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42863</v>
      </c>
      <c r="Y522" s="198">
        <f>_xll.qlInterestRateIndexValueDate(IborIndex,X522,Trigger)</f>
        <v>42865</v>
      </c>
      <c r="Z522" s="199">
        <v>1.5637224501232214E-2</v>
      </c>
      <c r="AA522" s="201">
        <v>1.5387433154883112E-2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42864</v>
      </c>
      <c r="Y523" s="198">
        <f>_xll.qlInterestRateIndexValueDate(IborIndex,X523,Trigger)</f>
        <v>42866</v>
      </c>
      <c r="Z523" s="199">
        <v>1.5646138195016812E-2</v>
      </c>
      <c r="AA523" s="201">
        <v>1.5424083691621959E-2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42865</v>
      </c>
      <c r="Y524" s="198">
        <f>_xll.qlInterestRateIndexValueDate(IborIndex,X524,Trigger)</f>
        <v>42867</v>
      </c>
      <c r="Z524" s="199">
        <v>1.5655043131924996E-2</v>
      </c>
      <c r="AA524" s="201">
        <v>1.5442698507310837E-2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42866</v>
      </c>
      <c r="Y525" s="198">
        <f>_xll.qlInterestRateIndexValueDate(IborIndex,X525,Trigger)</f>
        <v>42870</v>
      </c>
      <c r="Z525" s="199">
        <v>1.5709994465687025E-2</v>
      </c>
      <c r="AA525" s="201">
        <v>1.5461288593261457E-2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42867</v>
      </c>
      <c r="Y526" s="198">
        <f>_xll.qlInterestRateIndexValueDate(IborIndex,X526,Trigger)</f>
        <v>42871</v>
      </c>
      <c r="Z526" s="199">
        <v>1.5728262233560903E-2</v>
      </c>
      <c r="AA526" s="201">
        <v>1.5479853949633693E-2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42870</v>
      </c>
      <c r="Y527" s="198">
        <f>_xll.qlInterestRateIndexValueDate(IborIndex,X527,Trigger)</f>
        <v>42872</v>
      </c>
      <c r="Z527" s="199">
        <v>1.576528154374883E-2</v>
      </c>
      <c r="AA527" s="201">
        <v>1.5517571056724577E-2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42871</v>
      </c>
      <c r="Y528" s="198">
        <f>_xll.qlInterestRateIndexValueDate(IborIndex,X528,Trigger)</f>
        <v>42873</v>
      </c>
      <c r="Z528" s="199">
        <v>1.5774103856861232E-2</v>
      </c>
      <c r="AA528" s="201">
        <v>1.5553868078219679E-2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42872</v>
      </c>
      <c r="Y529" s="198">
        <f>_xll.qlInterestRateIndexValueDate(IborIndex,X529,Trigger)</f>
        <v>42874</v>
      </c>
      <c r="Z529" s="199">
        <v>1.5782917130318957E-2</v>
      </c>
      <c r="AA529" s="201">
        <v>1.5572309786140437E-2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42873</v>
      </c>
      <c r="Y530" s="198">
        <f>_xll.qlInterestRateIndexValueDate(IborIndex,X530,Trigger)</f>
        <v>42877</v>
      </c>
      <c r="Z530" s="199">
        <v>1.5837349414343602E-2</v>
      </c>
      <c r="AA530" s="201">
        <v>1.5590726764402874E-2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42874</v>
      </c>
      <c r="Y531" s="198">
        <f>_xll.qlInterestRateIndexValueDate(IborIndex,X531,Trigger)</f>
        <v>42878</v>
      </c>
      <c r="Z531" s="199">
        <v>1.5855444038980957E-2</v>
      </c>
      <c r="AA531" s="201">
        <v>1.5609119012927053E-2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42877</v>
      </c>
      <c r="Y532" s="198">
        <f>_xll.qlInterestRateIndexValueDate(IborIndex,X532,Trigger)</f>
        <v>42879</v>
      </c>
      <c r="Z532" s="199">
        <v>1.589212820479282E-2</v>
      </c>
      <c r="AA532" s="201">
        <v>1.5655997174299774E-2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42878</v>
      </c>
      <c r="Y533" s="198">
        <f>_xll.qlInterestRateIndexValueDate(IborIndex,X533,Trigger)</f>
        <v>42880</v>
      </c>
      <c r="Z533" s="199">
        <v>1.5900858372197568E-2</v>
      </c>
      <c r="AA533" s="201">
        <v>1.5700709310193517E-2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42879</v>
      </c>
      <c r="Y534" s="198">
        <f>_xll.qlInterestRateIndexValueDate(IborIndex,X534,Trigger)</f>
        <v>42881</v>
      </c>
      <c r="Z534" s="199">
        <v>1.5909579501161081E-2</v>
      </c>
      <c r="AA534" s="201">
        <v>1.5718953180448025E-2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42880</v>
      </c>
      <c r="Y535" s="198">
        <f>_xll.qlInterestRateIndexValueDate(IborIndex,X535,Trigger)</f>
        <v>42885</v>
      </c>
      <c r="Z535" s="199">
        <v>1.5981413819066721E-2</v>
      </c>
      <c r="AA535" s="201">
        <v>1.5737172321044213E-2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42881</v>
      </c>
      <c r="Y536" s="198">
        <f>_xll.qlInterestRateIndexValueDate(IborIndex,X536,Trigger)</f>
        <v>42886</v>
      </c>
      <c r="Z536" s="199">
        <v>1.5990073259661841E-2</v>
      </c>
      <c r="AA536" s="201">
        <v>1.5774219302286951E-2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42888</v>
      </c>
      <c r="Y537" s="198">
        <f>_xll.qlInterestRateIndexValueDate(IborIndex,X537,Trigger)</f>
        <v>42892</v>
      </c>
      <c r="Z537" s="199">
        <v>1.6097003682860489E-2</v>
      </c>
      <c r="AA537" s="201">
        <v>1.5864013872546323E-2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42895</v>
      </c>
      <c r="Y538" s="198">
        <f>_xll.qlInterestRateIndexValueDate(IborIndex,X538,Trigger)</f>
        <v>42899</v>
      </c>
      <c r="Z538" s="199">
        <v>1.6220630329745411E-2</v>
      </c>
      <c r="AA538" s="201">
        <v>1.5989643666314279E-2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42902</v>
      </c>
      <c r="Y539" s="198">
        <f>_xll.qlInterestRateIndexValueDate(IborIndex,X539,Trigger)</f>
        <v>42906</v>
      </c>
      <c r="Z539" s="199">
        <v>1.6343044849511656E-2</v>
      </c>
      <c r="AA539" s="201">
        <v>1.6114061700989168E-2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42909</v>
      </c>
      <c r="Y540" s="198">
        <f>_xll.qlInterestRateIndexValueDate(IborIndex,X540,Trigger)</f>
        <v>42913</v>
      </c>
      <c r="Z540" s="199">
        <v>1.646424720509021E-2</v>
      </c>
      <c r="AA540" s="201">
        <v>1.6237267975292013E-2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42916</v>
      </c>
      <c r="Y541" s="198">
        <f>_xll.qlInterestRateIndexValueDate(IborIndex,X541,Trigger)</f>
        <v>42921</v>
      </c>
      <c r="Z541" s="199">
        <v>1.6627753562306263E-2</v>
      </c>
      <c r="AA541" s="201">
        <v>1.6394633816529947E-2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42923</v>
      </c>
      <c r="Y542" s="198">
        <f>_xll.qlInterestRateIndexValueDate(IborIndex,X542,Trigger)</f>
        <v>42927</v>
      </c>
      <c r="Z542" s="199">
        <v>1.6711777786609032E-2</v>
      </c>
      <c r="AA542" s="201">
        <v>1.6480045237985408E-2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42930</v>
      </c>
      <c r="Y543" s="198">
        <f>_xll.qlInterestRateIndexValueDate(IborIndex,X543,Trigger)</f>
        <v>42934</v>
      </c>
      <c r="Z543" s="199">
        <v>1.6829262306850359E-2</v>
      </c>
      <c r="AA543" s="201">
        <v>1.6599616223897939E-2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42937</v>
      </c>
      <c r="Y544" s="198">
        <f>_xll.qlInterestRateIndexValueDate(IborIndex,X544,Trigger)</f>
        <v>42941</v>
      </c>
      <c r="Z544" s="199">
        <v>1.6945534497025672E-2</v>
      </c>
      <c r="AA544" s="201">
        <v>1.6717975444562327E-2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42944</v>
      </c>
      <c r="Y545" s="198">
        <f>_xll.qlInterestRateIndexValueDate(IborIndex,X545,Trigger)</f>
        <v>42948</v>
      </c>
      <c r="Z545" s="199">
        <v>1.7060594320743441E-2</v>
      </c>
      <c r="AA545" s="201">
        <v>1.6835122898859467E-2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42951</v>
      </c>
      <c r="Y546" s="198">
        <f>_xll.qlInterestRateIndexValueDate(IborIndex,X546,Trigger)</f>
        <v>42955</v>
      </c>
      <c r="Z546" s="199">
        <v>1.7174441741998909E-2</v>
      </c>
      <c r="AA546" s="201">
        <v>1.6951058585430445E-2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42958</v>
      </c>
      <c r="Y547" s="198">
        <f>_xll.qlInterestRateIndexValueDate(IborIndex,X547,Trigger)</f>
        <v>42962</v>
      </c>
      <c r="Z547" s="199">
        <v>1.7287076725168965E-2</v>
      </c>
      <c r="AA547" s="201">
        <v>1.7065782503316029E-2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42965</v>
      </c>
      <c r="Y548" s="198">
        <f>_xll.qlInterestRateIndexValueDate(IborIndex,X548,Trigger)</f>
        <v>42969</v>
      </c>
      <c r="Z548" s="199">
        <v>1.739849923499923E-2</v>
      </c>
      <c r="AA548" s="201">
        <v>1.7179294651237242E-2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42972</v>
      </c>
      <c r="Y549" s="198">
        <f>_xll.qlInterestRateIndexValueDate(IborIndex,X549,Trigger)</f>
        <v>42977</v>
      </c>
      <c r="Z549" s="199">
        <v>1.7516171997367991E-2</v>
      </c>
      <c r="AA549" s="201">
        <v>1.7324283665871576E-2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42979</v>
      </c>
      <c r="Y550" s="198">
        <f>_xll.qlInterestRateIndexValueDate(IborIndex,X550,Trigger)</f>
        <v>42983</v>
      </c>
      <c r="Z550" s="199">
        <v>1.7609593837128124E-2</v>
      </c>
      <c r="AA550" s="201">
        <v>1.74026836326302E-2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42986</v>
      </c>
      <c r="Y551" s="198">
        <f>_xll.qlInterestRateIndexValueDate(IborIndex,X551,Trigger)</f>
        <v>42990</v>
      </c>
      <c r="Z551" s="199">
        <v>1.7717460044856637E-2</v>
      </c>
      <c r="AA551" s="201">
        <v>1.7512560463863736E-2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42993</v>
      </c>
      <c r="Y552" s="198">
        <f>_xll.qlInterestRateIndexValueDate(IborIndex,X552,Trigger)</f>
        <v>42997</v>
      </c>
      <c r="Z552" s="199">
        <v>1.7824113672159747E-2</v>
      </c>
      <c r="AA552" s="201">
        <v>1.7621225520656481E-2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43000</v>
      </c>
      <c r="Y553" s="198">
        <f>_xll.qlInterestRateIndexValueDate(IborIndex,X553,Trigger)</f>
        <v>43004</v>
      </c>
      <c r="Z553" s="199">
        <v>1.7929554686737958E-2</v>
      </c>
      <c r="AA553" s="201">
        <v>1.772867880188933E-2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43007</v>
      </c>
      <c r="Y554" s="198">
        <f>_xll.qlInterestRateIndexValueDate(IborIndex,X554,Trigger)</f>
        <v>43011</v>
      </c>
      <c r="Z554" s="199">
        <v>1.8041570427803882E-2</v>
      </c>
      <c r="AA554" s="201">
        <v>1.7834920306523117E-2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43014</v>
      </c>
      <c r="Y555" s="198">
        <f>_xll.qlInterestRateIndexValueDate(IborIndex,X555,Trigger)</f>
        <v>43018</v>
      </c>
      <c r="Z555" s="199">
        <v>1.8167577383934434E-2</v>
      </c>
      <c r="AA555" s="201">
        <v>1.7939950033438734E-2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43021</v>
      </c>
      <c r="Y556" s="198">
        <f>_xll.qlInterestRateIndexValueDate(IborIndex,X556,Trigger)</f>
        <v>43025</v>
      </c>
      <c r="Z556" s="199">
        <v>1.824622616889849E-2</v>
      </c>
      <c r="AA556" s="201">
        <v>1.8043767981597014E-2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43028</v>
      </c>
      <c r="Y557" s="198">
        <f>_xll.qlInterestRateIndexValueDate(IborIndex,X557,Trigger)</f>
        <v>43032</v>
      </c>
      <c r="Z557" s="199">
        <v>1.8346734895109979E-2</v>
      </c>
      <c r="AA557" s="201">
        <v>1.8146374149878852E-2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43035</v>
      </c>
      <c r="Y558" s="198">
        <f>_xll.qlInterestRateIndexValueDate(IborIndex,X558,Trigger)</f>
        <v>43039</v>
      </c>
      <c r="Z558" s="199">
        <v>1.8438569463900656E-2</v>
      </c>
      <c r="AA558" s="201">
        <v>1.8247768537325015E-2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43042</v>
      </c>
      <c r="Y559" s="198">
        <f>_xll.qlInterestRateIndexValueDate(IborIndex,X559,Trigger)</f>
        <v>43046</v>
      </c>
      <c r="Z559" s="199">
        <v>1.8536734144359635E-2</v>
      </c>
      <c r="AA559" s="201">
        <v>1.8347951142896335E-2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43049</v>
      </c>
      <c r="Y560" s="198">
        <f>_xll.qlInterestRateIndexValueDate(IborIndex,X560,Trigger)</f>
        <v>43053</v>
      </c>
      <c r="Z560" s="199">
        <v>1.8633685996263694E-2</v>
      </c>
      <c r="AA560" s="201">
        <v>1.8446921965553642E-2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43056</v>
      </c>
      <c r="Y561" s="198">
        <f>_xll.qlInterestRateIndexValueDate(IborIndex,X561,Trigger)</f>
        <v>43060</v>
      </c>
      <c r="Z561" s="199">
        <v>1.8729424990252319E-2</v>
      </c>
      <c r="AA561" s="201">
        <v>1.854468100441764E-2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43063</v>
      </c>
      <c r="Y562" s="198">
        <f>_xll.qlInterestRateIndexValueDate(IborIndex,X562,Trigger)</f>
        <v>43067</v>
      </c>
      <c r="Z562" s="199">
        <v>1.8823951097324709E-2</v>
      </c>
      <c r="AA562" s="201">
        <v>1.8641228258289289E-2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43070</v>
      </c>
      <c r="Y563" s="198">
        <f>_xll.qlInterestRateIndexValueDate(IborIndex,X563,Trigger)</f>
        <v>43074</v>
      </c>
      <c r="Z563" s="199">
        <v>1.8924317273860392E-2</v>
      </c>
      <c r="AA563" s="201">
        <v>1.8736563726369226E-2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43077</v>
      </c>
      <c r="Y564" s="198">
        <f>_xll.qlInterestRateIndexValueDate(IborIndex,X564,Trigger)</f>
        <v>43081</v>
      </c>
      <c r="Z564" s="199">
        <v>1.9016335726044831E-2</v>
      </c>
      <c r="AA564" s="201">
        <v>1.8830687407698221E-2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43084</v>
      </c>
      <c r="Y565" s="198">
        <f>_xll.qlInterestRateIndexValueDate(IborIndex,X565,Trigger)</f>
        <v>43088</v>
      </c>
      <c r="Z565" s="199">
        <v>1.9107141163706889E-2</v>
      </c>
      <c r="AA565" s="201">
        <v>1.8923599301157168E-2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43091</v>
      </c>
      <c r="Y566" s="198">
        <f>_xll.qlInterestRateIndexValueDate(IborIndex,X566,Trigger)</f>
        <v>43097</v>
      </c>
      <c r="Z566" s="199">
        <v>1.9228885077295921E-2</v>
      </c>
      <c r="AA566" s="201">
        <v>1.9080057568858777E-2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43098</v>
      </c>
      <c r="Y567" s="198">
        <f>_xll.qlInterestRateIndexValueDate(IborIndex,X567,Trigger)</f>
        <v>43103</v>
      </c>
      <c r="Z567" s="199">
        <v>1.9311044425671463E-2</v>
      </c>
      <c r="AA567" s="201">
        <v>1.9132427422938747E-2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43105</v>
      </c>
      <c r="Y568" s="198">
        <f>_xll.qlInterestRateIndexValueDate(IborIndex,X568,Trigger)</f>
        <v>43109</v>
      </c>
      <c r="Z568" s="199">
        <v>1.9372279107265911E-2</v>
      </c>
      <c r="AA568" s="201">
        <v>1.9195064245760562E-2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43112</v>
      </c>
      <c r="Y569" s="198">
        <f>_xll.qlInterestRateIndexValueDate(IborIndex,X569,Trigger)</f>
        <v>43116</v>
      </c>
      <c r="Z569" s="199">
        <v>1.9458232206438247E-2</v>
      </c>
      <c r="AA569" s="201">
        <v>1.9283128978866415E-2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43119</v>
      </c>
      <c r="Y570" s="198">
        <f>_xll.qlInterestRateIndexValueDate(IborIndex,X570,Trigger)</f>
        <v>43123</v>
      </c>
      <c r="Z570" s="199">
        <v>1.9542972152785932E-2</v>
      </c>
      <c r="AA570" s="201">
        <v>1.9369981919705737E-2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43126</v>
      </c>
      <c r="Y571" s="198">
        <f>_xll.qlInterestRateIndexValueDate(IborIndex,X571,Trigger)</f>
        <v>43130</v>
      </c>
      <c r="Z571" s="199">
        <v>1.9613696578998092E-2</v>
      </c>
      <c r="AA571" s="201">
        <v>1.945562306739923E-2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43133</v>
      </c>
      <c r="Y572" s="198">
        <f>_xll.qlInterestRateIndexValueDate(IborIndex,X572,Trigger)</f>
        <v>43137</v>
      </c>
      <c r="Z572" s="199">
        <v>1.9689844045057851E-2</v>
      </c>
      <c r="AA572" s="201">
        <v>1.9540052420907728E-2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43140</v>
      </c>
      <c r="Y573" s="198">
        <f>_xll.qlInterestRateIndexValueDate(IborIndex,X573,Trigger)</f>
        <v>43144</v>
      </c>
      <c r="Z573" s="199">
        <v>1.9771190990880108E-2</v>
      </c>
      <c r="AA573" s="201">
        <v>1.9623269979511804E-2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43147</v>
      </c>
      <c r="Y574" s="198">
        <f>_xll.qlInterestRateIndexValueDate(IborIndex,X574,Trigger)</f>
        <v>43151</v>
      </c>
      <c r="Z574" s="199">
        <v>1.9851324830932247E-2</v>
      </c>
      <c r="AA574" s="201">
        <v>1.9705275742412098E-2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43154</v>
      </c>
      <c r="Y575" s="198">
        <f>_xll.qlInterestRateIndexValueDate(IborIndex,X575,Trigger)</f>
        <v>43158</v>
      </c>
      <c r="Z575" s="199">
        <v>1.9930245542563809E-2</v>
      </c>
      <c r="AA575" s="201">
        <v>1.9786069708649379E-2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43161</v>
      </c>
      <c r="Y576" s="198">
        <f>_xll.qlInterestRateIndexValueDate(IborIndex,X576,Trigger)</f>
        <v>43165</v>
      </c>
      <c r="Z576" s="199">
        <v>2.0025934162873509E-2</v>
      </c>
      <c r="AA576" s="201">
        <v>1.986565187750422E-2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43168</v>
      </c>
      <c r="Y577" s="198">
        <f>_xll.qlInterestRateIndexValueDate(IborIndex,X577,Trigger)</f>
        <v>43172</v>
      </c>
      <c r="Z577" s="199">
        <v>2.0102181318082463E-2</v>
      </c>
      <c r="AA577" s="201">
        <v>1.9944022248177262E-2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43175</v>
      </c>
      <c r="Y578" s="198">
        <f>_xll.qlInterestRateIndexValueDate(IborIndex,X578,Trigger)</f>
        <v>43179</v>
      </c>
      <c r="Z578" s="199">
        <v>2.0177215118919598E-2</v>
      </c>
      <c r="AA578" s="201">
        <v>2.0021180819789208E-2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43182</v>
      </c>
      <c r="Y579" s="198">
        <f>_xll.qlInterestRateIndexValueDate(IborIndex,X579,Trigger)</f>
        <v>43186</v>
      </c>
      <c r="Z579" s="199">
        <v>2.0251035541896615E-2</v>
      </c>
      <c r="AA579" s="201">
        <v>2.0120828139752689E-2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43193</v>
      </c>
      <c r="Y580" s="198">
        <f>_xll.qlInterestRateIndexValueDate(IborIndex,X580,Trigger)</f>
        <v>43195</v>
      </c>
      <c r="Z580" s="199">
        <v>2.035540647503321E-2</v>
      </c>
      <c r="AA580" s="201">
        <v>2.0214024186824275E-2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43200</v>
      </c>
      <c r="Y581" s="198">
        <f>_xll.qlInterestRateIndexValueDate(IborIndex,X581,Trigger)</f>
        <v>43202</v>
      </c>
      <c r="Z581" s="199">
        <v>2.0420753588464013E-2</v>
      </c>
      <c r="AA581" s="201">
        <v>2.0286854898525775E-2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43207</v>
      </c>
      <c r="Y582" s="198">
        <f>_xll.qlInterestRateIndexValueDate(IborIndex,X582,Trigger)</f>
        <v>43209</v>
      </c>
      <c r="Z582" s="199">
        <v>2.0490538124508795E-2</v>
      </c>
      <c r="AA582" s="201">
        <v>2.0358473807888799E-2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43214</v>
      </c>
      <c r="Y583" s="198">
        <f>_xll.qlInterestRateIndexValueDate(IborIndex,X583,Trigger)</f>
        <v>43216</v>
      </c>
      <c r="Z583" s="199">
        <v>2.056473303121642E-2</v>
      </c>
      <c r="AA583" s="201">
        <v>2.0428880913954117E-2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43221</v>
      </c>
      <c r="Y584" s="198">
        <f>_xll.qlInterestRateIndexValueDate(IborIndex,X584,Trigger)</f>
        <v>43223</v>
      </c>
      <c r="Z584" s="199">
        <v>2.062727787413704E-2</v>
      </c>
      <c r="AA584" s="201">
        <v>2.0507862336556215E-2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43228</v>
      </c>
      <c r="Y585" s="198">
        <f>_xll.qlInterestRateIndexValueDate(IborIndex,X585,Trigger)</f>
        <v>43230</v>
      </c>
      <c r="Z585" s="199">
        <v>2.0694638702289936E-2</v>
      </c>
      <c r="AA585" s="201">
        <v>2.0566062861915313E-2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43235</v>
      </c>
      <c r="Y586" s="198">
        <f>_xll.qlInterestRateIndexValueDate(IborIndex,X586,Trigger)</f>
        <v>43237</v>
      </c>
      <c r="Z586" s="199">
        <v>2.0761594589776833E-2</v>
      </c>
      <c r="AA586" s="201">
        <v>2.0633363438786745E-2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43242</v>
      </c>
      <c r="Y587" s="198">
        <f>_xll.qlInterestRateIndexValueDate(IborIndex,X587,Trigger)</f>
        <v>43244</v>
      </c>
      <c r="Z587" s="199">
        <v>2.0828257783894188E-2</v>
      </c>
      <c r="AA587" s="201">
        <v>2.0709927864466238E-2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43249</v>
      </c>
      <c r="Y588" s="198">
        <f>_xll.qlInterestRateIndexValueDate(IborIndex,X588,Trigger)</f>
        <v>43251</v>
      </c>
      <c r="Z588" s="199">
        <v>2.0878664307918442E-2</v>
      </c>
      <c r="AA588" s="201">
        <v>2.0767105819956555E-2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43256</v>
      </c>
      <c r="Y589" s="198">
        <f>_xll.qlInterestRateIndexValueDate(IborIndex,X589,Trigger)</f>
        <v>43258</v>
      </c>
      <c r="Z589" s="199">
        <v>2.0960724994090185E-2</v>
      </c>
      <c r="AA589" s="201">
        <v>2.0833547623935189E-2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43263</v>
      </c>
      <c r="Y590" s="198">
        <f>_xll.qlInterestRateIndexValueDate(IborIndex,X590,Trigger)</f>
        <v>43265</v>
      </c>
      <c r="Z590" s="199">
        <v>2.1026529000061911E-2</v>
      </c>
      <c r="AA590" s="201">
        <v>2.0899703169936501E-2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43270</v>
      </c>
      <c r="Y591" s="198">
        <f>_xll.qlInterestRateIndexValueDate(IborIndex,X591,Trigger)</f>
        <v>43272</v>
      </c>
      <c r="Z591" s="199">
        <v>2.1092046599917313E-2</v>
      </c>
      <c r="AA591" s="201">
        <v>2.0965572457800619E-2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43277</v>
      </c>
      <c r="Y592" s="198">
        <f>_xll.qlInterestRateIndexValueDate(IborIndex,X592,Trigger)</f>
        <v>43279</v>
      </c>
      <c r="Z592" s="199">
        <v>2.1157277788650397E-2</v>
      </c>
      <c r="AA592" s="201">
        <v>2.1031155487287734E-2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43284</v>
      </c>
      <c r="Y593" s="198">
        <f>_xll.qlInterestRateIndexValueDate(IborIndex,X593,Trigger)</f>
        <v>43286</v>
      </c>
      <c r="Z593" s="199">
        <v>2.1222222561292636E-2</v>
      </c>
      <c r="AA593" s="201">
        <v>2.1096452258397846E-2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43291</v>
      </c>
      <c r="Y594" s="198">
        <f>_xll.qlInterestRateIndexValueDate(IborIndex,X594,Trigger)</f>
        <v>43293</v>
      </c>
      <c r="Z594" s="199">
        <v>2.1286880912880501E-2</v>
      </c>
      <c r="AA594" s="201">
        <v>2.1161462770971085E-2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43298</v>
      </c>
      <c r="Y595" s="198">
        <f>_xll.qlInterestRateIndexValueDate(IborIndex,X595,Trigger)</f>
        <v>43300</v>
      </c>
      <c r="Z595" s="199">
        <v>2.1351252838487933E-2</v>
      </c>
      <c r="AA595" s="201">
        <v>2.1226187024687704E-2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43305</v>
      </c>
      <c r="Y596" s="198">
        <f>_xll.qlInterestRateIndexValueDate(IborIndex,X596,Trigger)</f>
        <v>43307</v>
      </c>
      <c r="Z596" s="199">
        <v>2.1420525903044826E-2</v>
      </c>
      <c r="AA596" s="201">
        <v>2.1290625019467768E-2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43312</v>
      </c>
      <c r="Y597" s="198">
        <f>_xll.qlInterestRateIndexValueDate(IborIndex,X597,Trigger)</f>
        <v>43314</v>
      </c>
      <c r="Z597" s="199">
        <v>2.1484308298943041E-2</v>
      </c>
      <c r="AA597" s="201">
        <v>2.1354776755231342E-2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43319</v>
      </c>
      <c r="Y598" s="198">
        <f>_xll.qlInterestRateIndexValueDate(IborIndex,X598,Trigger)</f>
        <v>43321</v>
      </c>
      <c r="Z598" s="199">
        <v>2.1542650010391851E-2</v>
      </c>
      <c r="AA598" s="201">
        <v>2.1418642231818552E-2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43326</v>
      </c>
      <c r="Y599" s="198">
        <f>_xll.qlInterestRateIndexValueDate(IborIndex,X599,Trigger)</f>
        <v>43328</v>
      </c>
      <c r="Z599" s="199">
        <v>2.1605876183161676E-2</v>
      </c>
      <c r="AA599" s="201">
        <v>2.1482221448909655E-2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43333</v>
      </c>
      <c r="Y600" s="198">
        <f>_xll.qlInterestRateIndexValueDate(IborIndex,X600,Trigger)</f>
        <v>43335</v>
      </c>
      <c r="Z600" s="199">
        <v>2.1668815905608041E-2</v>
      </c>
      <c r="AA600" s="201">
        <v>2.155453288950504E-2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43340</v>
      </c>
      <c r="Y601" s="198">
        <f>_xll.qlInterestRateIndexValueDate(IborIndex,X601,Trigger)</f>
        <v>43342</v>
      </c>
      <c r="Z601" s="199">
        <v>2.1716148281958718E-2</v>
      </c>
      <c r="AA601" s="201">
        <v>2.1608521104523604E-2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43347</v>
      </c>
      <c r="Y602" s="198">
        <f>_xll.qlInterestRateIndexValueDate(IborIndex,X602,Trigger)</f>
        <v>43349</v>
      </c>
      <c r="Z602" s="199">
        <v>2.1798923476097153E-2</v>
      </c>
      <c r="AA602" s="201">
        <v>2.1671241542646769E-2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43354</v>
      </c>
      <c r="Y603" s="198">
        <f>_xll.qlInterestRateIndexValueDate(IborIndex,X603,Trigger)</f>
        <v>43356</v>
      </c>
      <c r="Z603" s="199">
        <v>2.1855916323087199E-2</v>
      </c>
      <c r="AA603" s="201">
        <v>2.173367572079421E-2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43361</v>
      </c>
      <c r="Y604" s="198">
        <f>_xll.qlInterestRateIndexValueDate(IborIndex,X604,Trigger)</f>
        <v>43363</v>
      </c>
      <c r="Z604" s="199">
        <v>2.1917710196430462E-2</v>
      </c>
      <c r="AA604" s="201">
        <v>2.1795823638806056E-2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43368</v>
      </c>
      <c r="Y605" s="198">
        <f>_xll.qlInterestRateIndexValueDate(IborIndex,X605,Trigger)</f>
        <v>43370</v>
      </c>
      <c r="Z605" s="199">
        <v>2.1979217595654299E-2</v>
      </c>
      <c r="AA605" s="201">
        <v>2.1857685296602369E-2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43375</v>
      </c>
      <c r="Y606" s="198">
        <f>_xll.qlInterestRateIndexValueDate(IborIndex,X606,Trigger)</f>
        <v>43377</v>
      </c>
      <c r="Z606" s="199">
        <v>2.2040438516067462E-2</v>
      </c>
      <c r="AA606" s="201">
        <v>2.1919260693943343E-2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43382</v>
      </c>
      <c r="Y607" s="198">
        <f>_xll.qlInterestRateIndexValueDate(IborIndex,X607,Trigger)</f>
        <v>43384</v>
      </c>
      <c r="Z607" s="199">
        <v>2.2106376864217934E-2</v>
      </c>
      <c r="AA607" s="201">
        <v>2.1980549830669105E-2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43389</v>
      </c>
      <c r="Y608" s="198">
        <f>_xll.qlInterestRateIndexValueDate(IborIndex,X608,Trigger)</f>
        <v>43391</v>
      </c>
      <c r="Z608" s="199">
        <v>2.2162020901796697E-2</v>
      </c>
      <c r="AA608" s="201">
        <v>2.2041552706699719E-2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43396</v>
      </c>
      <c r="Y609" s="198">
        <f>_xll.qlInterestRateIndexValueDate(IborIndex,X609,Trigger)</f>
        <v>43398</v>
      </c>
      <c r="Z609" s="199">
        <v>2.2222382357835191E-2</v>
      </c>
      <c r="AA609" s="201">
        <v>2.2102269321955248E-2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43403</v>
      </c>
      <c r="Y610" s="198">
        <f>_xll.qlInterestRateIndexValueDate(IborIndex,X610,Trigger)</f>
        <v>43405</v>
      </c>
      <c r="Z610" s="199">
        <v>2.2282457316505355E-2</v>
      </c>
      <c r="AA610" s="201">
        <v>2.2162699676115949E-2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43410</v>
      </c>
      <c r="Y611" s="198">
        <f>_xll.qlInterestRateIndexValueDate(IborIndex,X611,Trigger)</f>
        <v>43412</v>
      </c>
      <c r="Z611" s="199">
        <v>2.2342245773228353E-2</v>
      </c>
      <c r="AA611" s="201">
        <v>2.2222843769181821E-2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43417</v>
      </c>
      <c r="Y612" s="198">
        <f>_xll.qlInterestRateIndexValueDate(IborIndex,X612,Trigger)</f>
        <v>43419</v>
      </c>
      <c r="Z612" s="199">
        <v>2.2401747723435339E-2</v>
      </c>
      <c r="AA612" s="201">
        <v>2.2282701600913057E-2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43424</v>
      </c>
      <c r="Y613" s="198">
        <f>_xll.qlInterestRateIndexValueDate(IborIndex,X613,Trigger)</f>
        <v>43427</v>
      </c>
      <c r="Z613" s="199">
        <v>2.2464496768062846E-2</v>
      </c>
      <c r="AA613" s="201">
        <v>2.2350760027247674E-2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43431</v>
      </c>
      <c r="Y614" s="198">
        <f>_xll.qlInterestRateIndexValueDate(IborIndex,X614,Trigger)</f>
        <v>43433</v>
      </c>
      <c r="Z614" s="199">
        <v>2.2519892086173277E-2</v>
      </c>
      <c r="AA614" s="201">
        <v>2.2401558479971939E-2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43438</v>
      </c>
      <c r="Y615" s="198">
        <f>_xll.qlInterestRateIndexValueDate(IborIndex,X615,Trigger)</f>
        <v>43440</v>
      </c>
      <c r="Z615" s="199">
        <v>2.257853448968894E-2</v>
      </c>
      <c r="AA615" s="201">
        <v>2.2460557526979841E-2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43445</v>
      </c>
      <c r="Y616" s="198">
        <f>_xll.qlInterestRateIndexValueDate(IborIndex,X616,Trigger)</f>
        <v>43447</v>
      </c>
      <c r="Z616" s="199">
        <v>2.263689036866301E-2</v>
      </c>
      <c r="AA616" s="201">
        <v>2.2519270312173489E-2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43452</v>
      </c>
      <c r="Y617" s="198">
        <f>_xll.qlInterestRateIndexValueDate(IborIndex,X617,Trigger)</f>
        <v>43454</v>
      </c>
      <c r="Z617" s="199">
        <v>2.2699795868139236E-2</v>
      </c>
      <c r="AA617" s="201">
        <v>2.2587435218186513E-2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43461</v>
      </c>
      <c r="Y618" s="198">
        <f>_xll.qlInterestRateIndexValueDate(IborIndex,X618,Trigger)</f>
        <v>43465</v>
      </c>
      <c r="Z618" s="199">
        <v>2.2780821527917116E-2</v>
      </c>
      <c r="AA618" s="201">
        <v>2.2660666719795941E-2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43468</v>
      </c>
      <c r="Y619" s="198">
        <f>_xll.qlInterestRateIndexValueDate(IborIndex,X619,Trigger)</f>
        <v>43472</v>
      </c>
      <c r="Z619" s="199">
        <v>2.2838170905953269E-2</v>
      </c>
      <c r="AA619" s="201">
        <v>2.2710168230206662E-2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43475</v>
      </c>
      <c r="Y620" s="198">
        <f>_xll.qlInterestRateIndexValueDate(IborIndex,X620,Trigger)</f>
        <v>43479</v>
      </c>
      <c r="Z620" s="199">
        <v>2.28952337486675E-2</v>
      </c>
      <c r="AA620" s="201">
        <v>2.2767654177329177E-2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43482</v>
      </c>
      <c r="Y621" s="198">
        <f>_xll.qlInterestRateIndexValueDate(IborIndex,X621,Trigger)</f>
        <v>43487</v>
      </c>
      <c r="Z621" s="199">
        <v>2.2960097561063569E-2</v>
      </c>
      <c r="AA621" s="201">
        <v>2.2833001876820802E-2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43489</v>
      </c>
      <c r="Y622" s="198">
        <f>_xll.qlInterestRateIndexValueDate(IborIndex,X622,Trigger)</f>
        <v>43493</v>
      </c>
      <c r="Z622" s="199">
        <v>2.3008499811271427E-2</v>
      </c>
      <c r="AA622" s="201">
        <v>2.2881767283413623E-2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43496</v>
      </c>
      <c r="Y623" s="198">
        <f>_xll.qlInterestRateIndexValueDate(IborIndex,X623,Trigger)</f>
        <v>43500</v>
      </c>
      <c r="Z623" s="199">
        <v>2.3050514091043719E-2</v>
      </c>
      <c r="AA623" s="201">
        <v>2.2938394442295618E-2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43503</v>
      </c>
      <c r="Y624" s="198">
        <f>_xll.qlInterestRateIndexValueDate(IborIndex,X624,Trigger)</f>
        <v>43507</v>
      </c>
      <c r="Z624" s="199">
        <v>2.3106481400002439E-2</v>
      </c>
      <c r="AA624" s="201">
        <v>2.2994735338164318E-2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43510</v>
      </c>
      <c r="Y625" s="198">
        <f>_xll.qlInterestRateIndexValueDate(IborIndex,X625,Trigger)</f>
        <v>43515</v>
      </c>
      <c r="Z625" s="199">
        <v>2.3170093190283403E-2</v>
      </c>
      <c r="AA625" s="201">
        <v>2.3058774407171967E-2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43517</v>
      </c>
      <c r="Y626" s="198">
        <f>_xll.qlInterestRateIndexValueDate(IborIndex,X626,Trigger)</f>
        <v>43521</v>
      </c>
      <c r="Z626" s="199">
        <v>2.3217556435840083E-2</v>
      </c>
      <c r="AA626" s="201">
        <v>2.3106558340382222E-2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43524</v>
      </c>
      <c r="Y627" s="198">
        <f>_xll.qlInterestRateIndexValueDate(IborIndex,X627,Trigger)</f>
        <v>43528</v>
      </c>
      <c r="Z627" s="199">
        <v>2.3286650306947571E-2</v>
      </c>
      <c r="AA627" s="201">
        <v>2.316204044641168E-2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43531</v>
      </c>
      <c r="Y628" s="198">
        <f>_xll.qlInterestRateIndexValueDate(IborIndex,X628,Trigger)</f>
        <v>43535</v>
      </c>
      <c r="Z628" s="199">
        <v>2.3341420716997463E-2</v>
      </c>
      <c r="AA628" s="201">
        <v>2.3217236288948229E-2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43538</v>
      </c>
      <c r="Y629" s="198">
        <f>_xll.qlInterestRateIndexValueDate(IborIndex,X629,Trigger)</f>
        <v>43542</v>
      </c>
      <c r="Z629" s="199">
        <v>2.3395904554519065E-2</v>
      </c>
      <c r="AA629" s="201">
        <v>2.3272145867831995E-2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43545</v>
      </c>
      <c r="Y630" s="198">
        <f>_xll.qlInterestRateIndexValueDate(IborIndex,X630,Trigger)</f>
        <v>43549</v>
      </c>
      <c r="Z630" s="199">
        <v>2.3450101815489788E-2</v>
      </c>
      <c r="AA630" s="201">
        <v>2.3326769182903107E-2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43552</v>
      </c>
      <c r="Y631" s="198">
        <f>_xll.qlInterestRateIndexValueDate(IborIndex,X631,Trigger)</f>
        <v>43556</v>
      </c>
      <c r="Z631" s="199">
        <v>2.3499419622775797E-2</v>
      </c>
      <c r="AA631" s="201">
        <v>2.3381106234081628E-2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43559</v>
      </c>
      <c r="Y632" s="198">
        <f>_xll.qlInterestRateIndexValueDate(IborIndex,X632,Trigger)</f>
        <v>43563</v>
      </c>
      <c r="Z632" s="199">
        <v>2.355306068700358E-2</v>
      </c>
      <c r="AA632" s="201">
        <v>2.343515702112775E-2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43566</v>
      </c>
      <c r="Y633" s="198">
        <f>_xll.qlInterestRateIndexValueDate(IborIndex,X633,Trigger)</f>
        <v>43570</v>
      </c>
      <c r="Z633" s="199">
        <v>2.3606415174429074E-2</v>
      </c>
      <c r="AA633" s="201">
        <v>2.3488921544041474E-2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43573</v>
      </c>
      <c r="Y634" s="198">
        <f>_xll.qlInterestRateIndexValueDate(IborIndex,X634,Trigger)</f>
        <v>43579</v>
      </c>
      <c r="Z634" s="199">
        <v>2.3674593331381111E-2</v>
      </c>
      <c r="AA634" s="201">
        <v>2.3566772066283548E-2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43580</v>
      </c>
      <c r="Y635" s="198">
        <f>_xll.qlInterestRateIndexValueDate(IborIndex,X635,Trigger)</f>
        <v>43584</v>
      </c>
      <c r="Z635" s="199">
        <v>2.3712266530197645E-2</v>
      </c>
      <c r="AA635" s="201">
        <v>2.3595591796832238E-2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43587</v>
      </c>
      <c r="Y636" s="198">
        <f>_xll.qlInterestRateIndexValueDate(IborIndex,X636,Trigger)</f>
        <v>43592</v>
      </c>
      <c r="Z636" s="199">
        <v>2.3776748916558101E-2</v>
      </c>
      <c r="AA636" s="201">
        <v>2.3656032119259152E-2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43594</v>
      </c>
      <c r="Y637" s="198">
        <f>_xll.qlInterestRateIndexValueDate(IborIndex,X637,Trigger)</f>
        <v>43598</v>
      </c>
      <c r="Z637" s="199">
        <v>2.3821474659172111E-2</v>
      </c>
      <c r="AA637" s="201">
        <v>2.370111712362899E-2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43601</v>
      </c>
      <c r="Y638" s="198">
        <f>_xll.qlInterestRateIndexValueDate(IborIndex,X638,Trigger)</f>
        <v>43605</v>
      </c>
      <c r="Z638" s="199">
        <v>2.3873393483041912E-2</v>
      </c>
      <c r="AA638" s="201">
        <v>2.3753454292787524E-2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43608</v>
      </c>
      <c r="Y639" s="198">
        <f>_xll.qlInterestRateIndexValueDate(IborIndex,X639,Trigger)</f>
        <v>43613</v>
      </c>
      <c r="Z639" s="199">
        <v>2.393238514540208E-2</v>
      </c>
      <c r="AA639" s="201">
        <v>2.3812924475965502E-2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43615</v>
      </c>
      <c r="Y640" s="198">
        <f>_xll.qlInterestRateIndexValueDate(IborIndex,X640,Trigger)</f>
        <v>43619</v>
      </c>
      <c r="Z640" s="199">
        <v>2.3971945949029738E-2</v>
      </c>
      <c r="AA640" s="201">
        <v>2.3857286506254738E-2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43622</v>
      </c>
      <c r="Y641" s="198">
        <f>_xll.qlInterestRateIndexValueDate(IborIndex,X641,Trigger)</f>
        <v>43626</v>
      </c>
      <c r="Z641" s="199">
        <v>2.402303830204211E-2</v>
      </c>
      <c r="AA641" s="201">
        <v>2.3908781550403546E-2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43629</v>
      </c>
      <c r="Y642" s="198">
        <f>_xll.qlInterestRateIndexValueDate(IborIndex,X642,Trigger)</f>
        <v>43633</v>
      </c>
      <c r="Z642" s="199">
        <v>2.407384961175385E-2</v>
      </c>
      <c r="AA642" s="201">
        <v>2.3959995885816099E-2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43636</v>
      </c>
      <c r="Y643" s="198">
        <f>_xll.qlInterestRateIndexValueDate(IborIndex,X643,Trigger)</f>
        <v>43640</v>
      </c>
      <c r="Z643" s="199">
        <v>2.4124379874594482E-2</v>
      </c>
      <c r="AA643" s="201">
        <v>2.4010929512652268E-2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43643</v>
      </c>
      <c r="Y644" s="198">
        <f>_xll.qlInterestRateIndexValueDate(IborIndex,X644,Trigger)</f>
        <v>43647</v>
      </c>
      <c r="Z644" s="199">
        <v>2.4179004369623745E-2</v>
      </c>
      <c r="AA644" s="201">
        <v>2.406158243059231E-2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43650</v>
      </c>
      <c r="Y645" s="198">
        <f>_xll.qlInterestRateIndexValueDate(IborIndex,X645,Trigger)</f>
        <v>43654</v>
      </c>
      <c r="Z645" s="199">
        <v>2.4228955807430452E-2</v>
      </c>
      <c r="AA645" s="201">
        <v>2.4111954639636224E-2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43657</v>
      </c>
      <c r="Y646" s="198">
        <f>_xll.qlInterestRateIndexValueDate(IborIndex,X646,Trigger)</f>
        <v>43661</v>
      </c>
      <c r="Z646" s="199">
        <v>2.4278626175522559E-2</v>
      </c>
      <c r="AA646" s="201">
        <v>2.4162046139464266E-2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43664</v>
      </c>
      <c r="Y647" s="198">
        <f>_xll.qlInterestRateIndexValueDate(IborIndex,X647,Trigger)</f>
        <v>43668</v>
      </c>
      <c r="Z647" s="199">
        <v>2.4328015470302944E-2</v>
      </c>
      <c r="AA647" s="201">
        <v>2.4211856930236308E-2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43671</v>
      </c>
      <c r="Y648" s="198">
        <f>_xll.qlInterestRateIndexValueDate(IborIndex,X648,Trigger)</f>
        <v>43675</v>
      </c>
      <c r="Z648" s="199">
        <v>2.4377123688184798E-2</v>
      </c>
      <c r="AA648" s="201">
        <v>2.4261387011632607E-2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43678</v>
      </c>
      <c r="Y649" s="198">
        <f>_xll.qlInterestRateIndexValueDate(IborIndex,X649,Trigger)</f>
        <v>43682</v>
      </c>
      <c r="Z649" s="199">
        <v>2.4425950825617413E-2</v>
      </c>
      <c r="AA649" s="201">
        <v>2.4310636383653161E-2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43685</v>
      </c>
      <c r="Y650" s="198">
        <f>_xll.qlInterestRateIndexValueDate(IborIndex,X650,Trigger)</f>
        <v>43689</v>
      </c>
      <c r="Z650" s="199">
        <v>2.4474496879052662E-2</v>
      </c>
      <c r="AA650" s="201">
        <v>2.43596050461381E-2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43692</v>
      </c>
      <c r="Y651" s="198">
        <f>_xll.qlInterestRateIndexValueDate(IborIndex,X651,Trigger)</f>
        <v>43696</v>
      </c>
      <c r="Z651" s="199">
        <v>2.4522761844975934E-2</v>
      </c>
      <c r="AA651" s="201">
        <v>2.440829299892755E-2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43699</v>
      </c>
      <c r="Y652" s="198">
        <f>_xll.qlInterestRateIndexValueDate(IborIndex,X652,Trigger)</f>
        <v>43704</v>
      </c>
      <c r="Z652" s="199">
        <v>2.4577577612751141E-2</v>
      </c>
      <c r="AA652" s="201">
        <v>2.4463592647387955E-2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43706</v>
      </c>
      <c r="Y653" s="198">
        <f>_xll.qlInterestRateIndexValueDate(IborIndex,X653,Trigger)</f>
        <v>43711</v>
      </c>
      <c r="Z653" s="199">
        <v>2.4621018295550634E-2</v>
      </c>
      <c r="AA653" s="201">
        <v>2.4511679079024518E-2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43713</v>
      </c>
      <c r="Y654" s="198">
        <f>_xll.qlInterestRateIndexValueDate(IborIndex,X654,Trigger)</f>
        <v>43717</v>
      </c>
      <c r="Z654" s="199">
        <v>2.4661662672758489E-2</v>
      </c>
      <c r="AA654" s="201">
        <v>2.455267259832361E-2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43720</v>
      </c>
      <c r="Y655" s="198">
        <f>_xll.qlInterestRateIndexValueDate(IborIndex,X655,Trigger)</f>
        <v>43724</v>
      </c>
      <c r="Z655" s="199">
        <v>2.4708820102306461E-2</v>
      </c>
      <c r="AA655" s="201">
        <v>2.4600237711371875E-2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43727</v>
      </c>
      <c r="Y656" s="198">
        <f>_xll.qlInterestRateIndexValueDate(IborIndex,X656,Trigger)</f>
        <v>43731</v>
      </c>
      <c r="Z656" s="199">
        <v>2.475569644043496E-2</v>
      </c>
      <c r="AA656" s="201">
        <v>2.4647522114245035E-2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43734</v>
      </c>
      <c r="Y657" s="198">
        <f>_xll.qlInterestRateIndexValueDate(IborIndex,X657,Trigger)</f>
        <v>43738</v>
      </c>
      <c r="Z657" s="199">
        <v>2.4806448608210019E-2</v>
      </c>
      <c r="AA657" s="201">
        <v>2.4694525806783219E-2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43741</v>
      </c>
      <c r="Y658" s="198">
        <f>_xll.qlInterestRateIndexValueDate(IborIndex,X658,Trigger)</f>
        <v>43745</v>
      </c>
      <c r="Z658" s="199">
        <v>2.4852745864705636E-2</v>
      </c>
      <c r="AA658" s="201">
        <v>2.4741248788906489E-2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43748</v>
      </c>
      <c r="Y659" s="198">
        <f>_xll.qlInterestRateIndexValueDate(IborIndex,X659,Trigger)</f>
        <v>43753</v>
      </c>
      <c r="Z659" s="199">
        <v>2.4905312792422155E-2</v>
      </c>
      <c r="AA659" s="201">
        <v>2.4794302755566378E-2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43755</v>
      </c>
      <c r="Y660" s="198">
        <f>_xll.qlInterestRateIndexValueDate(IborIndex,X660,Trigger)</f>
        <v>43759</v>
      </c>
      <c r="Z660" s="199">
        <v>2.4944497029557158E-2</v>
      </c>
      <c r="AA660" s="201">
        <v>2.483385262134874E-2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43762</v>
      </c>
      <c r="Y661" s="198">
        <f>_xll.qlInterestRateIndexValueDate(IborIndex,X661,Trigger)</f>
        <v>43766</v>
      </c>
      <c r="Z661" s="199">
        <v>2.4994038791269768E-2</v>
      </c>
      <c r="AA661" s="201">
        <v>2.4879733471507848E-2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43769</v>
      </c>
      <c r="Y662" s="198">
        <f>_xll.qlInterestRateIndexValueDate(IborIndex,X662,Trigger)</f>
        <v>43773</v>
      </c>
      <c r="Z662" s="199">
        <v>2.5031051366673829E-2</v>
      </c>
      <c r="AA662" s="201">
        <v>2.4925333610772427E-2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43776</v>
      </c>
      <c r="Y663" s="198">
        <f>_xll.qlInterestRateIndexValueDate(IborIndex,X663,Trigger)</f>
        <v>43781</v>
      </c>
      <c r="Z663" s="199">
        <v>2.508235254095581E-2</v>
      </c>
      <c r="AA663" s="201">
        <v>2.4977104327925659E-2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43783</v>
      </c>
      <c r="Y664" s="198">
        <f>_xll.qlInterestRateIndexValueDate(IborIndex,X664,Trigger)</f>
        <v>43787</v>
      </c>
      <c r="Z664" s="199">
        <v>2.5120587463962174E-2</v>
      </c>
      <c r="AA664" s="201">
        <v>2.5015691756298253E-2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43790</v>
      </c>
      <c r="Y665" s="198">
        <f>_xll.qlInterestRateIndexValueDate(IborIndex,X665,Trigger)</f>
        <v>43794</v>
      </c>
      <c r="Z665" s="199">
        <v>2.5172975246427753E-2</v>
      </c>
      <c r="AA665" s="201">
        <v>2.5060449762319692E-2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43797</v>
      </c>
      <c r="Y666" s="198">
        <f>_xll.qlInterestRateIndexValueDate(IborIndex,X666,Trigger)</f>
        <v>43801</v>
      </c>
      <c r="Z666" s="199">
        <v>2.5213003501344148E-2</v>
      </c>
      <c r="AA666" s="201">
        <v>2.5104927057046922E-2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43804</v>
      </c>
      <c r="Y667" s="198">
        <f>_xll.qlInterestRateIndexValueDate(IborIndex,X667,Trigger)</f>
        <v>43808</v>
      </c>
      <c r="Z667" s="199">
        <v>2.5256770605037653E-2</v>
      </c>
      <c r="AA667" s="201">
        <v>2.5149123640400006E-2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43811</v>
      </c>
      <c r="Y668" s="198">
        <f>_xll.qlInterestRateIndexValueDate(IborIndex,X668,Trigger)</f>
        <v>43815</v>
      </c>
      <c r="Z668" s="199">
        <v>2.5300256564500686E-2</v>
      </c>
      <c r="AA668" s="201">
        <v>2.5193039512299009E-2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43818</v>
      </c>
      <c r="Y669" s="198">
        <f>_xll.qlInterestRateIndexValueDate(IborIndex,X669,Trigger)</f>
        <v>43822</v>
      </c>
      <c r="Z669" s="199">
        <v>2.5343461376587367E-2</v>
      </c>
      <c r="AA669" s="201">
        <v>2.5257059403847038E-2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43826</v>
      </c>
      <c r="Y670" s="198">
        <f>_xll.qlInterestRateIndexValueDate(IborIndex,X670,Trigger)</f>
        <v>43830</v>
      </c>
      <c r="Z670" s="199">
        <v>2.5392494038569618E-2</v>
      </c>
      <c r="AA670" s="201">
        <v>2.5300299618802313E-2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43833</v>
      </c>
      <c r="Y671" s="198">
        <f>_xll.qlInterestRateIndexValueDate(IborIndex,X671,Trigger)</f>
        <v>43837</v>
      </c>
      <c r="Z671" s="199">
        <v>2.5435096381466925E-2</v>
      </c>
      <c r="AA671" s="201">
        <v>2.5329233333479806E-2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43840</v>
      </c>
      <c r="Y672" s="198">
        <f>_xll.qlInterestRateIndexValueDate(IborIndex,X672,Trigger)</f>
        <v>43844</v>
      </c>
      <c r="Z672" s="199">
        <v>2.5477417567204744E-2</v>
      </c>
      <c r="AA672" s="201">
        <v>2.5371986256601531E-2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43847</v>
      </c>
      <c r="Y673" s="198">
        <f>_xll.qlInterestRateIndexValueDate(IborIndex,X673,Trigger)</f>
        <v>43851</v>
      </c>
      <c r="Z673" s="199">
        <v>2.5519457592719712E-2</v>
      </c>
      <c r="AA673" s="201">
        <v>2.5414458467709622E-2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43854</v>
      </c>
      <c r="Y674" s="198">
        <f>_xll.qlInterestRateIndexValueDate(IborIndex,X674,Trigger)</f>
        <v>43858</v>
      </c>
      <c r="Z674" s="199">
        <v>2.5561216454966534E-2</v>
      </c>
      <c r="AA674" s="201">
        <v>2.5456649966644207E-2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43861</v>
      </c>
      <c r="Y675" s="198">
        <f>_xll.qlInterestRateIndexValueDate(IborIndex,X675,Trigger)</f>
        <v>43865</v>
      </c>
      <c r="Z675" s="199">
        <v>2.5594996116259101E-2</v>
      </c>
      <c r="AA675" s="201">
        <v>2.5498560753485222E-2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43868</v>
      </c>
      <c r="Y676" s="198">
        <f>_xll.qlInterestRateIndexValueDate(IborIndex,X676,Trigger)</f>
        <v>43872</v>
      </c>
      <c r="Z676" s="199">
        <v>2.5636226948340033E-2</v>
      </c>
      <c r="AA676" s="201">
        <v>2.5540190827912923E-2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43875</v>
      </c>
      <c r="Y677" s="198">
        <f>_xll.qlInterestRateIndexValueDate(IborIndex,X677,Trigger)</f>
        <v>43879</v>
      </c>
      <c r="Z677" s="199">
        <v>2.5677176639192049E-2</v>
      </c>
      <c r="AA677" s="201">
        <v>2.558154018992731E-2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43882</v>
      </c>
      <c r="Y678" s="198">
        <f>_xll.qlInterestRateIndexValueDate(IborIndex,X678,Trigger)</f>
        <v>43886</v>
      </c>
      <c r="Z678" s="199">
        <v>2.5717845186042192E-2</v>
      </c>
      <c r="AA678" s="201">
        <v>2.5622608839528382E-2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43889</v>
      </c>
      <c r="Y679" s="198">
        <f>_xll.qlInterestRateIndexValueDate(IborIndex,X679,Trigger)</f>
        <v>43893</v>
      </c>
      <c r="Z679" s="199">
        <v>2.5765793211866471E-2</v>
      </c>
      <c r="AA679" s="201">
        <v>2.5663396776476333E-2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43896</v>
      </c>
      <c r="Y680" s="198">
        <f>_xll.qlInterestRateIndexValueDate(IborIndex,X680,Trigger)</f>
        <v>43900</v>
      </c>
      <c r="Z680" s="199">
        <v>2.5820899867907192E-2</v>
      </c>
      <c r="AA680" s="201">
        <v>2.5703904000691224E-2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43903</v>
      </c>
      <c r="Y681" s="198">
        <f>_xll.qlInterestRateIndexValueDate(IborIndex,X681,Trigger)</f>
        <v>43907</v>
      </c>
      <c r="Z681" s="199">
        <v>2.5845655667333298E-2</v>
      </c>
      <c r="AA681" s="201">
        <v>2.5744130512093122E-2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43910</v>
      </c>
      <c r="Y682" s="198">
        <f>_xll.qlInterestRateIndexValueDate(IborIndex,X682,Trigger)</f>
        <v>43914</v>
      </c>
      <c r="Z682" s="199">
        <v>2.5885165116127193E-2</v>
      </c>
      <c r="AA682" s="201">
        <v>2.5784076310602089E-2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43917</v>
      </c>
      <c r="Y683" s="198">
        <f>_xll.qlInterestRateIndexValueDate(IborIndex,X683,Trigger)</f>
        <v>43921</v>
      </c>
      <c r="Z683" s="199">
        <v>2.592068275399928E-2</v>
      </c>
      <c r="AA683" s="201">
        <v>2.5823741396138189E-2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43924</v>
      </c>
      <c r="Y684" s="198">
        <f>_xll.qlInterestRateIndexValueDate(IborIndex,X684,Trigger)</f>
        <v>43928</v>
      </c>
      <c r="Z684" s="199">
        <v>2.5959647101025496E-2</v>
      </c>
      <c r="AA684" s="201">
        <v>2.5878040761430299E-2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43935</v>
      </c>
      <c r="Y685" s="198">
        <f>_xll.qlInterestRateIndexValueDate(IborIndex,X685,Trigger)</f>
        <v>43937</v>
      </c>
      <c r="Z685" s="199">
        <v>2.6016671624199128E-2</v>
      </c>
      <c r="AA685" s="201">
        <v>2.5924448341640982E-2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43942</v>
      </c>
      <c r="Y686" s="198">
        <f>_xll.qlInterestRateIndexValueDate(IborIndex,X686,Trigger)</f>
        <v>43944</v>
      </c>
      <c r="Z686" s="199">
        <v>2.6058608044396567E-2</v>
      </c>
      <c r="AA686" s="201">
        <v>2.5963110880091733E-2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43949</v>
      </c>
      <c r="Y687" s="198">
        <f>_xll.qlInterestRateIndexValueDate(IborIndex,X687,Trigger)</f>
        <v>43951</v>
      </c>
      <c r="Z687" s="199">
        <v>2.6082051867330345E-2</v>
      </c>
      <c r="AA687" s="201">
        <v>2.6006952907540182E-2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43956</v>
      </c>
      <c r="Y688" s="198">
        <f>_xll.qlInterestRateIndexValueDate(IborIndex,X688,Trigger)</f>
        <v>43958</v>
      </c>
      <c r="Z688" s="199">
        <v>2.6130675303575879E-2</v>
      </c>
      <c r="AA688" s="201">
        <v>2.6039593816635787E-2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43963</v>
      </c>
      <c r="Y689" s="198">
        <f>_xll.qlInterestRateIndexValueDate(IborIndex,X689,Trigger)</f>
        <v>43965</v>
      </c>
      <c r="Z689" s="199">
        <v>2.6168103565865353E-2</v>
      </c>
      <c r="AA689" s="201">
        <v>2.607741250090001E-2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43970</v>
      </c>
      <c r="Y690" s="198">
        <f>_xll.qlInterestRateIndexValueDate(IborIndex,X690,Trigger)</f>
        <v>43972</v>
      </c>
      <c r="Z690" s="199">
        <v>2.6205242625080838E-2</v>
      </c>
      <c r="AA690" s="201">
        <v>2.6120280619874592E-2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43977</v>
      </c>
      <c r="Y691" s="198">
        <f>_xll.qlInterestRateIndexValueDate(IborIndex,X691,Trigger)</f>
        <v>43979</v>
      </c>
      <c r="Z691" s="199">
        <v>2.6242092176563536E-2</v>
      </c>
      <c r="AA691" s="201">
        <v>2.6152184017878E-2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43984</v>
      </c>
      <c r="Y692" s="198">
        <f>_xll.qlInterestRateIndexValueDate(IborIndex,X692,Trigger)</f>
        <v>43986</v>
      </c>
      <c r="Z692" s="199">
        <v>2.6278652217478216E-2</v>
      </c>
      <c r="AA692" s="201">
        <v>2.61891363166189E-2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43991</v>
      </c>
      <c r="Y693" s="198">
        <f>_xll.qlInterestRateIndexValueDate(IborIndex,X693,Trigger)</f>
        <v>43993</v>
      </c>
      <c r="Z693" s="199">
        <v>2.6314922745002134E-2</v>
      </c>
      <c r="AA693" s="201">
        <v>2.6225799642114467E-2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43998</v>
      </c>
      <c r="Y694" s="198">
        <f>_xll.qlInterestRateIndexValueDate(IborIndex,X694,Trigger)</f>
        <v>44000</v>
      </c>
      <c r="Z694" s="199">
        <v>2.6350903756342525E-2</v>
      </c>
      <c r="AA694" s="201">
        <v>2.6262173994204829E-2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44005</v>
      </c>
      <c r="Y695" s="198">
        <f>_xll.qlInterestRateIndexValueDate(IborIndex,X695,Trigger)</f>
        <v>44007</v>
      </c>
      <c r="Z695" s="199">
        <v>2.6386595248731604E-2</v>
      </c>
      <c r="AA695" s="201">
        <v>2.6298259372889987E-2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44012</v>
      </c>
      <c r="Y696" s="198">
        <f>_xll.qlInterestRateIndexValueDate(IborIndex,X696,Trigger)</f>
        <v>44014</v>
      </c>
      <c r="Z696" s="199">
        <v>2.6421997219414073E-2</v>
      </c>
      <c r="AA696" s="201">
        <v>2.6334055777930132E-2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44019</v>
      </c>
      <c r="Y697" s="198">
        <f>_xll.qlInterestRateIndexValueDate(IborIndex,X697,Trigger)</f>
        <v>44021</v>
      </c>
      <c r="Z697" s="199">
        <v>2.6457109665662115E-2</v>
      </c>
      <c r="AA697" s="201">
        <v>2.6369563209485136E-2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44026</v>
      </c>
      <c r="Y698" s="198">
        <f>_xll.qlInterestRateIndexValueDate(IborIndex,X698,Trigger)</f>
        <v>44028</v>
      </c>
      <c r="Z698" s="199">
        <v>2.6491932584775391E-2</v>
      </c>
      <c r="AA698" s="201">
        <v>2.6404781667235255E-2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44033</v>
      </c>
      <c r="Y699" s="198">
        <f>_xll.qlInterestRateIndexValueDate(IborIndex,X699,Trigger)</f>
        <v>44035</v>
      </c>
      <c r="Z699" s="199">
        <v>2.6526465974068547E-2</v>
      </c>
      <c r="AA699" s="201">
        <v>2.6439711151180489E-2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44040</v>
      </c>
      <c r="Y700" s="198">
        <f>_xll.qlInterestRateIndexValueDate(IborIndex,X700,Trigger)</f>
        <v>44042</v>
      </c>
      <c r="Z700" s="199">
        <v>2.6550505976629838E-2</v>
      </c>
      <c r="AA700" s="201">
        <v>2.6474351661240902E-2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44047</v>
      </c>
      <c r="Y701" s="198">
        <f>_xll.qlInterestRateIndexValueDate(IborIndex,X701,Trigger)</f>
        <v>44049</v>
      </c>
      <c r="Z701" s="199">
        <v>2.6598044129046178E-2</v>
      </c>
      <c r="AA701" s="201">
        <v>2.6508703197336558E-2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44054</v>
      </c>
      <c r="Y702" s="198">
        <f>_xll.qlInterestRateIndexValueDate(IborIndex,X702,Trigger)</f>
        <v>44056</v>
      </c>
      <c r="Z702" s="199">
        <v>2.66283289365285E-2</v>
      </c>
      <c r="AA702" s="201">
        <v>2.6542765759467457E-2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44061</v>
      </c>
      <c r="Y703" s="198">
        <f>_xll.qlInterestRateIndexValueDate(IborIndex,X703,Trigger)</f>
        <v>44063</v>
      </c>
      <c r="Z703" s="199">
        <v>2.6661704180154788E-2</v>
      </c>
      <c r="AA703" s="201">
        <v>2.6576539347393791E-2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44068</v>
      </c>
      <c r="Y704" s="198">
        <f>_xll.qlInterestRateIndexValueDate(IborIndex,X704,Trigger)</f>
        <v>44070</v>
      </c>
      <c r="Z704" s="199">
        <v>2.669478988088142E-2</v>
      </c>
      <c r="AA704" s="201">
        <v>2.6614783887568549E-2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44075</v>
      </c>
      <c r="Y705" s="198">
        <f>_xll.qlInterestRateIndexValueDate(IborIndex,X705,Trigger)</f>
        <v>44077</v>
      </c>
      <c r="Z705" s="199">
        <v>2.6727586036160433E-2</v>
      </c>
      <c r="AA705" s="201">
        <v>2.6643219600472889E-2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44082</v>
      </c>
      <c r="Y706" s="198">
        <f>_xll.qlInterestRateIndexValueDate(IborIndex,X706,Trigger)</f>
        <v>44084</v>
      </c>
      <c r="Z706" s="199">
        <v>2.6763381449288269E-2</v>
      </c>
      <c r="AA706" s="201">
        <v>2.6676126265545719E-2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44089</v>
      </c>
      <c r="Y707" s="198">
        <f>_xll.qlInterestRateIndexValueDate(IborIndex,X707,Trigger)</f>
        <v>44091</v>
      </c>
      <c r="Z707" s="199">
        <v>2.6792309700281181E-2</v>
      </c>
      <c r="AA707" s="201">
        <v>2.6708743956174175E-2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44096</v>
      </c>
      <c r="Y708" s="198">
        <f>_xll.qlInterestRateIndexValueDate(IborIndex,X708,Trigger)</f>
        <v>44098</v>
      </c>
      <c r="Z708" s="199">
        <v>2.6824237204136903E-2</v>
      </c>
      <c r="AA708" s="201">
        <v>2.6741072672278321E-2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44103</v>
      </c>
      <c r="Y709" s="198">
        <f>_xll.qlInterestRateIndexValueDate(IborIndex,X709,Trigger)</f>
        <v>44105</v>
      </c>
      <c r="Z709" s="199">
        <v>2.6855875152570485E-2</v>
      </c>
      <c r="AA709" s="201">
        <v>2.6773112413698286E-2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44110</v>
      </c>
      <c r="Y710" s="198">
        <f>_xll.qlInterestRateIndexValueDate(IborIndex,X710,Trigger)</f>
        <v>44112</v>
      </c>
      <c r="Z710" s="199">
        <v>2.6887223543143879E-2</v>
      </c>
      <c r="AA710" s="201">
        <v>2.6804863180434069E-2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44117</v>
      </c>
      <c r="Y711" s="198">
        <f>_xll.qlInterestRateIndexValueDate(IborIndex,X711,Trigger)</f>
        <v>44119</v>
      </c>
      <c r="Z711" s="199">
        <v>2.6918282373441516E-2</v>
      </c>
      <c r="AA711" s="201">
        <v>2.683632497248567E-2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44124</v>
      </c>
      <c r="Y712" s="198">
        <f>_xll.qlInterestRateIndexValueDate(IborIndex,X712,Trigger)</f>
        <v>44126</v>
      </c>
      <c r="Z712" s="199">
        <v>2.6949051641065314E-2</v>
      </c>
      <c r="AA712" s="201">
        <v>2.6867497789693218E-2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44131</v>
      </c>
      <c r="Y713" s="198">
        <f>_xll.qlInterestRateIndexValueDate(IborIndex,X713,Trigger)</f>
        <v>44133</v>
      </c>
      <c r="Z713" s="199">
        <v>2.6979531343652163E-2</v>
      </c>
      <c r="AA713" s="201">
        <v>2.6898381631976775E-2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44138</v>
      </c>
      <c r="Y714" s="198">
        <f>_xll.qlInterestRateIndexValueDate(IborIndex,X714,Trigger)</f>
        <v>44140</v>
      </c>
      <c r="Z714" s="199">
        <v>2.7009721478851445E-2</v>
      </c>
      <c r="AA714" s="201">
        <v>2.6928976499256407E-2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44145</v>
      </c>
      <c r="Y715" s="198">
        <f>_xll.qlInterestRateIndexValueDate(IborIndex,X715,Trigger)</f>
        <v>44147</v>
      </c>
      <c r="Z715" s="199">
        <v>2.7039622044337519E-2</v>
      </c>
      <c r="AA715" s="201">
        <v>2.6959282391452177E-2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44152</v>
      </c>
      <c r="Y716" s="198">
        <f>_xll.qlInterestRateIndexValueDate(IborIndex,X716,Trigger)</f>
        <v>44154</v>
      </c>
      <c r="Z716" s="199">
        <v>2.706923303780473E-2</v>
      </c>
      <c r="AA716" s="201">
        <v>2.6989299308564085E-2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44159</v>
      </c>
      <c r="Y717" s="198">
        <f>_xll.qlInterestRateIndexValueDate(IborIndex,X717,Trigger)</f>
        <v>44162</v>
      </c>
      <c r="Z717" s="199">
        <v>2.7102719592289048E-2</v>
      </c>
      <c r="AA717" s="201">
        <v>2.7023250509374819E-2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44166</v>
      </c>
      <c r="Y718" s="198">
        <f>_xll.qlInterestRateIndexValueDate(IborIndex,X718,Trigger)</f>
        <v>44168</v>
      </c>
      <c r="Z718" s="199">
        <v>2.712758629958234E-2</v>
      </c>
      <c r="AA718" s="201">
        <v>2.7048466216976763E-2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44173</v>
      </c>
      <c r="Y719" s="198">
        <f>_xll.qlInterestRateIndexValueDate(IborIndex,X719,Trigger)</f>
        <v>44175</v>
      </c>
      <c r="Z719" s="199">
        <v>2.7156328563396337E-2</v>
      </c>
      <c r="AA719" s="201">
        <v>2.7077616208277533E-2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44180</v>
      </c>
      <c r="Y720" s="198">
        <f>_xll.qlInterestRateIndexValueDate(IborIndex,X720,Trigger)</f>
        <v>44182</v>
      </c>
      <c r="Z720" s="199">
        <v>2.7187812247223452E-2</v>
      </c>
      <c r="AA720" s="201">
        <v>2.710647722409476E-2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44187</v>
      </c>
      <c r="Y721" s="198">
        <f>_xll.qlInterestRateIndexValueDate(IborIndex,X721,Trigger)</f>
        <v>44189</v>
      </c>
      <c r="Z721" s="199">
        <v>2.7212944345798573E-2</v>
      </c>
      <c r="AA721" s="201">
        <v>2.7143159627369684E-2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44194</v>
      </c>
      <c r="Y722" s="198">
        <f>_xll.qlInterestRateIndexValueDate(IborIndex,X722,Trigger)</f>
        <v>44196</v>
      </c>
      <c r="Z722" s="199">
        <v>2.7231826555199967E-2</v>
      </c>
      <c r="AA722" s="201">
        <v>2.7167349177172895E-2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44201</v>
      </c>
      <c r="Y723" s="198">
        <f>_xll.qlInterestRateIndexValueDate(IborIndex,X723,Trigger)</f>
        <v>44203</v>
      </c>
      <c r="Z723" s="199">
        <v>2.7268401786735563E-2</v>
      </c>
      <c r="AA723" s="201">
        <v>2.7191326418325446E-2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44208</v>
      </c>
      <c r="Y724" s="198">
        <f>_xll.qlInterestRateIndexValueDate(IborIndex,X724,Trigger)</f>
        <v>44210</v>
      </c>
      <c r="Z724" s="199">
        <v>2.7298652762515602E-2</v>
      </c>
      <c r="AA724" s="201">
        <v>2.7219031531808824E-2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44215</v>
      </c>
      <c r="Y725" s="198">
        <f>_xll.qlInterestRateIndexValueDate(IborIndex,X725,Trigger)</f>
        <v>44217</v>
      </c>
      <c r="Z725" s="199">
        <v>2.7322700869113481E-2</v>
      </c>
      <c r="AA725" s="201">
        <v>2.7246447669568852E-2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44222</v>
      </c>
      <c r="Y726" s="198">
        <f>_xll.qlInterestRateIndexValueDate(IborIndex,X726,Trigger)</f>
        <v>44224</v>
      </c>
      <c r="Z726" s="199">
        <v>2.7340648217405488E-2</v>
      </c>
      <c r="AA726" s="201">
        <v>2.7273574831445657E-2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44229</v>
      </c>
      <c r="Y727" s="198">
        <f>_xll.qlInterestRateIndexValueDate(IborIndex,X727,Trigger)</f>
        <v>44231</v>
      </c>
      <c r="Z727" s="199">
        <v>2.7364222605658232E-2</v>
      </c>
      <c r="AA727" s="201">
        <v>2.7300413017359304E-2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44236</v>
      </c>
      <c r="Y728" s="198">
        <f>_xll.qlInterestRateIndexValueDate(IborIndex,X728,Trigger)</f>
        <v>44238</v>
      </c>
      <c r="Z728" s="199">
        <v>2.7390433340101099E-2</v>
      </c>
      <c r="AA728" s="201">
        <v>2.7326962227469664E-2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44243</v>
      </c>
      <c r="Y729" s="198">
        <f>_xll.qlInterestRateIndexValueDate(IborIndex,X729,Trigger)</f>
        <v>44245</v>
      </c>
      <c r="Z729" s="199">
        <v>2.7416354555672231E-2</v>
      </c>
      <c r="AA729" s="201">
        <v>2.7353222461456994E-2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44250</v>
      </c>
      <c r="Y730" s="198">
        <f>_xll.qlInterestRateIndexValueDate(IborIndex,X730,Trigger)</f>
        <v>44252</v>
      </c>
      <c r="Z730" s="199">
        <v>2.7441986250624453E-2</v>
      </c>
      <c r="AA730" s="201">
        <v>2.7379193719401229E-2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44257</v>
      </c>
      <c r="Y731" s="198">
        <f>_xll.qlInterestRateIndexValueDate(IborIndex,X731,Trigger)</f>
        <v>44259</v>
      </c>
      <c r="Z731" s="199">
        <v>2.7481473529997951E-2</v>
      </c>
      <c r="AA731" s="201">
        <v>2.7404876001142497E-2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44264</v>
      </c>
      <c r="Y732" s="198">
        <f>_xll.qlInterestRateIndexValueDate(IborIndex,X732,Trigger)</f>
        <v>44266</v>
      </c>
      <c r="Z732" s="199">
        <v>2.7503625345409177E-2</v>
      </c>
      <c r="AA732" s="201">
        <v>2.7430269306760735E-2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44271</v>
      </c>
      <c r="Y733" s="198">
        <f>_xll.qlInterestRateIndexValueDate(IborIndex,X733,Trigger)</f>
        <v>44273</v>
      </c>
      <c r="Z733" s="199">
        <v>2.7528313283705363E-2</v>
      </c>
      <c r="AA733" s="201">
        <v>2.745537363609607E-2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44278</v>
      </c>
      <c r="Y734" s="198">
        <f>_xll.qlInterestRateIndexValueDate(IborIndex,X734,Trigger)</f>
        <v>44280</v>
      </c>
      <c r="Z734" s="199">
        <v>2.7552711612335301E-2</v>
      </c>
      <c r="AA734" s="201">
        <v>2.7480188989068566E-2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44285</v>
      </c>
      <c r="Y735" s="198">
        <f>_xll.qlInterestRateIndexValueDate(IborIndex,X735,Trigger)</f>
        <v>44287</v>
      </c>
      <c r="Z735" s="199">
        <v>2.7579570806416275E-2</v>
      </c>
      <c r="AA735" s="201">
        <v>2.7511669824447083E-2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44292</v>
      </c>
      <c r="Y736" s="198">
        <f>_xll.qlInterestRateIndexValueDate(IborIndex,X736,Trigger)</f>
        <v>44294</v>
      </c>
      <c r="Z736" s="199">
        <v>2.7600639433079943E-2</v>
      </c>
      <c r="AA736" s="201">
        <v>2.7528952765765169E-2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44299</v>
      </c>
      <c r="Y737" s="198">
        <f>_xll.qlInterestRateIndexValueDate(IborIndex,X737,Trigger)</f>
        <v>44301</v>
      </c>
      <c r="Z737" s="199">
        <v>2.762416933549644E-2</v>
      </c>
      <c r="AA737" s="201">
        <v>2.7552901189489276E-2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44306</v>
      </c>
      <c r="Y738" s="198">
        <f>_xll.qlInterestRateIndexValueDate(IborIndex,X738,Trigger)</f>
        <v>44308</v>
      </c>
      <c r="Z738" s="199">
        <v>2.7647424126042153E-2</v>
      </c>
      <c r="AA738" s="201">
        <v>2.75765606365308E-2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44313</v>
      </c>
      <c r="Y739" s="198">
        <f>_xll.qlInterestRateIndexValueDate(IborIndex,X739,Trigger)</f>
        <v>44315</v>
      </c>
      <c r="Z739" s="199">
        <v>2.7662370777424415E-2</v>
      </c>
      <c r="AA739" s="201">
        <v>2.7603246155685213E-2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44320</v>
      </c>
      <c r="Y740" s="198">
        <f>_xll.qlInterestRateIndexValueDate(IborIndex,X740,Trigger)</f>
        <v>44322</v>
      </c>
      <c r="Z740" s="199">
        <v>2.7693231643916016E-2</v>
      </c>
      <c r="AA740" s="201">
        <v>2.7623012600725971E-2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44327</v>
      </c>
      <c r="Y741" s="198">
        <f>_xll.qlInterestRateIndexValueDate(IborIndex,X741,Trigger)</f>
        <v>44329</v>
      </c>
      <c r="Z741" s="199">
        <v>2.7715847480109801E-2</v>
      </c>
      <c r="AA741" s="201">
        <v>2.76458232291521E-2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44334</v>
      </c>
      <c r="Y742" s="198">
        <f>_xll.qlInterestRateIndexValueDate(IborIndex,X742,Trigger)</f>
        <v>44336</v>
      </c>
      <c r="Z742" s="199">
        <v>2.7738310128838373E-2</v>
      </c>
      <c r="AA742" s="201">
        <v>2.7668470681305735E-2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44341</v>
      </c>
      <c r="Y743" s="198">
        <f>_xll.qlInterestRateIndexValueDate(IborIndex,X743,Trigger)</f>
        <v>44343</v>
      </c>
      <c r="Z743" s="199">
        <v>2.7760627393844384E-2</v>
      </c>
      <c r="AA743" s="201">
        <v>2.7694175853296699E-2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44348</v>
      </c>
      <c r="Y744" s="198">
        <f>_xll.qlInterestRateIndexValueDate(IborIndex,X744,Trigger)</f>
        <v>44350</v>
      </c>
      <c r="Z744" s="199">
        <v>2.7785440724666027E-2</v>
      </c>
      <c r="AA744" s="201">
        <v>2.7713330390852775E-2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44355</v>
      </c>
      <c r="Y745" s="198">
        <f>_xll.qlInterestRateIndexValueDate(IborIndex,X745,Trigger)</f>
        <v>44357</v>
      </c>
      <c r="Z745" s="199">
        <v>2.7804825815249679E-2</v>
      </c>
      <c r="AA745" s="201">
        <v>2.7735542648246181E-2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44362</v>
      </c>
      <c r="Y746" s="198">
        <f>_xll.qlInterestRateIndexValueDate(IborIndex,X746,Trigger)</f>
        <v>44364</v>
      </c>
      <c r="Z746" s="199">
        <v>2.7826706969937831E-2</v>
      </c>
      <c r="AA746" s="201">
        <v>2.7757609840479702E-2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44369</v>
      </c>
      <c r="Y747" s="198">
        <f>_xll.qlInterestRateIndexValueDate(IborIndex,X747,Trigger)</f>
        <v>44371</v>
      </c>
      <c r="Z747" s="199">
        <v>2.7848442752818892E-2</v>
      </c>
      <c r="AA747" s="201">
        <v>2.7779531967793147E-2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44376</v>
      </c>
      <c r="Y748" s="198">
        <f>_xll.qlInterestRateIndexValueDate(IborIndex,X748,Trigger)</f>
        <v>44378</v>
      </c>
      <c r="Z748" s="199">
        <v>2.7870033163056029E-2</v>
      </c>
      <c r="AA748" s="201">
        <v>2.7801309030026644E-2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44383</v>
      </c>
      <c r="Y749" s="198">
        <f>_xll.qlInterestRateIndexValueDate(IborIndex,X749,Trigger)</f>
        <v>44385</v>
      </c>
      <c r="Z749" s="199">
        <v>2.7891478199807418E-2</v>
      </c>
      <c r="AA749" s="201">
        <v>2.7822941027180192E-2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44390</v>
      </c>
      <c r="Y750" s="198">
        <f>_xll.qlInterestRateIndexValueDate(IborIndex,X750,Trigger)</f>
        <v>44392</v>
      </c>
      <c r="Z750" s="199">
        <v>2.7912777862248717E-2</v>
      </c>
      <c r="AA750" s="201">
        <v>2.7844427959173856E-2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44397</v>
      </c>
      <c r="Y751" s="198">
        <f>_xll.qlInterestRateIndexValueDate(IborIndex,X751,Trigger)</f>
        <v>44399</v>
      </c>
      <c r="Z751" s="199">
        <v>2.7933932149555585E-2</v>
      </c>
      <c r="AA751" s="201">
        <v>2.7865769826087572E-2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44404</v>
      </c>
      <c r="Y752" s="198">
        <f>_xll.qlInterestRateIndexValueDate(IborIndex,X752,Trigger)</f>
        <v>44406</v>
      </c>
      <c r="Z752" s="199">
        <v>2.7957512729727636E-2</v>
      </c>
      <c r="AA752" s="201">
        <v>2.7886966627921339E-2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44411</v>
      </c>
      <c r="Y753" s="198">
        <f>_xll.qlInterestRateIndexValueDate(IborIndex,X753,Trigger)</f>
        <v>44413</v>
      </c>
      <c r="Z753" s="199">
        <v>2.7978367498260329E-2</v>
      </c>
      <c r="AA753" s="201">
        <v>2.7908018364515286E-2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44418</v>
      </c>
      <c r="Y754" s="198">
        <f>_xll.qlInterestRateIndexValueDate(IborIndex,X754,Trigger)</f>
        <v>44420</v>
      </c>
      <c r="Z754" s="199">
        <v>2.7996522752511133E-2</v>
      </c>
      <c r="AA754" s="201">
        <v>2.7928925035789476E-2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44425</v>
      </c>
      <c r="Y755" s="198">
        <f>_xll.qlInterestRateIndexValueDate(IborIndex,X755,Trigger)</f>
        <v>44427</v>
      </c>
      <c r="Z755" s="199">
        <v>2.8017095531151781E-2</v>
      </c>
      <c r="AA755" s="201">
        <v>2.7949686641983718E-2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44432</v>
      </c>
      <c r="Y756" s="198">
        <f>_xll.qlInterestRateIndexValueDate(IborIndex,X756,Trigger)</f>
        <v>44434</v>
      </c>
      <c r="Z756" s="199">
        <v>2.8037522930621228E-2</v>
      </c>
      <c r="AA756" s="201">
        <v>2.7973236560878689E-2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44439</v>
      </c>
      <c r="Y757" s="198">
        <f>_xll.qlInterestRateIndexValueDate(IborIndex,X757,Trigger)</f>
        <v>44441</v>
      </c>
      <c r="Z757" s="199">
        <v>2.8057804950130105E-2</v>
      </c>
      <c r="AA757" s="201">
        <v>2.7990774658412931E-2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44446</v>
      </c>
      <c r="Y758" s="198">
        <f>_xll.qlInterestRateIndexValueDate(IborIndex,X758,Trigger)</f>
        <v>44448</v>
      </c>
      <c r="Z758" s="199">
        <v>2.8080460508708365E-2</v>
      </c>
      <c r="AA758" s="201">
        <v>2.8011101068727839E-2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44453</v>
      </c>
      <c r="Y759" s="198">
        <f>_xll.qlInterestRateIndexValueDate(IborIndex,X759,Trigger)</f>
        <v>44455</v>
      </c>
      <c r="Z759" s="199">
        <v>2.8097932846136153E-2</v>
      </c>
      <c r="AA759" s="201">
        <v>2.8031282413643055E-2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44460</v>
      </c>
      <c r="Y760" s="198">
        <f>_xll.qlInterestRateIndexValueDate(IborIndex,X760,Trigger)</f>
        <v>44462</v>
      </c>
      <c r="Z760" s="199">
        <v>2.8117778721082065E-2</v>
      </c>
      <c r="AA760" s="201">
        <v>2.8051318693238514E-2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44467</v>
      </c>
      <c r="Y761" s="198">
        <f>_xll.qlInterestRateIndexValueDate(IborIndex,X761,Trigger)</f>
        <v>44469</v>
      </c>
      <c r="Z761" s="199">
        <v>2.812999770723211E-2</v>
      </c>
      <c r="AA761" s="201">
        <v>2.807120990743428E-2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44474</v>
      </c>
      <c r="Y762" s="198">
        <f>_xll.qlInterestRateIndexValueDate(IborIndex,X762,Trigger)</f>
        <v>44476</v>
      </c>
      <c r="Z762" s="199">
        <v>2.815703432101524E-2</v>
      </c>
      <c r="AA762" s="201">
        <v>2.8090956056150418E-2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44481</v>
      </c>
      <c r="Y763" s="198">
        <f>_xll.qlInterestRateIndexValueDate(IborIndex,X763,Trigger)</f>
        <v>44483</v>
      </c>
      <c r="Z763" s="199">
        <v>2.8176444044488713E-2</v>
      </c>
      <c r="AA763" s="201">
        <v>2.8110557139546799E-2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44488</v>
      </c>
      <c r="Y764" s="198">
        <f>_xll.qlInterestRateIndexValueDate(IborIndex,X764,Trigger)</f>
        <v>44490</v>
      </c>
      <c r="Z764" s="199">
        <v>2.8195708382625917E-2</v>
      </c>
      <c r="AA764" s="201">
        <v>2.8130013157463551E-2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44495</v>
      </c>
      <c r="Y765" s="198">
        <f>_xll.qlInterestRateIndexValueDate(IborIndex,X765,Trigger)</f>
        <v>44497</v>
      </c>
      <c r="Z765" s="199">
        <v>2.8214827334684944E-2</v>
      </c>
      <c r="AA765" s="201">
        <v>2.8149324109900675E-2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44502</v>
      </c>
      <c r="Y766" s="198">
        <f>_xll.qlInterestRateIndexValueDate(IborIndex,X766,Trigger)</f>
        <v>44504</v>
      </c>
      <c r="Z766" s="199">
        <v>2.8233800899928885E-2</v>
      </c>
      <c r="AA766" s="201">
        <v>2.816848999685817E-2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44509</v>
      </c>
      <c r="Y767" s="198">
        <f>_xll.qlInterestRateIndexValueDate(IborIndex,X767,Trigger)</f>
        <v>44512</v>
      </c>
      <c r="Z767" s="199">
        <v>2.8252868398249305E-2</v>
      </c>
      <c r="AA767" s="201">
        <v>2.8190216236305687E-2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44516</v>
      </c>
      <c r="Y768" s="198">
        <f>_xll.qlInterestRateIndexValueDate(IborIndex,X768,Trigger)</f>
        <v>44518</v>
      </c>
      <c r="Z768" s="199">
        <v>2.8271311867026361E-2</v>
      </c>
      <c r="AA768" s="201">
        <v>2.8206386574094466E-2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44523</v>
      </c>
      <c r="Y769" s="198">
        <f>_xll.qlInterestRateIndexValueDate(IborIndex,X769,Trigger)</f>
        <v>44526</v>
      </c>
      <c r="Z769" s="199">
        <v>2.8294905571973998E-2</v>
      </c>
      <c r="AA769" s="201">
        <v>2.8227781235177218E-2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44530</v>
      </c>
      <c r="Y770" s="198">
        <f>_xll.qlInterestRateIndexValueDate(IborIndex,X770,Trigger)</f>
        <v>44532</v>
      </c>
      <c r="Z770" s="199">
        <v>2.8310653586122475E-2</v>
      </c>
      <c r="AA770" s="201">
        <v>2.8243702889092503E-2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44537</v>
      </c>
      <c r="Y771" s="198">
        <f>_xll.qlInterestRateIndexValueDate(IborIndex,X771,Trigger)</f>
        <v>44539</v>
      </c>
      <c r="Z771" s="199">
        <v>2.8326487898377717E-2</v>
      </c>
      <c r="AA771" s="201">
        <v>2.8262143448172239E-2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44544</v>
      </c>
      <c r="Y772" s="198">
        <f>_xll.qlInterestRateIndexValueDate(IborIndex,X772,Trigger)</f>
        <v>44546</v>
      </c>
      <c r="Z772" s="199">
        <v>2.8346983520332554E-2</v>
      </c>
      <c r="AA772" s="201">
        <v>2.8280438941612474E-2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44551</v>
      </c>
      <c r="Y773" s="198">
        <f>_xll.qlInterestRateIndexValueDate(IborIndex,X773,Trigger)</f>
        <v>44553</v>
      </c>
      <c r="Z773" s="199">
        <v>2.8362544964777858E-2</v>
      </c>
      <c r="AA773" s="201">
        <v>2.8303748561127051E-2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44559</v>
      </c>
      <c r="Y774" s="198">
        <f>_xll.qlInterestRateIndexValueDate(IborIndex,X774,Trigger)</f>
        <v>44565</v>
      </c>
      <c r="Z774" s="199">
        <v>2.8390617394734766E-2</v>
      </c>
      <c r="AA774" s="201">
        <v>2.8324266907349127E-2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44566</v>
      </c>
      <c r="Y775" s="198">
        <f>_xll.qlInterestRateIndexValueDate(IborIndex,X775,Trigger)</f>
        <v>44568</v>
      </c>
      <c r="Z775" s="199">
        <v>2.8398165282360645E-2</v>
      </c>
      <c r="AA775" s="201">
        <v>2.8336994656683601E-2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44573</v>
      </c>
      <c r="Y776" s="198">
        <f>_xll.qlInterestRateIndexValueDate(IborIndex,X776,Trigger)</f>
        <v>44575</v>
      </c>
      <c r="Z776" s="199">
        <v>2.8415673174812583E-2</v>
      </c>
      <c r="AA776" s="201">
        <v>2.8354689163663238E-2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44580</v>
      </c>
      <c r="Y777" s="198">
        <f>_xll.qlInterestRateIndexValueDate(IborIndex,X777,Trigger)</f>
        <v>44582</v>
      </c>
      <c r="Z777" s="199">
        <v>2.8435384550323517E-2</v>
      </c>
      <c r="AA777" s="201">
        <v>2.8372238604923439E-2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44587</v>
      </c>
      <c r="Y778" s="198">
        <f>_xll.qlInterestRateIndexValueDate(IborIndex,X778,Trigger)</f>
        <v>44589</v>
      </c>
      <c r="Z778" s="199">
        <v>2.8450252807033453E-2</v>
      </c>
      <c r="AA778" s="201">
        <v>2.8389642980384266E-2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44594</v>
      </c>
      <c r="Y779" s="198">
        <f>_xll.qlInterestRateIndexValueDate(IborIndex,X779,Trigger)</f>
        <v>44596</v>
      </c>
      <c r="Z779" s="199">
        <v>2.8460327702456909E-2</v>
      </c>
      <c r="AA779" s="201">
        <v>2.8406902290125657E-2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44601</v>
      </c>
      <c r="Y780" s="198">
        <f>_xll.qlInterestRateIndexValueDate(IborIndex,X780,Trigger)</f>
        <v>44603</v>
      </c>
      <c r="Z780" s="199">
        <v>2.8477281191126975E-2</v>
      </c>
      <c r="AA780" s="201">
        <v>2.8424016533987739E-2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44608</v>
      </c>
      <c r="Y781" s="198">
        <f>_xll.qlInterestRateIndexValueDate(IborIndex,X781,Trigger)</f>
        <v>44610</v>
      </c>
      <c r="Z781" s="199">
        <v>2.8494089325445629E-2</v>
      </c>
      <c r="AA781" s="201">
        <v>2.8440985711970512E-2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44615</v>
      </c>
      <c r="Y782" s="198">
        <f>_xll.qlInterestRateIndexValueDate(IborIndex,X782,Trigger)</f>
        <v>44617</v>
      </c>
      <c r="Z782" s="199">
        <v>2.8510752104833337E-2</v>
      </c>
      <c r="AA782" s="201">
        <v>2.8457809824233848E-2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44622</v>
      </c>
      <c r="Y783" s="198">
        <f>_xll.qlInterestRateIndexValueDate(IborIndex,X783,Trigger)</f>
        <v>44624</v>
      </c>
      <c r="Z783" s="199">
        <v>2.8534157633640037E-2</v>
      </c>
      <c r="AA783" s="201">
        <v>2.8474488870458003E-2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44629</v>
      </c>
      <c r="Y784" s="198">
        <f>_xll.qlInterestRateIndexValueDate(IborIndex,X784,Trigger)</f>
        <v>44631</v>
      </c>
      <c r="Z784" s="199">
        <v>2.8550502436098621E-2</v>
      </c>
      <c r="AA784" s="201">
        <v>2.8491022850882786E-2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44636</v>
      </c>
      <c r="Y785" s="198">
        <f>_xll.qlInterestRateIndexValueDate(IborIndex,X785,Trigger)</f>
        <v>44638</v>
      </c>
      <c r="Z785" s="199">
        <v>2.8568978201247708E-2</v>
      </c>
      <c r="AA785" s="201">
        <v>2.8507411765428259E-2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44643</v>
      </c>
      <c r="Y786" s="198">
        <f>_xll.qlInterestRateIndexValueDate(IborIndex,X786,Trigger)</f>
        <v>44645</v>
      </c>
      <c r="Z786" s="199">
        <v>2.8582755873224879E-2</v>
      </c>
      <c r="AA786" s="201">
        <v>2.8523655614014487E-2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44650</v>
      </c>
      <c r="Y787" s="198">
        <f>_xll.qlInterestRateIndexValueDate(IborIndex,X787,Trigger)</f>
        <v>44652</v>
      </c>
      <c r="Z787" s="199">
        <v>2.8600922621524194E-2</v>
      </c>
      <c r="AA787" s="201">
        <v>2.853975439664147E-2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44657</v>
      </c>
      <c r="Y788" s="198">
        <f>_xll.qlInterestRateIndexValueDate(IborIndex,X788,Trigger)</f>
        <v>44659</v>
      </c>
      <c r="Z788" s="199">
        <v>2.8614427749273131E-2</v>
      </c>
      <c r="AA788" s="201">
        <v>2.8555708113229272E-2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44664</v>
      </c>
      <c r="Y789" s="198">
        <f>_xll.qlInterestRateIndexValueDate(IborIndex,X789,Trigger)</f>
        <v>44670</v>
      </c>
      <c r="Z789" s="199">
        <v>2.8636669967298189E-2</v>
      </c>
      <c r="AA789" s="201">
        <v>2.8576006876459559E-2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44671</v>
      </c>
      <c r="Y790" s="198">
        <f>_xll.qlInterestRateIndexValueDate(IborIndex,X790,Trigger)</f>
        <v>44673</v>
      </c>
      <c r="Z790" s="199">
        <v>2.8645524409222113E-2</v>
      </c>
      <c r="AA790" s="201">
        <v>2.8587180348527141E-2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44678</v>
      </c>
      <c r="Y791" s="198">
        <f>_xll.qlInterestRateIndexValueDate(IborIndex,X791,Trigger)</f>
        <v>44680</v>
      </c>
      <c r="Z791" s="199">
        <v>2.8663127167720681E-2</v>
      </c>
      <c r="AA791" s="201">
        <v>2.8604903956228611E-2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44685</v>
      </c>
      <c r="Y792" s="198">
        <f>_xll.qlInterestRateIndexValueDate(IborIndex,X792,Trigger)</f>
        <v>44687</v>
      </c>
      <c r="Z792" s="199">
        <v>2.8676198242262127E-2</v>
      </c>
      <c r="AA792" s="201">
        <v>2.8618072319668286E-2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44692</v>
      </c>
      <c r="Y793" s="198">
        <f>_xll.qlInterestRateIndexValueDate(IborIndex,X793,Trigger)</f>
        <v>44694</v>
      </c>
      <c r="Z793" s="199">
        <v>2.8691469462736114E-2</v>
      </c>
      <c r="AA793" s="201">
        <v>2.8633304713814312E-2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44699</v>
      </c>
      <c r="Y794" s="198">
        <f>_xll.qlInterestRateIndexValueDate(IborIndex,X794,Trigger)</f>
        <v>44701</v>
      </c>
      <c r="Z794" s="199">
        <v>2.8706746498893515E-2</v>
      </c>
      <c r="AA794" s="201">
        <v>2.8648508262394401E-2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44706</v>
      </c>
      <c r="Y795" s="198">
        <f>_xll.qlInterestRateIndexValueDate(IborIndex,X795,Trigger)</f>
        <v>44708</v>
      </c>
      <c r="Z795" s="199">
        <v>2.8722046363685385E-2</v>
      </c>
      <c r="AA795" s="201">
        <v>2.8665912220109391E-2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44713</v>
      </c>
      <c r="Y796" s="198">
        <f>_xll.qlInterestRateIndexValueDate(IborIndex,X796,Trigger)</f>
        <v>44715</v>
      </c>
      <c r="Z796" s="199">
        <v>2.8739612380156709E-2</v>
      </c>
      <c r="AA796" s="201">
        <v>2.867898511991207E-2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44720</v>
      </c>
      <c r="Y797" s="198">
        <f>_xll.qlInterestRateIndexValueDate(IborIndex,X797,Trigger)</f>
        <v>44722</v>
      </c>
      <c r="Z797" s="199">
        <v>2.8752716079043721E-2</v>
      </c>
      <c r="AA797" s="201">
        <v>2.8694258428769714E-2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44727</v>
      </c>
      <c r="Y798" s="198">
        <f>_xll.qlInterestRateIndexValueDate(IborIndex,X798,Trigger)</f>
        <v>44729</v>
      </c>
      <c r="Z798" s="199">
        <v>2.8768085929793265E-2</v>
      </c>
      <c r="AA798" s="201">
        <v>2.8709554991026565E-2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44734</v>
      </c>
      <c r="Y799" s="198">
        <f>_xll.qlInterestRateIndexValueDate(IborIndex,X799,Trigger)</f>
        <v>44736</v>
      </c>
      <c r="Z799" s="199">
        <v>2.8783479109383604E-2</v>
      </c>
      <c r="AA799" s="201">
        <v>2.8724874806682621E-2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44741</v>
      </c>
      <c r="Y800" s="198">
        <f>_xll.qlInterestRateIndexValueDate(IborIndex,X800,Trigger)</f>
        <v>44743</v>
      </c>
      <c r="Z800" s="199">
        <v>2.8798895617902408E-2</v>
      </c>
      <c r="AA800" s="201">
        <v>2.874021787581782E-2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44748</v>
      </c>
      <c r="Y801" s="198">
        <f>_xll.qlInterestRateIndexValueDate(IborIndex,X801,Trigger)</f>
        <v>44750</v>
      </c>
      <c r="Z801" s="199">
        <v>2.8814335455445088E-2</v>
      </c>
      <c r="AA801" s="201">
        <v>2.8755584198352224E-2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44755</v>
      </c>
      <c r="Y802" s="198">
        <f>_xll.qlInterestRateIndexValueDate(IborIndex,X802,Trigger)</f>
        <v>44757</v>
      </c>
      <c r="Z802" s="199">
        <v>2.8829798622101891E-2</v>
      </c>
      <c r="AA802" s="201">
        <v>2.8770973774365771E-2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44762</v>
      </c>
      <c r="Y803" s="198">
        <f>_xll.qlInterestRateIndexValueDate(IborIndex,X803,Trigger)</f>
        <v>44764</v>
      </c>
      <c r="Z803" s="199">
        <v>2.8845285117970805E-2</v>
      </c>
      <c r="AA803" s="201">
        <v>2.8786386603698588E-2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44769</v>
      </c>
      <c r="Y804" s="198">
        <f>_xll.qlInterestRateIndexValueDate(IborIndex,X804,Trigger)</f>
        <v>44771</v>
      </c>
      <c r="Z804" s="199">
        <v>2.8865327376005438E-2</v>
      </c>
      <c r="AA804" s="201">
        <v>2.880182268667042E-2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44776</v>
      </c>
      <c r="Y805" s="198">
        <f>_xll.qlInterestRateIndexValueDate(IborIndex,X805,Trigger)</f>
        <v>44778</v>
      </c>
      <c r="Z805" s="199">
        <v>2.8878597025724095E-2</v>
      </c>
      <c r="AA805" s="201">
        <v>2.8817282022961521E-2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44783</v>
      </c>
      <c r="Y806" s="198">
        <f>_xll.qlInterestRateIndexValueDate(IborIndex,X806,Trigger)</f>
        <v>44785</v>
      </c>
      <c r="Z806" s="199">
        <v>2.8891884581755293E-2</v>
      </c>
      <c r="AA806" s="201">
        <v>2.8832764612651829E-2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44790</v>
      </c>
      <c r="Y807" s="198">
        <f>_xll.qlInterestRateIndexValueDate(IborIndex,X807,Trigger)</f>
        <v>44792</v>
      </c>
      <c r="Z807" s="199">
        <v>2.8907464395388046E-2</v>
      </c>
      <c r="AA807" s="201">
        <v>2.8848270455821279E-2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44797</v>
      </c>
      <c r="Y808" s="198">
        <f>_xll.qlInterestRateIndexValueDate(IborIndex,X808,Trigger)</f>
        <v>44799</v>
      </c>
      <c r="Z808" s="199">
        <v>2.8923067538697056E-2</v>
      </c>
      <c r="AA808" s="201">
        <v>2.8866019893021289E-2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44804</v>
      </c>
      <c r="Y809" s="198">
        <f>_xll.qlInterestRateIndexValueDate(IborIndex,X809,Trigger)</f>
        <v>44806</v>
      </c>
      <c r="Z809" s="199">
        <v>2.8938694011775148E-2</v>
      </c>
      <c r="AA809" s="201">
        <v>2.8879351902517669E-2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44811</v>
      </c>
      <c r="Y810" s="198">
        <f>_xll.qlInterestRateIndexValueDate(IborIndex,X810,Trigger)</f>
        <v>44813</v>
      </c>
      <c r="Z810" s="199">
        <v>2.8956627334413565E-2</v>
      </c>
      <c r="AA810" s="201">
        <v>2.889492750604461E-2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44818</v>
      </c>
      <c r="Y811" s="198">
        <f>_xll.qlInterestRateIndexValueDate(IborIndex,X811,Trigger)</f>
        <v>44820</v>
      </c>
      <c r="Z811" s="199">
        <v>2.8970016947612479E-2</v>
      </c>
      <c r="AA811" s="201">
        <v>2.8910526363050693E-2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44825</v>
      </c>
      <c r="Y812" s="198">
        <f>_xll.qlInterestRateIndexValueDate(IborIndex,X812,Trigger)</f>
        <v>44827</v>
      </c>
      <c r="Z812" s="199">
        <v>2.8985713410562535E-2</v>
      </c>
      <c r="AA812" s="201">
        <v>2.8926148473455982E-2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44832</v>
      </c>
      <c r="Y813" s="198">
        <f>_xll.qlInterestRateIndexValueDate(IborIndex,X813,Trigger)</f>
        <v>44834</v>
      </c>
      <c r="Z813" s="199">
        <v>2.9001433203655568E-2</v>
      </c>
      <c r="AA813" s="201">
        <v>2.8941793837420349E-2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44839</v>
      </c>
      <c r="Y814" s="198">
        <f>_xll.qlInterestRateIndexValueDate(IborIndex,X814,Trigger)</f>
        <v>44841</v>
      </c>
      <c r="Z814" s="199">
        <v>2.9017176326992147E-2</v>
      </c>
      <c r="AA814" s="201">
        <v>2.8957462454783922E-2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44846</v>
      </c>
      <c r="Y815" s="198">
        <f>_xll.qlInterestRateIndexValueDate(IborIndex,X815,Trigger)</f>
        <v>44848</v>
      </c>
      <c r="Z815" s="199">
        <v>2.9032942780659939E-2</v>
      </c>
      <c r="AA815" s="201">
        <v>2.8973154325706574E-2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44853</v>
      </c>
      <c r="Y816" s="198">
        <f>_xll.qlInterestRateIndexValueDate(IborIndex,X816,Trigger)</f>
        <v>44855</v>
      </c>
      <c r="Z816" s="199">
        <v>2.9048732564756933E-2</v>
      </c>
      <c r="AA816" s="201">
        <v>2.8988869449948496E-2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44860</v>
      </c>
      <c r="Y817" s="198">
        <f>_xll.qlInterestRateIndexValueDate(IborIndex,X817,Trigger)</f>
        <v>44862</v>
      </c>
      <c r="Z817" s="199">
        <v>2.9064545679378537E-2</v>
      </c>
      <c r="AA817" s="201">
        <v>2.9004607827749496E-2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44867</v>
      </c>
      <c r="Y818" s="198">
        <f>_xll.qlInterestRateIndexValueDate(IborIndex,X818,Trigger)</f>
        <v>44869</v>
      </c>
      <c r="Z818" s="199">
        <v>2.9080382124620156E-2</v>
      </c>
      <c r="AA818" s="201">
        <v>2.9020369459029638E-2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44874</v>
      </c>
      <c r="Y819" s="198">
        <f>_xll.qlInterestRateIndexValueDate(IborIndex,X819,Trigger)</f>
        <v>44879</v>
      </c>
      <c r="Z819" s="199">
        <v>2.9100735284903756E-2</v>
      </c>
      <c r="AA819" s="201">
        <v>2.9038411225590366E-2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44881</v>
      </c>
      <c r="Y820" s="198">
        <f>_xll.qlInterestRateIndexValueDate(IborIndex,X820,Trigger)</f>
        <v>44883</v>
      </c>
      <c r="Z820" s="199">
        <v>2.9112125007339919E-2</v>
      </c>
      <c r="AA820" s="201">
        <v>2.9051962482027349E-2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44888</v>
      </c>
      <c r="Y821" s="198">
        <f>_xll.qlInterestRateIndexValueDate(IborIndex,X821,Trigger)</f>
        <v>44890</v>
      </c>
      <c r="Z821" s="199">
        <v>2.9132663545723213E-2</v>
      </c>
      <c r="AA821" s="201">
        <v>2.9067793873824854E-2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44895</v>
      </c>
      <c r="Y822" s="198">
        <f>_xll.qlInterestRateIndexValueDate(IborIndex,X822,Trigger)</f>
        <v>44897</v>
      </c>
      <c r="Z822" s="199">
        <v>2.9146280015333315E-2</v>
      </c>
      <c r="AA822" s="201">
        <v>2.9083648519021565E-2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44902</v>
      </c>
      <c r="Y823" s="198">
        <f>_xll.qlInterestRateIndexValueDate(IborIndex,X823,Trigger)</f>
        <v>44904</v>
      </c>
      <c r="Z823" s="199">
        <v>2.9159914313447138E-2</v>
      </c>
      <c r="AA823" s="201">
        <v>2.9099526417697419E-2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44909</v>
      </c>
      <c r="Y824" s="198">
        <f>_xll.qlInterestRateIndexValueDate(IborIndex,X824,Trigger)</f>
        <v>44911</v>
      </c>
      <c r="Z824" s="199">
        <v>2.9178215462609958E-2</v>
      </c>
      <c r="AA824" s="201">
        <v>2.9115427569932351E-2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44916</v>
      </c>
      <c r="Y825" s="198">
        <f>_xll.qlInterestRateIndexValueDate(IborIndex,X825,Trigger)</f>
        <v>44918</v>
      </c>
      <c r="Z825" s="199">
        <v>2.9191890506650092E-2</v>
      </c>
      <c r="AA825" s="201">
        <v>2.9135906076902529E-2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44923</v>
      </c>
      <c r="Y826" s="198">
        <f>_xll.qlInterestRateIndexValueDate(IborIndex,X826,Trigger)</f>
        <v>44925</v>
      </c>
      <c r="Z826" s="199">
        <v>2.9210244245453376E-2</v>
      </c>
      <c r="AA826" s="201">
        <v>2.9149579770200162E-2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44930</v>
      </c>
      <c r="Y827" s="198">
        <f>_xll.qlInterestRateIndexValueDate(IborIndex,X827,Trigger)</f>
        <v>44932</v>
      </c>
      <c r="Z827" s="199">
        <v>2.9223960025391311E-2</v>
      </c>
      <c r="AA827" s="201">
        <v>2.9163270547671871E-2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44937</v>
      </c>
      <c r="Y828" s="198">
        <f>_xll.qlInterestRateIndexValueDate(IborIndex,X828,Trigger)</f>
        <v>44939</v>
      </c>
      <c r="Z828" s="199">
        <v>2.9240029782080512E-2</v>
      </c>
      <c r="AA828" s="201">
        <v>2.9179264713903308E-2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44944</v>
      </c>
      <c r="Y829" s="198">
        <f>_xll.qlInterestRateIndexValueDate(IborIndex,X829,Trigger)</f>
        <v>44946</v>
      </c>
      <c r="Z829" s="199">
        <v>2.9258462425649501E-2</v>
      </c>
      <c r="AA829" s="201">
        <v>2.9195282133613887E-2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44951</v>
      </c>
      <c r="Y830" s="198">
        <f>_xll.qlInterestRateIndexValueDate(IborIndex,X830,Trigger)</f>
        <v>44953</v>
      </c>
      <c r="Z830" s="199">
        <v>2.9272239290573134E-2</v>
      </c>
      <c r="AA830" s="201">
        <v>2.9211322806883544E-2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44958</v>
      </c>
      <c r="Y831" s="198">
        <f>_xll.qlInterestRateIndexValueDate(IborIndex,X831,Trigger)</f>
        <v>44960</v>
      </c>
      <c r="Z831" s="199">
        <v>2.928134498246994E-2</v>
      </c>
      <c r="AA831" s="201">
        <v>2.9227386733632343E-2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44965</v>
      </c>
      <c r="Y832" s="198">
        <f>_xll.qlInterestRateIndexValueDate(IborIndex,X832,Trigger)</f>
        <v>44967</v>
      </c>
      <c r="Z832" s="199">
        <v>2.9297499127839886E-2</v>
      </c>
      <c r="AA832" s="201">
        <v>2.9243473914020157E-2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44972</v>
      </c>
      <c r="Y833" s="198">
        <f>_xll.qlInterestRateIndexValueDate(IborIndex,X833,Trigger)</f>
        <v>44974</v>
      </c>
      <c r="Z833" s="199">
        <v>2.9313676597383851E-2</v>
      </c>
      <c r="AA833" s="201">
        <v>2.9259584347807177E-2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44979</v>
      </c>
      <c r="Y834" s="198">
        <f>_xll.qlInterestRateIndexValueDate(IborIndex,X834,Trigger)</f>
        <v>44981</v>
      </c>
      <c r="Z834" s="199">
        <v>2.9329877391196049E-2</v>
      </c>
      <c r="AA834" s="201">
        <v>2.9275718035233211E-2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44986</v>
      </c>
      <c r="Y835" s="198">
        <f>_xll.qlInterestRateIndexValueDate(IborIndex,X835,Trigger)</f>
        <v>44988</v>
      </c>
      <c r="Z835" s="199">
        <v>2.9353171371181968E-2</v>
      </c>
      <c r="AA835" s="201">
        <v>2.9291874976138388E-2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44993</v>
      </c>
      <c r="Y836" s="198">
        <f>_xll.qlInterestRateIndexValueDate(IborIndex,X836,Trigger)</f>
        <v>44995</v>
      </c>
      <c r="Z836" s="199">
        <v>2.9371788221089767E-2</v>
      </c>
      <c r="AA836" s="201">
        <v>2.9308055170522707E-2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45000</v>
      </c>
      <c r="Y837" s="198">
        <f>_xll.qlInterestRateIndexValueDate(IborIndex,X837,Trigger)</f>
        <v>45002</v>
      </c>
      <c r="Z837" s="199">
        <v>2.9385707529215554E-2</v>
      </c>
      <c r="AA837" s="201">
        <v>2.9324258618466104E-2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45007</v>
      </c>
      <c r="Y838" s="198">
        <f>_xll.qlInterestRateIndexValueDate(IborIndex,X838,Trigger)</f>
        <v>45009</v>
      </c>
      <c r="Z838" s="199">
        <v>2.9402010607003971E-2</v>
      </c>
      <c r="AA838" s="201">
        <v>2.9340485319968579E-2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45014</v>
      </c>
      <c r="Y839" s="198">
        <f>_xll.qlInterestRateIndexValueDate(IborIndex,X839,Trigger)</f>
        <v>45016</v>
      </c>
      <c r="Z839" s="199">
        <v>2.9411231227323777E-2</v>
      </c>
      <c r="AA839" s="201">
        <v>2.9356735275030132E-2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45021</v>
      </c>
      <c r="Y840" s="198">
        <f>_xll.qlInterestRateIndexValueDate(IborIndex,X840,Trigger)</f>
        <v>45027</v>
      </c>
      <c r="Z840" s="199">
        <v>2.9441666218390949E-2</v>
      </c>
      <c r="AA840" s="201">
        <v>2.9377662242868752E-2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45028</v>
      </c>
      <c r="Y841" s="198">
        <f>_xll.qlInterestRateIndexValueDate(IborIndex,X841,Trigger)</f>
        <v>45030</v>
      </c>
      <c r="Z841" s="199">
        <v>2.9451059836649595E-2</v>
      </c>
      <c r="AA841" s="201">
        <v>2.9389304945750538E-2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45035</v>
      </c>
      <c r="Y842" s="198">
        <f>_xll.qlInterestRateIndexValueDate(IborIndex,X842,Trigger)</f>
        <v>45037</v>
      </c>
      <c r="Z842" s="199">
        <v>2.9467440772459975E-2</v>
      </c>
      <c r="AA842" s="201">
        <v>2.9405624661489327E-2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45042</v>
      </c>
      <c r="Y843" s="198">
        <f>_xll.qlInterestRateIndexValueDate(IborIndex,X843,Trigger)</f>
        <v>45044</v>
      </c>
      <c r="Z843" s="199">
        <v>2.9488465695526728E-2</v>
      </c>
      <c r="AA843" s="201">
        <v>2.9424304238894194E-2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45049</v>
      </c>
      <c r="Y844" s="198">
        <f>_xll.qlInterestRateIndexValueDate(IborIndex,X844,Trigger)</f>
        <v>45051</v>
      </c>
      <c r="Z844" s="199">
        <v>2.9499901286336817E-2</v>
      </c>
      <c r="AA844" s="201">
        <v>2.9438333853564203E-2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45056</v>
      </c>
      <c r="Y845" s="198">
        <f>_xll.qlInterestRateIndexValueDate(IborIndex,X845,Trigger)</f>
        <v>45058</v>
      </c>
      <c r="Z845" s="199">
        <v>2.9515795184897959E-2</v>
      </c>
      <c r="AA845" s="201">
        <v>2.94547135647516E-2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45063</v>
      </c>
      <c r="Y846" s="198">
        <f>_xll.qlInterestRateIndexValueDate(IborIndex,X846,Trigger)</f>
        <v>45065</v>
      </c>
      <c r="Z846" s="199">
        <v>2.9531343944504265E-2</v>
      </c>
      <c r="AA846" s="201">
        <v>2.9470833339866331E-2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45070</v>
      </c>
      <c r="Y847" s="198">
        <f>_xll.qlInterestRateIndexValueDate(IborIndex,X847,Trigger)</f>
        <v>45072</v>
      </c>
      <c r="Z847" s="199">
        <v>2.9546506106257486E-2</v>
      </c>
      <c r="AA847" s="201">
        <v>2.9488782205220332E-2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45077</v>
      </c>
      <c r="Y848" s="198">
        <f>_xll.qlInterestRateIndexValueDate(IborIndex,X848,Trigger)</f>
        <v>45079</v>
      </c>
      <c r="Z848" s="199">
        <v>2.9561280450629914E-2</v>
      </c>
      <c r="AA848" s="201">
        <v>2.9501912239879857E-2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45084</v>
      </c>
      <c r="Y849" s="198">
        <f>_xll.qlInterestRateIndexValueDate(IborIndex,X849,Trigger)</f>
        <v>45086</v>
      </c>
      <c r="Z849" s="199">
        <v>2.9575666976149186E-2</v>
      </c>
      <c r="AA849" s="201">
        <v>2.9516871364778652E-2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45091</v>
      </c>
      <c r="Y850" s="198">
        <f>_xll.qlInterestRateIndexValueDate(IborIndex,X850,Trigger)</f>
        <v>45093</v>
      </c>
      <c r="Z850" s="199">
        <v>2.958966568137129E-2</v>
      </c>
      <c r="AA850" s="201">
        <v>2.9531443606272134E-2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45098</v>
      </c>
      <c r="Y851" s="198">
        <f>_xll.qlInterestRateIndexValueDate(IborIndex,X851,Trigger)</f>
        <v>45100</v>
      </c>
      <c r="Z851" s="199">
        <v>2.9603276564903792E-2</v>
      </c>
      <c r="AA851" s="201">
        <v>2.9545628964200432E-2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45105</v>
      </c>
      <c r="Y852" s="198">
        <f>_xll.qlInterestRateIndexValueDate(IborIndex,X852,Trigger)</f>
        <v>45107</v>
      </c>
      <c r="Z852" s="199">
        <v>2.9616499625385203E-2</v>
      </c>
      <c r="AA852" s="201">
        <v>2.955942743848361E-2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45112</v>
      </c>
      <c r="Y853" s="198">
        <f>_xll.qlInterestRateIndexValueDate(IborIndex,X853,Trigger)</f>
        <v>45114</v>
      </c>
      <c r="Z853" s="199">
        <v>2.9629334861492704E-2</v>
      </c>
      <c r="AA853" s="201">
        <v>2.9572839029201603E-2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45119</v>
      </c>
      <c r="Y854" s="198">
        <f>_xll.qlInterestRateIndexValueDate(IborIndex,X854,Trigger)</f>
        <v>45121</v>
      </c>
      <c r="Z854" s="199">
        <v>2.9641782271942169E-2</v>
      </c>
      <c r="AA854" s="201">
        <v>2.9585863736274476E-2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45126</v>
      </c>
      <c r="Y855" s="198">
        <f>_xll.qlInterestRateIndexValueDate(IborIndex,X855,Trigger)</f>
        <v>45128</v>
      </c>
      <c r="Z855" s="199">
        <v>2.9653841855493298E-2</v>
      </c>
      <c r="AA855" s="201">
        <v>2.9598501559702228E-2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45133</v>
      </c>
      <c r="Y856" s="198">
        <f>_xll.qlInterestRateIndexValueDate(IborIndex,X856,Trigger)</f>
        <v>45135</v>
      </c>
      <c r="Z856" s="199">
        <v>2.966753303144859E-2</v>
      </c>
      <c r="AA856" s="201">
        <v>2.9610752499324988E-2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45140</v>
      </c>
      <c r="Y857" s="198">
        <f>_xll.qlInterestRateIndexValueDate(IborIndex,X857,Trigger)</f>
        <v>45142</v>
      </c>
      <c r="Z857" s="199">
        <v>2.9678790182082748E-2</v>
      </c>
      <c r="AA857" s="201">
        <v>2.9622616555222692E-2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45147</v>
      </c>
      <c r="Y858" s="198">
        <f>_xll.qlInterestRateIndexValueDate(IborIndex,X858,Trigger)</f>
        <v>45149</v>
      </c>
      <c r="Z858" s="199">
        <v>2.9687693632884853E-2</v>
      </c>
      <c r="AA858" s="201">
        <v>2.9634093727235467E-2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45154</v>
      </c>
      <c r="Y859" s="198">
        <f>_xll.qlInterestRateIndexValueDate(IborIndex,X859,Trigger)</f>
        <v>45156</v>
      </c>
      <c r="Z859" s="199">
        <v>2.9698201897166807E-2</v>
      </c>
      <c r="AA859" s="201">
        <v>2.9645184015363313E-2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45161</v>
      </c>
      <c r="Y860" s="198">
        <f>_xll.qlInterestRateIndexValueDate(IborIndex,X860,Trigger)</f>
        <v>45163</v>
      </c>
      <c r="Z860" s="199">
        <v>2.9708322328913642E-2</v>
      </c>
      <c r="AA860" s="201">
        <v>2.9657384895029892E-2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45168</v>
      </c>
      <c r="Y861" s="198">
        <f>_xll.qlInterestRateIndexValueDate(IborIndex,X861,Trigger)</f>
        <v>45170</v>
      </c>
      <c r="Z861" s="199">
        <v>2.9718054927109397E-2</v>
      </c>
      <c r="AA861" s="201">
        <v>2.9666203940044156E-2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45175</v>
      </c>
      <c r="Y862" s="198">
        <f>_xll.qlInterestRateIndexValueDate(IborIndex,X862,Trigger)</f>
        <v>45177</v>
      </c>
      <c r="Z862" s="199">
        <v>2.972925798236159E-2</v>
      </c>
      <c r="AA862" s="201">
        <v>2.967613357643728E-2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45182</v>
      </c>
      <c r="Y863" s="198">
        <f>_xll.qlInterestRateIndexValueDate(IborIndex,X863,Trigger)</f>
        <v>45184</v>
      </c>
      <c r="Z863" s="199">
        <v>2.9736356619000415E-2</v>
      </c>
      <c r="AA863" s="201">
        <v>2.968567632886554E-2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45189</v>
      </c>
      <c r="Y864" s="198">
        <f>_xll.qlInterestRateIndexValueDate(IborIndex,X864,Trigger)</f>
        <v>45191</v>
      </c>
      <c r="Z864" s="199">
        <v>2.9744925710864886E-2</v>
      </c>
      <c r="AA864" s="201">
        <v>2.9694832197248999E-2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45196</v>
      </c>
      <c r="Y865" s="198">
        <f>_xll.qlInterestRateIndexValueDate(IborIndex,X865,Trigger)</f>
        <v>45198</v>
      </c>
      <c r="Z865" s="199">
        <v>2.9754884263448744E-2</v>
      </c>
      <c r="AA865" s="201">
        <v>2.9703601181587658E-2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45203</v>
      </c>
      <c r="Y866" s="198">
        <f>_xll.qlInterestRateIndexValueDate(IborIndex,X866,Trigger)</f>
        <v>45205</v>
      </c>
      <c r="Z866" s="199">
        <v>2.976090038215131E-2</v>
      </c>
      <c r="AA866" s="201">
        <v>2.9711983281801579E-2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45210</v>
      </c>
      <c r="Y867" s="198">
        <f>_xll.qlInterestRateIndexValueDate(IborIndex,X867,Trigger)</f>
        <v>45212</v>
      </c>
      <c r="Z867" s="199">
        <v>2.9768305959979698E-2</v>
      </c>
      <c r="AA867" s="201">
        <v>2.97199784979707E-2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45217</v>
      </c>
      <c r="Y868" s="198">
        <f>_xll.qlInterestRateIndexValueDate(IborIndex,X868,Trigger)</f>
        <v>45219</v>
      </c>
      <c r="Z868" s="199">
        <v>2.9775323698261802E-2</v>
      </c>
      <c r="AA868" s="201">
        <v>2.9727586830015085E-2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45224</v>
      </c>
      <c r="Y869" s="198">
        <f>_xll.qlInterestRateIndexValueDate(IborIndex,X869,Trigger)</f>
        <v>45226</v>
      </c>
      <c r="Z869" s="199">
        <v>2.9781953596298823E-2</v>
      </c>
      <c r="AA869" s="201">
        <v>2.9734808277934732E-2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45231</v>
      </c>
      <c r="Y870" s="198">
        <f>_xll.qlInterestRateIndexValueDate(IborIndex,X870,Trigger)</f>
        <v>45233</v>
      </c>
      <c r="Z870" s="199">
        <v>2.9788195653425487E-2</v>
      </c>
      <c r="AA870" s="201">
        <v>2.9741642841569771E-2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45238</v>
      </c>
      <c r="Y871" s="198">
        <f>_xll.qlInterestRateIndexValueDate(IborIndex,X871,Trigger)</f>
        <v>45243</v>
      </c>
      <c r="Z871" s="199">
        <v>2.9794834809653281E-2</v>
      </c>
      <c r="AA871" s="201">
        <v>2.9748980035702033E-2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45245</v>
      </c>
      <c r="Y872" s="198">
        <f>_xll.qlInterestRateIndexValueDate(IborIndex,X872,Trigger)</f>
        <v>45247</v>
      </c>
      <c r="Z872" s="199">
        <v>2.97995162424981E-2</v>
      </c>
      <c r="AA872" s="201">
        <v>2.9754151316305766E-2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45252</v>
      </c>
      <c r="Y873" s="198">
        <f>_xll.qlInterestRateIndexValueDate(IborIndex,X873,Trigger)</f>
        <v>45254</v>
      </c>
      <c r="Z873" s="199">
        <v>2.9807712076564259E-2</v>
      </c>
      <c r="AA873" s="201">
        <v>2.9759825227326786E-2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45259</v>
      </c>
      <c r="Y874" s="198">
        <f>_xll.qlInterestRateIndexValueDate(IborIndex,X874,Trigger)</f>
        <v>45261</v>
      </c>
      <c r="Z874" s="199">
        <v>2.9810818053455923E-2</v>
      </c>
      <c r="AA874" s="201">
        <v>2.9765112254063197E-2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45266</v>
      </c>
      <c r="Y875" s="198">
        <f>_xll.qlInterestRateIndexValueDate(IborIndex,X875,Trigger)</f>
        <v>45268</v>
      </c>
      <c r="Z875" s="199">
        <v>2.9813588304960486E-2</v>
      </c>
      <c r="AA875" s="201">
        <v>2.9770012396515E-2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45273</v>
      </c>
      <c r="Y876" s="198">
        <f>_xll.qlInterestRateIndexValueDate(IborIndex,X876,Trigger)</f>
        <v>45275</v>
      </c>
      <c r="Z876" s="199">
        <v>2.981898116622167E-2</v>
      </c>
      <c r="AA876" s="201">
        <v>2.977452565476213E-2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45280</v>
      </c>
      <c r="Y877" s="198">
        <f>_xll.qlInterestRateIndexValueDate(IborIndex,X877,Trigger)</f>
        <v>45282</v>
      </c>
      <c r="Z877" s="199">
        <v>2.9821030460365969E-2</v>
      </c>
      <c r="AA877" s="201">
        <v>2.9779759932173633E-2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45287</v>
      </c>
      <c r="Y878" s="198">
        <f>_xll.qlInterestRateIndexValueDate(IborIndex,X878,Trigger)</f>
        <v>45289</v>
      </c>
      <c r="Z878" s="199">
        <v>2.9827013235240427E-2</v>
      </c>
      <c r="AA878" s="201">
        <v>2.9782894148580041E-2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45294</v>
      </c>
      <c r="Y879" s="198">
        <f>_xll.qlInterestRateIndexValueDate(IborIndex,X879,Trigger)</f>
        <v>45296</v>
      </c>
      <c r="Z879" s="199">
        <v>2.9826921236555393E-2</v>
      </c>
      <c r="AA879" s="201">
        <v>2.9785744123396185E-2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45301</v>
      </c>
      <c r="Y880" s="198">
        <f>_xll.qlInterestRateIndexValueDate(IborIndex,X880,Trigger)</f>
        <v>45303</v>
      </c>
      <c r="Z880" s="199">
        <v>2.9829284856683402E-2</v>
      </c>
      <c r="AA880" s="201">
        <v>2.9788709844265071E-2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45308</v>
      </c>
      <c r="Y881" s="198">
        <f>_xll.qlInterestRateIndexValueDate(IborIndex,X881,Trigger)</f>
        <v>45310</v>
      </c>
      <c r="Z881" s="199">
        <v>2.9832601103184919E-2</v>
      </c>
      <c r="AA881" s="201">
        <v>2.9791288680769412E-2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45315</v>
      </c>
      <c r="Y882" s="198">
        <f>_xll.qlInterestRateIndexValueDate(IborIndex,X882,Trigger)</f>
        <v>45317</v>
      </c>
      <c r="Z882" s="199">
        <v>2.9832848559827596E-2</v>
      </c>
      <c r="AA882" s="201">
        <v>2.9793480632989144E-2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45322</v>
      </c>
      <c r="Y883" s="198">
        <f>_xll.qlInterestRateIndexValueDate(IborIndex,X883,Trigger)</f>
        <v>45324</v>
      </c>
      <c r="Z883" s="199">
        <v>2.983404864248794E-2</v>
      </c>
      <c r="AA883" s="201">
        <v>2.9795285700764396E-2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45329</v>
      </c>
      <c r="Y884" s="198">
        <f>_xll.qlInterestRateIndexValueDate(IborIndex,X884,Trigger)</f>
        <v>45331</v>
      </c>
      <c r="Z884" s="199">
        <v>2.9834860879031769E-2</v>
      </c>
      <c r="AA884" s="201">
        <v>2.9796703884175102E-2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45336</v>
      </c>
      <c r="Y885" s="198">
        <f>_xll.qlInterestRateIndexValueDate(IborIndex,X885,Trigger)</f>
        <v>45338</v>
      </c>
      <c r="Z885" s="199">
        <v>2.9835285269381728E-2</v>
      </c>
      <c r="AA885" s="201">
        <v>2.9797735183221263E-2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45343</v>
      </c>
      <c r="Y886" s="198">
        <f>_xll.qlInterestRateIndexValueDate(IborIndex,X886,Trigger)</f>
        <v>45345</v>
      </c>
      <c r="Z886" s="199">
        <v>2.9835321813491401E-2</v>
      </c>
      <c r="AA886" s="201">
        <v>2.979837959790288E-2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45350</v>
      </c>
      <c r="Y887" s="198">
        <f>_xll.qlInterestRateIndexValueDate(IborIndex,X887,Trigger)</f>
        <v>45352</v>
      </c>
      <c r="Z887" s="199">
        <v>2.9836145056882923E-2</v>
      </c>
      <c r="AA887" s="201">
        <v>2.9798637128140015E-2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45357</v>
      </c>
      <c r="Y888" s="198">
        <f>_xll.qlInterestRateIndexValueDate(IborIndex,X888,Trigger)</f>
        <v>45359</v>
      </c>
      <c r="Z888" s="199">
        <v>2.9834231363018257E-2</v>
      </c>
      <c r="AA888" s="201">
        <v>2.9798507774012606E-2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45364</v>
      </c>
      <c r="Y889" s="198">
        <f>_xll.qlInterestRateIndexValueDate(IborIndex,X889,Trigger)</f>
        <v>45366</v>
      </c>
      <c r="Z889" s="199">
        <v>2.9833104368548899E-2</v>
      </c>
      <c r="AA889" s="201">
        <v>2.9797991535520651E-2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45371</v>
      </c>
      <c r="Y890" s="198">
        <f>_xll.qlInterestRateIndexValueDate(IborIndex,X890,Trigger)</f>
        <v>45373</v>
      </c>
      <c r="Z890" s="199">
        <v>2.9831589528058432E-2</v>
      </c>
      <c r="AA890" s="201">
        <v>2.9797088412664152E-2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45378</v>
      </c>
      <c r="Y891" s="198">
        <f>_xll.qlInterestRateIndexValueDate(IborIndex,X891,Trigger)</f>
        <v>45384</v>
      </c>
      <c r="Z891" s="199">
        <v>2.9827375506678244E-2</v>
      </c>
      <c r="AA891" s="201">
        <v>2.9795358771513847E-2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45385</v>
      </c>
      <c r="Y892" s="198">
        <f>_xll.qlInterestRateIndexValueDate(IborIndex,X892,Trigger)</f>
        <v>45387</v>
      </c>
      <c r="Z892" s="199">
        <v>2.9828431700486824E-2</v>
      </c>
      <c r="AA892" s="201">
        <v>2.9794121513777583E-2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45392</v>
      </c>
      <c r="Y893" s="198">
        <f>_xll.qlInterestRateIndexValueDate(IborIndex,X893,Trigger)</f>
        <v>45394</v>
      </c>
      <c r="Z893" s="199">
        <v>2.9824717932167424E-2</v>
      </c>
      <c r="AA893" s="201">
        <v>2.9792057737747513E-2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45399</v>
      </c>
      <c r="Y894" s="198">
        <f>_xll.qlInterestRateIndexValueDate(IborIndex,X894,Trigger)</f>
        <v>45401</v>
      </c>
      <c r="Z894" s="199">
        <v>2.9821672125200784E-2</v>
      </c>
      <c r="AA894" s="201">
        <v>2.9789607077352898E-2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45406</v>
      </c>
      <c r="Y895" s="198">
        <f>_xll.qlInterestRateIndexValueDate(IborIndex,X895,Trigger)</f>
        <v>45408</v>
      </c>
      <c r="Z895" s="199">
        <v>2.9819400426140952E-2</v>
      </c>
      <c r="AA895" s="201">
        <v>2.9786769532593738E-2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45413</v>
      </c>
      <c r="Y896" s="198">
        <f>_xll.qlInterestRateIndexValueDate(IborIndex,X896,Trigger)</f>
        <v>45415</v>
      </c>
      <c r="Z896" s="199">
        <v>2.9815111866686297E-2</v>
      </c>
      <c r="AA896" s="201">
        <v>2.9783052888401329E-2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45420</v>
      </c>
      <c r="Y897" s="198">
        <f>_xll.qlInterestRateIndexValueDate(IborIndex,X897,Trigger)</f>
        <v>45422</v>
      </c>
      <c r="Z897" s="199">
        <v>2.9811986353178936E-2</v>
      </c>
      <c r="AA897" s="201">
        <v>2.9779936712923671E-2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45427</v>
      </c>
      <c r="Y898" s="198">
        <f>_xll.qlInterestRateIndexValueDate(IborIndex,X898,Trigger)</f>
        <v>45429</v>
      </c>
      <c r="Z898" s="199">
        <v>2.9809220719567781E-2</v>
      </c>
      <c r="AA898" s="201">
        <v>2.977642954029136E-2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45434</v>
      </c>
      <c r="Y899" s="198">
        <f>_xll.qlInterestRateIndexValueDate(IborIndex,X899,Trigger)</f>
        <v>45436</v>
      </c>
      <c r="Z899" s="199">
        <v>2.9806922620504474E-2</v>
      </c>
      <c r="AA899" s="201">
        <v>2.9772999803796552E-2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45441</v>
      </c>
      <c r="Y900" s="198">
        <f>_xll.qlInterestRateIndexValueDate(IborIndex,X900,Trigger)</f>
        <v>45443</v>
      </c>
      <c r="Z900" s="199">
        <v>2.9801679891621191E-2</v>
      </c>
      <c r="AA900" s="201">
        <v>2.9770832424080851E-2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45448</v>
      </c>
      <c r="Y901" s="198">
        <f>_xll.qlInterestRateIndexValueDate(IborIndex,X901,Trigger)</f>
        <v>45450</v>
      </c>
      <c r="Z901" s="199">
        <v>2.9803747172225958E-2</v>
      </c>
      <c r="AA901" s="201">
        <v>2.976874248034278E-2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45455</v>
      </c>
      <c r="Y902" s="198">
        <f>_xll.qlInterestRateIndexValueDate(IborIndex,X902,Trigger)</f>
        <v>45457</v>
      </c>
      <c r="Z902" s="199">
        <v>2.9802869822629113E-2</v>
      </c>
      <c r="AA902" s="201">
        <v>2.9767124946236123E-2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45462</v>
      </c>
      <c r="Y903" s="198">
        <f>_xll.qlInterestRateIndexValueDate(IborIndex,X903,Trigger)</f>
        <v>45464</v>
      </c>
      <c r="Z903" s="199">
        <v>2.9802466055895517E-2</v>
      </c>
      <c r="AA903" s="201">
        <v>2.9765979821840816E-2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45469</v>
      </c>
      <c r="Y904" s="198">
        <f>_xll.qlInterestRateIndexValueDate(IborIndex,X904,Trigger)</f>
        <v>45471</v>
      </c>
      <c r="Z904" s="199">
        <v>2.9805101294210316E-2</v>
      </c>
      <c r="AA904" s="201">
        <v>2.9765307107076922E-2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45476</v>
      </c>
      <c r="Y905" s="198">
        <f>_xll.qlInterestRateIndexValueDate(IborIndex,X905,Trigger)</f>
        <v>45478</v>
      </c>
      <c r="Z905" s="199">
        <v>2.9803079270883982E-2</v>
      </c>
      <c r="AA905" s="201">
        <v>2.9765106801784569E-2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45483</v>
      </c>
      <c r="Y906" s="198">
        <f>_xll.qlInterestRateIndexValueDate(IborIndex,X906,Trigger)</f>
        <v>45485</v>
      </c>
      <c r="Z906" s="199">
        <v>2.9804096252680823E-2</v>
      </c>
      <c r="AA906" s="201">
        <v>2.9765378906203566E-2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45490</v>
      </c>
      <c r="Y907" s="198">
        <f>_xll.qlInterestRateIndexValueDate(IborIndex,X907,Trigger)</f>
        <v>45492</v>
      </c>
      <c r="Z907" s="199">
        <v>2.9805586817490466E-2</v>
      </c>
      <c r="AA907" s="201">
        <v>2.976612342017404E-2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45497</v>
      </c>
      <c r="Y908" s="198">
        <f>_xll.qlInterestRateIndexValueDate(IborIndex,X908,Trigger)</f>
        <v>45499</v>
      </c>
      <c r="Z908" s="199">
        <v>2.9808967762875171E-2</v>
      </c>
      <c r="AA908" s="201">
        <v>2.9767340343775928E-2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45504</v>
      </c>
      <c r="Y909" s="198">
        <f>_xll.qlInterestRateIndexValueDate(IborIndex,X909,Trigger)</f>
        <v>45506</v>
      </c>
      <c r="Z909" s="199">
        <v>2.9811439526121752E-2</v>
      </c>
      <c r="AA909" s="201">
        <v>2.9769029677089165E-2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45511</v>
      </c>
      <c r="Y910" s="198">
        <f>_xll.qlInterestRateIndexValueDate(IborIndex,X910,Trigger)</f>
        <v>45513</v>
      </c>
      <c r="Z910" s="199">
        <v>2.9812900012120988E-2</v>
      </c>
      <c r="AA910" s="201">
        <v>2.9771191419873944E-2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45518</v>
      </c>
      <c r="Y911" s="198">
        <f>_xll.qlInterestRateIndexValueDate(IborIndex,X911,Trigger)</f>
        <v>45520</v>
      </c>
      <c r="Z911" s="199">
        <v>2.9816284911385094E-2</v>
      </c>
      <c r="AA911" s="201">
        <v>2.9773825572370072E-2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45525</v>
      </c>
      <c r="Y912" s="198">
        <f>_xll.qlInterestRateIndexValueDate(IborIndex,X912,Trigger)</f>
        <v>45527</v>
      </c>
      <c r="Z912" s="199">
        <v>2.9820143395152428E-2</v>
      </c>
      <c r="AA912" s="201">
        <v>2.9777414493130649E-2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45532</v>
      </c>
      <c r="Y913" s="198">
        <f>_xll.qlInterestRateIndexValueDate(IborIndex,X913,Trigger)</f>
        <v>45534</v>
      </c>
      <c r="Z913" s="199">
        <v>2.9824475463889707E-2</v>
      </c>
      <c r="AA913" s="201">
        <v>2.9780511106256569E-2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45539</v>
      </c>
      <c r="Y914" s="198">
        <f>_xll.qlInterestRateIndexValueDate(IborIndex,X914,Trigger)</f>
        <v>45541</v>
      </c>
      <c r="Z914" s="199">
        <v>2.9829281118133287E-2</v>
      </c>
      <c r="AA914" s="201">
        <v>2.9784562487806809E-2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45546</v>
      </c>
      <c r="Y915" s="198">
        <f>_xll.qlInterestRateIndexValueDate(IborIndex,X915,Trigger)</f>
        <v>45548</v>
      </c>
      <c r="Z915" s="199">
        <v>2.9836216202522303E-2</v>
      </c>
      <c r="AA915" s="201">
        <v>2.9789086278908528E-2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45553</v>
      </c>
      <c r="Y916" s="198">
        <f>_xll.qlInterestRateIndexValueDate(IborIndex,X916,Trigger)</f>
        <v>45555</v>
      </c>
      <c r="Z916" s="199">
        <v>2.9840313185519357E-2</v>
      </c>
      <c r="AA916" s="201">
        <v>2.9794082479721595E-2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45560</v>
      </c>
      <c r="Y917" s="198">
        <f>_xll.qlInterestRateIndexValueDate(IborIndex,X917,Trigger)</f>
        <v>45562</v>
      </c>
      <c r="Z917" s="199">
        <v>2.9846539600013027E-2</v>
      </c>
      <c r="AA917" s="201">
        <v>2.9799551090246013E-2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45567</v>
      </c>
      <c r="Y918" s="198">
        <f>_xll.qlInterestRateIndexValueDate(IborIndex,X918,Trigger)</f>
        <v>45569</v>
      </c>
      <c r="Z918" s="199">
        <v>2.9853239602702454E-2</v>
      </c>
      <c r="AA918" s="201">
        <v>2.9805492110561715E-2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45574</v>
      </c>
      <c r="Y919" s="198">
        <f>_xll.qlInterestRateIndexValueDate(IborIndex,X919,Trigger)</f>
        <v>45576</v>
      </c>
      <c r="Z919" s="199">
        <v>2.9862206501480304E-2</v>
      </c>
      <c r="AA919" s="201">
        <v>2.9811905540668704E-2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45581</v>
      </c>
      <c r="Y920" s="198">
        <f>_xll.qlInterestRateIndexValueDate(IborIndex,X920,Trigger)</f>
        <v>45583</v>
      </c>
      <c r="Z920" s="199">
        <v>2.986806037598979E-2</v>
      </c>
      <c r="AA920" s="201">
        <v>2.9818791380566978E-2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45588</v>
      </c>
      <c r="Y921" s="198">
        <f>_xll.qlInterestRateIndexValueDate(IborIndex,X921,Trigger)</f>
        <v>45590</v>
      </c>
      <c r="Z921" s="199">
        <v>2.9876181148395287E-2</v>
      </c>
      <c r="AA921" s="201">
        <v>2.9826149630176602E-2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45595</v>
      </c>
      <c r="Y922" s="198">
        <f>_xll.qlInterestRateIndexValueDate(IborIndex,X922,Trigger)</f>
        <v>45597</v>
      </c>
      <c r="Z922" s="199">
        <v>2.9884775512611712E-2</v>
      </c>
      <c r="AA922" s="201">
        <v>2.9833980289737383E-2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45602</v>
      </c>
      <c r="Y923" s="198">
        <f>_xll.qlInterestRateIndexValueDate(IborIndex,X923,Trigger)</f>
        <v>45604</v>
      </c>
      <c r="Z923" s="199">
        <v>2.989384346968597E-2</v>
      </c>
      <c r="AA923" s="201">
        <v>2.9842283359169386E-2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45609</v>
      </c>
      <c r="Y924" s="198">
        <f>_xll.qlInterestRateIndexValueDate(IborIndex,X924,Trigger)</f>
        <v>45611</v>
      </c>
      <c r="Z924" s="199">
        <v>2.9903385020729433E-2</v>
      </c>
      <c r="AA924" s="201">
        <v>2.9851058838552547E-2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45616</v>
      </c>
      <c r="Y925" s="198">
        <f>_xll.qlInterestRateIndexValueDate(IborIndex,X925,Trigger)</f>
        <v>45618</v>
      </c>
      <c r="Z925" s="199">
        <v>2.9913400166899883E-2</v>
      </c>
      <c r="AA925" s="201">
        <v>2.9860306727726993E-2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45623</v>
      </c>
      <c r="Y926" s="198">
        <f>_xll.qlInterestRateIndexValueDate(IborIndex,X926,Trigger)</f>
        <v>45625</v>
      </c>
      <c r="Z926" s="199">
        <v>2.992592429724994E-2</v>
      </c>
      <c r="AA926" s="201">
        <v>2.9870027027092405E-2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45630</v>
      </c>
      <c r="Y927" s="198">
        <f>_xll.qlInterestRateIndexValueDate(IborIndex,X927,Trigger)</f>
        <v>45632</v>
      </c>
      <c r="Z927" s="199">
        <v>2.9934851249585507E-2</v>
      </c>
      <c r="AA927" s="201">
        <v>2.9880219736329039E-2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45637</v>
      </c>
      <c r="Y928" s="198">
        <f>_xll.qlInterestRateIndexValueDate(IborIndex,X928,Trigger)</f>
        <v>45639</v>
      </c>
      <c r="Z928" s="199">
        <v>2.994628718871279E-2</v>
      </c>
      <c r="AA928" s="201">
        <v>2.9890884855676703E-2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45644</v>
      </c>
      <c r="Y929" s="198">
        <f>_xll.qlInterestRateIndexValueDate(IborIndex,X929,Trigger)</f>
        <v>45646</v>
      </c>
      <c r="Z929" s="199">
        <v>2.9960336460084225E-2</v>
      </c>
      <c r="AA929" s="201">
        <v>2.9906139275617249E-2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45653</v>
      </c>
      <c r="Y930" s="198">
        <f>_xll.qlInterestRateIndexValueDate(IborIndex,X930,Trigger)</f>
        <v>45657</v>
      </c>
      <c r="Z930" s="199">
        <v>2.9977868588399154E-2</v>
      </c>
      <c r="AA930" s="201">
        <v>2.9922968725584198E-2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45660</v>
      </c>
      <c r="Y931" s="198">
        <f>_xll.qlInterestRateIndexValueDate(IborIndex,X931,Trigger)</f>
        <v>45664</v>
      </c>
      <c r="Z931" s="199">
        <v>2.999099596422037E-2</v>
      </c>
      <c r="AA931" s="201">
        <v>2.9929253543663492E-2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45667</v>
      </c>
      <c r="Y932" s="198">
        <f>_xll.qlInterestRateIndexValueDate(IborIndex,X932,Trigger)</f>
        <v>45671</v>
      </c>
      <c r="Z932" s="199">
        <v>3.0004596945861953E-2</v>
      </c>
      <c r="AA932" s="201">
        <v>2.9941943278046779E-2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45674</v>
      </c>
      <c r="Y933" s="198">
        <f>_xll.qlInterestRateIndexValueDate(IborIndex,X933,Trigger)</f>
        <v>45678</v>
      </c>
      <c r="Z933" s="199">
        <v>3.0018671534981931E-2</v>
      </c>
      <c r="AA933" s="201">
        <v>2.9955105422780903E-2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45681</v>
      </c>
      <c r="Y934" s="198">
        <f>_xll.qlInterestRateIndexValueDate(IborIndex,X934,Trigger)</f>
        <v>45685</v>
      </c>
      <c r="Z934" s="199">
        <v>3.0033219733302797E-2</v>
      </c>
      <c r="AA934" s="201">
        <v>2.996873997778593E-2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45688</v>
      </c>
      <c r="Y935" s="198">
        <f>_xll.qlInterestRateIndexValueDate(IborIndex,X935,Trigger)</f>
        <v>45692</v>
      </c>
      <c r="Z935" s="199">
        <v>3.0041153749048113E-2</v>
      </c>
      <c r="AA935" s="201">
        <v>2.9982846943301666E-2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45695</v>
      </c>
      <c r="Y936" s="198">
        <f>_xll.qlInterestRateIndexValueDate(IborIndex,X936,Trigger)</f>
        <v>45699</v>
      </c>
      <c r="Z936" s="199">
        <v>3.00565438326699E-2</v>
      </c>
      <c r="AA936" s="201">
        <v>2.9997426319248177E-2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45702</v>
      </c>
      <c r="Y937" s="198">
        <f>_xll.qlInterestRateIndexValueDate(IborIndex,X937,Trigger)</f>
        <v>45706</v>
      </c>
      <c r="Z937" s="199">
        <v>3.0072407410073013E-2</v>
      </c>
      <c r="AA937" s="201">
        <v>3.0012478105705398E-2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45709</v>
      </c>
      <c r="Y938" s="198">
        <f>_xll.qlInterestRateIndexValueDate(IborIndex,X938,Trigger)</f>
        <v>45713</v>
      </c>
      <c r="Z938" s="199">
        <v>3.008874448300463E-2</v>
      </c>
      <c r="AA938" s="201">
        <v>3.0028002302753265E-2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45716</v>
      </c>
      <c r="Y939" s="198">
        <f>_xll.qlInterestRateIndexValueDate(IborIndex,X939,Trigger)</f>
        <v>45720</v>
      </c>
      <c r="Z939" s="199">
        <v>3.0113064927052409E-2</v>
      </c>
      <c r="AA939" s="201">
        <v>3.0043998910391778E-2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45723</v>
      </c>
      <c r="Y940" s="198">
        <f>_xll.qlInterestRateIndexValueDate(IborIndex,X940,Trigger)</f>
        <v>45727</v>
      </c>
      <c r="Z940" s="199">
        <v>3.0130454819871054E-2</v>
      </c>
      <c r="AA940" s="201">
        <v>3.0060467928860746E-2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45730</v>
      </c>
      <c r="Y941" s="198">
        <f>_xll.qlInterestRateIndexValueDate(IborIndex,X941,Trigger)</f>
        <v>45734</v>
      </c>
      <c r="Z941" s="199">
        <v>3.0158663040098382E-2</v>
      </c>
      <c r="AA941" s="201">
        <v>3.0077409357920359E-2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45737</v>
      </c>
      <c r="Y942" s="198">
        <f>_xll.qlInterestRateIndexValueDate(IborIndex,X942,Trigger)</f>
        <v>45741</v>
      </c>
      <c r="Z942" s="199">
        <v>3.0166655476206863E-2</v>
      </c>
      <c r="AA942" s="201">
        <v>3.00948231979703E-2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45744</v>
      </c>
      <c r="Y943" s="198">
        <f>_xll.qlInterestRateIndexValueDate(IborIndex,X943,Trigger)</f>
        <v>45748</v>
      </c>
      <c r="Z943" s="199">
        <v>3.0182818087827634E-2</v>
      </c>
      <c r="AA943" s="201">
        <v>3.0112709448850694E-2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45751</v>
      </c>
      <c r="Y944" s="198">
        <f>_xll.qlInterestRateIndexValueDate(IborIndex,X944,Trigger)</f>
        <v>45755</v>
      </c>
      <c r="Z944" s="199">
        <v>3.0202067042106151E-2</v>
      </c>
      <c r="AA944" s="201">
        <v>3.0131068110721415E-2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45758</v>
      </c>
      <c r="Y945" s="198">
        <f>_xll.qlInterestRateIndexValueDate(IborIndex,X945,Trigger)</f>
        <v>45762</v>
      </c>
      <c r="Z945" s="199">
        <v>3.0221789504561336E-2</v>
      </c>
      <c r="AA945" s="201">
        <v>3.0160428249921267E-2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45769</v>
      </c>
      <c r="Y946" s="198">
        <f>_xll.qlInterestRateIndexValueDate(IborIndex,X946,Trigger)</f>
        <v>45771</v>
      </c>
      <c r="Z946" s="199">
        <v>3.0255982505818162E-2</v>
      </c>
      <c r="AA946" s="201">
        <v>3.0180445333032324E-2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45776</v>
      </c>
      <c r="Y947" s="198">
        <f>_xll.qlInterestRateIndexValueDate(IborIndex,X947,Trigger)</f>
        <v>45778</v>
      </c>
      <c r="Z947" s="199">
        <v>3.0273719646695119E-2</v>
      </c>
      <c r="AA947" s="201">
        <v>3.020339343389189E-2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45783</v>
      </c>
      <c r="Y948" s="198">
        <f>_xll.qlInterestRateIndexValueDate(IborIndex,X948,Trigger)</f>
        <v>45785</v>
      </c>
      <c r="Z948" s="199">
        <v>3.0294237240214295E-2</v>
      </c>
      <c r="AA948" s="201">
        <v>3.0221009433510915E-2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45790</v>
      </c>
      <c r="Y949" s="198">
        <f>_xll.qlInterestRateIndexValueDate(IborIndex,X949,Trigger)</f>
        <v>45792</v>
      </c>
      <c r="Z949" s="199">
        <v>3.0314634947914698E-2</v>
      </c>
      <c r="AA949" s="201">
        <v>3.0241774539305766E-2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45797</v>
      </c>
      <c r="Y950" s="198">
        <f>_xll.qlInterestRateIndexValueDate(IborIndex,X950,Trigger)</f>
        <v>45799</v>
      </c>
      <c r="Z950" s="199">
        <v>3.0334792471322647E-2</v>
      </c>
      <c r="AA950" s="201">
        <v>3.0265212050757384E-2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45804</v>
      </c>
      <c r="Y951" s="198">
        <f>_xll.qlInterestRateIndexValueDate(IborIndex,X951,Trigger)</f>
        <v>45806</v>
      </c>
      <c r="Z951" s="199">
        <v>3.0354693034217728E-2</v>
      </c>
      <c r="AA951" s="201">
        <v>3.0282570476893866E-2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45811</v>
      </c>
      <c r="Y952" s="198">
        <f>_xll.qlInterestRateIndexValueDate(IborIndex,X952,Trigger)</f>
        <v>45813</v>
      </c>
      <c r="Z952" s="199">
        <v>3.0374336635236032E-2</v>
      </c>
      <c r="AA952" s="201">
        <v>3.0302583957606544E-2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45818</v>
      </c>
      <c r="Y953" s="198">
        <f>_xll.qlInterestRateIndexValueDate(IborIndex,X953,Trigger)</f>
        <v>45820</v>
      </c>
      <c r="Z953" s="199">
        <v>3.0393723273036133E-2</v>
      </c>
      <c r="AA953" s="201">
        <v>3.0322341112798412E-2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45825</v>
      </c>
      <c r="Y954" s="198">
        <f>_xll.qlInterestRateIndexValueDate(IborIndex,X954,Trigger)</f>
        <v>45827</v>
      </c>
      <c r="Z954" s="199">
        <v>3.0412852946296587E-2</v>
      </c>
      <c r="AA954" s="201">
        <v>3.0341841942629344E-2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45832</v>
      </c>
      <c r="Y955" s="198">
        <f>_xll.qlInterestRateIndexValueDate(IborIndex,X955,Trigger)</f>
        <v>45834</v>
      </c>
      <c r="Z955" s="199">
        <v>3.0431725653705943E-2</v>
      </c>
      <c r="AA955" s="201">
        <v>3.0361086446779595E-2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45839</v>
      </c>
      <c r="Y956" s="198">
        <f>_xll.qlInterestRateIndexValueDate(IborIndex,X956,Trigger)</f>
        <v>45841</v>
      </c>
      <c r="Z956" s="199">
        <v>3.0450341393975233E-2</v>
      </c>
      <c r="AA956" s="201">
        <v>3.0380074625488973E-2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45846</v>
      </c>
      <c r="Y957" s="198">
        <f>_xll.qlInterestRateIndexValueDate(IborIndex,X957,Trigger)</f>
        <v>45848</v>
      </c>
      <c r="Z957" s="199">
        <v>3.0468700165830476E-2</v>
      </c>
      <c r="AA957" s="201">
        <v>3.039880647851767E-2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45853</v>
      </c>
      <c r="Y958" s="198">
        <f>_xll.qlInterestRateIndexValueDate(IborIndex,X958,Trigger)</f>
        <v>45855</v>
      </c>
      <c r="Z958" s="199">
        <v>3.048680196802267E-2</v>
      </c>
      <c r="AA958" s="201">
        <v>3.0417282005785751E-2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45860</v>
      </c>
      <c r="Y959" s="198">
        <f>_xll.qlInterestRateIndexValueDate(IborIndex,X959,Trigger)</f>
        <v>45862</v>
      </c>
      <c r="Z959" s="199">
        <v>3.0507188775400387E-2</v>
      </c>
      <c r="AA959" s="201">
        <v>3.0435501207612958E-2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45867</v>
      </c>
      <c r="Y960" s="198">
        <f>_xll.qlInterestRateIndexValueDate(IborIndex,X960,Trigger)</f>
        <v>45869</v>
      </c>
      <c r="Z960" s="199">
        <v>3.0514650537381845E-2</v>
      </c>
      <c r="AA960" s="201">
        <v>3.0453464083519677E-2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45874</v>
      </c>
      <c r="Y961" s="198">
        <f>_xll.qlInterestRateIndexValueDate(IborIndex,X961,Trigger)</f>
        <v>45876</v>
      </c>
      <c r="Z961" s="199">
        <v>3.0539565544310809E-2</v>
      </c>
      <c r="AA961" s="201">
        <v>3.0471170633665778E-2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45881</v>
      </c>
      <c r="Y962" s="198">
        <f>_xll.qlInterestRateIndexValueDate(IborIndex,X962,Trigger)</f>
        <v>45883</v>
      </c>
      <c r="Z962" s="199">
        <v>3.0556639455638079E-2</v>
      </c>
      <c r="AA962" s="201">
        <v>3.0488620858051263E-2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45888</v>
      </c>
      <c r="Y963" s="198">
        <f>_xll.qlInterestRateIndexValueDate(IborIndex,X963,Trigger)</f>
        <v>45890</v>
      </c>
      <c r="Z963" s="199">
        <v>3.0573456391287113E-2</v>
      </c>
      <c r="AA963" s="201">
        <v>3.0508250103240542E-2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45895</v>
      </c>
      <c r="Y964" s="198">
        <f>_xll.qlInterestRateIndexValueDate(IborIndex,X964,Trigger)</f>
        <v>45897</v>
      </c>
      <c r="Z964" s="199">
        <v>3.0590016350111326E-2</v>
      </c>
      <c r="AA964" s="201">
        <v>3.0522752329300573E-2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45902</v>
      </c>
      <c r="Y965" s="198">
        <f>_xll.qlInterestRateIndexValueDate(IborIndex,X965,Trigger)</f>
        <v>45904</v>
      </c>
      <c r="Z965" s="199">
        <v>3.0606319330976628E-2</v>
      </c>
      <c r="AA965" s="201">
        <v>3.0539433576004527E-2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45909</v>
      </c>
      <c r="Y966" s="198">
        <f>_xll.qlInterestRateIndexValueDate(IborIndex,X966,Trigger)</f>
        <v>45911</v>
      </c>
      <c r="Z966" s="199">
        <v>3.0624788791089524E-2</v>
      </c>
      <c r="AA966" s="201">
        <v>3.0555858496787991E-2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45916</v>
      </c>
      <c r="Y967" s="198">
        <f>_xll.qlInterestRateIndexValueDate(IborIndex,X967,Trigger)</f>
        <v>45918</v>
      </c>
      <c r="Z967" s="199">
        <v>3.0638154354394043E-2</v>
      </c>
      <c r="AA967" s="201">
        <v>3.057202709157103E-2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45923</v>
      </c>
      <c r="Y968" s="198">
        <f>_xll.qlInterestRateIndexValueDate(IborIndex,X968,Trigger)</f>
        <v>45925</v>
      </c>
      <c r="Z968" s="199">
        <v>3.0653686394767898E-2</v>
      </c>
      <c r="AA968" s="201">
        <v>3.0587939360353644E-2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45930</v>
      </c>
      <c r="Y969" s="198">
        <f>_xll.qlInterestRateIndexValueDate(IborIndex,X969,Trigger)</f>
        <v>45932</v>
      </c>
      <c r="Z969" s="199">
        <v>3.0668961452836319E-2</v>
      </c>
      <c r="AA969" s="201">
        <v>3.0603595303055897E-2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45937</v>
      </c>
      <c r="Y970" s="198">
        <f>_xll.qlInterestRateIndexValueDate(IborIndex,X970,Trigger)</f>
        <v>45939</v>
      </c>
      <c r="Z970" s="199">
        <v>3.0683979527545147E-2</v>
      </c>
      <c r="AA970" s="201">
        <v>3.0618994919677789E-2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45944</v>
      </c>
      <c r="Y971" s="198">
        <f>_xll.qlInterestRateIndexValueDate(IborIndex,X971,Trigger)</f>
        <v>45946</v>
      </c>
      <c r="Z971" s="199">
        <v>3.0698740617880194E-2</v>
      </c>
      <c r="AA971" s="201">
        <v>3.0634138210139383E-2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45951</v>
      </c>
      <c r="Y972" s="198">
        <f>_xll.qlInterestRateIndexValueDate(IborIndex,X972,Trigger)</f>
        <v>45953</v>
      </c>
      <c r="Z972" s="199">
        <v>3.0713244722822275E-2</v>
      </c>
      <c r="AA972" s="201">
        <v>3.0649025174520617E-2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45958</v>
      </c>
      <c r="Y973" s="198">
        <f>_xll.qlInterestRateIndexValueDate(IborIndex,X973,Trigger)</f>
        <v>45960</v>
      </c>
      <c r="Z973" s="199">
        <v>3.072057111323067E-2</v>
      </c>
      <c r="AA973" s="201">
        <v>3.0663655812661617E-2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45965</v>
      </c>
      <c r="Y974" s="198">
        <f>_xll.qlInterestRateIndexValueDate(IborIndex,X974,Trigger)</f>
        <v>45967</v>
      </c>
      <c r="Z974" s="199">
        <v>3.0741481972593188E-2</v>
      </c>
      <c r="AA974" s="201">
        <v>3.0678030124642319E-2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45972</v>
      </c>
      <c r="Y975" s="198">
        <f>_xll.qlInterestRateIndexValueDate(IborIndex,X975,Trigger)</f>
        <v>45974</v>
      </c>
      <c r="Z975" s="199">
        <v>3.0755215115491064E-2</v>
      </c>
      <c r="AA975" s="201">
        <v>3.0692148110302853E-2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45979</v>
      </c>
      <c r="Y976" s="198">
        <f>_xll.qlInterestRateIndexValueDate(IborIndex,X976,Trigger)</f>
        <v>45981</v>
      </c>
      <c r="Z976" s="199">
        <v>3.0768691269139059E-2</v>
      </c>
      <c r="AA976" s="201">
        <v>3.0706009769723153E-2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45986</v>
      </c>
      <c r="Y977" s="198">
        <f>_xll.qlInterestRateIndexValueDate(IborIndex,X977,Trigger)</f>
        <v>45989</v>
      </c>
      <c r="Z977" s="199">
        <v>3.0786010555169083E-2</v>
      </c>
      <c r="AA977" s="201">
        <v>3.0721537797147036E-2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45993</v>
      </c>
      <c r="Y978" s="198">
        <f>_xll.qlInterestRateIndexValueDate(IborIndex,X978,Trigger)</f>
        <v>45995</v>
      </c>
      <c r="Z978" s="199">
        <v>3.0794872605023338E-2</v>
      </c>
      <c r="AA978" s="201">
        <v>3.0732964109523309E-2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46000</v>
      </c>
      <c r="Y979" s="198">
        <f>_xll.qlInterestRateIndexValueDate(IborIndex,X979,Trigger)</f>
        <v>46002</v>
      </c>
      <c r="Z979" s="199">
        <v>3.0807577785468554E-2</v>
      </c>
      <c r="AA979" s="201">
        <v>3.0746056789903164E-2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46007</v>
      </c>
      <c r="Y980" s="198">
        <f>_xll.qlInterestRateIndexValueDate(IborIndex,X980,Trigger)</f>
        <v>46009</v>
      </c>
      <c r="Z980" s="199">
        <v>3.0822209267984201E-2</v>
      </c>
      <c r="AA980" s="201">
        <v>3.0758893143882915E-2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46014</v>
      </c>
      <c r="Y981" s="198">
        <f>_xll.qlInterestRateIndexValueDate(IborIndex,X981,Trigger)</f>
        <v>46020</v>
      </c>
      <c r="Z981" s="199">
        <v>3.0836910573841882E-2</v>
      </c>
      <c r="AA981" s="201">
        <v>3.077721875942796E-2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46021</v>
      </c>
      <c r="Y982" s="198">
        <f>_xll.qlInterestRateIndexValueDate(IborIndex,X982,Trigger)</f>
        <v>46024</v>
      </c>
      <c r="Z982" s="199">
        <v>3.0843687578195708E-2</v>
      </c>
      <c r="AA982" s="201">
        <v>3.0785536476702902E-2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46028</v>
      </c>
      <c r="Y983" s="198">
        <f>_xll.qlInterestRateIndexValueDate(IborIndex,X983,Trigger)</f>
        <v>46030</v>
      </c>
      <c r="Z983" s="199">
        <v>3.0855828570558463E-2</v>
      </c>
      <c r="AA983" s="201">
        <v>3.0795864247261662E-2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46035</v>
      </c>
      <c r="Y984" s="198">
        <f>_xll.qlInterestRateIndexValueDate(IborIndex,X984,Trigger)</f>
        <v>46037</v>
      </c>
      <c r="Z984" s="199">
        <v>3.0869362680484874E-2</v>
      </c>
      <c r="AA984" s="201">
        <v>3.0807675295401182E-2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46042</v>
      </c>
      <c r="Y985" s="198">
        <f>_xll.qlInterestRateIndexValueDate(IborIndex,X985,Trigger)</f>
        <v>46044</v>
      </c>
      <c r="Z985" s="199">
        <v>3.0878411989603283E-2</v>
      </c>
      <c r="AA985" s="201">
        <v>3.0819230016980725E-2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46049</v>
      </c>
      <c r="Y986" s="198">
        <f>_xll.qlInterestRateIndexValueDate(IborIndex,X986,Trigger)</f>
        <v>46051</v>
      </c>
      <c r="Z986" s="199">
        <v>3.088307171997794E-2</v>
      </c>
      <c r="AA986" s="201">
        <v>3.0830528412080227E-2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46056</v>
      </c>
      <c r="Y987" s="198">
        <f>_xll.qlInterestRateIndexValueDate(IborIndex,X987,Trigger)</f>
        <v>46058</v>
      </c>
      <c r="Z987" s="199">
        <v>3.08917054431498E-2</v>
      </c>
      <c r="AA987" s="201">
        <v>3.0841570480539815E-2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46063</v>
      </c>
      <c r="Y988" s="198">
        <f>_xll.qlInterestRateIndexValueDate(IborIndex,X988,Trigger)</f>
        <v>46065</v>
      </c>
      <c r="Z988" s="199">
        <v>3.0902167499519604E-2</v>
      </c>
      <c r="AA988" s="201">
        <v>3.0852356222519361E-2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46070</v>
      </c>
      <c r="Y989" s="198">
        <f>_xll.qlInterestRateIndexValueDate(IborIndex,X989,Trigger)</f>
        <v>46072</v>
      </c>
      <c r="Z989" s="199">
        <v>3.0912372643175447E-2</v>
      </c>
      <c r="AA989" s="201">
        <v>3.0862885637699122E-2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46077</v>
      </c>
      <c r="Y990" s="198">
        <f>_xll.qlInterestRateIndexValueDate(IborIndex,X990,Trigger)</f>
        <v>46079</v>
      </c>
      <c r="Z990" s="199">
        <v>3.0922320873503533E-2</v>
      </c>
      <c r="AA990" s="201">
        <v>3.0873158726398842E-2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46084</v>
      </c>
      <c r="Y991" s="198">
        <f>_xll.qlInterestRateIndexValueDate(IborIndex,X991,Trigger)</f>
        <v>46086</v>
      </c>
      <c r="Z991" s="199">
        <v>3.0941985907165695E-2</v>
      </c>
      <c r="AA991" s="201">
        <v>3.0883175488378711E-2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46091</v>
      </c>
      <c r="Y992" s="198">
        <f>_xll.qlInterestRateIndexValueDate(IborIndex,X992,Trigger)</f>
        <v>46093</v>
      </c>
      <c r="Z992" s="199">
        <v>3.0949358491841328E-2</v>
      </c>
      <c r="AA992" s="201">
        <v>3.0892935923558795E-2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46098</v>
      </c>
      <c r="Y993" s="198">
        <f>_xll.qlInterestRateIndexValueDate(IborIndex,X993,Trigger)</f>
        <v>46100</v>
      </c>
      <c r="Z993" s="199">
        <v>3.0958465701670101E-2</v>
      </c>
      <c r="AA993" s="201">
        <v>3.0902440032178902E-2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46105</v>
      </c>
      <c r="Y994" s="198">
        <f>_xll.qlInterestRateIndexValueDate(IborIndex,X994,Trigger)</f>
        <v>46107</v>
      </c>
      <c r="Z994" s="199">
        <v>3.0967315908357607E-2</v>
      </c>
      <c r="AA994" s="201">
        <v>3.0911687813999222E-2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46112</v>
      </c>
      <c r="Y995" s="198">
        <f>_xll.qlInterestRateIndexValueDate(IborIndex,X995,Trigger)</f>
        <v>46114</v>
      </c>
      <c r="Z995" s="199">
        <v>3.0977830387574977E-2</v>
      </c>
      <c r="AA995" s="201">
        <v>3.0923201175863113E-2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46119</v>
      </c>
      <c r="Y996" s="198">
        <f>_xll.qlInterestRateIndexValueDate(IborIndex,X996,Trigger)</f>
        <v>46121</v>
      </c>
      <c r="Z996" s="199">
        <v>3.0984245309913228E-2</v>
      </c>
      <c r="AA996" s="201">
        <v>3.0929414397480315E-2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46126</v>
      </c>
      <c r="Y997" s="198">
        <f>_xll.qlInterestRateIndexValueDate(IborIndex,X997,Trigger)</f>
        <v>46128</v>
      </c>
      <c r="Z997" s="199">
        <v>3.0992324503622271E-2</v>
      </c>
      <c r="AA997" s="201">
        <v>3.0937893198901278E-2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46133</v>
      </c>
      <c r="Y998" s="198">
        <f>_xll.qlInterestRateIndexValueDate(IborIndex,X998,Trigger)</f>
        <v>46135</v>
      </c>
      <c r="Z998" s="199">
        <v>3.1002014974419661E-2</v>
      </c>
      <c r="AA998" s="201">
        <v>3.0946115673682328E-2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46140</v>
      </c>
      <c r="Y999" s="198">
        <f>_xll.qlInterestRateIndexValueDate(IborIndex,X999,Trigger)</f>
        <v>46142</v>
      </c>
      <c r="Z999" s="199">
        <v>3.1002150656617423E-2</v>
      </c>
      <c r="AA999" s="201">
        <v>3.0955198918078963E-2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46147</v>
      </c>
      <c r="Y1000" s="198">
        <f>_xll.qlInterestRateIndexValueDate(IborIndex,X1000,Trigger)</f>
        <v>46149</v>
      </c>
      <c r="Z1000" s="199">
        <v>3.1015020049897091E-2</v>
      </c>
      <c r="AA1000" s="201">
        <v>3.0961791642685199E-2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46154</v>
      </c>
      <c r="Y1001" s="198">
        <f>_xll.qlInterestRateIndexValueDate(IborIndex,X1001,Trigger)</f>
        <v>46156</v>
      </c>
      <c r="Z1001" s="199">
        <v>3.1022071218650971E-2</v>
      </c>
      <c r="AA1001" s="201">
        <v>3.096924513690702E-2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46161</v>
      </c>
      <c r="Y1002" s="198">
        <f>_xll.qlInterestRateIndexValueDate(IborIndex,X1002,Trigger)</f>
        <v>46163</v>
      </c>
      <c r="Z1002" s="199">
        <v>3.1028865379914561E-2</v>
      </c>
      <c r="AA1002" s="201">
        <v>3.0977449546298885E-2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46168</v>
      </c>
      <c r="Y1003" s="198">
        <f>_xll.qlInterestRateIndexValueDate(IborIndex,X1003,Trigger)</f>
        <v>46170</v>
      </c>
      <c r="Z1003" s="199">
        <v>3.1035402533225731E-2</v>
      </c>
      <c r="AA1003" s="201">
        <v>3.098338314463156E-2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46175</v>
      </c>
      <c r="Y1004" s="198">
        <f>_xll.qlInterestRateIndexValueDate(IborIndex,X1004,Trigger)</f>
        <v>46177</v>
      </c>
      <c r="Z1004" s="199">
        <v>3.1041682678139837E-2</v>
      </c>
      <c r="AA1004" s="201">
        <v>3.0990067658214215E-2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46182</v>
      </c>
      <c r="Y1005" s="198">
        <f>_xll.qlInterestRateIndexValueDate(IborIndex,X1005,Trigger)</f>
        <v>46184</v>
      </c>
      <c r="Z1005" s="199">
        <v>3.1047705814222226E-2</v>
      </c>
      <c r="AA1005" s="201">
        <v>3.0996495844837213E-2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46189</v>
      </c>
      <c r="Y1006" s="198">
        <f>_xll.qlInterestRateIndexValueDate(IborIndex,X1006,Trigger)</f>
        <v>46191</v>
      </c>
      <c r="Z1006" s="199">
        <v>3.1053471941070721E-2</v>
      </c>
      <c r="AA1006" s="201">
        <v>3.1002667704580489E-2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46196</v>
      </c>
      <c r="Y1007" s="198">
        <f>_xll.qlInterestRateIndexValueDate(IborIndex,X1007,Trigger)</f>
        <v>46198</v>
      </c>
      <c r="Z1007" s="199">
        <v>3.1058981058280644E-2</v>
      </c>
      <c r="AA1007" s="201">
        <v>3.1008583237284171E-2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46203</v>
      </c>
      <c r="Y1008" s="198">
        <f>_xll.qlInterestRateIndexValueDate(IborIndex,X1008,Trigger)</f>
        <v>46205</v>
      </c>
      <c r="Z1008" s="199">
        <v>3.1064233165482291E-2</v>
      </c>
      <c r="AA1008" s="201">
        <v>3.1014242443108131E-2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46210</v>
      </c>
      <c r="Y1009" s="198">
        <f>_xll.qlInterestRateIndexValueDate(IborIndex,X1009,Trigger)</f>
        <v>46212</v>
      </c>
      <c r="Z1009" s="199">
        <v>3.1069228262313453E-2</v>
      </c>
      <c r="AA1009" s="201">
        <v>3.1019645321972433E-2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46217</v>
      </c>
      <c r="Y1010" s="198">
        <f>_xll.qlInterestRateIndexValueDate(IborIndex,X1010,Trigger)</f>
        <v>46219</v>
      </c>
      <c r="Z1010" s="199">
        <v>3.1073966348434401E-2</v>
      </c>
      <c r="AA1010" s="201">
        <v>3.1024791873797142E-2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46224</v>
      </c>
      <c r="Y1011" s="198">
        <f>_xll.qlInterestRateIndexValueDate(IborIndex,X1011,Trigger)</f>
        <v>46226</v>
      </c>
      <c r="Z1011" s="199">
        <v>3.1078447423522892E-2</v>
      </c>
      <c r="AA1011" s="201">
        <v>3.1029682098742128E-2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46231</v>
      </c>
      <c r="Y1012" s="198">
        <f>_xll.qlInterestRateIndexValueDate(IborIndex,X1012,Trigger)</f>
        <v>46233</v>
      </c>
      <c r="Z1012" s="199">
        <v>3.1077806676640011E-2</v>
      </c>
      <c r="AA1012" s="201">
        <v>3.1034315996567585E-2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46238</v>
      </c>
      <c r="Y1013" s="198">
        <f>_xll.qlInterestRateIndexValueDate(IborIndex,X1013,Trigger)</f>
        <v>46240</v>
      </c>
      <c r="Z1013" s="199">
        <v>3.1088238879485211E-2</v>
      </c>
      <c r="AA1013" s="201">
        <v>3.1038693567433384E-2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46245</v>
      </c>
      <c r="Y1014" s="198">
        <f>_xll.qlInterestRateIndexValueDate(IborIndex,X1014,Trigger)</f>
        <v>46247</v>
      </c>
      <c r="Z1014" s="199">
        <v>3.1090348579596028E-2</v>
      </c>
      <c r="AA1014" s="201">
        <v>3.1042814811259589E-2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46252</v>
      </c>
      <c r="Y1015" s="198">
        <f>_xll.qlInterestRateIndexValueDate(IborIndex,X1015,Trigger)</f>
        <v>46254</v>
      </c>
      <c r="Z1015" s="199">
        <v>3.1093801607657012E-2</v>
      </c>
      <c r="AA1015" s="201">
        <v>3.10466797280462E-2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46259</v>
      </c>
      <c r="Y1016" s="198">
        <f>_xll.qlInterestRateIndexValueDate(IborIndex,X1016,Trigger)</f>
        <v>46261</v>
      </c>
      <c r="Z1016" s="199">
        <v>3.1096997623326628E-2</v>
      </c>
      <c r="AA1016" s="201">
        <v>3.1050782906003604E-2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46266</v>
      </c>
      <c r="Y1017" s="198">
        <f>_xll.qlInterestRateIndexValueDate(IborIndex,X1017,Trigger)</f>
        <v>46268</v>
      </c>
      <c r="Z1017" s="199">
        <v>3.1099936626387548E-2</v>
      </c>
      <c r="AA1017" s="201">
        <v>3.1053640580500641E-2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46273</v>
      </c>
      <c r="Y1018" s="198">
        <f>_xll.qlInterestRateIndexValueDate(IborIndex,X1018,Trigger)</f>
        <v>46275</v>
      </c>
      <c r="Z1018" s="199">
        <v>3.1104128537055527E-2</v>
      </c>
      <c r="AA1018" s="201">
        <v>3.1056736516168471E-2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46280</v>
      </c>
      <c r="Y1019" s="198">
        <f>_xll.qlInterestRateIndexValueDate(IborIndex,X1019,Trigger)</f>
        <v>46282</v>
      </c>
      <c r="Z1019" s="199">
        <v>3.1105043593898929E-2</v>
      </c>
      <c r="AA1019" s="201">
        <v>3.1059576124796706E-2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46287</v>
      </c>
      <c r="Y1020" s="198">
        <f>_xll.qlInterestRateIndexValueDate(IborIndex,X1020,Trigger)</f>
        <v>46289</v>
      </c>
      <c r="Z1020" s="199">
        <v>3.110721155799967E-2</v>
      </c>
      <c r="AA1020" s="201">
        <v>3.1062159406385348E-2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46294</v>
      </c>
      <c r="Y1021" s="198">
        <f>_xll.qlInterestRateIndexValueDate(IborIndex,X1021,Trigger)</f>
        <v>46296</v>
      </c>
      <c r="Z1021" s="199">
        <v>3.1109122508789777E-2</v>
      </c>
      <c r="AA1021" s="201">
        <v>3.1064486360934396E-2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46301</v>
      </c>
      <c r="Y1022" s="198">
        <f>_xll.qlInterestRateIndexValueDate(IborIndex,X1022,Trigger)</f>
        <v>46303</v>
      </c>
      <c r="Z1022" s="199">
        <v>3.111077644614435E-2</v>
      </c>
      <c r="AA1022" s="201">
        <v>3.1066556988283978E-2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46308</v>
      </c>
      <c r="Y1023" s="198">
        <f>_xll.qlInterestRateIndexValueDate(IborIndex,X1023,Trigger)</f>
        <v>46310</v>
      </c>
      <c r="Z1023" s="199">
        <v>3.1112173369948481E-2</v>
      </c>
      <c r="AA1023" s="201">
        <v>3.1068371288673902E-2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46315</v>
      </c>
      <c r="Y1024" s="198">
        <f>_xll.qlInterestRateIndexValueDate(IborIndex,X1024,Trigger)</f>
        <v>46317</v>
      </c>
      <c r="Z1024" s="199">
        <v>3.1113313280109745E-2</v>
      </c>
      <c r="AA1024" s="201">
        <v>3.106992926186436E-2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46322</v>
      </c>
      <c r="Y1025" s="198">
        <f>_xll.qlInterestRateIndexValueDate(IborIndex,X1025,Trigger)</f>
        <v>46324</v>
      </c>
      <c r="Z1025" s="199">
        <v>3.1114196176545705E-2</v>
      </c>
      <c r="AA1025" s="201">
        <v>3.1071230908015224E-2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46329</v>
      </c>
      <c r="Y1026" s="198">
        <f>_xll.qlInterestRateIndexValueDate(IborIndex,X1026,Trigger)</f>
        <v>46331</v>
      </c>
      <c r="Z1026" s="199">
        <v>3.1114822059196412E-2</v>
      </c>
      <c r="AA1026" s="201">
        <v>3.1072276227126494E-2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46336</v>
      </c>
      <c r="Y1027" s="198">
        <f>_xll.qlInterestRateIndexValueDate(IborIndex,X1027,Trigger)</f>
        <v>46338</v>
      </c>
      <c r="Z1027" s="199">
        <v>3.11151909280169E-2</v>
      </c>
      <c r="AA1027" s="201">
        <v>3.1073065219118234E-2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46343</v>
      </c>
      <c r="Y1028" s="198">
        <f>_xll.qlInterestRateIndexValueDate(IborIndex,X1028,Trigger)</f>
        <v>46345</v>
      </c>
      <c r="Z1028" s="199">
        <v>3.1115302782987186E-2</v>
      </c>
      <c r="AA1028" s="201">
        <v>3.1073597883990445E-2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46350</v>
      </c>
      <c r="Y1029" s="198">
        <f>_xll.qlInterestRateIndexValueDate(IborIndex,X1029,Trigger)</f>
        <v>46353</v>
      </c>
      <c r="Z1029" s="199">
        <v>3.1115115906392987E-2</v>
      </c>
      <c r="AA1029" s="201">
        <v>3.1073892773942902E-2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46357</v>
      </c>
      <c r="Y1030" s="198">
        <f>_xll.qlInterestRateIndexValueDate(IborIndex,X1030,Trigger)</f>
        <v>46359</v>
      </c>
      <c r="Z1030" s="199">
        <v>3.1114755451364662E-2</v>
      </c>
      <c r="AA1030" s="201">
        <v>3.1073894232456212E-2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46364</v>
      </c>
      <c r="Y1031" s="198">
        <f>_xll.qlInterestRateIndexValueDate(IborIndex,X1031,Trigger)</f>
        <v>46366</v>
      </c>
      <c r="Z1031" s="199">
        <v>3.1114096264801827E-2</v>
      </c>
      <c r="AA1031" s="201">
        <v>3.1073657916049768E-2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46371</v>
      </c>
      <c r="Y1032" s="198">
        <f>_xll.qlInterestRateIndexValueDate(IborIndex,X1032,Trigger)</f>
        <v>46373</v>
      </c>
      <c r="Z1032" s="199">
        <v>3.1114433860447738E-2</v>
      </c>
      <c r="AA1032" s="201">
        <v>3.1073165272603731E-2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46378</v>
      </c>
      <c r="Y1033" s="198">
        <f>_xll.qlInterestRateIndexValueDate(IborIndex,X1033,Trigger)</f>
        <v>46380</v>
      </c>
      <c r="Z1033" s="199">
        <v>3.1112006850407825E-2</v>
      </c>
      <c r="AA1033" s="201">
        <v>3.1072155229914245E-2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46385</v>
      </c>
      <c r="Y1034" s="198">
        <f>_xll.qlInterestRateIndexValueDate(IborIndex,X1034,Trigger)</f>
        <v>46387</v>
      </c>
      <c r="Z1034" s="199">
        <v>3.1106915912414931E-2</v>
      </c>
      <c r="AA1034" s="201">
        <v>3.1071246465650404E-2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46392</v>
      </c>
      <c r="Y1035" s="198">
        <f>_xll.qlInterestRateIndexValueDate(IborIndex,X1035,Trigger)</f>
        <v>46394</v>
      </c>
      <c r="Z1035" s="199">
        <v>3.1108889381494809E-2</v>
      </c>
      <c r="AA1035" s="201">
        <v>3.1070149379468504E-2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46399</v>
      </c>
      <c r="Y1036" s="198">
        <f>_xll.qlInterestRateIndexValueDate(IborIndex,X1036,Trigger)</f>
        <v>46401</v>
      </c>
      <c r="Z1036" s="199">
        <v>3.1108124945987796E-2</v>
      </c>
      <c r="AA1036" s="201">
        <v>3.1068631427624283E-2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46406</v>
      </c>
      <c r="Y1037" s="198">
        <f>_xll.qlInterestRateIndexValueDate(IborIndex,X1037,Trigger)</f>
        <v>46408</v>
      </c>
      <c r="Z1037" s="199">
        <v>3.1104743858912098E-2</v>
      </c>
      <c r="AA1037" s="201">
        <v>3.1066857148660532E-2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46413</v>
      </c>
      <c r="Y1038" s="198">
        <f>_xll.qlInterestRateIndexValueDate(IborIndex,X1038,Trigger)</f>
        <v>46415</v>
      </c>
      <c r="Z1038" s="199">
        <v>3.1098847253589714E-2</v>
      </c>
      <c r="AA1038" s="201">
        <v>3.1064826542657187E-2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46420</v>
      </c>
      <c r="Y1039" s="198">
        <f>_xll.qlInterestRateIndexValueDate(IborIndex,X1039,Trigger)</f>
        <v>46422</v>
      </c>
      <c r="Z1039" s="199">
        <v>3.1095056786442563E-2</v>
      </c>
      <c r="AA1039" s="201">
        <v>3.1062539609534312E-2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46427</v>
      </c>
      <c r="Y1040" s="198">
        <f>_xll.qlInterestRateIndexValueDate(IborIndex,X1040,Trigger)</f>
        <v>46429</v>
      </c>
      <c r="Z1040" s="199">
        <v>3.1092158911939345E-2</v>
      </c>
      <c r="AA1040" s="201">
        <v>3.1059996349371843E-2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46434</v>
      </c>
      <c r="Y1041" s="198">
        <f>_xll.qlInterestRateIndexValueDate(IborIndex,X1041,Trigger)</f>
        <v>46436</v>
      </c>
      <c r="Z1041" s="199">
        <v>3.1089004113356973E-2</v>
      </c>
      <c r="AA1041" s="201">
        <v>3.1057196762169781E-2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46441</v>
      </c>
      <c r="Y1042" s="198">
        <f>_xll.qlInterestRateIndexValueDate(IborIndex,X1042,Trigger)</f>
        <v>46443</v>
      </c>
      <c r="Z1042" s="199">
        <v>3.1085592390889576E-2</v>
      </c>
      <c r="AA1042" s="201">
        <v>3.1054140847928124E-2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46448</v>
      </c>
      <c r="Y1043" s="198">
        <f>_xll.qlInterestRateIndexValueDate(IborIndex,X1043,Trigger)</f>
        <v>46450</v>
      </c>
      <c r="Z1043" s="199">
        <v>3.108613898189061E-2</v>
      </c>
      <c r="AA1043" s="201">
        <v>3.1050828606487002E-2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46455</v>
      </c>
      <c r="Y1044" s="198">
        <f>_xll.qlInterestRateIndexValueDate(IborIndex,X1044,Trigger)</f>
        <v>46457</v>
      </c>
      <c r="Z1044" s="199">
        <v>3.1082138626131461E-2</v>
      </c>
      <c r="AA1044" s="201">
        <v>3.1047260038166158E-2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46462</v>
      </c>
      <c r="Y1045" s="198">
        <f>_xll.qlInterestRateIndexValueDate(IborIndex,X1045,Trigger)</f>
        <v>46464</v>
      </c>
      <c r="Z1045" s="199">
        <v>3.1077881258777806E-2</v>
      </c>
      <c r="AA1045" s="201">
        <v>3.1043435142645848E-2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46469</v>
      </c>
      <c r="Y1046" s="198">
        <f>_xll.qlInterestRateIndexValueDate(IborIndex,X1046,Trigger)</f>
        <v>46471</v>
      </c>
      <c r="Z1046" s="199">
        <v>3.1073366880121911E-2</v>
      </c>
      <c r="AA1046" s="201">
        <v>3.1038140776180612E-2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46476</v>
      </c>
      <c r="Y1047" s="198">
        <f>_xll.qlInterestRateIndexValueDate(IborIndex,X1047,Trigger)</f>
        <v>46478</v>
      </c>
      <c r="Z1047" s="199">
        <v>3.1069570046903555E-2</v>
      </c>
      <c r="AA1047" s="201">
        <v>3.1035016370646318E-2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46483</v>
      </c>
      <c r="Y1048" s="198">
        <f>_xll.qlInterestRateIndexValueDate(IborIndex,X1048,Trigger)</f>
        <v>46485</v>
      </c>
      <c r="Z1048" s="199">
        <v>3.1063567090157396E-2</v>
      </c>
      <c r="AA1048" s="201">
        <v>3.1030422494247034E-2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46490</v>
      </c>
      <c r="Y1049" s="198">
        <f>_xll.qlInterestRateIndexValueDate(IborIndex,X1049,Trigger)</f>
        <v>46492</v>
      </c>
      <c r="Z1049" s="199">
        <v>3.1058282543577065E-2</v>
      </c>
      <c r="AA1049" s="201">
        <v>3.1025572290808157E-2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46497</v>
      </c>
      <c r="Y1050" s="198">
        <f>_xll.qlInterestRateIndexValueDate(IborIndex,X1050,Trigger)</f>
        <v>46499</v>
      </c>
      <c r="Z1050" s="199">
        <v>3.1052771261174117E-2</v>
      </c>
      <c r="AA1050" s="201">
        <v>3.1020465760249749E-2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46504</v>
      </c>
      <c r="Y1051" s="198">
        <f>_xll.qlInterestRateIndexValueDate(IborIndex,X1051,Trigger)</f>
        <v>46506</v>
      </c>
      <c r="Z1051" s="199">
        <v>3.1044328463621658E-2</v>
      </c>
      <c r="AA1051" s="201">
        <v>3.1014315855664165E-2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46511</v>
      </c>
      <c r="Y1052" s="198">
        <f>_xll.qlInterestRateIndexValueDate(IborIndex,X1052,Trigger)</f>
        <v>46513</v>
      </c>
      <c r="Z1052" s="199">
        <v>3.1041325788142282E-2</v>
      </c>
      <c r="AA1052" s="201">
        <v>3.1009483718333897E-2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46518</v>
      </c>
      <c r="Y1053" s="198">
        <f>_xll.qlInterestRateIndexValueDate(IborIndex,X1053,Trigger)</f>
        <v>46520</v>
      </c>
      <c r="Z1053" s="199">
        <v>3.1035523319049574E-2</v>
      </c>
      <c r="AA1053" s="201">
        <v>3.1003645996587892E-2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46525</v>
      </c>
      <c r="Y1054" s="198">
        <f>_xll.qlInterestRateIndexValueDate(IborIndex,X1054,Trigger)</f>
        <v>46527</v>
      </c>
      <c r="Z1054" s="199">
        <v>3.1029748596556883E-2</v>
      </c>
      <c r="AA1054" s="201">
        <v>3.0997814432636162E-2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46532</v>
      </c>
      <c r="Y1055" s="198">
        <f>_xll.qlInterestRateIndexValueDate(IborIndex,X1055,Trigger)</f>
        <v>46534</v>
      </c>
      <c r="Z1055" s="199">
        <v>3.1024017909739299E-2</v>
      </c>
      <c r="AA1055" s="201">
        <v>3.0991203601233863E-2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46539</v>
      </c>
      <c r="Y1056" s="198">
        <f>_xll.qlInterestRateIndexValueDate(IborIndex,X1056,Trigger)</f>
        <v>46541</v>
      </c>
      <c r="Z1056" s="199">
        <v>3.1019264303717913E-2</v>
      </c>
      <c r="AA1056" s="201">
        <v>3.0986283146869908E-2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46546</v>
      </c>
      <c r="Y1057" s="198">
        <f>_xll.qlInterestRateIndexValueDate(IborIndex,X1057,Trigger)</f>
        <v>46548</v>
      </c>
      <c r="Z1057" s="199">
        <v>3.1012688738855376E-2</v>
      </c>
      <c r="AA1057" s="201">
        <v>3.0980583425135322E-2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46553</v>
      </c>
      <c r="Y1058" s="198">
        <f>_xll.qlInterestRateIndexValueDate(IborIndex,X1058,Trigger)</f>
        <v>46555</v>
      </c>
      <c r="Z1058" s="199">
        <v>3.1007090254656644E-2</v>
      </c>
      <c r="AA1058" s="201">
        <v>3.097492765080645E-2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46560</v>
      </c>
      <c r="Y1059" s="198">
        <f>_xll.qlInterestRateIndexValueDate(IborIndex,X1059,Trigger)</f>
        <v>46562</v>
      </c>
      <c r="Z1059" s="199">
        <v>3.1001535837867633E-2</v>
      </c>
      <c r="AA1059" s="201">
        <v>3.0969315823883292E-2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46567</v>
      </c>
      <c r="Y1060" s="198">
        <f>_xll.qlInterestRateIndexValueDate(IborIndex,X1060,Trigger)</f>
        <v>46569</v>
      </c>
      <c r="Z1060" s="199">
        <v>3.0996025488418399E-2</v>
      </c>
      <c r="AA1060" s="201">
        <v>3.0963747944365849E-2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46574</v>
      </c>
      <c r="Y1061" s="198">
        <f>_xll.qlInterestRateIndexValueDate(IborIndex,X1061,Trigger)</f>
        <v>46576</v>
      </c>
      <c r="Z1061" s="199">
        <v>3.0990559206251489E-2</v>
      </c>
      <c r="AA1061" s="201">
        <v>3.0958224012094249E-2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46581</v>
      </c>
      <c r="Y1062" s="198">
        <f>_xll.qlInterestRateIndexValueDate(IborIndex,X1062,Trigger)</f>
        <v>46583</v>
      </c>
      <c r="Z1062" s="199">
        <v>3.0985136991299456E-2</v>
      </c>
      <c r="AA1062" s="201">
        <v>3.0952744027388235E-2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46588</v>
      </c>
      <c r="Y1063" s="198">
        <f>_xll.qlInterestRateIndexValueDate(IborIndex,X1063,Trigger)</f>
        <v>46590</v>
      </c>
      <c r="Z1063" s="199">
        <v>3.0979758843494853E-2</v>
      </c>
      <c r="AA1063" s="201">
        <v>3.0947307990007999E-2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46595</v>
      </c>
      <c r="Y1064" s="198">
        <f>_xll.qlInterestRateIndexValueDate(IborIndex,X1064,Trigger)</f>
        <v>46597</v>
      </c>
      <c r="Z1064" s="199">
        <v>3.0975379184111744E-2</v>
      </c>
      <c r="AA1064" s="201">
        <v>3.0941915900113415E-2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46602</v>
      </c>
      <c r="Y1065" s="198">
        <f>_xll.qlInterestRateIndexValueDate(IborIndex,X1065,Trigger)</f>
        <v>46604</v>
      </c>
      <c r="Z1065" s="199">
        <v>3.0970091863830748E-2</v>
      </c>
      <c r="AA1065" s="201">
        <v>3.0936567757544609E-2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46609</v>
      </c>
      <c r="Y1066" s="198">
        <f>_xll.qlInterestRateIndexValueDate(IborIndex,X1066,Trigger)</f>
        <v>46611</v>
      </c>
      <c r="Z1066" s="199">
        <v>3.0963888802363615E-2</v>
      </c>
      <c r="AA1066" s="201">
        <v>3.0931263562301581E-2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46616</v>
      </c>
      <c r="Y1067" s="198">
        <f>_xll.qlInterestRateIndexValueDate(IborIndex,X1067,Trigger)</f>
        <v>46618</v>
      </c>
      <c r="Z1067" s="199">
        <v>3.0958686922541723E-2</v>
      </c>
      <c r="AA1067" s="201">
        <v>3.092600331462414E-2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46623</v>
      </c>
      <c r="Y1068" s="198">
        <f>_xll.qlInterestRateIndexValueDate(IborIndex,X1068,Trigger)</f>
        <v>46625</v>
      </c>
      <c r="Z1068" s="199">
        <v>3.0953529109557509E-2</v>
      </c>
      <c r="AA1068" s="201">
        <v>3.092004541596971E-2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46630</v>
      </c>
      <c r="Y1069" s="198">
        <f>_xll.qlInterestRateIndexValueDate(IborIndex,X1069,Trigger)</f>
        <v>46632</v>
      </c>
      <c r="Z1069" s="199">
        <v>3.0948415363353521E-2</v>
      </c>
      <c r="AA1069" s="201">
        <v>3.0915614661166657E-2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46637</v>
      </c>
      <c r="Y1070" s="198">
        <f>_xll.qlInterestRateIndexValueDate(IborIndex,X1070,Trigger)</f>
        <v>46639</v>
      </c>
      <c r="Z1070" s="199">
        <v>3.0944316323488638E-2</v>
      </c>
      <c r="AA1070" s="201">
        <v>3.0910486255546488E-2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46644</v>
      </c>
      <c r="Y1071" s="198">
        <f>_xll.qlInterestRateIndexValueDate(IborIndex,X1071,Trigger)</f>
        <v>46646</v>
      </c>
      <c r="Z1071" s="199">
        <v>3.0938320071051406E-2</v>
      </c>
      <c r="AA1071" s="201">
        <v>3.0905401797252097E-2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46651</v>
      </c>
      <c r="Y1072" s="198">
        <f>_xll.qlInterestRateIndexValueDate(IborIndex,X1072,Trigger)</f>
        <v>46653</v>
      </c>
      <c r="Z1072" s="199">
        <v>3.0933338524833376E-2</v>
      </c>
      <c r="AA1072" s="201">
        <v>3.0900361286443356E-2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46658</v>
      </c>
      <c r="Y1073" s="198">
        <f>_xll.qlInterestRateIndexValueDate(IborIndex,X1073,Trigger)</f>
        <v>46660</v>
      </c>
      <c r="Z1073" s="199">
        <v>3.0925466537841114E-2</v>
      </c>
      <c r="AA1073" s="201">
        <v>3.0895364722880458E-2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46665</v>
      </c>
      <c r="Y1074" s="198">
        <f>_xll.qlInterestRateIndexValueDate(IborIndex,X1074,Trigger)</f>
        <v>46667</v>
      </c>
      <c r="Z1074" s="199">
        <v>3.0923507631971103E-2</v>
      </c>
      <c r="AA1074" s="201">
        <v>3.0890412106803211E-2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46672</v>
      </c>
      <c r="Y1075" s="198">
        <f>_xll.qlInterestRateIndexValueDate(IborIndex,X1075,Trigger)</f>
        <v>46674</v>
      </c>
      <c r="Z1075" s="199">
        <v>3.0918658285209455E-2</v>
      </c>
      <c r="AA1075" s="201">
        <v>3.0885503438051742E-2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46679</v>
      </c>
      <c r="Y1076" s="198">
        <f>_xll.qlInterestRateIndexValueDate(IborIndex,X1076,Trigger)</f>
        <v>46681</v>
      </c>
      <c r="Z1076" s="199">
        <v>3.0913853004820857E-2</v>
      </c>
      <c r="AA1076" s="201">
        <v>3.0880638716705988E-2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46686</v>
      </c>
      <c r="Y1077" s="198">
        <f>_xll.qlInterestRateIndexValueDate(IborIndex,X1077,Trigger)</f>
        <v>46688</v>
      </c>
      <c r="Z1077" s="199">
        <v>3.0909091790750354E-2</v>
      </c>
      <c r="AA1077" s="201">
        <v>3.0875817942765948E-2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46693</v>
      </c>
      <c r="Y1078" s="198">
        <f>_xll.qlInterestRateIndexValueDate(IborIndex,X1078,Trigger)</f>
        <v>46695</v>
      </c>
      <c r="Z1078" s="199">
        <v>3.0904374642935495E-2</v>
      </c>
      <c r="AA1078" s="201">
        <v>3.0871041116071751E-2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46700</v>
      </c>
      <c r="Y1079" s="198">
        <f>_xll.qlInterestRateIndexValueDate(IborIndex,X1079,Trigger)</f>
        <v>46703</v>
      </c>
      <c r="Z1079" s="199">
        <v>3.089804227499339E-2</v>
      </c>
      <c r="AA1079" s="201">
        <v>3.0865635698757998E-2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46707</v>
      </c>
      <c r="Y1080" s="198">
        <f>_xll.qlInterestRateIndexValueDate(IborIndex,X1080,Trigger)</f>
        <v>46709</v>
      </c>
      <c r="Z1080" s="199">
        <v>3.0895072545870372E-2</v>
      </c>
      <c r="AA1080" s="201">
        <v>3.0861619304900501E-2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46714</v>
      </c>
      <c r="Y1081" s="198">
        <f>_xll.qlInterestRateIndexValueDate(IborIndex,X1081,Trigger)</f>
        <v>46717</v>
      </c>
      <c r="Z1081" s="199">
        <v>3.0890837327590279E-2</v>
      </c>
      <c r="AA1081" s="201">
        <v>3.0856314338754132E-2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46721</v>
      </c>
      <c r="Y1082" s="198">
        <f>_xll.qlInterestRateIndexValueDate(IborIndex,X1082,Trigger)</f>
        <v>46723</v>
      </c>
      <c r="Z1082" s="199">
        <v>3.088695020468309E-2</v>
      </c>
      <c r="AA1082" s="201">
        <v>3.0852373283192236E-2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46728</v>
      </c>
      <c r="Y1083" s="198">
        <f>_xll.qlInterestRateIndexValueDate(IborIndex,X1083,Trigger)</f>
        <v>46730</v>
      </c>
      <c r="Z1083" s="199">
        <v>3.088144989585484E-2</v>
      </c>
      <c r="AA1083" s="201">
        <v>3.0847816193366739E-2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46735</v>
      </c>
      <c r="Y1084" s="198">
        <f>_xll.qlInterestRateIndexValueDate(IborIndex,X1084,Trigger)</f>
        <v>46737</v>
      </c>
      <c r="Z1084" s="199">
        <v>3.0878006164941532E-2</v>
      </c>
      <c r="AA1084" s="201">
        <v>3.0843303050867021E-2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46742</v>
      </c>
      <c r="Y1085" s="198">
        <f>_xll.qlInterestRateIndexValueDate(IborIndex,X1085,Trigger)</f>
        <v>46744</v>
      </c>
      <c r="Z1085" s="199">
        <v>3.087258845894808E-2</v>
      </c>
      <c r="AA1085" s="201">
        <v>3.0837565014820711E-2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46750</v>
      </c>
      <c r="Y1086" s="198">
        <f>_xll.qlInterestRateIndexValueDate(IborIndex,X1086,Trigger)</f>
        <v>46756</v>
      </c>
      <c r="Z1086" s="199">
        <v>3.0864117007167447E-2</v>
      </c>
      <c r="AA1086" s="201">
        <v>3.0832525526554022E-2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46757</v>
      </c>
      <c r="Y1087" s="198">
        <f>_xll.qlInterestRateIndexValueDate(IborIndex,X1087,Trigger)</f>
        <v>46759</v>
      </c>
      <c r="Z1087" s="199">
        <v>3.0862272243919481E-2</v>
      </c>
      <c r="AA1087" s="201">
        <v>3.0829404995120768E-2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46764</v>
      </c>
      <c r="Y1088" s="198">
        <f>_xll.qlInterestRateIndexValueDate(IborIndex,X1088,Trigger)</f>
        <v>46766</v>
      </c>
      <c r="Z1088" s="199">
        <v>3.0857999269122263E-2</v>
      </c>
      <c r="AA1088" s="201">
        <v>3.0825073920262014E-2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46771</v>
      </c>
      <c r="Y1089" s="198">
        <f>_xll.qlInterestRateIndexValueDate(IborIndex,X1089,Trigger)</f>
        <v>46773</v>
      </c>
      <c r="Z1089" s="199">
        <v>3.0854793340117093E-2</v>
      </c>
      <c r="AA1089" s="201">
        <v>3.0820786792729038E-2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46778</v>
      </c>
      <c r="Y1090" s="198">
        <f>_xll.qlInterestRateIndexValueDate(IborIndex,X1090,Trigger)</f>
        <v>46780</v>
      </c>
      <c r="Z1090" s="199">
        <v>3.0849585505041976E-2</v>
      </c>
      <c r="AA1090" s="201">
        <v>3.0816543612601777E-2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46785</v>
      </c>
      <c r="Y1091" s="198">
        <f>_xll.qlInterestRateIndexValueDate(IborIndex,X1091,Trigger)</f>
        <v>46787</v>
      </c>
      <c r="Z1091" s="199">
        <v>3.0845444715663497E-2</v>
      </c>
      <c r="AA1091" s="201">
        <v>3.081234437988023E-2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46792</v>
      </c>
      <c r="Y1092" s="198">
        <f>_xll.qlInterestRateIndexValueDate(IborIndex,X1092,Trigger)</f>
        <v>46794</v>
      </c>
      <c r="Z1092" s="199">
        <v>3.0841347987999295E-2</v>
      </c>
      <c r="AA1092" s="201">
        <v>3.080818909432459E-2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46799</v>
      </c>
      <c r="Y1093" s="198">
        <f>_xll.qlInterestRateIndexValueDate(IborIndex,X1093,Trigger)</f>
        <v>46801</v>
      </c>
      <c r="Z1093" s="199">
        <v>3.0837295321997801E-2</v>
      </c>
      <c r="AA1093" s="201">
        <v>3.0804077756174664E-2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46806</v>
      </c>
      <c r="Y1094" s="198">
        <f>_xll.qlInterestRateIndexValueDate(IborIndex,X1094,Trigger)</f>
        <v>46808</v>
      </c>
      <c r="Z1094" s="199">
        <v>3.0833286717615174E-2</v>
      </c>
      <c r="AA1094" s="201">
        <v>3.0800010365430452E-2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46813</v>
      </c>
      <c r="Y1095" s="198">
        <f>_xll.qlInterestRateIndexValueDate(IborIndex,X1095,Trigger)</f>
        <v>46815</v>
      </c>
      <c r="Z1095" s="199">
        <v>3.0829322174810159E-2</v>
      </c>
      <c r="AA1095" s="201">
        <v>3.0795986921932084E-2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46820</v>
      </c>
      <c r="Y1096" s="198">
        <f>_xll.qlInterestRateIndexValueDate(IborIndex,X1096,Trigger)</f>
        <v>46822</v>
      </c>
      <c r="Z1096" s="199">
        <v>3.0825401693531186E-2</v>
      </c>
      <c r="AA1096" s="201">
        <v>3.0792007425839429E-2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46827</v>
      </c>
      <c r="Y1097" s="198">
        <f>_xll.qlInterestRateIndexValueDate(IborIndex,X1097,Trigger)</f>
        <v>46829</v>
      </c>
      <c r="Z1097" s="199">
        <v>3.0822570679342465E-2</v>
      </c>
      <c r="AA1097" s="201">
        <v>3.0788071877072554E-2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46834</v>
      </c>
      <c r="Y1098" s="198">
        <f>_xll.qlInterestRateIndexValueDate(IborIndex,X1098,Trigger)</f>
        <v>46836</v>
      </c>
      <c r="Z1098" s="199">
        <v>3.0817692915383752E-2</v>
      </c>
      <c r="AA1098" s="201">
        <v>3.0784180275631456E-2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46841</v>
      </c>
      <c r="Y1099" s="198">
        <f>_xll.qlInterestRateIndexValueDate(IborIndex,X1099,Trigger)</f>
        <v>46843</v>
      </c>
      <c r="Z1099" s="199">
        <v>3.0810753446263953E-2</v>
      </c>
      <c r="AA1099" s="201">
        <v>3.0780332621516138E-2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46848</v>
      </c>
      <c r="Y1100" s="198">
        <f>_xll.qlInterestRateIndexValueDate(IborIndex,X1100,Trigger)</f>
        <v>46850</v>
      </c>
      <c r="Z1100" s="199">
        <v>3.0810160382827346E-2</v>
      </c>
      <c r="AA1100" s="201">
        <v>3.0776528914726597E-2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46855</v>
      </c>
      <c r="Y1101" s="198">
        <f>_xll.qlInterestRateIndexValueDate(IborIndex,X1101,Trigger)</f>
        <v>46861</v>
      </c>
      <c r="Z1101" s="199">
        <v>3.0803307609031272E-2</v>
      </c>
      <c r="AA1101" s="201">
        <v>3.0771703010330498E-2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46862</v>
      </c>
      <c r="Y1102" s="198">
        <f>_xll.qlInterestRateIndexValueDate(IborIndex,X1102,Trigger)</f>
        <v>46864</v>
      </c>
      <c r="Z1102" s="199">
        <v>3.0802804095513853E-2</v>
      </c>
      <c r="AA1102" s="201">
        <v>3.0769053343284725E-2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46869</v>
      </c>
      <c r="Y1103" s="198">
        <f>_xll.qlInterestRateIndexValueDate(IborIndex,X1103,Trigger)</f>
        <v>46871</v>
      </c>
      <c r="Z1103" s="199">
        <v>3.0801317138551682E-2</v>
      </c>
      <c r="AA1103" s="201">
        <v>3.0764860513841086E-2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46876</v>
      </c>
      <c r="Y1104" s="198">
        <f>_xll.qlInterestRateIndexValueDate(IborIndex,X1104,Trigger)</f>
        <v>46878</v>
      </c>
      <c r="Z1104" s="199">
        <v>3.0795624053115797E-2</v>
      </c>
      <c r="AA1104" s="201">
        <v>3.076175356106603E-2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46883</v>
      </c>
      <c r="Y1105" s="198">
        <f>_xll.qlInterestRateIndexValueDate(IborIndex,X1105,Trigger)</f>
        <v>46885</v>
      </c>
      <c r="Z1105" s="199">
        <v>3.0792100123655304E-2</v>
      </c>
      <c r="AA1105" s="201">
        <v>3.0758169590905382E-2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46890</v>
      </c>
      <c r="Y1106" s="198">
        <f>_xll.qlInterestRateIndexValueDate(IborIndex,X1106,Trigger)</f>
        <v>46892</v>
      </c>
      <c r="Z1106" s="199">
        <v>3.0788620255303122E-2</v>
      </c>
      <c r="AA1106" s="201">
        <v>3.0754629568070513E-2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46897</v>
      </c>
      <c r="Y1107" s="198">
        <f>_xll.qlInterestRateIndexValueDate(IborIndex,X1107,Trigger)</f>
        <v>46899</v>
      </c>
      <c r="Z1107" s="199">
        <v>3.078518444801541E-2</v>
      </c>
      <c r="AA1107" s="201">
        <v>3.075063764080177E-2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46904</v>
      </c>
      <c r="Y1108" s="198">
        <f>_xll.qlInterestRateIndexValueDate(IborIndex,X1108,Trigger)</f>
        <v>46906</v>
      </c>
      <c r="Z1108" s="199">
        <v>3.0781792701756076E-2</v>
      </c>
      <c r="AA1108" s="201">
        <v>3.0747681364458046E-2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46911</v>
      </c>
      <c r="Y1109" s="198">
        <f>_xll.qlInterestRateIndexValueDate(IborIndex,X1109,Trigger)</f>
        <v>46913</v>
      </c>
      <c r="Z1109" s="199">
        <v>3.0778445016486435E-2</v>
      </c>
      <c r="AA1109" s="201">
        <v>3.0744273183680448E-2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46918</v>
      </c>
      <c r="Y1110" s="198">
        <f>_xll.qlInterestRateIndexValueDate(IborIndex,X1110,Trigger)</f>
        <v>46920</v>
      </c>
      <c r="Z1110" s="199">
        <v>3.0775141392170392E-2</v>
      </c>
      <c r="AA1110" s="201">
        <v>3.0740908950148693E-2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46925</v>
      </c>
      <c r="Y1111" s="198">
        <f>_xll.qlInterestRateIndexValueDate(IborIndex,X1111,Trigger)</f>
        <v>46927</v>
      </c>
      <c r="Z1111" s="199">
        <v>3.0771881828764107E-2</v>
      </c>
      <c r="AA1111" s="201">
        <v>3.0737588663942716E-2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46932</v>
      </c>
      <c r="Y1112" s="198">
        <f>_xll.qlInterestRateIndexValueDate(IborIndex,X1112,Trigger)</f>
        <v>46934</v>
      </c>
      <c r="Z1112" s="199">
        <v>3.0768666326239216E-2</v>
      </c>
      <c r="AA1112" s="201">
        <v>3.0734312325062518E-2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46939</v>
      </c>
      <c r="Y1113" s="198">
        <f>_xll.qlInterestRateIndexValueDate(IborIndex,X1113,Trigger)</f>
        <v>46941</v>
      </c>
      <c r="Z1113" s="199">
        <v>3.0765494884549306E-2</v>
      </c>
      <c r="AA1113" s="201">
        <v>3.0731079933508099E-2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46946</v>
      </c>
      <c r="Y1114" s="198">
        <f>_xll.qlInterestRateIndexValueDate(IborIndex,X1114,Trigger)</f>
        <v>46948</v>
      </c>
      <c r="Z1114" s="199">
        <v>3.0762367503671173E-2</v>
      </c>
      <c r="AA1114" s="201">
        <v>3.0727891489279457E-2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46953</v>
      </c>
      <c r="Y1115" s="198">
        <f>_xll.qlInterestRateIndexValueDate(IborIndex,X1115,Trigger)</f>
        <v>46955</v>
      </c>
      <c r="Z1115" s="199">
        <v>3.0759284183555814E-2</v>
      </c>
      <c r="AA1115" s="201">
        <v>3.0724746992296659E-2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46960</v>
      </c>
      <c r="Y1116" s="198">
        <f>_xll.qlInterestRateIndexValueDate(IborIndex,X1116,Trigger)</f>
        <v>46962</v>
      </c>
      <c r="Z1116" s="199">
        <v>3.0757344556132382E-2</v>
      </c>
      <c r="AA1116" s="201">
        <v>3.0721646442719575E-2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46967</v>
      </c>
      <c r="Y1117" s="198">
        <f>_xll.qlInterestRateIndexValueDate(IborIndex,X1117,Trigger)</f>
        <v>46969</v>
      </c>
      <c r="Z1117" s="199">
        <v>3.0754352249362515E-2</v>
      </c>
      <c r="AA1117" s="201">
        <v>3.0718589840388333E-2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46974</v>
      </c>
      <c r="Y1118" s="198">
        <f>_xll.qlInterestRateIndexValueDate(IborIndex,X1118,Trigger)</f>
        <v>46976</v>
      </c>
      <c r="Z1118" s="199">
        <v>3.0750298587482155E-2</v>
      </c>
      <c r="AA1118" s="201">
        <v>3.071557718538287E-2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46981</v>
      </c>
      <c r="Y1119" s="198">
        <f>_xll.qlInterestRateIndexValueDate(IborIndex,X1119,Trigger)</f>
        <v>46983</v>
      </c>
      <c r="Z1119" s="199">
        <v>3.0747391510100756E-2</v>
      </c>
      <c r="AA1119" s="201">
        <v>3.0712608477783121E-2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46988</v>
      </c>
      <c r="Y1120" s="198">
        <f>_xll.qlInterestRateIndexValueDate(IborIndex,X1120,Trigger)</f>
        <v>46990</v>
      </c>
      <c r="Z1120" s="199">
        <v>3.0744528493314528E-2</v>
      </c>
      <c r="AA1120" s="201">
        <v>3.070926948198327E-2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46995</v>
      </c>
      <c r="Y1121" s="198">
        <f>_xll.qlInterestRateIndexValueDate(IborIndex,X1121,Trigger)</f>
        <v>46997</v>
      </c>
      <c r="Z1121" s="199">
        <v>3.0741709537100266E-2</v>
      </c>
      <c r="AA1121" s="201">
        <v>3.0706802904241215E-2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47002</v>
      </c>
      <c r="Y1122" s="198">
        <f>_xll.qlInterestRateIndexValueDate(IborIndex,X1122,Trigger)</f>
        <v>47004</v>
      </c>
      <c r="Z1122" s="199">
        <v>3.0740051681522607E-2</v>
      </c>
      <c r="AA1122" s="201">
        <v>3.0703966038538866E-2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47009</v>
      </c>
      <c r="Y1123" s="198">
        <f>_xll.qlInterestRateIndexValueDate(IborIndex,X1123,Trigger)</f>
        <v>47011</v>
      </c>
      <c r="Z1123" s="199">
        <v>3.0736203806235499E-2</v>
      </c>
      <c r="AA1123" s="201">
        <v>3.0701173120002423E-2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47016</v>
      </c>
      <c r="Y1124" s="198">
        <f>_xll.qlInterestRateIndexValueDate(IborIndex,X1124,Trigger)</f>
        <v>47018</v>
      </c>
      <c r="Z1124" s="199">
        <v>3.0733517031525687E-2</v>
      </c>
      <c r="AA1124" s="201">
        <v>3.0698424148871695E-2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47023</v>
      </c>
      <c r="Y1125" s="198">
        <f>_xll.qlInterestRateIndexValueDate(IborIndex,X1125,Trigger)</f>
        <v>47025</v>
      </c>
      <c r="Z1125" s="199">
        <v>3.0732000112433655E-2</v>
      </c>
      <c r="AA1125" s="201">
        <v>3.0695719124986809E-2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47030</v>
      </c>
      <c r="Y1126" s="198">
        <f>_xll.qlInterestRateIndexValueDate(IborIndex,X1126,Trigger)</f>
        <v>47032</v>
      </c>
      <c r="Z1126" s="199">
        <v>3.0728275663404227E-2</v>
      </c>
      <c r="AA1126" s="201">
        <v>3.0693058048507638E-2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47037</v>
      </c>
      <c r="Y1127" s="198">
        <f>_xll.qlInterestRateIndexValueDate(IborIndex,X1127,Trigger)</f>
        <v>47039</v>
      </c>
      <c r="Z1127" s="199">
        <v>3.0725721069930694E-2</v>
      </c>
      <c r="AA1127" s="201">
        <v>3.0690440919274309E-2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47044</v>
      </c>
      <c r="Y1128" s="198">
        <f>_xll.qlInterestRateIndexValueDate(IborIndex,X1128,Trigger)</f>
        <v>47046</v>
      </c>
      <c r="Z1128" s="199">
        <v>3.0723210536809948E-2</v>
      </c>
      <c r="AA1128" s="201">
        <v>3.0687867737286822E-2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47051</v>
      </c>
      <c r="Y1129" s="198">
        <f>_xll.qlInterestRateIndexValueDate(IborIndex,X1129,Trigger)</f>
        <v>47053</v>
      </c>
      <c r="Z1129" s="199">
        <v>3.0720744064016203E-2</v>
      </c>
      <c r="AA1129" s="201">
        <v>3.0685338502625115E-2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47058</v>
      </c>
      <c r="Y1130" s="198">
        <f>_xll.qlInterestRateIndexValueDate(IborIndex,X1130,Trigger)</f>
        <v>47060</v>
      </c>
      <c r="Z1130" s="199">
        <v>3.0718321651513354E-2</v>
      </c>
      <c r="AA1130" s="201">
        <v>3.0682853215289185E-2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47065</v>
      </c>
      <c r="Y1131" s="198">
        <f>_xll.qlInterestRateIndexValueDate(IborIndex,X1131,Trigger)</f>
        <v>47070</v>
      </c>
      <c r="Z1131" s="199">
        <v>3.0713793169005577E-2</v>
      </c>
      <c r="AA1131" s="201">
        <v>3.0680066699870778E-2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47072</v>
      </c>
      <c r="Y1132" s="198">
        <f>_xll.qlInterestRateIndexValueDate(IborIndex,X1132,Trigger)</f>
        <v>47074</v>
      </c>
      <c r="Z1132" s="199">
        <v>3.0713609007295264E-2</v>
      </c>
      <c r="AA1132" s="201">
        <v>3.067801448243479E-2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47079</v>
      </c>
      <c r="Y1133" s="198">
        <f>_xll.qlInterestRateIndexValueDate(IborIndex,X1133,Trigger)</f>
        <v>47081</v>
      </c>
      <c r="Z1133" s="199">
        <v>3.071361773840971E-2</v>
      </c>
      <c r="AA1133" s="201">
        <v>3.067566103699626E-2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47086</v>
      </c>
      <c r="Y1134" s="198">
        <f>_xll.qlInterestRateIndexValueDate(IborIndex,X1134,Trigger)</f>
        <v>47088</v>
      </c>
      <c r="Z1134" s="199">
        <v>3.07102248679611E-2</v>
      </c>
      <c r="AA1134" s="201">
        <v>3.0673351538803573E-2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47093</v>
      </c>
      <c r="Y1135" s="198">
        <f>_xll.qlInterestRateIndexValueDate(IborIndex,X1135,Trigger)</f>
        <v>47095</v>
      </c>
      <c r="Z1135" s="199">
        <v>3.0706870492514259E-2</v>
      </c>
      <c r="AA1135" s="201">
        <v>3.0671085987936664E-2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47100</v>
      </c>
      <c r="Y1136" s="198">
        <f>_xll.qlInterestRateIndexValueDate(IborIndex,X1136,Trigger)</f>
        <v>47102</v>
      </c>
      <c r="Z1136" s="199">
        <v>3.0705870628666976E-2</v>
      </c>
      <c r="AA1136" s="201">
        <v>3.0668864384395533E-2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47107</v>
      </c>
      <c r="Y1137" s="198">
        <f>_xll.qlInterestRateIndexValueDate(IborIndex,X1137,Trigger)</f>
        <v>47109</v>
      </c>
      <c r="Z1137" s="199">
        <v>3.0702598450068012E-2</v>
      </c>
      <c r="AA1137" s="201">
        <v>3.0666072612541839E-2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47114</v>
      </c>
      <c r="Y1138" s="198">
        <f>_xll.qlInterestRateIndexValueDate(IborIndex,X1138,Trigger)</f>
        <v>47116</v>
      </c>
      <c r="Z1138" s="199">
        <v>3.0702857120352499E-2</v>
      </c>
      <c r="AA1138" s="201">
        <v>3.0664251791048258E-2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47121</v>
      </c>
      <c r="Y1139" s="198">
        <f>_xll.qlInterestRateIndexValueDate(IborIndex,X1139,Trigger)</f>
        <v>47123</v>
      </c>
      <c r="Z1139" s="199">
        <v>3.0698502647980842E-2</v>
      </c>
      <c r="AA1139" s="201">
        <v>3.0662463257327133E-2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47128</v>
      </c>
      <c r="Y1140" s="198">
        <f>_xll.qlInterestRateIndexValueDate(IborIndex,X1140,Trigger)</f>
        <v>47130</v>
      </c>
      <c r="Z1140" s="199">
        <v>3.0696520837012607E-2</v>
      </c>
      <c r="AA1140" s="201">
        <v>3.0660417442929244E-2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47135</v>
      </c>
      <c r="Y1141" s="198">
        <f>_xll.qlInterestRateIndexValueDate(IborIndex,X1141,Trigger)</f>
        <v>47137</v>
      </c>
      <c r="Z1141" s="199">
        <v>3.0695756147881559E-2</v>
      </c>
      <c r="AA1141" s="201">
        <v>3.0658415575857134E-2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47142</v>
      </c>
      <c r="Y1142" s="198">
        <f>_xll.qlInterestRateIndexValueDate(IborIndex,X1142,Trigger)</f>
        <v>47144</v>
      </c>
      <c r="Z1142" s="199">
        <v>3.0692689395126267E-2</v>
      </c>
      <c r="AA1142" s="201">
        <v>3.0656457655950931E-2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47149</v>
      </c>
      <c r="Y1143" s="198">
        <f>_xll.qlInterestRateIndexValueDate(IborIndex,X1143,Trigger)</f>
        <v>47151</v>
      </c>
      <c r="Z1143" s="199">
        <v>3.0687304762756971E-2</v>
      </c>
      <c r="AA1143" s="201">
        <v>3.0654543683450441E-2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47156</v>
      </c>
      <c r="Y1144" s="198">
        <f>_xll.qlInterestRateIndexValueDate(IborIndex,X1144,Trigger)</f>
        <v>47158</v>
      </c>
      <c r="Z1144" s="199">
        <v>3.0685490213854409E-2</v>
      </c>
      <c r="AA1144" s="201">
        <v>3.0652673658115859E-2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47163</v>
      </c>
      <c r="Y1145" s="198">
        <f>_xll.qlInterestRateIndexValueDate(IborIndex,X1145,Trigger)</f>
        <v>47165</v>
      </c>
      <c r="Z1145" s="199">
        <v>3.0683719713610849E-2</v>
      </c>
      <c r="AA1145" s="201">
        <v>3.0650847580186991E-2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47170</v>
      </c>
      <c r="Y1146" s="198">
        <f>_xll.qlInterestRateIndexValueDate(IborIndex,X1146,Trigger)</f>
        <v>47172</v>
      </c>
      <c r="Z1146" s="199">
        <v>3.0681993262012024E-2</v>
      </c>
      <c r="AA1146" s="201">
        <v>3.0649065449424029E-2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47177</v>
      </c>
      <c r="Y1147" s="198">
        <f>_xll.qlInterestRateIndexValueDate(IborIndex,X1147,Trigger)</f>
        <v>47179</v>
      </c>
      <c r="Z1147" s="199">
        <v>3.0685072874812869E-2</v>
      </c>
      <c r="AA1147" s="201">
        <v>3.0647327266066782E-2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47184</v>
      </c>
      <c r="Y1148" s="198">
        <f>_xll.qlInterestRateIndexValueDate(IborIndex,X1148,Trigger)</f>
        <v>47186</v>
      </c>
      <c r="Z1148" s="199">
        <v>3.0682252508269576E-2</v>
      </c>
      <c r="AA1148" s="201">
        <v>3.0645633029955377E-2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47191</v>
      </c>
      <c r="Y1149" s="198">
        <f>_xll.qlInterestRateIndexValueDate(IborIndex,X1149,Trigger)</f>
        <v>47193</v>
      </c>
      <c r="Z1149" s="199">
        <v>3.0680667236745202E-2</v>
      </c>
      <c r="AA1149" s="201">
        <v>3.0643982741089815E-2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47198</v>
      </c>
      <c r="Y1150" s="198">
        <f>_xll.qlInterestRateIndexValueDate(IborIndex,X1150,Trigger)</f>
        <v>47200</v>
      </c>
      <c r="Z1150" s="199">
        <v>3.0679126025065631E-2</v>
      </c>
      <c r="AA1150" s="201">
        <v>3.0642376399550031E-2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47205</v>
      </c>
      <c r="Y1151" s="198">
        <f>_xll.qlInterestRateIndexValueDate(IborIndex,X1151,Trigger)</f>
        <v>47211</v>
      </c>
      <c r="Z1151" s="199">
        <v>3.0675588676494669E-2</v>
      </c>
      <c r="AA1151" s="201">
        <v>3.0640375678840925E-2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47212</v>
      </c>
      <c r="Y1152" s="198">
        <f>_xll.qlInterestRateIndexValueDate(IborIndex,X1152,Trigger)</f>
        <v>47214</v>
      </c>
      <c r="Z1152" s="199">
        <v>3.0677381897420419E-2</v>
      </c>
      <c r="AA1152" s="201">
        <v>3.0639295558207991E-2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47219</v>
      </c>
      <c r="Y1153" s="198">
        <f>_xll.qlInterestRateIndexValueDate(IborIndex,X1153,Trigger)</f>
        <v>47221</v>
      </c>
      <c r="Z1153" s="199">
        <v>3.0674766748894623E-2</v>
      </c>
      <c r="AA1153" s="201">
        <v>3.0637821058565606E-2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47226</v>
      </c>
      <c r="Y1154" s="198">
        <f>_xll.qlInterestRateIndexValueDate(IborIndex,X1154,Trigger)</f>
        <v>47228</v>
      </c>
      <c r="Z1154" s="199">
        <v>3.0673401776411195E-2</v>
      </c>
      <c r="AA1154" s="201">
        <v>3.0636390506169064E-2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47233</v>
      </c>
      <c r="Y1155" s="198">
        <f>_xll.qlInterestRateIndexValueDate(IborIndex,X1155,Trigger)</f>
        <v>47235</v>
      </c>
      <c r="Z1155" s="199">
        <v>3.0673296073663592E-2</v>
      </c>
      <c r="AA1155" s="201">
        <v>3.0635003900938429E-2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47240</v>
      </c>
      <c r="Y1156" s="198">
        <f>_xll.qlInterestRateIndexValueDate(IborIndex,X1156,Trigger)</f>
        <v>47242</v>
      </c>
      <c r="Z1156" s="199">
        <v>3.0670804010700266E-2</v>
      </c>
      <c r="AA1156" s="201">
        <v>3.0633473022314561E-2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47247</v>
      </c>
      <c r="Y1157" s="198">
        <f>_xll.qlInterestRateIndexValueDate(IborIndex,X1157,Trigger)</f>
        <v>47249</v>
      </c>
      <c r="Z1157" s="199">
        <v>3.0669571217446977E-2</v>
      </c>
      <c r="AA1157" s="201">
        <v>3.063236253253443E-2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47254</v>
      </c>
      <c r="Y1158" s="198">
        <f>_xll.qlInterestRateIndexValueDate(IborIndex,X1158,Trigger)</f>
        <v>47256</v>
      </c>
      <c r="Z1158" s="199">
        <v>3.0668382483906988E-2</v>
      </c>
      <c r="AA1158" s="201">
        <v>3.0631107769201193E-2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47261</v>
      </c>
      <c r="Y1159" s="198">
        <f>_xll.qlInterestRateIndexValueDate(IborIndex,X1159,Trigger)</f>
        <v>47263</v>
      </c>
      <c r="Z1159" s="199">
        <v>3.0667237810072558E-2</v>
      </c>
      <c r="AA1159" s="201">
        <v>3.0629727566928722E-2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47268</v>
      </c>
      <c r="Y1160" s="198">
        <f>_xll.qlInterestRateIndexValueDate(IborIndex,X1160,Trigger)</f>
        <v>47270</v>
      </c>
      <c r="Z1160" s="199">
        <v>3.0666137195923062E-2</v>
      </c>
      <c r="AA1160" s="201">
        <v>3.0628730084352185E-2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47275</v>
      </c>
      <c r="Y1161" s="198">
        <f>_xll.qlInterestRateIndexValueDate(IborIndex,X1161,Trigger)</f>
        <v>47277</v>
      </c>
      <c r="Z1161" s="199">
        <v>3.0665080641453343E-2</v>
      </c>
      <c r="AA1161" s="201">
        <v>3.0627607162836412E-2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47282</v>
      </c>
      <c r="Y1162" s="198">
        <f>_xll.qlInterestRateIndexValueDate(IborIndex,X1162,Trigger)</f>
        <v>47284</v>
      </c>
      <c r="Z1162" s="199">
        <v>3.0664068146645348E-2</v>
      </c>
      <c r="AA1162" s="201">
        <v>3.0626528188726354E-2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47289</v>
      </c>
      <c r="Y1163" s="198">
        <f>_xll.qlInterestRateIndexValueDate(IborIndex,X1163,Trigger)</f>
        <v>47291</v>
      </c>
      <c r="Z1163" s="199">
        <v>3.0663099711493922E-2</v>
      </c>
      <c r="AA1163" s="201">
        <v>3.0625493161702266E-2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47296</v>
      </c>
      <c r="Y1164" s="198">
        <f>_xll.qlInterestRateIndexValueDate(IborIndex,X1164,Trigger)</f>
        <v>47298</v>
      </c>
      <c r="Z1164" s="199">
        <v>3.0663418029713285E-2</v>
      </c>
      <c r="AA1164" s="201">
        <v>3.0624502082083893E-2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47303</v>
      </c>
      <c r="Y1165" s="198">
        <f>_xll.qlInterestRateIndexValueDate(IborIndex,X1165,Trigger)</f>
        <v>47305</v>
      </c>
      <c r="Z1165" s="199">
        <v>3.0661295020101467E-2</v>
      </c>
      <c r="AA1165" s="201">
        <v>3.0623554949711362E-2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47310</v>
      </c>
      <c r="Y1166" s="198">
        <f>_xll.qlInterestRateIndexValueDate(IborIndex,X1166,Trigger)</f>
        <v>47312</v>
      </c>
      <c r="Z1166" s="199">
        <v>3.0660458763842387E-2</v>
      </c>
      <c r="AA1166" s="201">
        <v>3.062265176466461E-2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47317</v>
      </c>
      <c r="Y1167" s="198">
        <f>_xll.qlInterestRateIndexValueDate(IborIndex,X1167,Trigger)</f>
        <v>47319</v>
      </c>
      <c r="Z1167" s="199">
        <v>3.0659666567196042E-2</v>
      </c>
      <c r="AA1167" s="201">
        <v>3.06217925268637E-2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47324</v>
      </c>
      <c r="Y1168" s="198">
        <f>_xll.qlInterestRateIndexValueDate(IborIndex,X1168,Trigger)</f>
        <v>47326</v>
      </c>
      <c r="Z1168" s="199">
        <v>3.0660173436386773E-2</v>
      </c>
      <c r="AA1168" s="201">
        <v>3.0620977236228697E-2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47331</v>
      </c>
      <c r="Y1169" s="198">
        <f>_xll.qlInterestRateIndexValueDate(IborIndex,X1169,Trigger)</f>
        <v>47333</v>
      </c>
      <c r="Z1169" s="199">
        <v>3.0659472446435687E-2</v>
      </c>
      <c r="AA1169" s="201">
        <v>3.0620205892919472E-2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47338</v>
      </c>
      <c r="Y1170" s="198">
        <f>_xll.qlInterestRateIndexValueDate(IborIndex,X1170,Trigger)</f>
        <v>47340</v>
      </c>
      <c r="Z1170" s="199">
        <v>3.0657554334843146E-2</v>
      </c>
      <c r="AA1170" s="201">
        <v>3.0619478496936026E-2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47345</v>
      </c>
      <c r="Y1171" s="198">
        <f>_xll.qlInterestRateIndexValueDate(IborIndex,X1171,Trigger)</f>
        <v>47347</v>
      </c>
      <c r="Z1171" s="199">
        <v>3.0656938376560056E-2</v>
      </c>
      <c r="AA1171" s="201">
        <v>3.0618795048198422E-2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47352</v>
      </c>
      <c r="Y1172" s="198">
        <f>_xll.qlInterestRateIndexValueDate(IborIndex,X1172,Trigger)</f>
        <v>47354</v>
      </c>
      <c r="Z1172" s="199">
        <v>3.0656366477848442E-2</v>
      </c>
      <c r="AA1172" s="201">
        <v>3.0618067776915225E-2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47359</v>
      </c>
      <c r="Y1173" s="198">
        <f>_xll.qlInterestRateIndexValueDate(IborIndex,X1173,Trigger)</f>
        <v>47361</v>
      </c>
      <c r="Z1173" s="199">
        <v>3.0652029402364254E-2</v>
      </c>
      <c r="AA1173" s="201">
        <v>3.0617559992540677E-2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47366</v>
      </c>
      <c r="Y1174" s="198">
        <f>_xll.qlInterestRateIndexValueDate(IborIndex,X1174,Trigger)</f>
        <v>47368</v>
      </c>
      <c r="Z1174" s="199">
        <v>3.0656628446547596E-2</v>
      </c>
      <c r="AA1174" s="201">
        <v>3.0617008385700473E-2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47373</v>
      </c>
      <c r="Y1175" s="198">
        <f>_xll.qlInterestRateIndexValueDate(IborIndex,X1175,Trigger)</f>
        <v>47375</v>
      </c>
      <c r="Z1175" s="199">
        <v>3.0654915139085723E-2</v>
      </c>
      <c r="AA1175" s="201">
        <v>3.0616500726026175E-2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47380</v>
      </c>
      <c r="Y1176" s="198">
        <f>_xll.qlInterestRateIndexValueDate(IborIndex,X1176,Trigger)</f>
        <v>47382</v>
      </c>
      <c r="Z1176" s="199">
        <v>3.0654519478603284E-2</v>
      </c>
      <c r="AA1176" s="201">
        <v>3.0616037013677655E-2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47387</v>
      </c>
      <c r="Y1177" s="198">
        <f>_xll.qlInterestRateIndexValueDate(IborIndex,X1177,Trigger)</f>
        <v>47389</v>
      </c>
      <c r="Z1177" s="199">
        <v>3.0656734105040009E-2</v>
      </c>
      <c r="AA1177" s="201">
        <v>3.0615617248574978E-2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47394</v>
      </c>
      <c r="Y1178" s="198">
        <f>_xll.qlInterestRateIndexValueDate(IborIndex,X1178,Trigger)</f>
        <v>47396</v>
      </c>
      <c r="Z1178" s="199">
        <v>3.0653860336265153E-2</v>
      </c>
      <c r="AA1178" s="201">
        <v>3.0615241430798079E-2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47401</v>
      </c>
      <c r="Y1179" s="198">
        <f>_xll.qlInterestRateIndexValueDate(IborIndex,X1179,Trigger)</f>
        <v>47403</v>
      </c>
      <c r="Z1179" s="199">
        <v>3.0654886029217177E-2</v>
      </c>
      <c r="AA1179" s="201">
        <v>3.0614909560187087E-2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47408</v>
      </c>
      <c r="Y1180" s="198">
        <f>_xll.qlInterestRateIndexValueDate(IborIndex,X1180,Trigger)</f>
        <v>47410</v>
      </c>
      <c r="Z1180" s="199">
        <v>3.0653377432078837E-2</v>
      </c>
      <c r="AA1180" s="201">
        <v>3.0614621636901873E-2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47415</v>
      </c>
      <c r="Y1181" s="198">
        <f>_xll.qlInterestRateIndexValueDate(IborIndex,X1181,Trigger)</f>
        <v>47417</v>
      </c>
      <c r="Z1181" s="199">
        <v>3.0653202069286161E-2</v>
      </c>
      <c r="AA1181" s="201">
        <v>3.0614377660942438E-2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47422</v>
      </c>
      <c r="Y1182" s="198">
        <f>_xll.qlInterestRateIndexValueDate(IborIndex,X1182,Trigger)</f>
        <v>47424</v>
      </c>
      <c r="Z1182" s="199">
        <v>3.0653070766018548E-2</v>
      </c>
      <c r="AA1182" s="201">
        <v>3.0614177632228845E-2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47429</v>
      </c>
      <c r="Y1183" s="198">
        <f>_xll.qlInterestRateIndexValueDate(IborIndex,X1183,Trigger)</f>
        <v>47431</v>
      </c>
      <c r="Z1183" s="199">
        <v>3.0652983522283732E-2</v>
      </c>
      <c r="AA1183" s="201">
        <v>3.0614021550761095E-2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47436</v>
      </c>
      <c r="Y1184" s="198">
        <f>_xll.qlInterestRateIndexValueDate(IborIndex,X1184,Trigger)</f>
        <v>47438</v>
      </c>
      <c r="Z1184" s="199">
        <v>3.0652940338073975E-2</v>
      </c>
      <c r="AA1184" s="201">
        <v>3.0613909416619123E-2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47443</v>
      </c>
      <c r="Y1185" s="198">
        <f>_xll.qlInterestRateIndexValueDate(IborIndex,X1185,Trigger)</f>
        <v>47445</v>
      </c>
      <c r="Z1185" s="199">
        <v>3.06529412133867E-2</v>
      </c>
      <c r="AA1185" s="201">
        <v>3.0613841229722993E-2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47450</v>
      </c>
      <c r="Y1186" s="198">
        <f>_xll.qlInterestRateIndexValueDate(IborIndex,X1186,Trigger)</f>
        <v>47452</v>
      </c>
      <c r="Z1186" s="199">
        <v>3.0652986148232222E-2</v>
      </c>
      <c r="AA1186" s="201">
        <v>3.0613816990072706E-2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47457</v>
      </c>
      <c r="Y1187" s="198">
        <f>_xll.qlInterestRateIndexValueDate(IborIndex,X1187,Trigger)</f>
        <v>47459</v>
      </c>
      <c r="Z1187" s="199">
        <v>3.0653075142600225E-2</v>
      </c>
      <c r="AA1187" s="201">
        <v>3.0613836697668262E-2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47464</v>
      </c>
      <c r="Y1188" s="198">
        <f>_xll.qlInterestRateIndexValueDate(IborIndex,X1188,Trigger)</f>
        <v>47466</v>
      </c>
      <c r="Z1188" s="199">
        <v>3.0653208196503606E-2</v>
      </c>
      <c r="AA1188" s="201">
        <v>3.0613900352589596E-2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47471</v>
      </c>
      <c r="Y1189" s="198">
        <f>_xll.qlInterestRateIndexValueDate(IborIndex,X1189,Trigger)</f>
        <v>47473</v>
      </c>
      <c r="Z1189" s="199">
        <v>3.0654705940523219E-2</v>
      </c>
      <c r="AA1189" s="201">
        <v>3.0614046770187642E-2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47479</v>
      </c>
      <c r="Y1190" s="198">
        <f>_xll.qlInterestRateIndexValueDate(IborIndex,X1190,Trigger)</f>
        <v>47483</v>
      </c>
      <c r="Z1190" s="199">
        <v>3.0653714758913687E-2</v>
      </c>
      <c r="AA1190" s="201">
        <v>3.0614210875956616E-2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47486</v>
      </c>
      <c r="Y1191" s="198">
        <f>_xll.qlInterestRateIndexValueDate(IborIndex,X1191,Trigger)</f>
        <v>47490</v>
      </c>
      <c r="Z1191" s="199">
        <v>3.0653998874068316E-2</v>
      </c>
      <c r="AA1191" s="201">
        <v>3.0614386516498726E-2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47493</v>
      </c>
      <c r="Y1192" s="198">
        <f>_xll.qlInterestRateIndexValueDate(IborIndex,X1192,Trigger)</f>
        <v>47497</v>
      </c>
      <c r="Z1192" s="199">
        <v>3.06543270487609E-2</v>
      </c>
      <c r="AA1192" s="201">
        <v>3.0614632238741279E-2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47500</v>
      </c>
      <c r="Y1193" s="198">
        <f>_xll.qlInterestRateIndexValueDate(IborIndex,X1193,Trigger)</f>
        <v>47505</v>
      </c>
      <c r="Z1193" s="199">
        <v>3.065475605601127E-2</v>
      </c>
      <c r="AA1193" s="201">
        <v>3.0614966877058336E-2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47507</v>
      </c>
      <c r="Y1194" s="198">
        <f>_xll.qlInterestRateIndexValueDate(IborIndex,X1194,Trigger)</f>
        <v>47511</v>
      </c>
      <c r="Z1194" s="199">
        <v>3.0655115576772817E-2</v>
      </c>
      <c r="AA1194" s="201">
        <v>3.0615255524883978E-2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47514</v>
      </c>
      <c r="Y1195" s="198">
        <f>_xll.qlInterestRateIndexValueDate(IborIndex,X1195,Trigger)</f>
        <v>47518</v>
      </c>
      <c r="Z1195" s="199">
        <v>3.0651555059268025E-2</v>
      </c>
      <c r="AA1195" s="201">
        <v>3.0615633088864058E-2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47521</v>
      </c>
      <c r="Y1196" s="198">
        <f>_xll.qlInterestRateIndexValueDate(IborIndex,X1196,Trigger)</f>
        <v>47525</v>
      </c>
      <c r="Z1196" s="199">
        <v>3.0652049904558481E-2</v>
      </c>
      <c r="AA1196" s="201">
        <v>3.0616054600169917E-2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47528</v>
      </c>
      <c r="Y1197" s="198">
        <f>_xll.qlInterestRateIndexValueDate(IborIndex,X1197,Trigger)</f>
        <v>47533</v>
      </c>
      <c r="Z1197" s="199">
        <v>3.0652669378753279E-2</v>
      </c>
      <c r="AA1197" s="201">
        <v>3.061659014026219E-2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47535</v>
      </c>
      <c r="Y1198" s="198">
        <f>_xll.qlInterestRateIndexValueDate(IborIndex,X1198,Trigger)</f>
        <v>47539</v>
      </c>
      <c r="Z1198" s="199">
        <v>3.0653171740100085E-2</v>
      </c>
      <c r="AA1198" s="201">
        <v>3.0617029464439227E-2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47542</v>
      </c>
      <c r="Y1199" s="198">
        <f>_xll.qlInterestRateIndexValueDate(IborIndex,X1199,Trigger)</f>
        <v>47546</v>
      </c>
      <c r="Z1199" s="199">
        <v>3.0657857939061041E-2</v>
      </c>
      <c r="AA1199" s="201">
        <v>3.0617582817642486E-2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47549</v>
      </c>
      <c r="Y1200" s="198">
        <f>_xll.qlInterestRateIndexValueDate(IborIndex,X1200,Trigger)</f>
        <v>47553</v>
      </c>
      <c r="Z1200" s="199">
        <v>3.0658538590240331E-2</v>
      </c>
      <c r="AA1200" s="201">
        <v>3.0618180117931715E-2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47556</v>
      </c>
      <c r="Y1201" s="198">
        <f>_xll.qlInterestRateIndexValueDate(IborIndex,X1201,Trigger)</f>
        <v>47560</v>
      </c>
      <c r="Z1201" s="199">
        <v>3.0659263301006566E-2</v>
      </c>
      <c r="AA1201" s="201">
        <v>3.0618821365546722E-2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47563</v>
      </c>
      <c r="Y1202" s="198">
        <f>_xll.qlInterestRateIndexValueDate(IborIndex,X1202,Trigger)</f>
        <v>47567</v>
      </c>
      <c r="Z1202" s="199">
        <v>3.0660032071372644E-2</v>
      </c>
      <c r="AA1202" s="201">
        <v>3.0619506560407572E-2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47570</v>
      </c>
      <c r="Y1203" s="198">
        <f>_xll.qlInterestRateIndexValueDate(IborIndex,X1203,Trigger)</f>
        <v>47574</v>
      </c>
      <c r="Z1203" s="199">
        <v>3.065947860837781E-2</v>
      </c>
      <c r="AA1203" s="201">
        <v>3.0620235702594201E-2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47577</v>
      </c>
      <c r="Y1204" s="198">
        <f>_xll.qlInterestRateIndexValueDate(IborIndex,X1204,Trigger)</f>
        <v>47581</v>
      </c>
      <c r="Z1204" s="199">
        <v>3.0660332278235281E-2</v>
      </c>
      <c r="AA1204" s="201">
        <v>3.0621008792106608E-2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47584</v>
      </c>
      <c r="Y1205" s="198">
        <f>_xll.qlInterestRateIndexValueDate(IborIndex,X1205,Trigger)</f>
        <v>47588</v>
      </c>
      <c r="Z1205" s="199">
        <v>3.0661229995575745E-2</v>
      </c>
      <c r="AA1205" s="201">
        <v>3.0621825828784921E-2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47591</v>
      </c>
      <c r="Y1206" s="198">
        <f>_xll.qlInterestRateIndexValueDate(IborIndex,X1206,Trigger)</f>
        <v>47597</v>
      </c>
      <c r="Z1206" s="199">
        <v>3.0662440564532822E-2</v>
      </c>
      <c r="AA1206" s="201">
        <v>3.0625674555322391E-2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47598</v>
      </c>
      <c r="Y1207" s="198">
        <f>_xll.qlInterestRateIndexValueDate(IborIndex,X1207,Trigger)</f>
        <v>47602</v>
      </c>
      <c r="Z1207" s="199">
        <v>3.0663129295322555E-2</v>
      </c>
      <c r="AA1207" s="201">
        <v>3.0623591744038947E-2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47605</v>
      </c>
      <c r="Y1208" s="198">
        <f>_xll.qlInterestRateIndexValueDate(IborIndex,X1208,Trigger)</f>
        <v>47610</v>
      </c>
      <c r="Z1208" s="199">
        <v>3.0665608834852039E-2</v>
      </c>
      <c r="AA1208" s="201">
        <v>3.0624679764272855E-2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47612</v>
      </c>
      <c r="Y1209" s="198">
        <f>_xll.qlInterestRateIndexValueDate(IborIndex,X1209,Trigger)</f>
        <v>47616</v>
      </c>
      <c r="Z1209" s="199">
        <v>3.0666427802904125E-2</v>
      </c>
      <c r="AA1209" s="201">
        <v>3.0625531690162688E-2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47619</v>
      </c>
      <c r="Y1210" s="198">
        <f>_xll.qlInterestRateIndexValueDate(IborIndex,X1210,Trigger)</f>
        <v>47623</v>
      </c>
      <c r="Z1210" s="199">
        <v>3.0667358663312234E-2</v>
      </c>
      <c r="AA1210" s="201">
        <v>3.0626515715104219E-2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47626</v>
      </c>
      <c r="Y1211" s="198">
        <f>_xll.qlInterestRateIndexValueDate(IborIndex,X1211,Trigger)</f>
        <v>47631</v>
      </c>
      <c r="Z1211" s="199">
        <v>3.0668385807008782E-2</v>
      </c>
      <c r="AA1211" s="201">
        <v>3.0627603702324535E-2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47633</v>
      </c>
      <c r="Y1212" s="198">
        <f>_xll.qlInterestRateIndexValueDate(IborIndex,X1212,Trigger)</f>
        <v>47637</v>
      </c>
      <c r="Z1212" s="199">
        <v>3.0667765619223353E-2</v>
      </c>
      <c r="AA1212" s="201">
        <v>3.0628394064020625E-2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47640</v>
      </c>
      <c r="Y1213" s="198">
        <f>_xll.qlInterestRateIndexValueDate(IborIndex,X1213,Trigger)</f>
        <v>47644</v>
      </c>
      <c r="Z1213" s="199">
        <v>3.0668608627369309E-2</v>
      </c>
      <c r="AA1213" s="201">
        <v>3.0629288388075437E-2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47647</v>
      </c>
      <c r="Y1214" s="198">
        <f>_xll.qlInterestRateIndexValueDate(IborIndex,X1214,Trigger)</f>
        <v>47651</v>
      </c>
      <c r="Z1214" s="199">
        <v>3.0669421661430718E-2</v>
      </c>
      <c r="AA1214" s="201">
        <v>3.0630152811808031E-2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47654</v>
      </c>
      <c r="Y1215" s="198">
        <f>_xll.qlInterestRateIndexValueDate(IborIndex,X1215,Trigger)</f>
        <v>47658</v>
      </c>
      <c r="Z1215" s="199">
        <v>3.0670204721410244E-2</v>
      </c>
      <c r="AA1215" s="201">
        <v>3.0630987335298343E-2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47661</v>
      </c>
      <c r="Y1216" s="198">
        <f>_xll.qlInterestRateIndexValueDate(IborIndex,X1216,Trigger)</f>
        <v>47665</v>
      </c>
      <c r="Z1216" s="199">
        <v>3.0672314365473127E-2</v>
      </c>
      <c r="AA1216" s="201">
        <v>3.0631791958546373E-2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47668</v>
      </c>
      <c r="Y1217" s="198">
        <f>_xll.qlInterestRateIndexValueDate(IborIndex,X1217,Trigger)</f>
        <v>47672</v>
      </c>
      <c r="Z1217" s="199">
        <v>3.0673035397605193E-2</v>
      </c>
      <c r="AA1217" s="201">
        <v>3.063256668155212E-2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47675</v>
      </c>
      <c r="Y1218" s="198">
        <f>_xll.qlInterestRateIndexValueDate(IborIndex,X1218,Trigger)</f>
        <v>47679</v>
      </c>
      <c r="Z1218" s="199">
        <v>3.0673726453086417E-2</v>
      </c>
      <c r="AA1218" s="201">
        <v>3.0633311504315586E-2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47682</v>
      </c>
      <c r="Y1219" s="198">
        <f>_xll.qlInterestRateIndexValueDate(IborIndex,X1219,Trigger)</f>
        <v>47686</v>
      </c>
      <c r="Z1219" s="199">
        <v>3.0674387531911648E-2</v>
      </c>
      <c r="AA1219" s="201">
        <v>3.0634026426676897E-2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47689</v>
      </c>
      <c r="Y1220" s="198">
        <f>_xll.qlInterestRateIndexValueDate(IborIndex,X1220,Trigger)</f>
        <v>47693</v>
      </c>
      <c r="Z1220" s="199">
        <v>3.0675018634070569E-2</v>
      </c>
      <c r="AA1220" s="201">
        <v>3.0634711448875862E-2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47696</v>
      </c>
      <c r="Y1221" s="198">
        <f>_xll.qlInterestRateIndexValueDate(IborIndex,X1221,Trigger)</f>
        <v>47700</v>
      </c>
      <c r="Z1221" s="199">
        <v>3.0675619759563177E-2</v>
      </c>
      <c r="AA1221" s="201">
        <v>3.0635366570752609E-2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47703</v>
      </c>
      <c r="Y1222" s="198">
        <f>_xll.qlInterestRateIndexValueDate(IborIndex,X1222,Trigger)</f>
        <v>47707</v>
      </c>
      <c r="Z1222" s="199">
        <v>3.0676190908384318E-2</v>
      </c>
      <c r="AA1222" s="201">
        <v>3.0635991792387074E-2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47710</v>
      </c>
      <c r="Y1223" s="198">
        <f>_xll.qlInterestRateIndexValueDate(IborIndex,X1223,Trigger)</f>
        <v>47714</v>
      </c>
      <c r="Z1223" s="199">
        <v>3.0676732080528832E-2</v>
      </c>
      <c r="AA1223" s="201">
        <v>3.0636587113779257E-2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47717</v>
      </c>
      <c r="Y1224" s="198">
        <f>_xll.qlInterestRateIndexValueDate(IborIndex,X1224,Trigger)</f>
        <v>47722</v>
      </c>
      <c r="Z1224" s="199">
        <v>3.067731385684112E-2</v>
      </c>
      <c r="AA1224" s="201">
        <v>3.063723086850878E-2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47724</v>
      </c>
      <c r="Y1225" s="198">
        <f>_xll.qlInterestRateIndexValueDate(IborIndex,X1225,Trigger)</f>
        <v>47729</v>
      </c>
      <c r="Z1225" s="199">
        <v>3.0676453343992272E-2</v>
      </c>
      <c r="AA1225" s="201">
        <v>3.063776211787328E-2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47731</v>
      </c>
      <c r="Y1226" s="198">
        <f>_xll.qlInterestRateIndexValueDate(IborIndex,X1226,Trigger)</f>
        <v>47735</v>
      </c>
      <c r="Z1226" s="199">
        <v>3.0676840090011481E-2</v>
      </c>
      <c r="AA1226" s="201">
        <v>3.063819367634224E-2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47738</v>
      </c>
      <c r="Y1227" s="198">
        <f>_xll.qlInterestRateIndexValueDate(IborIndex,X1227,Trigger)</f>
        <v>47742</v>
      </c>
      <c r="Z1227" s="199">
        <v>3.0677263460571425E-2</v>
      </c>
      <c r="AA1227" s="201">
        <v>3.0638669396605422E-2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47745</v>
      </c>
      <c r="Y1228" s="198">
        <f>_xll.qlInterestRateIndexValueDate(IborIndex,X1228,Trigger)</f>
        <v>47749</v>
      </c>
      <c r="Z1228" s="199">
        <v>3.0677656856985536E-2</v>
      </c>
      <c r="AA1228" s="201">
        <v>3.0639115216626323E-2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47752</v>
      </c>
      <c r="Y1229" s="198">
        <f>_xll.qlInterestRateIndexValueDate(IborIndex,X1229,Trigger)</f>
        <v>47756</v>
      </c>
      <c r="Z1229" s="199">
        <v>3.067934960297021E-2</v>
      </c>
      <c r="AA1229" s="201">
        <v>3.0639531136325004E-2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47759</v>
      </c>
      <c r="Y1230" s="198">
        <f>_xll.qlInterestRateIndexValueDate(IborIndex,X1230,Trigger)</f>
        <v>47763</v>
      </c>
      <c r="Z1230" s="199">
        <v>3.0679680938275208E-2</v>
      </c>
      <c r="AA1230" s="201">
        <v>3.0639917155781404E-2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47766</v>
      </c>
      <c r="Y1231" s="198">
        <f>_xll.qlInterestRateIndexValueDate(IborIndex,X1231,Trigger)</f>
        <v>47771</v>
      </c>
      <c r="Z1231" s="199">
        <v>3.0680022901027518E-2</v>
      </c>
      <c r="AA1231" s="201">
        <v>3.0640321708332863E-2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47773</v>
      </c>
      <c r="Y1232" s="198">
        <f>_xll.qlInterestRateIndexValueDate(IborIndex,X1232,Trigger)</f>
        <v>47777</v>
      </c>
      <c r="Z1232" s="199">
        <v>3.0680253678770239E-2</v>
      </c>
      <c r="AA1232" s="201">
        <v>3.0640599493887422E-2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47780</v>
      </c>
      <c r="Y1233" s="198">
        <f>_xll.qlInterestRateIndexValueDate(IborIndex,X1233,Trigger)</f>
        <v>47784</v>
      </c>
      <c r="Z1233" s="199">
        <v>3.0681815813811963E-2</v>
      </c>
      <c r="AA1233" s="201">
        <v>3.0640895812616975E-2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47787</v>
      </c>
      <c r="Y1234" s="198">
        <f>_xll.qlInterestRateIndexValueDate(IborIndex,X1234,Trigger)</f>
        <v>47791</v>
      </c>
      <c r="Z1234" s="199">
        <v>3.067938777829049E-2</v>
      </c>
      <c r="AA1234" s="201">
        <v>3.0641162230944374E-2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47794</v>
      </c>
      <c r="Y1235" s="198">
        <f>_xll.qlInterestRateIndexValueDate(IborIndex,X1235,Trigger)</f>
        <v>47799</v>
      </c>
      <c r="Z1235" s="199">
        <v>3.0679595134092352E-2</v>
      </c>
      <c r="AA1235" s="201">
        <v>3.0641430096594036E-2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47801</v>
      </c>
      <c r="Y1236" s="198">
        <f>_xll.qlInterestRateIndexValueDate(IborIndex,X1236,Trigger)</f>
        <v>47805</v>
      </c>
      <c r="Z1236" s="199">
        <v>3.0679724958800669E-2</v>
      </c>
      <c r="AA1236" s="201">
        <v>3.0641605367032199E-2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47808</v>
      </c>
      <c r="Y1237" s="198">
        <f>_xll.qlInterestRateIndexValueDate(IborIndex,X1237,Trigger)</f>
        <v>47812</v>
      </c>
      <c r="Z1237" s="199">
        <v>3.0682473158620549E-2</v>
      </c>
      <c r="AA1237" s="201">
        <v>3.0641782084552815E-2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47815</v>
      </c>
      <c r="Y1238" s="198">
        <f>_xll.qlInterestRateIndexValueDate(IborIndex,X1238,Trigger)</f>
        <v>47819</v>
      </c>
      <c r="Z1238" s="199">
        <v>3.0681252459219554E-2</v>
      </c>
      <c r="AA1238" s="201">
        <v>3.064192890183115E-2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47822</v>
      </c>
      <c r="Y1239" s="198">
        <f>_xll.qlInterestRateIndexValueDate(IborIndex,X1239,Trigger)</f>
        <v>47826</v>
      </c>
      <c r="Z1239" s="199">
        <v>3.0681314004128078E-2</v>
      </c>
      <c r="AA1239" s="201">
        <v>3.0642045818947139E-2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47829</v>
      </c>
      <c r="Y1240" s="198">
        <f>_xll.qlInterestRateIndexValueDate(IborIndex,X1240,Trigger)</f>
        <v>47833</v>
      </c>
      <c r="Z1240" s="199">
        <v>3.0681345572321297E-2</v>
      </c>
      <c r="AA1240" s="201">
        <v>3.0642132835660973E-2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47836</v>
      </c>
      <c r="Y1241" s="198">
        <f>_xll.qlInterestRateIndexValueDate(IborIndex,X1241,Trigger)</f>
        <v>47840</v>
      </c>
      <c r="Z1241" s="199">
        <v>3.0681347163799215E-2</v>
      </c>
      <c r="AA1241" s="201">
        <v>3.0644813327889153E-2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47844</v>
      </c>
      <c r="Y1242" s="198">
        <f>_xll.qlInterestRateIndexValueDate(IborIndex,X1242,Trigger)</f>
        <v>47848</v>
      </c>
      <c r="Z1242" s="199">
        <v>3.0681312276444276E-2</v>
      </c>
      <c r="AA1242" s="201">
        <v>3.0644827732180246E-2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47851</v>
      </c>
      <c r="Y1243" s="198">
        <f>_xll.qlInterestRateIndexValueDate(IborIndex,X1243,Trigger)</f>
        <v>47855</v>
      </c>
      <c r="Z1243" s="199">
        <v>3.0681249632102947E-2</v>
      </c>
      <c r="AA1243" s="201">
        <v>3.0642211660047991E-2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47858</v>
      </c>
      <c r="Y1244" s="198">
        <f>_xll.qlInterestRateIndexValueDate(IborIndex,X1244,Trigger)</f>
        <v>47862</v>
      </c>
      <c r="Z1244" s="199">
        <v>3.0681157011041158E-2</v>
      </c>
      <c r="AA1244" s="201">
        <v>3.0642174804249578E-2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47865</v>
      </c>
      <c r="Y1245" s="198">
        <f>_xll.qlInterestRateIndexValueDate(IborIndex,X1245,Trigger)</f>
        <v>47869</v>
      </c>
      <c r="Z1245" s="199">
        <v>3.0681034413266646E-2</v>
      </c>
      <c r="AA1245" s="201">
        <v>3.0642108048128947E-2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47872</v>
      </c>
      <c r="Y1246" s="198">
        <f>_xll.qlInterestRateIndexValueDate(IborIndex,X1246,Trigger)</f>
        <v>47876</v>
      </c>
      <c r="Z1246" s="199">
        <v>3.0680881838776829E-2</v>
      </c>
      <c r="AA1246" s="201">
        <v>3.0642011391845969E-2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47879</v>
      </c>
      <c r="Y1247" s="198">
        <f>_xll.qlInterestRateIndexValueDate(IborIndex,X1247,Trigger)</f>
        <v>47883</v>
      </c>
      <c r="Z1247" s="199">
        <v>3.067682710682838E-2</v>
      </c>
      <c r="AA1247" s="201">
        <v>3.0641884835240774E-2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47886</v>
      </c>
      <c r="Y1248" s="198">
        <f>_xll.qlInterestRateIndexValueDate(IborIndex,X1248,Trigger)</f>
        <v>47890</v>
      </c>
      <c r="Z1248" s="199">
        <v>3.067662105511269E-2</v>
      </c>
      <c r="AA1248" s="201">
        <v>3.0641728378393296E-2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47893</v>
      </c>
      <c r="Y1249" s="198">
        <f>_xll.qlInterestRateIndexValueDate(IborIndex,X1249,Trigger)</f>
        <v>47897</v>
      </c>
      <c r="Z1249" s="199">
        <v>3.0676385034344049E-2</v>
      </c>
      <c r="AA1249" s="201">
        <v>3.06415420212236E-2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47900</v>
      </c>
      <c r="Y1250" s="198">
        <f>_xll.qlInterestRateIndexValueDate(IborIndex,X1250,Trigger)</f>
        <v>47904</v>
      </c>
      <c r="Z1250" s="199">
        <v>3.0676119044519595E-2</v>
      </c>
      <c r="AA1250" s="201">
        <v>3.0641325763811622E-2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47907</v>
      </c>
      <c r="Y1251" s="198">
        <f>_xll.qlInterestRateIndexValueDate(IborIndex,X1251,Trigger)</f>
        <v>47911</v>
      </c>
      <c r="Z1251" s="199">
        <v>3.0679669315678129E-2</v>
      </c>
      <c r="AA1251" s="201">
        <v>3.0641079606157362E-2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47914</v>
      </c>
      <c r="Y1252" s="198">
        <f>_xll.qlInterestRateIndexValueDate(IborIndex,X1252,Trigger)</f>
        <v>47918</v>
      </c>
      <c r="Z1252" s="199">
        <v>3.0684454631580187E-2</v>
      </c>
      <c r="AA1252" s="201">
        <v>3.0640803548100948E-2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47921</v>
      </c>
      <c r="Y1253" s="198">
        <f>_xll.qlInterestRateIndexValueDate(IborIndex,X1253,Trigger)</f>
        <v>47925</v>
      </c>
      <c r="Z1253" s="199">
        <v>3.0678974469497536E-2</v>
      </c>
      <c r="AA1253" s="201">
        <v>3.0640497589962123E-2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47928</v>
      </c>
      <c r="Y1254" s="198">
        <f>_xll.qlInterestRateIndexValueDate(IborIndex,X1254,Trigger)</f>
        <v>47932</v>
      </c>
      <c r="Z1254" s="199">
        <v>3.0678582081360071E-2</v>
      </c>
      <c r="AA1254" s="201">
        <v>3.0640161731421145E-2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47935</v>
      </c>
      <c r="Y1255" s="198">
        <f>_xll.qlInterestRateIndexValueDate(IborIndex,X1255,Trigger)</f>
        <v>47939</v>
      </c>
      <c r="Z1255" s="199">
        <v>3.0676886466223685E-2</v>
      </c>
      <c r="AA1255" s="201">
        <v>3.0639795972637884E-2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47942</v>
      </c>
      <c r="Y1256" s="198">
        <f>_xll.qlInterestRateIndexValueDate(IborIndex,X1256,Trigger)</f>
        <v>47946</v>
      </c>
      <c r="Z1256" s="199">
        <v>3.0676436304204024E-2</v>
      </c>
      <c r="AA1256" s="201">
        <v>3.0644496974161939E-2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47953</v>
      </c>
      <c r="Y1257" s="198">
        <f>_xll.qlInterestRateIndexValueDate(IborIndex,X1257,Trigger)</f>
        <v>47955</v>
      </c>
      <c r="Z1257" s="199">
        <v>3.0678349874259103E-2</v>
      </c>
      <c r="AA1257" s="201">
        <v>3.0638718152964373E-2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47960</v>
      </c>
      <c r="Y1258" s="198">
        <f>_xll.qlInterestRateIndexValueDate(IborIndex,X1258,Trigger)</f>
        <v>47962</v>
      </c>
      <c r="Z1258" s="199">
        <v>3.0679092635136455E-2</v>
      </c>
      <c r="AA1258" s="201">
        <v>3.0638245607521597E-2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47967</v>
      </c>
      <c r="Y1259" s="198">
        <f>_xll.qlInterestRateIndexValueDate(IborIndex,X1259,Trigger)</f>
        <v>47969</v>
      </c>
      <c r="Z1259" s="199">
        <v>3.0677273804298466E-2</v>
      </c>
      <c r="AA1259" s="201">
        <v>3.0637668943045426E-2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47974</v>
      </c>
      <c r="Y1260" s="198">
        <f>_xll.qlInterestRateIndexValueDate(IborIndex,X1260,Trigger)</f>
        <v>47976</v>
      </c>
      <c r="Z1260" s="199">
        <v>3.0676690800480744E-2</v>
      </c>
      <c r="AA1260" s="201">
        <v>3.0637210815829263E-2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47981</v>
      </c>
      <c r="Y1261" s="198">
        <f>_xll.qlInterestRateIndexValueDate(IborIndex,X1261,Trigger)</f>
        <v>47983</v>
      </c>
      <c r="Z1261" s="199">
        <v>3.0676077817441416E-2</v>
      </c>
      <c r="AA1261" s="201">
        <v>3.0636648569499769E-2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47988</v>
      </c>
      <c r="Y1262" s="198">
        <f>_xll.qlInterestRateIndexValueDate(IborIndex,X1262,Trigger)</f>
        <v>47990</v>
      </c>
      <c r="Z1262" s="199">
        <v>3.0675434855185479E-2</v>
      </c>
      <c r="AA1262" s="201">
        <v>3.0635969389827267E-2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47995</v>
      </c>
      <c r="Y1263" s="198">
        <f>_xll.qlInterestRateIndexValueDate(IborIndex,X1263,Trigger)</f>
        <v>47997</v>
      </c>
      <c r="Z1263" s="199">
        <v>3.0674761913720427E-2</v>
      </c>
      <c r="AA1263" s="201">
        <v>3.0635434376273807E-2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48002</v>
      </c>
      <c r="Y1264" s="198">
        <f>_xll.qlInterestRateIndexValueDate(IborIndex,X1264,Trigger)</f>
        <v>48004</v>
      </c>
      <c r="Z1264" s="199">
        <v>3.0674058993048758E-2</v>
      </c>
      <c r="AA1264" s="201">
        <v>3.063478242913753E-2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48009</v>
      </c>
      <c r="Y1265" s="198">
        <f>_xll.qlInterestRateIndexValueDate(IborIndex,X1265,Trigger)</f>
        <v>48011</v>
      </c>
      <c r="Z1265" s="199">
        <v>3.0673326093177966E-2</v>
      </c>
      <c r="AA1265" s="201">
        <v>3.0634100581838908E-2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48016</v>
      </c>
      <c r="Y1266" s="198">
        <f>_xll.qlInterestRateIndexValueDate(IborIndex,X1266,Trigger)</f>
        <v>48018</v>
      </c>
      <c r="Z1266" s="199">
        <v>3.0672563214118043E-2</v>
      </c>
      <c r="AA1266" s="201">
        <v>3.0633388834218067E-2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48023</v>
      </c>
      <c r="Y1267" s="198">
        <f>_xll.qlInterestRateIndexValueDate(IborIndex,X1267,Trigger)</f>
        <v>48025</v>
      </c>
      <c r="Z1267" s="199">
        <v>3.067177035586649E-2</v>
      </c>
      <c r="AA1267" s="201">
        <v>3.0632647186354944E-2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48030</v>
      </c>
      <c r="Y1268" s="198">
        <f>_xll.qlInterestRateIndexValueDate(IborIndex,X1268,Trigger)</f>
        <v>48032</v>
      </c>
      <c r="Z1268" s="199">
        <v>3.0670947518430802E-2</v>
      </c>
      <c r="AA1268" s="201">
        <v>3.0631875638169603E-2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48037</v>
      </c>
      <c r="Y1269" s="198">
        <f>_xll.qlInterestRateIndexValueDate(IborIndex,X1269,Trigger)</f>
        <v>48039</v>
      </c>
      <c r="Z1269" s="199">
        <v>3.0670094701828465E-2</v>
      </c>
      <c r="AA1269" s="201">
        <v>3.0631074189821916E-2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48044</v>
      </c>
      <c r="Y1270" s="198">
        <f>_xll.qlInterestRateIndexValueDate(IborIndex,X1270,Trigger)</f>
        <v>48046</v>
      </c>
      <c r="Z1270" s="199">
        <v>3.0669211906051985E-2</v>
      </c>
      <c r="AA1270" s="201">
        <v>3.0630242841072075E-2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48051</v>
      </c>
      <c r="Y1271" s="198">
        <f>_xll.qlInterestRateIndexValueDate(IborIndex,X1271,Trigger)</f>
        <v>48053</v>
      </c>
      <c r="Z1271" s="199">
        <v>3.0669536286454375E-2</v>
      </c>
      <c r="AA1271" s="201">
        <v>3.0629381592159888E-2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48058</v>
      </c>
      <c r="Y1272" s="198">
        <f>_xll.qlInterestRateIndexValueDate(IborIndex,X1272,Trigger)</f>
        <v>48060</v>
      </c>
      <c r="Z1272" s="199">
        <v>3.0663650725530896E-2</v>
      </c>
      <c r="AA1272" s="201">
        <v>3.0628490442925482E-2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48065</v>
      </c>
      <c r="Y1273" s="198">
        <f>_xll.qlInterestRateIndexValueDate(IborIndex,X1273,Trigger)</f>
        <v>48067</v>
      </c>
      <c r="Z1273" s="199">
        <v>3.0666383643795092E-2</v>
      </c>
      <c r="AA1273" s="201">
        <v>3.0627569393448795E-2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48072</v>
      </c>
      <c r="Y1274" s="198">
        <f>_xll.qlInterestRateIndexValueDate(IborIndex,X1274,Trigger)</f>
        <v>48074</v>
      </c>
      <c r="Z1274" s="199">
        <v>3.0665380931421959E-2</v>
      </c>
      <c r="AA1274" s="201">
        <v>3.0626618443649889E-2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48079</v>
      </c>
      <c r="Y1275" s="198">
        <f>_xll.qlInterestRateIndexValueDate(IborIndex,X1275,Trigger)</f>
        <v>48081</v>
      </c>
      <c r="Z1275" s="199">
        <v>3.066434823991715E-2</v>
      </c>
      <c r="AA1275" s="201">
        <v>3.0625495031326722E-2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48086</v>
      </c>
      <c r="Y1276" s="198">
        <f>_xll.qlInterestRateIndexValueDate(IborIndex,X1276,Trigger)</f>
        <v>48088</v>
      </c>
      <c r="Z1276" s="199">
        <v>3.0663285569295651E-2</v>
      </c>
      <c r="AA1276" s="201">
        <v>3.0624626843325231E-2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48093</v>
      </c>
      <c r="Y1277" s="198">
        <f>_xll.qlInterestRateIndexValueDate(IborIndex,X1277,Trigger)</f>
        <v>48095</v>
      </c>
      <c r="Z1277" s="199">
        <v>3.0662192919554965E-2</v>
      </c>
      <c r="AA1277" s="201">
        <v>3.0623586192799479E-2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48100</v>
      </c>
      <c r="Y1278" s="198">
        <f>_xll.qlInterestRateIndexValueDate(IborIndex,X1278,Trigger)</f>
        <v>48102</v>
      </c>
      <c r="Z1278" s="199">
        <v>3.0662291840274462E-2</v>
      </c>
      <c r="AA1278" s="201">
        <v>3.0622515641951509E-2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48107</v>
      </c>
      <c r="Y1279" s="198">
        <f>_xll.qlInterestRateIndexValueDate(IborIndex,X1279,Trigger)</f>
        <v>48109</v>
      </c>
      <c r="Z1279" s="199">
        <v>3.0659917682773485E-2</v>
      </c>
      <c r="AA1279" s="201">
        <v>3.0621415190861256E-2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48114</v>
      </c>
      <c r="Y1280" s="198">
        <f>_xll.qlInterestRateIndexValueDate(IborIndex,X1280,Trigger)</f>
        <v>48116</v>
      </c>
      <c r="Z1280" s="199">
        <v>3.065873509574768E-2</v>
      </c>
      <c r="AA1280" s="201">
        <v>3.0620284839608658E-2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48121</v>
      </c>
      <c r="Y1281" s="198">
        <f>_xll.qlInterestRateIndexValueDate(IborIndex,X1281,Trigger)</f>
        <v>48123</v>
      </c>
      <c r="Z1281" s="199">
        <v>3.0657522529647652E-2</v>
      </c>
      <c r="AA1281" s="201">
        <v>3.0619124587953905E-2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48128</v>
      </c>
      <c r="Y1282" s="198">
        <f>_xll.qlInterestRateIndexValueDate(IborIndex,X1282,Trigger)</f>
        <v>48130</v>
      </c>
      <c r="Z1282" s="199">
        <v>3.0656279984475898E-2</v>
      </c>
      <c r="AA1282" s="201">
        <v>3.0617934436056871E-2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48135</v>
      </c>
      <c r="Y1283" s="198">
        <f>_xll.qlInterestRateIndexValueDate(IborIndex,X1283,Trigger)</f>
        <v>48137</v>
      </c>
      <c r="Z1283" s="199">
        <v>3.0655007460247408E-2</v>
      </c>
      <c r="AA1283" s="201">
        <v>3.0616714383837618E-2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48142</v>
      </c>
      <c r="Y1284" s="198">
        <f>_xll.qlInterestRateIndexValueDate(IborIndex,X1284,Trigger)</f>
        <v>48144</v>
      </c>
      <c r="Z1284" s="199">
        <v>3.0653704956972172E-2</v>
      </c>
      <c r="AA1284" s="201">
        <v>3.0615464431456019E-2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48149</v>
      </c>
      <c r="Y1285" s="198">
        <f>_xll.qlInterestRateIndexValueDate(IborIndex,X1285,Trigger)</f>
        <v>48151</v>
      </c>
      <c r="Z1285" s="199">
        <v>3.064875413773863E-2</v>
      </c>
      <c r="AA1285" s="201">
        <v>3.0614184578752202E-2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48156</v>
      </c>
      <c r="Y1286" s="198">
        <f>_xll.qlInterestRateIndexValueDate(IborIndex,X1286,Trigger)</f>
        <v>48158</v>
      </c>
      <c r="Z1286" s="199">
        <v>3.0651010013321434E-2</v>
      </c>
      <c r="AA1286" s="201">
        <v>3.0612874825806102E-2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48163</v>
      </c>
      <c r="Y1287" s="198">
        <f>_xll.qlInterestRateIndexValueDate(IborIndex,X1287,Trigger)</f>
        <v>48165</v>
      </c>
      <c r="Z1287" s="199">
        <v>3.0649617572968413E-2</v>
      </c>
      <c r="AA1287" s="201">
        <v>3.0611535172617721E-2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48170</v>
      </c>
      <c r="Y1288" s="198">
        <f>_xll.qlInterestRateIndexValueDate(IborIndex,X1288,Trigger)</f>
        <v>48172</v>
      </c>
      <c r="Z1288" s="199">
        <v>3.0648195153608615E-2</v>
      </c>
      <c r="AA1288" s="201">
        <v>3.0610165619107121E-2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48177</v>
      </c>
      <c r="Y1289" s="198">
        <f>_xll.qlInterestRateIndexValueDate(IborIndex,X1289,Trigger)</f>
        <v>48180</v>
      </c>
      <c r="Z1289" s="199">
        <v>3.0647729272957589E-2</v>
      </c>
      <c r="AA1289" s="201">
        <v>3.0608563802587696E-2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48184</v>
      </c>
      <c r="Y1290" s="198">
        <f>_xll.qlInterestRateIndexValueDate(IborIndex,X1290,Trigger)</f>
        <v>48186</v>
      </c>
      <c r="Z1290" s="199">
        <v>3.0645260377921146E-2</v>
      </c>
      <c r="AA1290" s="201">
        <v>3.0607336811439012E-2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48191</v>
      </c>
      <c r="Y1291" s="198">
        <f>_xll.qlInterestRateIndexValueDate(IborIndex,X1291,Trigger)</f>
        <v>48193</v>
      </c>
      <c r="Z1291" s="199">
        <v>3.0643748021618455E-2</v>
      </c>
      <c r="AA1291" s="201">
        <v>3.060587755712163E-2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48198</v>
      </c>
      <c r="Y1292" s="198">
        <f>_xll.qlInterestRateIndexValueDate(IborIndex,X1292,Trigger)</f>
        <v>48200</v>
      </c>
      <c r="Z1292" s="199">
        <v>3.0643395650272645E-2</v>
      </c>
      <c r="AA1292" s="201">
        <v>3.0604388402641902E-2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48205</v>
      </c>
      <c r="Y1293" s="198">
        <f>_xll.qlInterestRateIndexValueDate(IborIndex,X1293,Trigger)</f>
        <v>48211</v>
      </c>
      <c r="Z1293" s="199">
        <v>3.0638534909613557E-2</v>
      </c>
      <c r="AA1293" s="201">
        <v>3.0603620202938053E-2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48212</v>
      </c>
      <c r="Y1294" s="198">
        <f>_xll.qlInterestRateIndexValueDate(IborIndex,X1294,Trigger)</f>
        <v>48215</v>
      </c>
      <c r="Z1294" s="199">
        <v>3.0637614497245301E-2</v>
      </c>
      <c r="AA1294" s="201">
        <v>3.0601096672713268E-2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48219</v>
      </c>
      <c r="Y1295" s="198">
        <f>_xll.qlInterestRateIndexValueDate(IborIndex,X1295,Trigger)</f>
        <v>48221</v>
      </c>
      <c r="Z1295" s="199">
        <v>3.0637398806951932E-2</v>
      </c>
      <c r="AA1295" s="201">
        <v>3.0599741537509217E-2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48226</v>
      </c>
      <c r="Y1296" s="198">
        <f>_xll.qlInterestRateIndexValueDate(IborIndex,X1296,Trigger)</f>
        <v>48228</v>
      </c>
      <c r="Z1296" s="199">
        <v>3.0636917403918738E-2</v>
      </c>
      <c r="AA1296" s="201">
        <v>3.0598132781900489E-2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48233</v>
      </c>
      <c r="Y1297" s="198">
        <f>_xll.qlInterestRateIndexValueDate(IborIndex,X1297,Trigger)</f>
        <v>48235</v>
      </c>
      <c r="Z1297" s="199">
        <v>3.0634044326123822E-2</v>
      </c>
      <c r="AA1297" s="201">
        <v>3.0596494125969542E-2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48240</v>
      </c>
      <c r="Y1298" s="198">
        <f>_xll.qlInterestRateIndexValueDate(IborIndex,X1298,Trigger)</f>
        <v>48242</v>
      </c>
      <c r="Z1298" s="199">
        <v>3.0628792384313236E-2</v>
      </c>
      <c r="AA1298" s="201">
        <v>3.0594825570036122E-2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48247</v>
      </c>
      <c r="Y1299" s="198">
        <f>_xll.qlInterestRateIndexValueDate(IborIndex,X1299,Trigger)</f>
        <v>48249</v>
      </c>
      <c r="Z1299" s="199">
        <v>3.062704706571738E-2</v>
      </c>
      <c r="AA1299" s="201">
        <v>3.0593127113700547E-2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48254</v>
      </c>
      <c r="Y1300" s="198">
        <f>_xll.qlInterestRateIndexValueDate(IborIndex,X1300,Trigger)</f>
        <v>48256</v>
      </c>
      <c r="Z1300" s="199">
        <v>3.0625271775879488E-2</v>
      </c>
      <c r="AA1300" s="201">
        <v>3.0591398756962818E-2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48261</v>
      </c>
      <c r="Y1301" s="198">
        <f>_xll.qlInterestRateIndexValueDate(IborIndex,X1301,Trigger)</f>
        <v>48263</v>
      </c>
      <c r="Z1301" s="199">
        <v>3.0623466514816091E-2</v>
      </c>
      <c r="AA1301" s="201">
        <v>3.0589640500142679E-2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48268</v>
      </c>
      <c r="Y1302" s="198">
        <f>_xll.qlInterestRateIndexValueDate(IborIndex,X1302,Trigger)</f>
        <v>48270</v>
      </c>
      <c r="Z1302" s="199">
        <v>3.0626300591694227E-2</v>
      </c>
      <c r="AA1302" s="201">
        <v>3.0587852343000321E-2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48275</v>
      </c>
      <c r="Y1303" s="198">
        <f>_xll.qlInterestRateIndexValueDate(IborIndex,X1303,Trigger)</f>
        <v>48277</v>
      </c>
      <c r="Z1303" s="199">
        <v>3.0623261390964052E-2</v>
      </c>
      <c r="AA1303" s="201">
        <v>3.0586034285615682E-2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48282</v>
      </c>
      <c r="Y1304" s="198">
        <f>_xll.qlInterestRateIndexValueDate(IborIndex,X1304,Trigger)</f>
        <v>48284</v>
      </c>
      <c r="Z1304" s="199">
        <v>3.0621359309236929E-2</v>
      </c>
      <c r="AA1304" s="201">
        <v>3.058418632798876E-2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48289</v>
      </c>
      <c r="Y1305" s="198">
        <f>_xll.qlInterestRateIndexValueDate(IborIndex,X1305,Trigger)</f>
        <v>48291</v>
      </c>
      <c r="Z1305" s="199">
        <v>3.0619427248732844E-2</v>
      </c>
      <c r="AA1305" s="201">
        <v>3.0582308470199493E-2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48296</v>
      </c>
      <c r="Y1306" s="198">
        <f>_xll.qlInterestRateIndexValueDate(IborIndex,X1306,Trigger)</f>
        <v>48298</v>
      </c>
      <c r="Z1306" s="199">
        <v>3.0617465209461792E-2</v>
      </c>
      <c r="AA1306" s="201">
        <v>3.0579850146335019E-2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48303</v>
      </c>
      <c r="Y1307" s="198">
        <f>_xll.qlInterestRateIndexValueDate(IborIndex,X1307,Trigger)</f>
        <v>48305</v>
      </c>
      <c r="Z1307" s="199">
        <v>3.0616628761043915E-2</v>
      </c>
      <c r="AA1307" s="201">
        <v>3.0578463053574367E-2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48310</v>
      </c>
      <c r="Y1308" s="198">
        <f>_xll.qlInterestRateIndexValueDate(IborIndex,X1308,Trigger)</f>
        <v>48312</v>
      </c>
      <c r="Z1308" s="199">
        <v>3.0613451194693719E-2</v>
      </c>
      <c r="AA1308" s="201">
        <v>3.0576495494898381E-2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48317</v>
      </c>
      <c r="Y1309" s="198">
        <f>_xll.qlInterestRateIndexValueDate(IborIndex,X1309,Trigger)</f>
        <v>48319</v>
      </c>
      <c r="Z1309" s="199">
        <v>3.0611399219229174E-2</v>
      </c>
      <c r="AA1309" s="201">
        <v>3.0574498035980113E-2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48324</v>
      </c>
      <c r="Y1310" s="198">
        <f>_xll.qlInterestRateIndexValueDate(IborIndex,X1310,Trigger)</f>
        <v>48326</v>
      </c>
      <c r="Z1310" s="199">
        <v>3.0609317265062608E-2</v>
      </c>
      <c r="AA1310" s="201">
        <v>3.0572470676739627E-2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48331</v>
      </c>
      <c r="Y1311" s="198">
        <f>_xll.qlInterestRateIndexValueDate(IborIndex,X1311,Trigger)</f>
        <v>48333</v>
      </c>
      <c r="Z1311" s="199">
        <v>3.0603765489629692E-2</v>
      </c>
      <c r="AA1311" s="201">
        <v>3.0570117082300285E-2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48338</v>
      </c>
      <c r="Y1312" s="198">
        <f>_xll.qlInterestRateIndexValueDate(IborIndex,X1312,Trigger)</f>
        <v>48340</v>
      </c>
      <c r="Z1312" s="199">
        <v>3.0605063420700851E-2</v>
      </c>
      <c r="AA1312" s="201">
        <v>3.056832625769168E-2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48345</v>
      </c>
      <c r="Y1313" s="198">
        <f>_xll.qlInterestRateIndexValueDate(IborIndex,X1313,Trigger)</f>
        <v>48347</v>
      </c>
      <c r="Z1313" s="199">
        <v>3.0602891530533138E-2</v>
      </c>
      <c r="AA1313" s="201">
        <v>3.0566209197724348E-2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48352</v>
      </c>
      <c r="Y1314" s="198">
        <f>_xll.qlInterestRateIndexValueDate(IborIndex,X1314,Trigger)</f>
        <v>48354</v>
      </c>
      <c r="Z1314" s="199">
        <v>3.0600689661738345E-2</v>
      </c>
      <c r="AA1314" s="201">
        <v>3.0564062237594669E-2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48359</v>
      </c>
      <c r="Y1315" s="198">
        <f>_xll.qlInterestRateIndexValueDate(IborIndex,X1315,Trigger)</f>
        <v>48361</v>
      </c>
      <c r="Z1315" s="199">
        <v>3.0598457814328961E-2</v>
      </c>
      <c r="AA1315" s="201">
        <v>3.056157195625353E-2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48366</v>
      </c>
      <c r="Y1316" s="198">
        <f>_xll.qlInterestRateIndexValueDate(IborIndex,X1316,Trigger)</f>
        <v>48368</v>
      </c>
      <c r="Z1316" s="199">
        <v>3.0597330647582736E-2</v>
      </c>
      <c r="AA1316" s="201">
        <v>3.0559678616448593E-2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48373</v>
      </c>
      <c r="Y1317" s="198">
        <f>_xll.qlInterestRateIndexValueDate(IborIndex,X1317,Trigger)</f>
        <v>48375</v>
      </c>
      <c r="Z1317" s="199">
        <v>3.0593904183733867E-2</v>
      </c>
      <c r="AA1317" s="201">
        <v>3.0557441955512132E-2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48380</v>
      </c>
      <c r="Y1318" s="198">
        <f>_xll.qlInterestRateIndexValueDate(IborIndex,X1318,Trigger)</f>
        <v>48382</v>
      </c>
      <c r="Z1318" s="199">
        <v>3.0591582400588124E-2</v>
      </c>
      <c r="AA1318" s="201">
        <v>3.0555175394333389E-2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48387</v>
      </c>
      <c r="Y1319" s="198">
        <f>_xll.qlInterestRateIndexValueDate(IborIndex,X1319,Trigger)</f>
        <v>48389</v>
      </c>
      <c r="Z1319" s="199">
        <v>3.0589230638900233E-2</v>
      </c>
      <c r="AA1319" s="201">
        <v>3.0552878932832428E-2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48394</v>
      </c>
      <c r="Y1320" s="198">
        <f>_xll.qlInterestRateIndexValueDate(IborIndex,X1320,Trigger)</f>
        <v>48396</v>
      </c>
      <c r="Z1320" s="199">
        <v>3.058684889868768E-2</v>
      </c>
      <c r="AA1320" s="201">
        <v>3.0550552571169121E-2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48401</v>
      </c>
      <c r="Y1321" s="198">
        <f>_xll.qlInterestRateIndexValueDate(IborIndex,X1321,Trigger)</f>
        <v>48403</v>
      </c>
      <c r="Z1321" s="199">
        <v>3.0584437179972945E-2</v>
      </c>
      <c r="AA1321" s="201">
        <v>3.0548196309263531E-2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48408</v>
      </c>
      <c r="Y1322" s="198">
        <f>_xll.qlInterestRateIndexValueDate(IborIndex,X1322,Trigger)</f>
        <v>48410</v>
      </c>
      <c r="Z1322" s="199">
        <v>3.0581995482771018E-2</v>
      </c>
      <c r="AA1322" s="201">
        <v>3.0545810147035724E-2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48415</v>
      </c>
      <c r="Y1323" s="198">
        <f>_xll.qlInterestRateIndexValueDate(IborIndex,X1323,Trigger)</f>
        <v>48417</v>
      </c>
      <c r="Z1323" s="199">
        <v>3.0579523807106879E-2</v>
      </c>
      <c r="AA1323" s="201">
        <v>3.054339408464557E-2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48422</v>
      </c>
      <c r="Y1324" s="198">
        <f>_xll.qlInterestRateIndexValueDate(IborIndex,X1324,Trigger)</f>
        <v>48424</v>
      </c>
      <c r="Z1324" s="199">
        <v>3.0578138053322206E-2</v>
      </c>
      <c r="AA1324" s="201">
        <v>3.0540948122013134E-2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48429</v>
      </c>
      <c r="Y1325" s="198">
        <f>_xll.qlInterestRateIndexValueDate(IborIndex,X1325,Trigger)</f>
        <v>48431</v>
      </c>
      <c r="Z1325" s="199">
        <v>3.057560406455551E-2</v>
      </c>
      <c r="AA1325" s="201">
        <v>3.053847225905848E-2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48436</v>
      </c>
      <c r="Y1326" s="198">
        <f>_xll.qlInterestRateIndexValueDate(IborIndex,X1326,Trigger)</f>
        <v>48438</v>
      </c>
      <c r="Z1326" s="199">
        <v>3.0571928909516044E-2</v>
      </c>
      <c r="AA1326" s="201">
        <v>3.0535966495861544E-2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48443</v>
      </c>
      <c r="Y1327" s="198">
        <f>_xll.qlInterestRateIndexValueDate(IborIndex,X1327,Trigger)</f>
        <v>48445</v>
      </c>
      <c r="Z1327" s="199">
        <v>3.0569337320187906E-2</v>
      </c>
      <c r="AA1327" s="201">
        <v>3.0533430832422326E-2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48450</v>
      </c>
      <c r="Y1328" s="198">
        <f>_xll.qlInterestRateIndexValueDate(IborIndex,X1328,Trigger)</f>
        <v>48452</v>
      </c>
      <c r="Z1328" s="199">
        <v>3.0566715752497475E-2</v>
      </c>
      <c r="AA1328" s="201">
        <v>3.0530496318910139E-2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48457</v>
      </c>
      <c r="Y1329" s="198">
        <f>_xll.qlInterestRateIndexValueDate(IborIndex,X1329,Trigger)</f>
        <v>48459</v>
      </c>
      <c r="Z1329" s="199">
        <v>3.056406420645974E-2</v>
      </c>
      <c r="AA1329" s="201">
        <v>3.0528269804896979E-2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48464</v>
      </c>
      <c r="Y1330" s="198">
        <f>_xll.qlInterestRateIndexValueDate(IborIndex,X1330,Trigger)</f>
        <v>48466</v>
      </c>
      <c r="Z1330" s="199">
        <v>3.0562484407209538E-2</v>
      </c>
      <c r="AA1330" s="201">
        <v>3.0525644440810851E-2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48471</v>
      </c>
      <c r="Y1331" s="198">
        <f>_xll.qlInterestRateIndexValueDate(IborIndex,X1331,Trigger)</f>
        <v>48473</v>
      </c>
      <c r="Z1331" s="199">
        <v>3.0558671179444774E-2</v>
      </c>
      <c r="AA1331" s="201">
        <v>3.0522989176402504E-2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48478</v>
      </c>
      <c r="Y1332" s="198">
        <f>_xll.qlInterestRateIndexValueDate(IborIndex,X1332,Trigger)</f>
        <v>48480</v>
      </c>
      <c r="Z1332" s="199">
        <v>3.0555929698505013E-2</v>
      </c>
      <c r="AA1332" s="201">
        <v>3.0520304011751875E-2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48485</v>
      </c>
      <c r="Y1333" s="198">
        <f>_xll.qlInterestRateIndexValueDate(IborIndex,X1333,Trigger)</f>
        <v>48487</v>
      </c>
      <c r="Z1333" s="199">
        <v>3.0549873440662803E-2</v>
      </c>
      <c r="AA1333" s="201">
        <v>3.0517588946858965E-2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48492</v>
      </c>
      <c r="Y1334" s="198">
        <f>_xll.qlInterestRateIndexValueDate(IborIndex,X1334,Trigger)</f>
        <v>48494</v>
      </c>
      <c r="Z1334" s="199">
        <v>3.0550356801878342E-2</v>
      </c>
      <c r="AA1334" s="201">
        <v>3.0514843981803708E-2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48499</v>
      </c>
      <c r="Y1335" s="198">
        <f>_xll.qlInterestRateIndexValueDate(IborIndex,X1335,Trigger)</f>
        <v>48501</v>
      </c>
      <c r="Z1335" s="199">
        <v>3.05475253862314E-2</v>
      </c>
      <c r="AA1335" s="201">
        <v>3.0512069116346296E-2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48506</v>
      </c>
      <c r="Y1336" s="198">
        <f>_xll.qlInterestRateIndexValueDate(IborIndex,X1336,Trigger)</f>
        <v>48508</v>
      </c>
      <c r="Z1336" s="199">
        <v>3.0544663992397025E-2</v>
      </c>
      <c r="AA1336" s="201">
        <v>3.0509264350806475E-2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48513</v>
      </c>
      <c r="Y1337" s="198">
        <f>_xll.qlInterestRateIndexValueDate(IborIndex,X1337,Trigger)</f>
        <v>48515</v>
      </c>
      <c r="Z1337" s="199">
        <v>3.0541772620392704E-2</v>
      </c>
      <c r="AA1337" s="201">
        <v>3.0506429684944436E-2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48520</v>
      </c>
      <c r="Y1338" s="198">
        <f>_xll.qlInterestRateIndexValueDate(IborIndex,X1338,Trigger)</f>
        <v>48522</v>
      </c>
      <c r="Z1338" s="199">
        <v>3.0538851270245915E-2</v>
      </c>
      <c r="AA1338" s="201">
        <v>3.0503565118920051E-2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48527</v>
      </c>
      <c r="Y1339" s="198">
        <f>_xll.qlInterestRateIndexValueDate(IborIndex,X1339,Trigger)</f>
        <v>48530</v>
      </c>
      <c r="Z1339" s="199">
        <v>3.0534395758999675E-2</v>
      </c>
      <c r="AA1339" s="201">
        <v>3.0500254716647746E-2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48534</v>
      </c>
      <c r="Y1340" s="198">
        <f>_xll.qlInterestRateIndexValueDate(IborIndex,X1340,Trigger)</f>
        <v>48536</v>
      </c>
      <c r="Z1340" s="199">
        <v>3.0532918635609863E-2</v>
      </c>
      <c r="AA1340" s="201">
        <v>3.0497746286064498E-2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48541</v>
      </c>
      <c r="Y1341" s="198">
        <f>_xll.qlInterestRateIndexValueDate(IborIndex,X1341,Trigger)</f>
        <v>48544</v>
      </c>
      <c r="Z1341" s="199">
        <v>3.0530549879629637E-2</v>
      </c>
      <c r="AA1341" s="201">
        <v>3.0494367540381262E-2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48548</v>
      </c>
      <c r="Y1342" s="198">
        <f>_xll.qlInterestRateIndexValueDate(IborIndex,X1342,Trigger)</f>
        <v>48550</v>
      </c>
      <c r="Z1342" s="199">
        <v>3.0527939191350745E-2</v>
      </c>
      <c r="AA1342" s="201">
        <v>3.0491807852319752E-2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48555</v>
      </c>
      <c r="Y1343" s="198">
        <f>_xll.qlInterestRateIndexValueDate(IborIndex,X1343,Trigger)</f>
        <v>48557</v>
      </c>
      <c r="Z1343" s="199">
        <v>3.0523794848161812E-2</v>
      </c>
      <c r="AA1343" s="201">
        <v>3.0488793785083956E-2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48562</v>
      </c>
      <c r="Y1344" s="198">
        <f>_xll.qlInterestRateIndexValueDate(IborIndex,X1344,Trigger)</f>
        <v>48564</v>
      </c>
      <c r="Z1344" s="199">
        <v>3.0521761926721232E-2</v>
      </c>
      <c r="AA1344" s="201">
        <v>3.0485749817605878E-2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48569</v>
      </c>
      <c r="Y1345" s="198">
        <f>_xll.qlInterestRateIndexValueDate(IborIndex,X1345,Trigger)</f>
        <v>48571</v>
      </c>
      <c r="Z1345" s="199">
        <v>3.0517562433147738E-2</v>
      </c>
      <c r="AA1345" s="201">
        <v>3.048179221008418E-2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48577</v>
      </c>
      <c r="Y1346" s="198">
        <f>_xll.qlInterestRateIndexValueDate(IborIndex,X1346,Trigger)</f>
        <v>48583</v>
      </c>
      <c r="Z1346" s="199">
        <v>3.0511062994015042E-2</v>
      </c>
      <c r="AA1346" s="201">
        <v>3.0478232842563457E-2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48584</v>
      </c>
      <c r="Y1347" s="198">
        <f>_xll.qlInterestRateIndexValueDate(IborIndex,X1347,Trigger)</f>
        <v>48586</v>
      </c>
      <c r="Z1347" s="199">
        <v>3.0509690884966724E-2</v>
      </c>
      <c r="AA1347" s="201">
        <v>3.0475988406086785E-2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48591</v>
      </c>
      <c r="Y1348" s="198">
        <f>_xll.qlInterestRateIndexValueDate(IborIndex,X1348,Trigger)</f>
        <v>48593</v>
      </c>
      <c r="Z1348" s="199">
        <v>3.0506467886198211E-2</v>
      </c>
      <c r="AA1348" s="201">
        <v>3.0472820566256331E-2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48598</v>
      </c>
      <c r="Y1349" s="198">
        <f>_xll.qlInterestRateIndexValueDate(IborIndex,X1349,Trigger)</f>
        <v>48600</v>
      </c>
      <c r="Z1349" s="199">
        <v>3.0504270976709769E-2</v>
      </c>
      <c r="AA1349" s="201">
        <v>3.0469622826103659E-2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48605</v>
      </c>
      <c r="Y1350" s="198">
        <f>_xll.qlInterestRateIndexValueDate(IborIndex,X1350,Trigger)</f>
        <v>48607</v>
      </c>
      <c r="Z1350" s="199">
        <v>3.0499931962592007E-2</v>
      </c>
      <c r="AA1350" s="201">
        <v>3.0466395185788642E-2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48612</v>
      </c>
      <c r="Y1351" s="198">
        <f>_xll.qlInterestRateIndexValueDate(IborIndex,X1351,Trigger)</f>
        <v>48614</v>
      </c>
      <c r="Z1351" s="199">
        <v>3.0493464336458179E-2</v>
      </c>
      <c r="AA1351" s="201">
        <v>3.0463137645231342E-2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48619</v>
      </c>
      <c r="Y1352" s="198">
        <f>_xll.qlInterestRateIndexValueDate(IborIndex,X1352,Trigger)</f>
        <v>48621</v>
      </c>
      <c r="Z1352" s="199">
        <v>3.0490128706331783E-2</v>
      </c>
      <c r="AA1352" s="201">
        <v>3.0459850204511696E-2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48626</v>
      </c>
      <c r="Y1353" s="198">
        <f>_xll.qlInterestRateIndexValueDate(IborIndex,X1353,Trigger)</f>
        <v>48628</v>
      </c>
      <c r="Z1353" s="199">
        <v>3.0486763108451394E-2</v>
      </c>
      <c r="AA1353" s="201">
        <v>3.0456532863469832E-2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48633</v>
      </c>
      <c r="Y1354" s="198">
        <f>_xll.qlInterestRateIndexValueDate(IborIndex,X1354,Trigger)</f>
        <v>48635</v>
      </c>
      <c r="Z1354" s="199">
        <v>3.0483367542842706E-2</v>
      </c>
      <c r="AA1354" s="201">
        <v>3.0453185622265622E-2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48640</v>
      </c>
      <c r="Y1355" s="198">
        <f>_xll.qlInterestRateIndexValueDate(IborIndex,X1355,Trigger)</f>
        <v>48642</v>
      </c>
      <c r="Z1355" s="199">
        <v>3.0483067586015496E-2</v>
      </c>
      <c r="AA1355" s="201">
        <v>3.0449808480819129E-2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48647</v>
      </c>
      <c r="Y1356" s="198">
        <f>_xll.qlInterestRateIndexValueDate(IborIndex,X1356,Trigger)</f>
        <v>48649</v>
      </c>
      <c r="Z1356" s="199">
        <v>3.0479604785037924E-2</v>
      </c>
      <c r="AA1356" s="201">
        <v>3.0446401439210291E-2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48654</v>
      </c>
      <c r="Y1357" s="198">
        <f>_xll.qlInterestRateIndexValueDate(IborIndex,X1357,Trigger)</f>
        <v>48656</v>
      </c>
      <c r="Z1357" s="199">
        <v>3.0477148650889518E-2</v>
      </c>
      <c r="AA1357" s="201">
        <v>3.0442964497279235E-2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48661</v>
      </c>
      <c r="Y1358" s="198">
        <f>_xll.qlInterestRateIndexValueDate(IborIndex,X1358,Trigger)</f>
        <v>48663</v>
      </c>
      <c r="Z1358" s="199">
        <v>3.0472589257640199E-2</v>
      </c>
      <c r="AA1358" s="201">
        <v>3.0439497655185832E-2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48668</v>
      </c>
      <c r="Y1359" s="198">
        <f>_xll.qlInterestRateIndexValueDate(IborIndex,X1359,Trigger)</f>
        <v>48670</v>
      </c>
      <c r="Z1359" s="199">
        <v>3.0470068292584862E-2</v>
      </c>
      <c r="AA1359" s="201">
        <v>3.0436000912850147E-2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48675</v>
      </c>
      <c r="Y1360" s="198">
        <f>_xll.qlInterestRateIndexValueDate(IborIndex,X1360,Trigger)</f>
        <v>48677</v>
      </c>
      <c r="Z1360" s="199">
        <v>3.0465453829825139E-2</v>
      </c>
      <c r="AA1360" s="201">
        <v>3.0432474270272181E-2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48682</v>
      </c>
      <c r="Y1361" s="198">
        <f>_xll.qlInterestRateIndexValueDate(IborIndex,X1361,Trigger)</f>
        <v>48688</v>
      </c>
      <c r="Z1361" s="199">
        <v>3.0458737661448687E-2</v>
      </c>
      <c r="AA1361" s="201">
        <v>3.042789608060481E-2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48689</v>
      </c>
      <c r="Y1362" s="198">
        <f>_xll.qlInterestRateIndexValueDate(IborIndex,X1362,Trigger)</f>
        <v>48691</v>
      </c>
      <c r="Z1362" s="199">
        <v>3.0458198501814502E-2</v>
      </c>
      <c r="AA1362" s="201">
        <v>3.0425331284469337E-2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48696</v>
      </c>
      <c r="Y1363" s="198">
        <f>_xll.qlInterestRateIndexValueDate(IborIndex,X1363,Trigger)</f>
        <v>48698</v>
      </c>
      <c r="Z1363" s="199">
        <v>3.0455547845340269E-2</v>
      </c>
      <c r="AA1363" s="201">
        <v>3.0421195879970497E-2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48703</v>
      </c>
      <c r="Y1364" s="198">
        <f>_xll.qlInterestRateIndexValueDate(IborIndex,X1364,Trigger)</f>
        <v>48705</v>
      </c>
      <c r="Z1364" s="199">
        <v>3.0450823273832622E-2</v>
      </c>
      <c r="AA1364" s="201">
        <v>3.0418068697857237E-2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48710</v>
      </c>
      <c r="Y1365" s="198">
        <f>_xll.qlInterestRateIndexValueDate(IborIndex,X1365,Trigger)</f>
        <v>48712</v>
      </c>
      <c r="Z1365" s="199">
        <v>3.0447090697424666E-2</v>
      </c>
      <c r="AA1365" s="201">
        <v>3.0414392554227732E-2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48717</v>
      </c>
      <c r="Y1366" s="198">
        <f>_xll.qlInterestRateIndexValueDate(IborIndex,X1366,Trigger)</f>
        <v>48719</v>
      </c>
      <c r="Z1366" s="199">
        <v>3.0443328146108992E-2</v>
      </c>
      <c r="AA1366" s="201">
        <v>3.041068651043588E-2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48724</v>
      </c>
      <c r="Y1367" s="198">
        <f>_xll.qlInterestRateIndexValueDate(IborIndex,X1367,Trigger)</f>
        <v>48726</v>
      </c>
      <c r="Z1367" s="199">
        <v>3.043953561991139E-2</v>
      </c>
      <c r="AA1367" s="201">
        <v>3.0406414419195116E-2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48731</v>
      </c>
      <c r="Y1368" s="198">
        <f>_xll.qlInterestRateIndexValueDate(IborIndex,X1368,Trigger)</f>
        <v>48733</v>
      </c>
      <c r="Z1368" s="199">
        <v>3.0436722793725224E-2</v>
      </c>
      <c r="AA1368" s="201">
        <v>3.0403184722045395E-2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48738</v>
      </c>
      <c r="Y1369" s="198">
        <f>_xll.qlInterestRateIndexValueDate(IborIndex,X1369,Trigger)</f>
        <v>48740</v>
      </c>
      <c r="Z1369" s="199">
        <v>3.0431860643007052E-2</v>
      </c>
      <c r="AA1369" s="201">
        <v>3.0399388977526698E-2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48745</v>
      </c>
      <c r="Y1370" s="198">
        <f>_xll.qlInterestRateIndexValueDate(IborIndex,X1370,Trigger)</f>
        <v>48747</v>
      </c>
      <c r="Z1370" s="199">
        <v>3.0427978192357048E-2</v>
      </c>
      <c r="AA1370" s="201">
        <v>3.0395563332845654E-2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48752</v>
      </c>
      <c r="Y1371" s="198">
        <f>_xll.qlInterestRateIndexValueDate(IborIndex,X1371,Trigger)</f>
        <v>48754</v>
      </c>
      <c r="Z1371" s="199">
        <v>3.0424065766946305E-2</v>
      </c>
      <c r="AA1371" s="201">
        <v>3.0391707787922329E-2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48759</v>
      </c>
      <c r="Y1372" s="198">
        <f>_xll.qlInterestRateIndexValueDate(IborIndex,X1372,Trigger)</f>
        <v>48761</v>
      </c>
      <c r="Z1372" s="199">
        <v>3.0420123366805767E-2</v>
      </c>
      <c r="AA1372" s="201">
        <v>3.0387822342756721E-2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48766</v>
      </c>
      <c r="Y1373" s="198">
        <f>_xll.qlInterestRateIndexValueDate(IborIndex,X1373,Trigger)</f>
        <v>48768</v>
      </c>
      <c r="Z1373" s="199">
        <v>3.0416150991966377E-2</v>
      </c>
      <c r="AA1373" s="201">
        <v>3.0383906997508703E-2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48773</v>
      </c>
      <c r="Y1374" s="198">
        <f>_xll.qlInterestRateIndexValueDate(IborIndex,X1374,Trigger)</f>
        <v>48775</v>
      </c>
      <c r="Z1374" s="199">
        <v>3.0412148642461657E-2</v>
      </c>
      <c r="AA1374" s="201">
        <v>3.0379961752018403E-2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48780</v>
      </c>
      <c r="Y1375" s="198">
        <f>_xll.qlInterestRateIndexValueDate(IborIndex,X1375,Trigger)</f>
        <v>48782</v>
      </c>
      <c r="Z1375" s="199">
        <v>3.0408116318317392E-2</v>
      </c>
      <c r="AA1375" s="201">
        <v>3.0375986606205885E-2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48787</v>
      </c>
      <c r="Y1376" s="198">
        <f>_xll.qlInterestRateIndexValueDate(IborIndex,X1376,Trigger)</f>
        <v>48789</v>
      </c>
      <c r="Z1376" s="199">
        <v>3.0406033584834707E-2</v>
      </c>
      <c r="AA1376" s="201">
        <v>3.0371981560310957E-2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48794</v>
      </c>
      <c r="Y1377" s="198">
        <f>_xll.qlInterestRateIndexValueDate(IborIndex,X1377,Trigger)</f>
        <v>48796</v>
      </c>
      <c r="Z1377" s="199">
        <v>3.0400949133108923E-2</v>
      </c>
      <c r="AA1377" s="201">
        <v>3.0367946614173746E-2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48801</v>
      </c>
      <c r="Y1378" s="198">
        <f>_xll.qlInterestRateIndexValueDate(IborIndex,X1378,Trigger)</f>
        <v>48803</v>
      </c>
      <c r="Z1378" s="199">
        <v>3.0395839498374808E-2</v>
      </c>
      <c r="AA1378" s="201">
        <v>3.0363881767714318E-2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48808</v>
      </c>
      <c r="Y1379" s="198">
        <f>_xll.qlInterestRateIndexValueDate(IborIndex,X1379,Trigger)</f>
        <v>48810</v>
      </c>
      <c r="Z1379" s="199">
        <v>3.0391687275994689E-2</v>
      </c>
      <c r="AA1379" s="201">
        <v>3.0359787021252416E-2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48815</v>
      </c>
      <c r="Y1380" s="198">
        <f>_xll.qlInterestRateIndexValueDate(IborIndex,X1380,Trigger)</f>
        <v>48817</v>
      </c>
      <c r="Z1380" s="199">
        <v>3.0387505079137473E-2</v>
      </c>
      <c r="AA1380" s="201">
        <v>3.0355070698400155E-2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48822</v>
      </c>
      <c r="Y1381" s="198">
        <f>_xll.qlInterestRateIndexValueDate(IborIndex,X1381,Trigger)</f>
        <v>48824</v>
      </c>
      <c r="Z1381" s="199">
        <v>3.0383292907831528E-2</v>
      </c>
      <c r="AA1381" s="201">
        <v>3.0351507827521829E-2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48829</v>
      </c>
      <c r="Y1382" s="198">
        <f>_xll.qlInterestRateIndexValueDate(IborIndex,X1382,Trigger)</f>
        <v>48831</v>
      </c>
      <c r="Z1382" s="199">
        <v>3.0380025679956346E-2</v>
      </c>
      <c r="AA1382" s="201">
        <v>3.0347323380253144E-2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48836</v>
      </c>
      <c r="Y1383" s="198">
        <f>_xll.qlInterestRateIndexValueDate(IborIndex,X1383,Trigger)</f>
        <v>48838</v>
      </c>
      <c r="Z1383" s="199">
        <v>3.0374778642010117E-2</v>
      </c>
      <c r="AA1383" s="201">
        <v>3.0343109032981985E-2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48843</v>
      </c>
      <c r="Y1384" s="198">
        <f>_xll.qlInterestRateIndexValueDate(IborIndex,X1384,Trigger)</f>
        <v>48845</v>
      </c>
      <c r="Z1384" s="199">
        <v>3.0370476547561694E-2</v>
      </c>
      <c r="AA1384" s="201">
        <v>3.0338864785468544E-2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48850</v>
      </c>
      <c r="Y1385" s="198">
        <f>_xll.qlInterestRateIndexValueDate(IborIndex,X1385,Trigger)</f>
        <v>48852</v>
      </c>
      <c r="Z1385" s="199">
        <v>3.0366144478793468E-2</v>
      </c>
      <c r="AA1385" s="201">
        <v>3.0334590637712822E-2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48857</v>
      </c>
      <c r="Y1386" s="198">
        <f>_xll.qlInterestRateIndexValueDate(IborIndex,X1386,Trigger)</f>
        <v>48859</v>
      </c>
      <c r="Z1386" s="199">
        <v>3.0361782435749277E-2</v>
      </c>
      <c r="AA1386" s="201">
        <v>3.0330286589794753E-2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48864</v>
      </c>
      <c r="Y1387" s="198">
        <f>_xll.qlInterestRateIndexValueDate(IborIndex,X1387,Trigger)</f>
        <v>48866</v>
      </c>
      <c r="Z1387" s="199">
        <v>3.0357390418457489E-2</v>
      </c>
      <c r="AA1387" s="201">
        <v>3.0325952641634402E-2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48871</v>
      </c>
      <c r="Y1388" s="198">
        <f>_xll.qlInterestRateIndexValueDate(IborIndex,X1388,Trigger)</f>
        <v>48873</v>
      </c>
      <c r="Z1388" s="199">
        <v>3.0352968426941306E-2</v>
      </c>
      <c r="AA1388" s="201">
        <v>3.0321588793231768E-2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48878</v>
      </c>
      <c r="Y1389" s="198">
        <f>_xll.qlInterestRateIndexValueDate(IborIndex,X1389,Trigger)</f>
        <v>48880</v>
      </c>
      <c r="Z1389" s="199">
        <v>3.0348516461257458E-2</v>
      </c>
      <c r="AA1389" s="201">
        <v>3.0317195044826661E-2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48885</v>
      </c>
      <c r="Y1390" s="198">
        <f>_xll.qlInterestRateIndexValueDate(IborIndex,X1390,Trigger)</f>
        <v>48887</v>
      </c>
      <c r="Z1390" s="199">
        <v>3.0344034521421419E-2</v>
      </c>
      <c r="AA1390" s="201">
        <v>3.03127713960194E-2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48892</v>
      </c>
      <c r="Y1391" s="198">
        <f>_xll.qlInterestRateIndexValueDate(IborIndex,X1391,Trigger)</f>
        <v>48897</v>
      </c>
      <c r="Z1391" s="199">
        <v>3.0336628330559279E-2</v>
      </c>
      <c r="AA1391" s="201">
        <v>3.030767918504651E-2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48899</v>
      </c>
      <c r="Y1392" s="198">
        <f>_xll.qlInterestRateIndexValueDate(IborIndex,X1392,Trigger)</f>
        <v>48901</v>
      </c>
      <c r="Z1392" s="199">
        <v>3.0334980719450056E-2</v>
      </c>
      <c r="AA1392" s="201">
        <v>3.0303834398077711E-2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48906</v>
      </c>
      <c r="Y1393" s="198">
        <f>_xll.qlInterestRateIndexValueDate(IborIndex,X1393,Trigger)</f>
        <v>48908</v>
      </c>
      <c r="Z1393" s="199">
        <v>3.0332303206680358E-2</v>
      </c>
      <c r="AA1393" s="201">
        <v>3.0299321048783412E-2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48913</v>
      </c>
      <c r="Y1394" s="198">
        <f>_xll.qlInterestRateIndexValueDate(IborIndex,X1394,Trigger)</f>
        <v>48915</v>
      </c>
      <c r="Z1394" s="199">
        <v>3.0326751761467208E-2</v>
      </c>
      <c r="AA1394" s="201">
        <v>3.0294777799326766E-2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48920</v>
      </c>
      <c r="Y1395" s="198">
        <f>_xll.qlInterestRateIndexValueDate(IborIndex,X1395,Trigger)</f>
        <v>48922</v>
      </c>
      <c r="Z1395" s="199">
        <v>3.0321175211278566E-2</v>
      </c>
      <c r="AA1395" s="201">
        <v>3.0290204649707775E-2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48927</v>
      </c>
      <c r="Y1396" s="198">
        <f>_xll.qlInterestRateIndexValueDate(IborIndex,X1396,Trigger)</f>
        <v>48929</v>
      </c>
      <c r="Z1396" s="199">
        <v>3.0317453103341219E-2</v>
      </c>
      <c r="AA1396" s="201">
        <v>3.0285601599846501E-2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48934</v>
      </c>
      <c r="Y1397" s="198">
        <f>_xll.qlInterestRateIndexValueDate(IborIndex,X1397,Trigger)</f>
        <v>48936</v>
      </c>
      <c r="Z1397" s="199">
        <v>3.0311821669427835E-2</v>
      </c>
      <c r="AA1397" s="201">
        <v>3.0279639457946317E-2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48941</v>
      </c>
      <c r="Y1398" s="198">
        <f>_xll.qlInterestRateIndexValueDate(IborIndex,X1398,Trigger)</f>
        <v>48943</v>
      </c>
      <c r="Z1398" s="199">
        <v>3.0308034539794637E-2</v>
      </c>
      <c r="AA1398" s="201">
        <v>3.0275637237391351E-2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48948</v>
      </c>
      <c r="Y1399" s="198">
        <f>_xll.qlInterestRateIndexValueDate(IborIndex,X1399,Trigger)</f>
        <v>48950</v>
      </c>
      <c r="Z1399" s="199">
        <v>3.0302348232133854E-2</v>
      </c>
      <c r="AA1399" s="201">
        <v>3.0271613049288604E-2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48955</v>
      </c>
      <c r="Y1400" s="198">
        <f>_xll.qlInterestRateIndexValueDate(IborIndex,X1400,Trigger)</f>
        <v>48957</v>
      </c>
      <c r="Z1400" s="199">
        <v>3.0297566552784604E-2</v>
      </c>
      <c r="AA1400" s="201">
        <v>3.0266890398777946E-2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48962</v>
      </c>
      <c r="Y1401" s="198">
        <f>_xll.qlInterestRateIndexValueDate(IborIndex,X1401,Trigger)</f>
        <v>48964</v>
      </c>
      <c r="Z1401" s="199">
        <v>3.0293681872455014E-2</v>
      </c>
      <c r="AA1401" s="201">
        <v>3.0262137848104942E-2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48969</v>
      </c>
      <c r="Y1402" s="198">
        <f>_xll.qlInterestRateIndexValueDate(IborIndex,X1402,Trigger)</f>
        <v>48971</v>
      </c>
      <c r="Z1402" s="199">
        <v>3.0287913272864671E-2</v>
      </c>
      <c r="AA1402" s="201">
        <v>3.025735539710972E-2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48976</v>
      </c>
      <c r="Y1403" s="198">
        <f>_xll.qlInterestRateIndexValueDate(IborIndex,X1403,Trigger)</f>
        <v>48978</v>
      </c>
      <c r="Z1403" s="199">
        <v>3.0280274900527728E-2</v>
      </c>
      <c r="AA1403" s="201">
        <v>3.0252543046032088E-2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48983</v>
      </c>
      <c r="Y1404" s="198">
        <f>_xll.qlInterestRateIndexValueDate(IborIndex,X1404,Trigger)</f>
        <v>48985</v>
      </c>
      <c r="Z1404" s="199">
        <v>3.0275380982822356E-2</v>
      </c>
      <c r="AA1404" s="201">
        <v>3.0247700794872046E-2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48990</v>
      </c>
      <c r="Y1405" s="198">
        <f>_xll.qlInterestRateIndexValueDate(IborIndex,X1405,Trigger)</f>
        <v>48992</v>
      </c>
      <c r="Z1405" s="199">
        <v>3.0270457098858942E-2</v>
      </c>
      <c r="AA1405" s="201">
        <v>3.0242828643309849E-2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48997</v>
      </c>
      <c r="Y1406" s="198">
        <f>_xll.qlInterestRateIndexValueDate(IborIndex,X1406,Trigger)</f>
        <v>48999</v>
      </c>
      <c r="Z1406" s="199">
        <v>3.026550324867459E-2</v>
      </c>
      <c r="AA1406" s="201">
        <v>3.0237926591825115E-2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49004</v>
      </c>
      <c r="Y1407" s="198">
        <f>_xll.qlInterestRateIndexValueDate(IborIndex,X1407,Trigger)</f>
        <v>49006</v>
      </c>
      <c r="Z1407" s="199">
        <v>3.0263255534365905E-2</v>
      </c>
      <c r="AA1407" s="201">
        <v>3.0232994639938227E-2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49011</v>
      </c>
      <c r="Y1408" s="198">
        <f>_xll.qlInterestRateIndexValueDate(IborIndex,X1408,Trigger)</f>
        <v>49013</v>
      </c>
      <c r="Z1408" s="199">
        <v>3.0259143151316892E-2</v>
      </c>
      <c r="AA1408" s="201">
        <v>3.02280327881288E-2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49018</v>
      </c>
      <c r="Y1409" s="198">
        <f>_xll.qlInterestRateIndexValueDate(IborIndex,X1409,Trigger)</f>
        <v>49020</v>
      </c>
      <c r="Z1409" s="199">
        <v>3.025318262428825E-2</v>
      </c>
      <c r="AA1409" s="201">
        <v>3.0223041035997156E-2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49025</v>
      </c>
      <c r="Y1410" s="198">
        <f>_xll.qlInterestRateIndexValueDate(IborIndex,X1410,Trigger)</f>
        <v>49027</v>
      </c>
      <c r="Z1410" s="199">
        <v>3.0248101209118323E-2</v>
      </c>
      <c r="AA1410" s="201">
        <v>3.0218019383703165E-2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49032</v>
      </c>
      <c r="Y1411" s="198">
        <f>_xll.qlInterestRateIndexValueDate(IborIndex,X1411,Trigger)</f>
        <v>49034</v>
      </c>
      <c r="Z1411" s="199">
        <v>3.0240284505600772E-2</v>
      </c>
      <c r="AA1411" s="201">
        <v>3.0212967831326765E-2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49039</v>
      </c>
      <c r="Y1412" s="198">
        <f>_xll.qlInterestRateIndexValueDate(IborIndex,X1412,Trigger)</f>
        <v>49045</v>
      </c>
      <c r="Z1412" s="199">
        <v>3.0233999546035228E-2</v>
      </c>
      <c r="AA1412" s="201">
        <v>3.0206429043175831E-2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49046</v>
      </c>
      <c r="Y1413" s="198">
        <f>_xll.qlInterestRateIndexValueDate(IborIndex,X1413,Trigger)</f>
        <v>49048</v>
      </c>
      <c r="Z1413" s="199">
        <v>3.0232677123535379E-2</v>
      </c>
      <c r="AA1413" s="201">
        <v>3.0202775025927053E-2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49053</v>
      </c>
      <c r="Y1414" s="198">
        <f>_xll.qlInterestRateIndexValueDate(IborIndex,X1414,Trigger)</f>
        <v>49055</v>
      </c>
      <c r="Z1414" s="199">
        <v>3.0227475815124309E-2</v>
      </c>
      <c r="AA1414" s="201">
        <v>3.0197633772983679E-2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49060</v>
      </c>
      <c r="Y1415" s="198">
        <f>_xll.qlInterestRateIndexValueDate(IborIndex,X1415,Trigger)</f>
        <v>49062</v>
      </c>
      <c r="Z1415" s="199">
        <v>3.022402649340011E-2</v>
      </c>
      <c r="AA1415" s="201">
        <v>3.0191721442918151E-2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49067</v>
      </c>
      <c r="Y1416" s="198">
        <f>_xll.qlInterestRateIndexValueDate(IborIndex,X1416,Trigger)</f>
        <v>49069</v>
      </c>
      <c r="Z1416" s="199">
        <v>3.0216983278697502E-2</v>
      </c>
      <c r="AA1416" s="201">
        <v>3.0187261566609891E-2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49074</v>
      </c>
      <c r="Y1417" s="198">
        <f>_xll.qlInterestRateIndexValueDate(IborIndex,X1417,Trigger)</f>
        <v>49076</v>
      </c>
      <c r="Z1417" s="199">
        <v>3.0211692050772017E-2</v>
      </c>
      <c r="AA1417" s="201">
        <v>3.0182030613179478E-2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49081</v>
      </c>
      <c r="Y1418" s="198">
        <f>_xll.qlInterestRateIndexValueDate(IborIndex,X1418,Trigger)</f>
        <v>49083</v>
      </c>
      <c r="Z1418" s="199">
        <v>3.0206370849754138E-2</v>
      </c>
      <c r="AA1418" s="201">
        <v>3.0176769759666655E-2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49088</v>
      </c>
      <c r="Y1419" s="198">
        <f>_xll.qlInterestRateIndexValueDate(IborIndex,X1419,Trigger)</f>
        <v>49090</v>
      </c>
      <c r="Z1419" s="199">
        <v>3.0201019675692855E-2</v>
      </c>
      <c r="AA1419" s="201">
        <v>3.0170720743099011E-2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49095</v>
      </c>
      <c r="Y1420" s="198">
        <f>_xll.qlInterestRateIndexValueDate(IborIndex,X1420,Trigger)</f>
        <v>49097</v>
      </c>
      <c r="Z1420" s="199">
        <v>3.019563852862427E-2</v>
      </c>
      <c r="AA1420" s="201">
        <v>3.0166158352074035E-2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49102</v>
      </c>
      <c r="Y1421" s="198">
        <f>_xll.qlInterestRateIndexValueDate(IborIndex,X1421,Trigger)</f>
        <v>49104</v>
      </c>
      <c r="Z1421" s="199">
        <v>3.0190227408587064E-2</v>
      </c>
      <c r="AA1421" s="201">
        <v>3.0160807798074174E-2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49109</v>
      </c>
      <c r="Y1422" s="198">
        <f>_xll.qlInterestRateIndexValueDate(IborIndex,X1422,Trigger)</f>
        <v>49111</v>
      </c>
      <c r="Z1422" s="199">
        <v>3.0184786315630225E-2</v>
      </c>
      <c r="AA1422" s="201">
        <v>3.0155427343911967E-2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49116</v>
      </c>
      <c r="Y1423" s="198">
        <f>_xll.qlInterestRateIndexValueDate(IborIndex,X1423,Trigger)</f>
        <v>49118</v>
      </c>
      <c r="Z1423" s="199">
        <v>3.0179315249789857E-2</v>
      </c>
      <c r="AA1423" s="201">
        <v>3.0150016989587414E-2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49123</v>
      </c>
      <c r="Y1424" s="198">
        <f>_xll.qlInterestRateIndexValueDate(IborIndex,X1424,Trigger)</f>
        <v>49125</v>
      </c>
      <c r="Z1424" s="199">
        <v>3.0173814211109793E-2</v>
      </c>
      <c r="AA1424" s="201">
        <v>3.0144576735100514E-2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49130</v>
      </c>
      <c r="Y1425" s="198">
        <f>_xll.qlInterestRateIndexValueDate(IborIndex,X1425,Trigger)</f>
        <v>49132</v>
      </c>
      <c r="Z1425" s="199">
        <v>3.0168283199633873E-2</v>
      </c>
      <c r="AA1425" s="201">
        <v>3.0139106580531205E-2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49137</v>
      </c>
      <c r="Y1426" s="198">
        <f>_xll.qlInterestRateIndexValueDate(IborIndex,X1426,Trigger)</f>
        <v>49139</v>
      </c>
      <c r="Z1426" s="199">
        <v>3.016272221540851E-2</v>
      </c>
      <c r="AA1426" s="201">
        <v>3.0133606525719614E-2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49144</v>
      </c>
      <c r="Y1427" s="198">
        <f>_xll.qlInterestRateIndexValueDate(IborIndex,X1427,Trigger)</f>
        <v>49146</v>
      </c>
      <c r="Z1427" s="199">
        <v>3.0157131258467224E-2</v>
      </c>
      <c r="AA1427" s="201">
        <v>3.0128076570745677E-2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49151</v>
      </c>
      <c r="Y1428" s="198">
        <f>_xll.qlInterestRateIndexValueDate(IborIndex,X1428,Trigger)</f>
        <v>49153</v>
      </c>
      <c r="Z1428" s="199">
        <v>3.015236764890461E-2</v>
      </c>
      <c r="AA1428" s="201">
        <v>3.0122516715769265E-2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49158</v>
      </c>
      <c r="Y1429" s="198">
        <f>_xll.qlInterestRateIndexValueDate(IborIndex,X1429,Trigger)</f>
        <v>49160</v>
      </c>
      <c r="Z1429" s="199">
        <v>3.0146714132949226E-2</v>
      </c>
      <c r="AA1429" s="201">
        <v>3.0116926960470636E-2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49165</v>
      </c>
      <c r="Y1430" s="198">
        <f>_xll.qlInterestRateIndexValueDate(IborIndex,X1430,Trigger)</f>
        <v>49167</v>
      </c>
      <c r="Z1430" s="199">
        <v>3.0140178551817137E-2</v>
      </c>
      <c r="AA1430" s="201">
        <v>3.0111307305249468E-2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49172</v>
      </c>
      <c r="Y1431" s="198">
        <f>_xll.qlInterestRateIndexValueDate(IborIndex,X1431,Trigger)</f>
        <v>49174</v>
      </c>
      <c r="Z1431" s="199">
        <v>3.013446770447115E-2</v>
      </c>
      <c r="AA1431" s="201">
        <v>3.0105657749786019E-2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49179</v>
      </c>
      <c r="Y1432" s="198">
        <f>_xll.qlInterestRateIndexValueDate(IborIndex,X1432,Trigger)</f>
        <v>49181</v>
      </c>
      <c r="Z1432" s="199">
        <v>3.0128726884628421E-2</v>
      </c>
      <c r="AA1432" s="201">
        <v>3.0099164502486175E-2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49186</v>
      </c>
      <c r="Y1433" s="198">
        <f>_xll.qlInterestRateIndexValueDate(IborIndex,X1433,Trigger)</f>
        <v>49188</v>
      </c>
      <c r="Z1433" s="199">
        <v>3.0122956092337942E-2</v>
      </c>
      <c r="AA1433" s="201">
        <v>3.0094268938372082E-2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49193</v>
      </c>
      <c r="Y1434" s="198">
        <f>_xll.qlInterestRateIndexValueDate(IborIndex,X1434,Trigger)</f>
        <v>49195</v>
      </c>
      <c r="Z1434" s="199">
        <v>3.0117996929176771E-2</v>
      </c>
      <c r="AA1434" s="201">
        <v>3.008852968250153E-2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49200</v>
      </c>
      <c r="Y1435" s="198">
        <f>_xll.qlInterestRateIndexValueDate(IborIndex,X1435,Trigger)</f>
        <v>49202</v>
      </c>
      <c r="Z1435" s="199">
        <v>3.0111324590596816E-2</v>
      </c>
      <c r="AA1435" s="201">
        <v>3.0082760526388697E-2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49207</v>
      </c>
      <c r="Y1436" s="198">
        <f>_xll.qlInterestRateIndexValueDate(IborIndex,X1436,Trigger)</f>
        <v>49209</v>
      </c>
      <c r="Z1436" s="199">
        <v>3.0105463881231261E-2</v>
      </c>
      <c r="AA1436" s="201">
        <v>3.0076961470273389E-2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49214</v>
      </c>
      <c r="Y1437" s="198">
        <f>_xll.qlInterestRateIndexValueDate(IborIndex,X1437,Trigger)</f>
        <v>49216</v>
      </c>
      <c r="Z1437" s="199">
        <v>3.0100406909346067E-2</v>
      </c>
      <c r="AA1437" s="201">
        <v>3.0071132514075671E-2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49221</v>
      </c>
      <c r="Y1438" s="198">
        <f>_xll.qlInterestRateIndexValueDate(IborIndex,X1438,Trigger)</f>
        <v>49223</v>
      </c>
      <c r="Z1438" s="199">
        <v>3.0093652545739664E-2</v>
      </c>
      <c r="AA1438" s="201">
        <v>3.0065273657635672E-2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49228</v>
      </c>
      <c r="Y1439" s="198">
        <f>_xll.qlInterestRateIndexValueDate(IborIndex,X1439,Trigger)</f>
        <v>49230</v>
      </c>
      <c r="Z1439" s="199">
        <v>3.0087701919706448E-2</v>
      </c>
      <c r="AA1439" s="201">
        <v>3.0059384901033326E-2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49235</v>
      </c>
      <c r="Y1440" s="198">
        <f>_xll.qlInterestRateIndexValueDate(IborIndex,X1440,Trigger)</f>
        <v>49237</v>
      </c>
      <c r="Z1440" s="199">
        <v>3.0081721321540071E-2</v>
      </c>
      <c r="AA1440" s="201">
        <v>3.0053466244508442E-2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49242</v>
      </c>
      <c r="Y1441" s="198">
        <f>_xll.qlInterestRateIndexValueDate(IborIndex,X1441,Trigger)</f>
        <v>49244</v>
      </c>
      <c r="Z1441" s="199">
        <v>3.0075710751286944E-2</v>
      </c>
      <c r="AA1441" s="201">
        <v>3.004751768766134E-2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49249</v>
      </c>
      <c r="Y1442" s="198">
        <f>_xll.qlInterestRateIndexValueDate(IborIndex,X1442,Trigger)</f>
        <v>49251</v>
      </c>
      <c r="Z1442" s="199">
        <v>3.0069670208998645E-2</v>
      </c>
      <c r="AA1442" s="201">
        <v>3.0041539230731829E-2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49256</v>
      </c>
      <c r="Y1443" s="198">
        <f>_xll.qlInterestRateIndexValueDate(IborIndex,X1443,Trigger)</f>
        <v>49261</v>
      </c>
      <c r="Z1443" s="199">
        <v>3.0060171937535962E-2</v>
      </c>
      <c r="AA1443" s="201">
        <v>3.0034670096110716E-2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49263</v>
      </c>
      <c r="Y1444" s="198">
        <f>_xll.qlInterestRateIndexValueDate(IborIndex,X1444,Trigger)</f>
        <v>49265</v>
      </c>
      <c r="Z1444" s="199">
        <v>3.0057499208491857E-2</v>
      </c>
      <c r="AA1444" s="201">
        <v>3.0029492616625575E-2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49270</v>
      </c>
      <c r="Y1445" s="198">
        <f>_xll.qlInterestRateIndexValueDate(IborIndex,X1445,Trigger)</f>
        <v>49272</v>
      </c>
      <c r="Z1445" s="199">
        <v>3.0052993661437585E-2</v>
      </c>
      <c r="AA1445" s="201">
        <v>3.0023424459288961E-2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49277</v>
      </c>
      <c r="Y1446" s="198">
        <f>_xll.qlInterestRateIndexValueDate(IborIndex,X1446,Trigger)</f>
        <v>49279</v>
      </c>
      <c r="Z1446" s="199">
        <v>3.0046018225227122E-2</v>
      </c>
      <c r="AA1446" s="201">
        <v>3.0017326401869937E-2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49284</v>
      </c>
      <c r="Y1447" s="198">
        <f>_xll.qlInterestRateIndexValueDate(IborIndex,X1447,Trigger)</f>
        <v>49286</v>
      </c>
      <c r="Z1447" s="199">
        <v>3.0039017918612743E-2</v>
      </c>
      <c r="AA1447" s="201">
        <v>3.0011198444448439E-2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49291</v>
      </c>
      <c r="Y1448" s="198">
        <f>_xll.qlInterestRateIndexValueDate(IborIndex,X1448,Trigger)</f>
        <v>49293</v>
      </c>
      <c r="Z1448" s="199">
        <v>3.0033602133614778E-2</v>
      </c>
      <c r="AA1448" s="201">
        <v>3.0005040586704723E-2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49298</v>
      </c>
      <c r="Y1449" s="198">
        <f>_xll.qlInterestRateIndexValueDate(IborIndex,X1449,Trigger)</f>
        <v>49300</v>
      </c>
      <c r="Z1449" s="199">
        <v>3.0026547199837685E-2</v>
      </c>
      <c r="AA1449" s="201">
        <v>2.9997079406509641E-2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49305</v>
      </c>
      <c r="Y1450" s="198">
        <f>_xll.qlInterestRateIndexValueDate(IborIndex,X1450,Trigger)</f>
        <v>49307</v>
      </c>
      <c r="Z1450" s="199">
        <v>3.0021865198658047E-2</v>
      </c>
      <c r="AA1450" s="201">
        <v>2.9991744493518269E-2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49312</v>
      </c>
      <c r="Y1451" s="198">
        <f>_xll.qlInterestRateIndexValueDate(IborIndex,X1451,Trigger)</f>
        <v>49314</v>
      </c>
      <c r="Z1451" s="199">
        <v>3.001395659442524E-2</v>
      </c>
      <c r="AA1451" s="201">
        <v>2.9986387613298859E-2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49319</v>
      </c>
      <c r="Y1452" s="198">
        <f>_xll.qlInterestRateIndexValueDate(IborIndex,X1452,Trigger)</f>
        <v>49321</v>
      </c>
      <c r="Z1452" s="199">
        <v>3.0007616334353442E-2</v>
      </c>
      <c r="AA1452" s="201">
        <v>2.9980110155225503E-2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49326</v>
      </c>
      <c r="Y1453" s="198">
        <f>_xll.qlInterestRateIndexValueDate(IborIndex,X1453,Trigger)</f>
        <v>49328</v>
      </c>
      <c r="Z1453" s="199">
        <v>3.0002037358823341E-2</v>
      </c>
      <c r="AA1453" s="201">
        <v>2.9973802797149673E-2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49333</v>
      </c>
      <c r="Y1454" s="198">
        <f>_xll.qlInterestRateIndexValueDate(IborIndex,X1454,Trigger)</f>
        <v>49335</v>
      </c>
      <c r="Z1454" s="199">
        <v>2.9994845899718514E-2</v>
      </c>
      <c r="AA1454" s="201">
        <v>2.9967465538751625E-2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49340</v>
      </c>
      <c r="Y1455" s="198">
        <f>_xll.qlInterestRateIndexValueDate(IborIndex,X1455,Trigger)</f>
        <v>49342</v>
      </c>
      <c r="Z1455" s="199">
        <v>2.9986056737092426E-2</v>
      </c>
      <c r="AA1455" s="201">
        <v>2.9961098380351103E-2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49347</v>
      </c>
      <c r="Y1456" s="198">
        <f>_xll.qlInterestRateIndexValueDate(IborIndex,X1456,Trigger)</f>
        <v>49349</v>
      </c>
      <c r="Z1456" s="199">
        <v>2.9979604624122809E-2</v>
      </c>
      <c r="AA1456" s="201">
        <v>2.9954701321948107E-2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49354</v>
      </c>
      <c r="Y1457" s="198">
        <f>_xll.qlInterestRateIndexValueDate(IborIndex,X1457,Trigger)</f>
        <v>49356</v>
      </c>
      <c r="Z1457" s="199">
        <v>2.9973122546953501E-2</v>
      </c>
      <c r="AA1457" s="201">
        <v>2.9948274363302829E-2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49361</v>
      </c>
      <c r="Y1458" s="198">
        <f>_xll.qlInterestRateIndexValueDate(IborIndex,X1458,Trigger)</f>
        <v>49363</v>
      </c>
      <c r="Z1458" s="199">
        <v>2.9969723238004176E-2</v>
      </c>
      <c r="AA1458" s="201">
        <v>2.9941817504735013E-2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49368</v>
      </c>
      <c r="Y1459" s="198">
        <f>_xll.qlInterestRateIndexValueDate(IborIndex,X1459,Trigger)</f>
        <v>49370</v>
      </c>
      <c r="Z1459" s="199">
        <v>2.996239531425331E-2</v>
      </c>
      <c r="AA1459" s="201">
        <v>2.9935330745844979E-2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49375</v>
      </c>
      <c r="Y1460" s="198">
        <f>_xll.qlInterestRateIndexValueDate(IborIndex,X1460,Trigger)</f>
        <v>49377</v>
      </c>
      <c r="Z1460" s="199">
        <v>2.9955815283467264E-2</v>
      </c>
      <c r="AA1460" s="201">
        <v>2.9928814087112343E-2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49382</v>
      </c>
      <c r="Y1461" s="198">
        <f>_xll.qlInterestRateIndexValueDate(IborIndex,X1461,Trigger)</f>
        <v>49384</v>
      </c>
      <c r="Z1461" s="199">
        <v>2.9949205281571752E-2</v>
      </c>
      <c r="AA1461" s="201">
        <v>2.9922267528137425E-2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49389</v>
      </c>
      <c r="Y1462" s="198">
        <f>_xll.qlInterestRateIndexValueDate(IborIndex,X1462,Trigger)</f>
        <v>49395</v>
      </c>
      <c r="Z1462" s="199">
        <v>2.9938757581970812E-2</v>
      </c>
      <c r="AA1462" s="201">
        <v>2.9913806588828251E-2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49396</v>
      </c>
      <c r="Y1463" s="198">
        <f>_xll.qlInterestRateIndexValueDate(IborIndex,X1463,Trigger)</f>
        <v>49398</v>
      </c>
      <c r="Z1463" s="199">
        <v>2.9935895364640568E-2</v>
      </c>
      <c r="AA1463" s="201">
        <v>2.9909084709940359E-2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49403</v>
      </c>
      <c r="Y1464" s="198">
        <f>_xll.qlInterestRateIndexValueDate(IborIndex,X1464,Trigger)</f>
        <v>49405</v>
      </c>
      <c r="Z1464" s="199">
        <v>2.9929957165336918E-2</v>
      </c>
      <c r="AA1464" s="201">
        <v>2.9902448450638275E-2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49410</v>
      </c>
      <c r="Y1465" s="198">
        <f>_xll.qlInterestRateIndexValueDate(IborIndex,X1465,Trigger)</f>
        <v>49412</v>
      </c>
      <c r="Z1465" s="199">
        <v>2.9922465563877489E-2</v>
      </c>
      <c r="AA1465" s="201">
        <v>2.9895782291413653E-2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49417</v>
      </c>
      <c r="Y1466" s="198">
        <f>_xll.qlInterestRateIndexValueDate(IborIndex,X1466,Trigger)</f>
        <v>49419</v>
      </c>
      <c r="Z1466" s="199">
        <v>2.9915707947111972E-2</v>
      </c>
      <c r="AA1466" s="201">
        <v>2.9889086231946749E-2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49424</v>
      </c>
      <c r="Y1467" s="198">
        <f>_xll.qlInterestRateIndexValueDate(IborIndex,X1467,Trigger)</f>
        <v>49426</v>
      </c>
      <c r="Z1467" s="199">
        <v>2.9909690842297165E-2</v>
      </c>
      <c r="AA1467" s="201">
        <v>2.9882360272477371E-2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49431</v>
      </c>
      <c r="Y1468" s="198">
        <f>_xll.qlInterestRateIndexValueDate(IborIndex,X1468,Trigger)</f>
        <v>49433</v>
      </c>
      <c r="Z1468" s="199">
        <v>2.9902156559419982E-2</v>
      </c>
      <c r="AA1468" s="201">
        <v>2.9874636849296365E-2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49438</v>
      </c>
      <c r="Y1469" s="198">
        <f>_xll.qlInterestRateIndexValueDate(IborIndex,X1469,Trigger)</f>
        <v>49440</v>
      </c>
      <c r="Z1469" s="199">
        <v>2.9895389667622108E-2</v>
      </c>
      <c r="AA1469" s="201">
        <v>2.986882006688063E-2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49445</v>
      </c>
      <c r="Y1470" s="198">
        <f>_xll.qlInterestRateIndexValueDate(IborIndex,X1470,Trigger)</f>
        <v>49447</v>
      </c>
      <c r="Z1470" s="199">
        <v>2.9888646145269971E-2</v>
      </c>
      <c r="AA1470" s="201">
        <v>2.9862046814361776E-2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49452</v>
      </c>
      <c r="Y1471" s="198">
        <f>_xll.qlInterestRateIndexValueDate(IborIndex,X1471,Trigger)</f>
        <v>49454</v>
      </c>
      <c r="Z1471" s="199">
        <v>2.9881931993751339E-2</v>
      </c>
      <c r="AA1471" s="201">
        <v>2.9854342039943305E-2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49459</v>
      </c>
      <c r="Y1472" s="198">
        <f>_xll.qlInterestRateIndexValueDate(IborIndex,X1472,Trigger)</f>
        <v>49461</v>
      </c>
      <c r="Z1472" s="199">
        <v>2.9875247389338114E-2</v>
      </c>
      <c r="AA1472" s="201">
        <v>2.9848588719243452E-2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49466</v>
      </c>
      <c r="Y1473" s="198">
        <f>_xll.qlInterestRateIndexValueDate(IborIndex,X1473,Trigger)</f>
        <v>49468</v>
      </c>
      <c r="Z1473" s="199">
        <v>2.9868592331970992E-2</v>
      </c>
      <c r="AA1473" s="201">
        <v>2.9841903876723919E-2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49473</v>
      </c>
      <c r="Y1474" s="198">
        <f>_xll.qlInterestRateIndexValueDate(IborIndex,X1474,Trigger)</f>
        <v>49475</v>
      </c>
      <c r="Z1474" s="199">
        <v>2.9861966821603553E-2</v>
      </c>
      <c r="AA1474" s="201">
        <v>2.9835248504070933E-2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49480</v>
      </c>
      <c r="Y1475" s="198">
        <f>_xll.qlInterestRateIndexValueDate(IborIndex,X1475,Trigger)</f>
        <v>49482</v>
      </c>
      <c r="Z1475" s="199">
        <v>2.9855370858186805E-2</v>
      </c>
      <c r="AA1475" s="201">
        <v>2.9828622601524302E-2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49487</v>
      </c>
      <c r="Y1476" s="198">
        <f>_xll.qlInterestRateIndexValueDate(IborIndex,X1476,Trigger)</f>
        <v>49489</v>
      </c>
      <c r="Z1476" s="199">
        <v>2.9849574494010267E-2</v>
      </c>
      <c r="AA1476" s="201">
        <v>2.982202616900409E-2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49494</v>
      </c>
      <c r="Y1477" s="198">
        <f>_xll.qlInterestRateIndexValueDate(IborIndex,X1477,Trigger)</f>
        <v>49496</v>
      </c>
      <c r="Z1477" s="199">
        <v>2.9842267571996525E-2</v>
      </c>
      <c r="AA1477" s="201">
        <v>2.9815459206350425E-2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49501</v>
      </c>
      <c r="Y1478" s="198">
        <f>_xll.qlInterestRateIndexValueDate(IborIndex,X1478,Trigger)</f>
        <v>49503</v>
      </c>
      <c r="Z1478" s="199">
        <v>2.9835760249130164E-2</v>
      </c>
      <c r="AA1478" s="201">
        <v>2.9808921713803116E-2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49508</v>
      </c>
      <c r="Y1479" s="198">
        <f>_xll.qlInterestRateIndexValueDate(IborIndex,X1479,Trigger)</f>
        <v>49510</v>
      </c>
      <c r="Z1479" s="199">
        <v>2.9829282473010785E-2</v>
      </c>
      <c r="AA1479" s="201">
        <v>2.9802413691042418E-2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49515</v>
      </c>
      <c r="Y1480" s="198">
        <f>_xll.qlInterestRateIndexValueDate(IborIndex,X1480,Trigger)</f>
        <v>49517</v>
      </c>
      <c r="Z1480" s="199">
        <v>2.9823610588921856E-2</v>
      </c>
      <c r="AA1480" s="201">
        <v>2.9795935138388074E-2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49522</v>
      </c>
      <c r="Y1481" s="198">
        <f>_xll.qlInterestRateIndexValueDate(IborIndex,X1481,Trigger)</f>
        <v>49524</v>
      </c>
      <c r="Z1481" s="199">
        <v>2.9817193485790483E-2</v>
      </c>
      <c r="AA1481" s="201">
        <v>2.9789486055600278E-2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49529</v>
      </c>
      <c r="Y1482" s="198">
        <f>_xll.qlInterestRateIndexValueDate(IborIndex,X1482,Trigger)</f>
        <v>49531</v>
      </c>
      <c r="Z1482" s="199">
        <v>2.9810026424657524E-2</v>
      </c>
      <c r="AA1482" s="201">
        <v>2.9783066442998773E-2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49536</v>
      </c>
      <c r="Y1483" s="198">
        <f>_xll.qlInterestRateIndexValueDate(IborIndex,X1483,Trigger)</f>
        <v>49538</v>
      </c>
      <c r="Z1483" s="199">
        <v>2.9803666835043888E-2</v>
      </c>
      <c r="AA1483" s="201">
        <v>2.9776676300263816E-2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49543</v>
      </c>
      <c r="Y1484" s="198">
        <f>_xll.qlInterestRateIndexValueDate(IborIndex,X1484,Trigger)</f>
        <v>49545</v>
      </c>
      <c r="Z1484" s="199">
        <v>2.9797336791940007E-2</v>
      </c>
      <c r="AA1484" s="201">
        <v>2.9769409365529853E-2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49550</v>
      </c>
      <c r="Y1485" s="198">
        <f>_xll.qlInterestRateIndexValueDate(IborIndex,X1485,Trigger)</f>
        <v>49552</v>
      </c>
      <c r="Z1485" s="199">
        <v>2.9788684657369644E-2</v>
      </c>
      <c r="AA1485" s="201">
        <v>2.976398442463335E-2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49557</v>
      </c>
      <c r="Y1486" s="198">
        <f>_xll.qlInterestRateIndexValueDate(IborIndex,X1486,Trigger)</f>
        <v>49559</v>
      </c>
      <c r="Z1486" s="199">
        <v>2.9785551206503724E-2</v>
      </c>
      <c r="AA1486" s="201">
        <v>2.9757682691817777E-2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49564</v>
      </c>
      <c r="Y1487" s="198">
        <f>_xll.qlInterestRateIndexValueDate(IborIndex,X1487,Trigger)</f>
        <v>49566</v>
      </c>
      <c r="Z1487" s="199">
        <v>2.9778523941168606E-2</v>
      </c>
      <c r="AA1487" s="201">
        <v>2.9751410429028624E-2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49571</v>
      </c>
      <c r="Y1488" s="198">
        <f>_xll.qlInterestRateIndexValueDate(IborIndex,X1488,Trigger)</f>
        <v>49573</v>
      </c>
      <c r="Z1488" s="199">
        <v>2.9772312083603501E-2</v>
      </c>
      <c r="AA1488" s="201">
        <v>2.9745167636026082E-2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49578</v>
      </c>
      <c r="Y1489" s="198">
        <f>_xll.qlInterestRateIndexValueDate(IborIndex,X1489,Trigger)</f>
        <v>49580</v>
      </c>
      <c r="Z1489" s="199">
        <v>2.9767711276372084E-2</v>
      </c>
      <c r="AA1489" s="201">
        <v>2.9738954313129895E-2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49585</v>
      </c>
      <c r="Y1490" s="198">
        <f>_xll.qlInterestRateIndexValueDate(IborIndex,X1490,Trigger)</f>
        <v>49587</v>
      </c>
      <c r="Z1490" s="199">
        <v>2.9759977007231559E-2</v>
      </c>
      <c r="AA1490" s="201">
        <v>2.9732770460100255E-2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49592</v>
      </c>
      <c r="Y1491" s="198">
        <f>_xll.qlInterestRateIndexValueDate(IborIndex,X1491,Trigger)</f>
        <v>49594</v>
      </c>
      <c r="Z1491" s="199">
        <v>2.9754647649922472E-2</v>
      </c>
      <c r="AA1491" s="201">
        <v>2.9726616077097034E-2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49599</v>
      </c>
      <c r="Y1492" s="198">
        <f>_xll.qlInterestRateIndexValueDate(IborIndex,X1492,Trigger)</f>
        <v>49601</v>
      </c>
      <c r="Z1492" s="199">
        <v>2.9747760115544884E-2</v>
      </c>
      <c r="AA1492" s="201">
        <v>2.9720491164040297E-2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49606</v>
      </c>
      <c r="Y1493" s="198">
        <f>_xll.qlInterestRateIndexValueDate(IborIndex,X1493,Trigger)</f>
        <v>49608</v>
      </c>
      <c r="Z1493" s="199">
        <v>2.9741695988847319E-2</v>
      </c>
      <c r="AA1493" s="201">
        <v>2.9714395721009979E-2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49613</v>
      </c>
      <c r="Y1494" s="198">
        <f>_xll.qlInterestRateIndexValueDate(IborIndex,X1494,Trigger)</f>
        <v>49615</v>
      </c>
      <c r="Z1494" s="199">
        <v>2.973566140818247E-2</v>
      </c>
      <c r="AA1494" s="201">
        <v>2.9708329747766271E-2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49620</v>
      </c>
      <c r="Y1495" s="198">
        <f>_xll.qlInterestRateIndexValueDate(IborIndex,X1495,Trigger)</f>
        <v>49622</v>
      </c>
      <c r="Z1495" s="199">
        <v>2.9729656373503922E-2</v>
      </c>
      <c r="AA1495" s="201">
        <v>2.9702293244628919E-2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49627</v>
      </c>
      <c r="Y1496" s="198">
        <f>_xll.qlInterestRateIndexValueDate(IborIndex,X1496,Trigger)</f>
        <v>49629</v>
      </c>
      <c r="Z1496" s="199">
        <v>2.9723680884767845E-2</v>
      </c>
      <c r="AA1496" s="201">
        <v>2.969628621143805E-2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49634</v>
      </c>
      <c r="Y1497" s="198">
        <f>_xll.qlInterestRateIndexValueDate(IborIndex,X1497,Trigger)</f>
        <v>49636</v>
      </c>
      <c r="Z1497" s="199">
        <v>2.9717734941930397E-2</v>
      </c>
      <c r="AA1497" s="201">
        <v>2.9690308648113728E-2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49641</v>
      </c>
      <c r="Y1498" s="198">
        <f>_xll.qlInterestRateIndexValueDate(IborIndex,X1498,Trigger)</f>
        <v>49643</v>
      </c>
      <c r="Z1498" s="199">
        <v>2.9711818544942589E-2</v>
      </c>
      <c r="AA1498" s="201">
        <v>2.9684360554815825E-2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49648</v>
      </c>
      <c r="Y1499" s="198">
        <f>_xll.qlInterestRateIndexValueDate(IborIndex,X1499,Trigger)</f>
        <v>49650</v>
      </c>
      <c r="Z1499" s="199">
        <v>2.9705931693760578E-2</v>
      </c>
      <c r="AA1499" s="201">
        <v>2.9678441931384469E-2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49655</v>
      </c>
      <c r="Y1500" s="198">
        <f>_xll.qlInterestRateIndexValueDate(IborIndex,X1500,Trigger)</f>
        <v>49657</v>
      </c>
      <c r="Z1500" s="199">
        <v>2.9700074388337959E-2</v>
      </c>
      <c r="AA1500" s="201">
        <v>2.9672552777979533E-2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49662</v>
      </c>
      <c r="Y1501" s="198">
        <f>_xll.qlInterestRateIndexValueDate(IborIndex,X1501,Trigger)</f>
        <v>49664</v>
      </c>
      <c r="Z1501" s="199">
        <v>2.9695056680758281E-2</v>
      </c>
      <c r="AA1501" s="201">
        <v>2.9665024312048871E-2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49670</v>
      </c>
      <c r="Y1502" s="198">
        <f>_xll.qlInterestRateIndexValueDate(IborIndex,X1502,Trigger)</f>
        <v>49674</v>
      </c>
      <c r="Z1502" s="199">
        <v>2.968597251031652E-2</v>
      </c>
      <c r="AA1502" s="201">
        <v>2.965920251852161E-2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49677</v>
      </c>
      <c r="Y1503" s="198">
        <f>_xll.qlInterestRateIndexValueDate(IborIndex,X1503,Trigger)</f>
        <v>49681</v>
      </c>
      <c r="Z1503" s="199">
        <v>2.9680216504311782E-2</v>
      </c>
      <c r="AA1503" s="201">
        <v>2.965423586543281E-2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49684</v>
      </c>
      <c r="Y1504" s="198">
        <f>_xll.qlInterestRateIndexValueDate(IborIndex,X1504,Trigger)</f>
        <v>49688</v>
      </c>
      <c r="Z1504" s="199">
        <v>2.9674490043873042E-2</v>
      </c>
      <c r="AA1504" s="201">
        <v>2.964846880180616E-2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49691</v>
      </c>
      <c r="Y1505" s="198">
        <f>_xll.qlInterestRateIndexValueDate(IborIndex,X1505,Trigger)</f>
        <v>49696</v>
      </c>
      <c r="Z1505" s="199">
        <v>2.9667981695847369E-2</v>
      </c>
      <c r="AA1505" s="201">
        <v>2.9641913957458854E-2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49698</v>
      </c>
      <c r="Y1506" s="198">
        <f>_xll.qlInterestRateIndexValueDate(IborIndex,X1506,Trigger)</f>
        <v>49702</v>
      </c>
      <c r="Z1506" s="199">
        <v>2.96631257595182E-2</v>
      </c>
      <c r="AA1506" s="201">
        <v>2.9637023084232439E-2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49705</v>
      </c>
      <c r="Y1507" s="198">
        <f>_xll.qlInterestRateIndexValueDate(IborIndex,X1507,Trigger)</f>
        <v>49709</v>
      </c>
      <c r="Z1507" s="199">
        <v>2.9655847354380607E-2</v>
      </c>
      <c r="AA1507" s="201">
        <v>2.9631344430365303E-2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49712</v>
      </c>
      <c r="Y1508" s="198">
        <f>_xll.qlInterestRateIndexValueDate(IborIndex,X1508,Trigger)</f>
        <v>49716</v>
      </c>
      <c r="Z1508" s="199">
        <v>2.9650235778423597E-2</v>
      </c>
      <c r="AA1508" s="201">
        <v>2.962569524644465E-2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49719</v>
      </c>
      <c r="Y1509" s="198">
        <f>_xll.qlInterestRateIndexValueDate(IborIndex,X1509,Trigger)</f>
        <v>49724</v>
      </c>
      <c r="Z1509" s="199">
        <v>2.964385872057905E-2</v>
      </c>
      <c r="AA1509" s="201">
        <v>2.9619275121932631E-2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49726</v>
      </c>
      <c r="Y1510" s="198">
        <f>_xll.qlInterestRateIndexValueDate(IborIndex,X1510,Trigger)</f>
        <v>49730</v>
      </c>
      <c r="Z1510" s="199">
        <v>2.9639101247438095E-2</v>
      </c>
      <c r="AA1510" s="201">
        <v>2.9614485288442793E-2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49733</v>
      </c>
      <c r="Y1511" s="198">
        <f>_xll.qlInterestRateIndexValueDate(IborIndex,X1511,Trigger)</f>
        <v>49737</v>
      </c>
      <c r="Z1511" s="199">
        <v>2.9635232093008727E-2</v>
      </c>
      <c r="AA1511" s="201">
        <v>2.960892451436159E-2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49740</v>
      </c>
      <c r="Y1512" s="198">
        <f>_xll.qlInterestRateIndexValueDate(IborIndex,X1512,Trigger)</f>
        <v>49744</v>
      </c>
      <c r="Z1512" s="199">
        <v>2.9629741995543048E-2</v>
      </c>
      <c r="AA1512" s="201">
        <v>2.9603393210226869E-2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49747</v>
      </c>
      <c r="Y1513" s="198">
        <f>_xll.qlInterestRateIndexValueDate(IborIndex,X1513,Trigger)</f>
        <v>49751</v>
      </c>
      <c r="Z1513" s="199">
        <v>2.9624281443264316E-2</v>
      </c>
      <c r="AA1513" s="201">
        <v>2.9597891375958696E-2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49754</v>
      </c>
      <c r="Y1514" s="198">
        <f>_xll.qlInterestRateIndexValueDate(IborIndex,X1514,Trigger)</f>
        <v>49758</v>
      </c>
      <c r="Z1514" s="199">
        <v>2.9618850436120954E-2</v>
      </c>
      <c r="AA1514" s="201">
        <v>2.9592419011716942E-2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49761</v>
      </c>
      <c r="Y1515" s="198">
        <f>_xll.qlInterestRateIndexValueDate(IborIndex,X1515,Trigger)</f>
        <v>49765</v>
      </c>
      <c r="Z1515" s="199">
        <v>2.9612615321482849E-2</v>
      </c>
      <c r="AA1515" s="201">
        <v>2.9586976117181862E-2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49768</v>
      </c>
      <c r="Y1516" s="198">
        <f>_xll.qlInterestRateIndexValueDate(IborIndex,X1516,Trigger)</f>
        <v>49772</v>
      </c>
      <c r="Z1516" s="199">
        <v>2.9607241735589263E-2</v>
      </c>
      <c r="AA1516" s="201">
        <v>2.9581562692673202E-2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49775</v>
      </c>
      <c r="Y1517" s="198">
        <f>_xll.qlInterestRateIndexValueDate(IborIndex,X1517,Trigger)</f>
        <v>49781</v>
      </c>
      <c r="Z1517" s="199">
        <v>2.9600376248839488E-2</v>
      </c>
      <c r="AA1517" s="201">
        <v>2.9576310101990799E-2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49782</v>
      </c>
      <c r="Y1518" s="198">
        <f>_xll.qlInterestRateIndexValueDate(IborIndex,X1518,Trigger)</f>
        <v>49786</v>
      </c>
      <c r="Z1518" s="199">
        <v>2.9596583191296766E-2</v>
      </c>
      <c r="AA1518" s="201">
        <v>2.9570824253655204E-2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49789</v>
      </c>
      <c r="Y1519" s="198">
        <f>_xll.qlInterestRateIndexValueDate(IborIndex,X1519,Trigger)</f>
        <v>49793</v>
      </c>
      <c r="Z1519" s="199">
        <v>2.959129823281792E-2</v>
      </c>
      <c r="AA1519" s="201">
        <v>2.9565499238826121E-2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49796</v>
      </c>
      <c r="Y1520" s="198">
        <f>_xll.qlInterestRateIndexValueDate(IborIndex,X1520,Trigger)</f>
        <v>49801</v>
      </c>
      <c r="Z1520" s="199">
        <v>2.9586136716846817E-2</v>
      </c>
      <c r="AA1520" s="201">
        <v>2.9559449593481446E-2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49803</v>
      </c>
      <c r="Y1521" s="198">
        <f>_xll.qlInterestRateIndexValueDate(IborIndex,X1521,Trigger)</f>
        <v>49807</v>
      </c>
      <c r="Z1521" s="199">
        <v>2.9581660646594305E-2</v>
      </c>
      <c r="AA1521" s="201">
        <v>2.9554937619247212E-2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49810</v>
      </c>
      <c r="Y1522" s="198">
        <f>_xll.qlInterestRateIndexValueDate(IborIndex,X1522,Trigger)</f>
        <v>49814</v>
      </c>
      <c r="Z1522" s="199">
        <v>2.9576465999102793E-2</v>
      </c>
      <c r="AA1522" s="201">
        <v>2.9549701014337515E-2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49817</v>
      </c>
      <c r="Y1523" s="198">
        <f>_xll.qlInterestRateIndexValueDate(IborIndex,X1523,Trigger)</f>
        <v>49822</v>
      </c>
      <c r="Z1523" s="199">
        <v>2.9570565436383072E-2</v>
      </c>
      <c r="AA1523" s="201">
        <v>2.9543752408569546E-2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49824</v>
      </c>
      <c r="Y1524" s="198">
        <f>_xll.qlInterestRateIndexValueDate(IborIndex,X1524,Trigger)</f>
        <v>49828</v>
      </c>
      <c r="Z1524" s="199">
        <v>2.95653165756109E-2</v>
      </c>
      <c r="AA1524" s="201">
        <v>2.9539316214197697E-2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49831</v>
      </c>
      <c r="Y1525" s="198">
        <f>_xll.qlInterestRateIndexValueDate(IborIndex,X1525,Trigger)</f>
        <v>49835</v>
      </c>
      <c r="Z1525" s="199">
        <v>2.9560208870935689E-2</v>
      </c>
      <c r="AA1525" s="201">
        <v>2.9534168018967577E-2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49838</v>
      </c>
      <c r="Y1526" s="198">
        <f>_xll.qlInterestRateIndexValueDate(IborIndex,X1526,Trigger)</f>
        <v>49842</v>
      </c>
      <c r="Z1526" s="199">
        <v>2.9555130708421196E-2</v>
      </c>
      <c r="AA1526" s="201">
        <v>2.952904929368394E-2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49845</v>
      </c>
      <c r="Y1527" s="198">
        <f>_xll.qlInterestRateIndexValueDate(IborIndex,X1527,Trigger)</f>
        <v>49849</v>
      </c>
      <c r="Z1527" s="199">
        <v>2.9550082088043439E-2</v>
      </c>
      <c r="AA1527" s="201">
        <v>2.952396003826685E-2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49852</v>
      </c>
      <c r="Y1528" s="198">
        <f>_xll.qlInterestRateIndexValueDate(IborIndex,X1528,Trigger)</f>
        <v>49856</v>
      </c>
      <c r="Z1528" s="199">
        <v>2.954591855306429E-2</v>
      </c>
      <c r="AA1528" s="201">
        <v>2.9518900252796243E-2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49859</v>
      </c>
      <c r="Y1529" s="198">
        <f>_xll.qlInterestRateIndexValueDate(IborIndex,X1529,Trigger)</f>
        <v>49863</v>
      </c>
      <c r="Z1529" s="199">
        <v>2.9540930718183683E-2</v>
      </c>
      <c r="AA1529" s="201">
        <v>2.9513869937272119E-2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49866</v>
      </c>
      <c r="Y1530" s="198">
        <f>_xll.qlInterestRateIndexValueDate(IborIndex,X1530,Trigger)</f>
        <v>49870</v>
      </c>
      <c r="Z1530" s="199">
        <v>2.9535972427809275E-2</v>
      </c>
      <c r="AA1530" s="201">
        <v>2.9508869091694478E-2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49873</v>
      </c>
      <c r="Y1531" s="198">
        <f>_xll.qlInterestRateIndexValueDate(IborIndex,X1531,Trigger)</f>
        <v>49877</v>
      </c>
      <c r="Z1531" s="199">
        <v>2.9531043681902385E-2</v>
      </c>
      <c r="AA1531" s="201">
        <v>2.9503897715903449E-2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49880</v>
      </c>
      <c r="Y1532" s="198">
        <f>_xll.qlInterestRateIndexValueDate(IborIndex,X1532,Trigger)</f>
        <v>49884</v>
      </c>
      <c r="Z1532" s="199">
        <v>2.9526144480424333E-2</v>
      </c>
      <c r="AA1532" s="201">
        <v>2.9498955810058902E-2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49887</v>
      </c>
      <c r="Y1533" s="198">
        <f>_xll.qlInterestRateIndexValueDate(IborIndex,X1533,Trigger)</f>
        <v>49891</v>
      </c>
      <c r="Z1533" s="199">
        <v>2.9521274823339019E-2</v>
      </c>
      <c r="AA1533" s="201">
        <v>2.9494043374160839E-2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49894</v>
      </c>
      <c r="Y1534" s="198">
        <f>_xll.qlInterestRateIndexValueDate(IborIndex,X1534,Trigger)</f>
        <v>49898</v>
      </c>
      <c r="Z1534" s="199">
        <v>2.9516434710612924E-2</v>
      </c>
      <c r="AA1534" s="201">
        <v>2.9489160408129322E-2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49901</v>
      </c>
      <c r="Y1535" s="198">
        <f>_xll.qlInterestRateIndexValueDate(IborIndex,X1535,Trigger)</f>
        <v>49905</v>
      </c>
      <c r="Z1535" s="199">
        <v>2.9511624142202209E-2</v>
      </c>
      <c r="AA1535" s="201">
        <v>2.9484306911884417E-2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49908</v>
      </c>
      <c r="Y1536" s="198">
        <f>_xll.qlInterestRateIndexValueDate(IborIndex,X1536,Trigger)</f>
        <v>49913</v>
      </c>
      <c r="Z1536" s="199">
        <v>2.9506162526402591E-2</v>
      </c>
      <c r="AA1536" s="201">
        <v>2.9478796144841724E-2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49915</v>
      </c>
      <c r="Y1537" s="198">
        <f>_xll.qlInterestRateIndexValueDate(IborIndex,X1537,Trigger)</f>
        <v>49920</v>
      </c>
      <c r="Z1537" s="199">
        <v>2.950054407609759E-2</v>
      </c>
      <c r="AA1537" s="201">
        <v>2.9474005798562075E-2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49922</v>
      </c>
      <c r="Y1538" s="198">
        <f>_xll.qlInterestRateIndexValueDate(IborIndex,X1538,Trigger)</f>
        <v>49926</v>
      </c>
      <c r="Z1538" s="199">
        <v>2.9496497033886904E-2</v>
      </c>
      <c r="AA1538" s="201">
        <v>2.9469923242988472E-2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49929</v>
      </c>
      <c r="Y1539" s="198">
        <f>_xll.qlInterestRateIndexValueDate(IborIndex,X1539,Trigger)</f>
        <v>49933</v>
      </c>
      <c r="Z1539" s="199">
        <v>2.9491802916216336E-2</v>
      </c>
      <c r="AA1539" s="201">
        <v>2.9465187626529499E-2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49936</v>
      </c>
      <c r="Y1540" s="198">
        <f>_xll.qlInterestRateIndexValueDate(IborIndex,X1540,Trigger)</f>
        <v>49940</v>
      </c>
      <c r="Z1540" s="199">
        <v>2.9487138340210883E-2</v>
      </c>
      <c r="AA1540" s="201">
        <v>2.9460481479777201E-2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49943</v>
      </c>
      <c r="Y1541" s="198">
        <f>_xll.qlInterestRateIndexValueDate(IborIndex,X1541,Trigger)</f>
        <v>49947</v>
      </c>
      <c r="Z1541" s="199">
        <v>2.9482503305827912E-2</v>
      </c>
      <c r="AA1541" s="201">
        <v>2.9455804803051322E-2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49950</v>
      </c>
      <c r="Y1542" s="198">
        <f>_xll.qlInterestRateIndexValueDate(IborIndex,X1542,Trigger)</f>
        <v>49954</v>
      </c>
      <c r="Z1542" s="199">
        <v>2.9478777401205403E-2</v>
      </c>
      <c r="AA1542" s="201">
        <v>2.9451157596112054E-2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49957</v>
      </c>
      <c r="Y1543" s="198">
        <f>_xll.qlInterestRateIndexValueDate(IborIndex,X1543,Trigger)</f>
        <v>49962</v>
      </c>
      <c r="Z1543" s="199">
        <v>2.9473552138495143E-2</v>
      </c>
      <c r="AA1543" s="201">
        <v>2.9445882588161609E-2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49964</v>
      </c>
      <c r="Y1544" s="198">
        <f>_xll.qlInterestRateIndexValueDate(IborIndex,X1544,Trigger)</f>
        <v>49968</v>
      </c>
      <c r="Z1544" s="199">
        <v>2.9469658514885807E-2</v>
      </c>
      <c r="AA1544" s="201">
        <v>2.9441951592152904E-2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49971</v>
      </c>
      <c r="Y1545" s="198">
        <f>_xll.qlInterestRateIndexValueDate(IborIndex,X1545,Trigger)</f>
        <v>49975</v>
      </c>
      <c r="Z1545" s="199">
        <v>2.9466028405813194E-2</v>
      </c>
      <c r="AA1545" s="201">
        <v>2.943739279497315E-2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49978</v>
      </c>
      <c r="Y1546" s="198">
        <f>_xll.qlInterestRateIndexValueDate(IborIndex,X1546,Trigger)</f>
        <v>49982</v>
      </c>
      <c r="Z1546" s="199">
        <v>2.9459771257165812E-2</v>
      </c>
      <c r="AA1546" s="201">
        <v>2.9432863467659942E-2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49985</v>
      </c>
      <c r="Y1547" s="198">
        <f>_xll.qlInterestRateIndexValueDate(IborIndex,X1547,Trigger)</f>
        <v>49989</v>
      </c>
      <c r="Z1547" s="199">
        <v>2.9455313471843603E-2</v>
      </c>
      <c r="AA1547" s="201">
        <v>2.9428363610293218E-2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49992</v>
      </c>
      <c r="Y1548" s="198">
        <f>_xll.qlInterestRateIndexValueDate(IborIndex,X1548,Trigger)</f>
        <v>49996</v>
      </c>
      <c r="Z1548" s="199">
        <v>2.9450885227917389E-2</v>
      </c>
      <c r="AA1548" s="201">
        <v>2.9423893222793041E-2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49999</v>
      </c>
      <c r="Y1549" s="198">
        <f>_xll.qlInterestRateIndexValueDate(IborIndex,X1549,Trigger)</f>
        <v>50003</v>
      </c>
      <c r="Z1549" s="199">
        <v>2.9446486525355198E-2</v>
      </c>
      <c r="AA1549" s="201">
        <v>2.941945230515941E-2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50006</v>
      </c>
      <c r="Y1550" s="198">
        <f>_xll.qlInterestRateIndexValueDate(IborIndex,X1550,Trigger)</f>
        <v>50010</v>
      </c>
      <c r="Z1550" s="199">
        <v>2.9443904671720977E-2</v>
      </c>
      <c r="AA1550" s="201">
        <v>2.9415040857472263E-2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50013</v>
      </c>
      <c r="Y1551" s="198">
        <f>_xll.qlInterestRateIndexValueDate(IborIndex,X1551,Trigger)</f>
        <v>50017</v>
      </c>
      <c r="Z1551" s="199">
        <v>2.9438673045802371E-2</v>
      </c>
      <c r="AA1551" s="201">
        <v>2.9410658879571727E-2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50020</v>
      </c>
      <c r="Y1552" s="198">
        <f>_xll.qlInterestRateIndexValueDate(IborIndex,X1552,Trigger)</f>
        <v>50024</v>
      </c>
      <c r="Z1552" s="199">
        <v>2.9434364725392265E-2</v>
      </c>
      <c r="AA1552" s="201">
        <v>2.9406306371617674E-2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50027</v>
      </c>
      <c r="Y1553" s="198">
        <f>_xll.qlInterestRateIndexValueDate(IborIndex,X1553,Trigger)</f>
        <v>50031</v>
      </c>
      <c r="Z1553" s="199">
        <v>2.9430085948676101E-2</v>
      </c>
      <c r="AA1553" s="201">
        <v>2.9405556832546864E-2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50038</v>
      </c>
      <c r="Y1554" s="198">
        <f>_xll.qlInterestRateIndexValueDate(IborIndex,X1554,Trigger)</f>
        <v>50040</v>
      </c>
      <c r="Z1554" s="199">
        <v>2.9423726987394261E-2</v>
      </c>
      <c r="AA1554" s="201">
        <v>2.9394640973530173E-2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50045</v>
      </c>
      <c r="Y1555" s="198">
        <f>_xll.qlInterestRateIndexValueDate(IborIndex,X1555,Trigger)</f>
        <v>50047</v>
      </c>
      <c r="Z1555" s="199">
        <v>2.9422223188827382E-2</v>
      </c>
      <c r="AA1555" s="201">
        <v>2.9394007112752973E-2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50052</v>
      </c>
      <c r="Y1556" s="198">
        <f>_xll.qlInterestRateIndexValueDate(IborIndex,X1556,Trigger)</f>
        <v>50054</v>
      </c>
      <c r="Z1556" s="199">
        <v>2.9418950299903223E-2</v>
      </c>
      <c r="AA1556" s="201">
        <v>2.9389784424873611E-2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50059</v>
      </c>
      <c r="Y1557" s="198">
        <f>_xll.qlInterestRateIndexValueDate(IborIndex,X1557,Trigger)</f>
        <v>50061</v>
      </c>
      <c r="Z1557" s="199">
        <v>2.9413896404849899E-2</v>
      </c>
      <c r="AA1557" s="201">
        <v>2.9385591211736894E-2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50066</v>
      </c>
      <c r="Y1558" s="198">
        <f>_xll.qlInterestRateIndexValueDate(IborIndex,X1558,Trigger)</f>
        <v>50068</v>
      </c>
      <c r="Z1558" s="199">
        <v>2.9407052175084658E-2</v>
      </c>
      <c r="AA1558" s="201">
        <v>2.9381427473449406E-2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50073</v>
      </c>
      <c r="Y1559" s="198">
        <f>_xll.qlInterestRateIndexValueDate(IborIndex,X1559,Trigger)</f>
        <v>50075</v>
      </c>
      <c r="Z1559" s="199">
        <v>2.9401138092712831E-2</v>
      </c>
      <c r="AA1559" s="201">
        <v>2.9377293209877919E-2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50080</v>
      </c>
      <c r="Y1560" s="198">
        <f>_xll.qlInterestRateIndexValueDate(IborIndex,X1560,Trigger)</f>
        <v>50082</v>
      </c>
      <c r="Z1560" s="199">
        <v>2.9397069227022739E-2</v>
      </c>
      <c r="AA1560" s="201">
        <v>2.9373188421129015E-2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50087</v>
      </c>
      <c r="Y1561" s="198">
        <f>_xll.qlInterestRateIndexValueDate(IborIndex,X1561,Trigger)</f>
        <v>50089</v>
      </c>
      <c r="Z1561" s="199">
        <v>2.9393029897417655E-2</v>
      </c>
      <c r="AA1561" s="201">
        <v>2.9369113107149403E-2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50094</v>
      </c>
      <c r="Y1562" s="198">
        <f>_xll.qlInterestRateIndexValueDate(IborIndex,X1562,Trigger)</f>
        <v>50096</v>
      </c>
      <c r="Z1562" s="199">
        <v>2.9389020103854753E-2</v>
      </c>
      <c r="AA1562" s="201">
        <v>2.9365067267912437E-2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50101</v>
      </c>
      <c r="Y1563" s="198">
        <f>_xll.qlInterestRateIndexValueDate(IborIndex,X1563,Trigger)</f>
        <v>50103</v>
      </c>
      <c r="Z1563" s="199">
        <v>2.9390542948803552E-2</v>
      </c>
      <c r="AA1563" s="201">
        <v>2.9361050903471408E-2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50108</v>
      </c>
      <c r="Y1564" s="198">
        <f>_xll.qlInterestRateIndexValueDate(IborIndex,X1564,Trigger)</f>
        <v>50110</v>
      </c>
      <c r="Z1564" s="199">
        <v>2.9385683434938095E-2</v>
      </c>
      <c r="AA1564" s="201">
        <v>2.9357064013773027E-2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50115</v>
      </c>
      <c r="Y1565" s="198">
        <f>_xll.qlInterestRateIndexValueDate(IborIndex,X1565,Trigger)</f>
        <v>50117</v>
      </c>
      <c r="Z1565" s="199">
        <v>2.9381771203751812E-2</v>
      </c>
      <c r="AA1565" s="201">
        <v>2.9353106598843937E-2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50122</v>
      </c>
      <c r="Y1566" s="198">
        <f>_xll.qlInterestRateIndexValueDate(IborIndex,X1566,Trigger)</f>
        <v>50124</v>
      </c>
      <c r="Z1566" s="199">
        <v>2.9377888520742766E-2</v>
      </c>
      <c r="AA1566" s="201">
        <v>2.9349178658657493E-2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50129</v>
      </c>
      <c r="Y1567" s="198">
        <f>_xll.qlInterestRateIndexValueDate(IborIndex,X1567,Trigger)</f>
        <v>50131</v>
      </c>
      <c r="Z1567" s="199">
        <v>2.9371261995230213E-2</v>
      </c>
      <c r="AA1567" s="201">
        <v>2.9341226769830087E-2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50137</v>
      </c>
      <c r="Y1568" s="198">
        <f>_xll.qlInterestRateIndexValueDate(IborIndex,X1568,Trigger)</f>
        <v>50139</v>
      </c>
      <c r="Z1568" s="199">
        <v>2.9368741243352148E-2</v>
      </c>
      <c r="AA1568" s="201">
        <v>2.9337920054048894E-2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50144</v>
      </c>
      <c r="Y1569" s="198">
        <f>_xll.qlInterestRateIndexValueDate(IborIndex,X1569,Trigger)</f>
        <v>50146</v>
      </c>
      <c r="Z1569" s="199">
        <v>2.9364949624166026E-2</v>
      </c>
      <c r="AA1569" s="201">
        <v>2.9334089583787915E-2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50151</v>
      </c>
      <c r="Y1570" s="198">
        <f>_xll.qlInterestRateIndexValueDate(IborIndex,X1570,Trigger)</f>
        <v>50153</v>
      </c>
      <c r="Z1570" s="199">
        <v>2.936211789755238E-2</v>
      </c>
      <c r="AA1570" s="201">
        <v>2.9330288583313546E-2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50158</v>
      </c>
      <c r="Y1571" s="198">
        <f>_xll.qlInterestRateIndexValueDate(IborIndex,X1571,Trigger)</f>
        <v>50160</v>
      </c>
      <c r="Z1571" s="199">
        <v>2.935465989950628E-2</v>
      </c>
      <c r="AA1571" s="201">
        <v>2.9325980668488683E-2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50165</v>
      </c>
      <c r="Y1572" s="198">
        <f>_xll.qlInterestRateIndexValueDate(IborIndex,X1572,Trigger)</f>
        <v>50167</v>
      </c>
      <c r="Z1572" s="199">
        <v>2.935375204011853E-2</v>
      </c>
      <c r="AA1572" s="201">
        <v>2.9322774992204259E-2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50172</v>
      </c>
      <c r="Y1573" s="198">
        <f>_xll.qlInterestRateIndexValueDate(IborIndex,X1573,Trigger)</f>
        <v>50174</v>
      </c>
      <c r="Z1573" s="199">
        <v>2.9350078603168905E-2</v>
      </c>
      <c r="AA1573" s="201">
        <v>2.9319062401409468E-2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50179</v>
      </c>
      <c r="Y1574" s="198">
        <f>_xll.qlInterestRateIndexValueDate(IborIndex,X1574,Trigger)</f>
        <v>50181</v>
      </c>
      <c r="Z1574" s="199">
        <v>2.9346434711705338E-2</v>
      </c>
      <c r="AA1574" s="201">
        <v>2.9314855526081374E-2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50186</v>
      </c>
      <c r="Y1575" s="198">
        <f>_xll.qlInterestRateIndexValueDate(IborIndex,X1575,Trigger)</f>
        <v>50188</v>
      </c>
      <c r="Z1575" s="199">
        <v>2.9342820365705347E-2</v>
      </c>
      <c r="AA1575" s="201">
        <v>2.9311725629419527E-2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50193</v>
      </c>
      <c r="Y1576" s="198">
        <f>_xll.qlInterestRateIndexValueDate(IborIndex,X1576,Trigger)</f>
        <v>50195</v>
      </c>
      <c r="Z1576" s="199">
        <v>2.9339235565126465E-2</v>
      </c>
      <c r="AA1576" s="201">
        <v>2.9308101448224377E-2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50200</v>
      </c>
      <c r="Y1577" s="198">
        <f>_xll.qlInterestRateIndexValueDate(IborIndex,X1577,Trigger)</f>
        <v>50202</v>
      </c>
      <c r="Z1577" s="199">
        <v>2.9335680309951206E-2</v>
      </c>
      <c r="AA1577" s="201">
        <v>2.9304506736895775E-2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50207</v>
      </c>
      <c r="Y1578" s="198">
        <f>_xll.qlInterestRateIndexValueDate(IborIndex,X1578,Trigger)</f>
        <v>50209</v>
      </c>
      <c r="Z1578" s="199">
        <v>2.9332154600149596E-2</v>
      </c>
      <c r="AA1578" s="201">
        <v>2.9300941495353783E-2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50214</v>
      </c>
      <c r="Y1579" s="198">
        <f>_xll.qlInterestRateIndexValueDate(IborIndex,X1579,Trigger)</f>
        <v>50216</v>
      </c>
      <c r="Z1579" s="199">
        <v>2.9328658435694155E-2</v>
      </c>
      <c r="AA1579" s="201">
        <v>2.9297405723598402E-2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50221</v>
      </c>
      <c r="Y1580" s="198">
        <f>_xll.qlInterestRateIndexValueDate(IborIndex,X1580,Trigger)</f>
        <v>50223</v>
      </c>
      <c r="Z1580" s="199">
        <v>2.9325191816552409E-2</v>
      </c>
      <c r="AA1580" s="201">
        <v>2.929389942186944E-2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50228</v>
      </c>
      <c r="Y1581" s="198">
        <f>_xll.qlInterestRateIndexValueDate(IborIndex,X1581,Trigger)</f>
        <v>50230</v>
      </c>
      <c r="Z1581" s="199">
        <v>2.9321754742701878E-2</v>
      </c>
      <c r="AA1581" s="201">
        <v>2.929042258992709E-2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50235</v>
      </c>
      <c r="Y1582" s="198">
        <f>_xll.qlInterestRateIndexValueDate(IborIndex,X1582,Trigger)</f>
        <v>50237</v>
      </c>
      <c r="Z1582" s="199">
        <v>2.9318347214120077E-2</v>
      </c>
      <c r="AA1582" s="201">
        <v>2.9286975227931222E-2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50242</v>
      </c>
      <c r="Y1583" s="198">
        <f>_xll.qlInterestRateIndexValueDate(IborIndex,X1583,Trigger)</f>
        <v>50244</v>
      </c>
      <c r="Z1583" s="199">
        <v>2.9314969230769539E-2</v>
      </c>
      <c r="AA1583" s="201">
        <v>2.928355733564203E-2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50249</v>
      </c>
      <c r="Y1584" s="198">
        <f>_xll.qlInterestRateIndexValueDate(IborIndex,X1584,Trigger)</f>
        <v>50251</v>
      </c>
      <c r="Z1584" s="199">
        <v>2.9308754573444489E-2</v>
      </c>
      <c r="AA1584" s="201">
        <v>2.928016891329932E-2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50256</v>
      </c>
      <c r="Y1585" s="198">
        <f>_xll.qlInterestRateIndexValueDate(IborIndex,X1585,Trigger)</f>
        <v>50258</v>
      </c>
      <c r="Z1585" s="199">
        <v>2.9309259601010176E-2</v>
      </c>
      <c r="AA1585" s="201">
        <v>2.9276809960743222E-2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50263</v>
      </c>
      <c r="Y1586" s="198">
        <f>_xll.qlInterestRateIndexValueDate(IborIndex,X1586,Trigger)</f>
        <v>50265</v>
      </c>
      <c r="Z1586" s="199">
        <v>2.9305012551878173E-2</v>
      </c>
      <c r="AA1586" s="201">
        <v>2.9273480477973735E-2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50270</v>
      </c>
      <c r="Y1587" s="198">
        <f>_xll.qlInterestRateIndexValueDate(IborIndex,X1587,Trigger)</f>
        <v>50272</v>
      </c>
      <c r="Z1587" s="199">
        <v>2.9301752749210375E-2</v>
      </c>
      <c r="AA1587" s="201">
        <v>2.927018046515073E-2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50277</v>
      </c>
      <c r="Y1588" s="198">
        <f>_xll.qlInterestRateIndexValueDate(IborIndex,X1588,Trigger)</f>
        <v>50279</v>
      </c>
      <c r="Z1588" s="199">
        <v>2.9298522491651435E-2</v>
      </c>
      <c r="AA1588" s="201">
        <v>2.9266445107447581E-2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50284</v>
      </c>
      <c r="Y1589" s="198">
        <f>_xll.qlInterestRateIndexValueDate(IborIndex,X1589,Trigger)</f>
        <v>50286</v>
      </c>
      <c r="Z1589" s="199">
        <v>2.9295321779171379E-2</v>
      </c>
      <c r="AA1589" s="201">
        <v>2.9263668849024427E-2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50291</v>
      </c>
      <c r="Y1590" s="198">
        <f>_xll.qlInterestRateIndexValueDate(IborIndex,X1590,Trigger)</f>
        <v>50293</v>
      </c>
      <c r="Z1590" s="199">
        <v>2.9293117552882917E-2</v>
      </c>
      <c r="AA1590" s="201">
        <v>2.9260457245721128E-2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50298</v>
      </c>
      <c r="Y1591" s="198">
        <f>_xll.qlInterestRateIndexValueDate(IborIndex,X1591,Trigger)</f>
        <v>50300</v>
      </c>
      <c r="Z1591" s="199">
        <v>2.9289008989360488E-2</v>
      </c>
      <c r="AA1591" s="201">
        <v>2.9257275112284375E-2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50305</v>
      </c>
      <c r="Y1592" s="198">
        <f>_xll.qlInterestRateIndexValueDate(IborIndex,X1592,Trigger)</f>
        <v>50307</v>
      </c>
      <c r="Z1592" s="199">
        <v>2.9285896911972198E-2</v>
      </c>
      <c r="AA1592" s="201">
        <v>2.9254122448634234E-2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50312</v>
      </c>
      <c r="Y1593" s="198">
        <f>_xll.qlInterestRateIndexValueDate(IborIndex,X1593,Trigger)</f>
        <v>50314</v>
      </c>
      <c r="Z1593" s="199">
        <v>2.9282814379570365E-2</v>
      </c>
      <c r="AA1593" s="201">
        <v>2.9250999255010512E-2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50319</v>
      </c>
      <c r="Y1594" s="198">
        <f>_xll.qlInterestRateIndexValueDate(IborIndex,X1594,Trigger)</f>
        <v>50321</v>
      </c>
      <c r="Z1594" s="199">
        <v>2.9279761392122516E-2</v>
      </c>
      <c r="AA1594" s="201">
        <v>2.9247905530933593E-2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50326</v>
      </c>
      <c r="Y1595" s="198">
        <f>_xll.qlInterestRateIndexValueDate(IborIndex,X1595,Trigger)</f>
        <v>50328</v>
      </c>
      <c r="Z1595" s="199">
        <v>2.9276737949608667E-2</v>
      </c>
      <c r="AA1595" s="201">
        <v>2.9244841276883093E-2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50333</v>
      </c>
      <c r="Y1596" s="198">
        <f>_xll.qlInterestRateIndexValueDate(IborIndex,X1596,Trigger)</f>
        <v>50335</v>
      </c>
      <c r="Z1596" s="199">
        <v>2.9273744052003836E-2</v>
      </c>
      <c r="AA1596" s="201">
        <v>2.9241806492699141E-2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50340</v>
      </c>
      <c r="Y1597" s="198">
        <f>_xll.qlInterestRateIndexValueDate(IborIndex,X1597,Trigger)</f>
        <v>50342</v>
      </c>
      <c r="Z1597" s="199">
        <v>2.9270779699285543E-2</v>
      </c>
      <c r="AA1597" s="201">
        <v>2.9238801178221863E-2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50347</v>
      </c>
      <c r="Y1598" s="198">
        <f>_xll.qlInterestRateIndexValueDate(IborIndex,X1598,Trigger)</f>
        <v>50349</v>
      </c>
      <c r="Z1598" s="199">
        <v>2.9267844891428807E-2</v>
      </c>
      <c r="AA1598" s="201">
        <v>2.9235825333771004E-2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50354</v>
      </c>
      <c r="Y1599" s="198">
        <f>_xll.qlInterestRateIndexValueDate(IborIndex,X1599,Trigger)</f>
        <v>50356</v>
      </c>
      <c r="Z1599" s="199">
        <v>2.9264939628413644E-2</v>
      </c>
      <c r="AA1599" s="201">
        <v>2.9232878958946884E-2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50361</v>
      </c>
      <c r="Y1600" s="198">
        <f>_xll.qlInterestRateIndexValueDate(IborIndex,X1600,Trigger)</f>
        <v>50363</v>
      </c>
      <c r="Z1600" s="199">
        <v>2.9262063910215075E-2</v>
      </c>
      <c r="AA1600" s="201">
        <v>2.9229962054069247E-2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50368</v>
      </c>
      <c r="Y1601" s="198">
        <f>_xll.qlInterestRateIndexValueDate(IborIndex,X1601,Trigger)</f>
        <v>50371</v>
      </c>
      <c r="Z1601" s="199">
        <v>2.9258813552429652E-2</v>
      </c>
      <c r="AA1601" s="201">
        <v>2.9226664534052205E-2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50375</v>
      </c>
      <c r="Y1602" s="198">
        <f>_xll.qlInterestRateIndexValueDate(IborIndex,X1602,Trigger)</f>
        <v>50377</v>
      </c>
      <c r="Z1602" s="199">
        <v>2.9256401108180285E-2</v>
      </c>
      <c r="AA1602" s="201">
        <v>2.9224216653913615E-2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50382</v>
      </c>
      <c r="Y1603" s="198">
        <f>_xll.qlInterestRateIndexValueDate(IborIndex,X1603,Trigger)</f>
        <v>50384</v>
      </c>
      <c r="Z1603" s="199">
        <v>2.9253614024296604E-2</v>
      </c>
      <c r="AA1603" s="201">
        <v>2.9221388158475747E-2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50389</v>
      </c>
      <c r="Y1604" s="198">
        <f>_xll.qlInterestRateIndexValueDate(IborIndex,X1604,Trigger)</f>
        <v>50391</v>
      </c>
      <c r="Z1604" s="199">
        <v>2.9251849620168198E-2</v>
      </c>
      <c r="AA1604" s="201">
        <v>2.9218589133064299E-2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50396</v>
      </c>
      <c r="Y1605" s="198">
        <f>_xll.qlInterestRateIndexValueDate(IborIndex,X1605,Trigger)</f>
        <v>50398</v>
      </c>
      <c r="Z1605" s="199">
        <v>2.9248128490694247E-2</v>
      </c>
      <c r="AA1605" s="201">
        <v>2.9215033688485548E-2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50403</v>
      </c>
      <c r="Y1606" s="198">
        <f>_xll.qlInterestRateIndexValueDate(IborIndex,X1606,Trigger)</f>
        <v>50405</v>
      </c>
      <c r="Z1606" s="199">
        <v>2.9242440699667461E-2</v>
      </c>
      <c r="AA1606" s="201">
        <v>2.9212690456317247E-2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50410</v>
      </c>
      <c r="Y1607" s="198">
        <f>_xll.qlInterestRateIndexValueDate(IborIndex,X1607,Trigger)</f>
        <v>50412</v>
      </c>
      <c r="Z1607" s="199">
        <v>2.9242761135831186E-2</v>
      </c>
      <c r="AA1607" s="201">
        <v>2.9210368875389747E-2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50417</v>
      </c>
      <c r="Y1608" s="198">
        <f>_xll.qlInterestRateIndexValueDate(IborIndex,X1608,Trigger)</f>
        <v>50419</v>
      </c>
      <c r="Z1608" s="199">
        <v>2.9241122481458767E-2</v>
      </c>
      <c r="AA1608" s="201">
        <v>2.9207687729124743E-2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50424</v>
      </c>
      <c r="Y1609" s="198">
        <f>_xll.qlInterestRateIndexValueDate(IborIndex,X1609,Trigger)</f>
        <v>50426</v>
      </c>
      <c r="Z1609" s="199">
        <v>2.923751195954255E-2</v>
      </c>
      <c r="AA1609" s="201">
        <v>2.9205036052806221E-2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50431</v>
      </c>
      <c r="Y1610" s="198">
        <f>_xll.qlInterestRateIndexValueDate(IborIndex,X1610,Trigger)</f>
        <v>50433</v>
      </c>
      <c r="Z1610" s="199">
        <v>2.923191958377723E-2</v>
      </c>
      <c r="AA1610" s="201">
        <v>2.9202413846274311E-2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50438</v>
      </c>
      <c r="Y1611" s="198">
        <f>_xll.qlInterestRateIndexValueDate(IborIndex,X1611,Trigger)</f>
        <v>50440</v>
      </c>
      <c r="Z1611" s="199">
        <v>2.9228357682142506E-2</v>
      </c>
      <c r="AA1611" s="201">
        <v>2.9199821109529012E-2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50445</v>
      </c>
      <c r="Y1612" s="198">
        <f>_xll.qlInterestRateIndexValueDate(IborIndex,X1612,Trigger)</f>
        <v>50447</v>
      </c>
      <c r="Z1612" s="199">
        <v>2.9225828879166915E-2</v>
      </c>
      <c r="AA1612" s="201">
        <v>2.9197257842730195E-2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50452</v>
      </c>
      <c r="Y1613" s="198">
        <f>_xll.qlInterestRateIndexValueDate(IborIndex,X1613,Trigger)</f>
        <v>50454</v>
      </c>
      <c r="Z1613" s="199">
        <v>2.9223329611091562E-2</v>
      </c>
      <c r="AA1613" s="201">
        <v>2.9194724045638054E-2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50459</v>
      </c>
      <c r="Y1614" s="198">
        <f>_xll.qlInterestRateIndexValueDate(IborIndex,X1614,Trigger)</f>
        <v>50461</v>
      </c>
      <c r="Z1614" s="199">
        <v>2.92208598778879E-2</v>
      </c>
      <c r="AA1614" s="201">
        <v>2.9192219718492396E-2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50466</v>
      </c>
      <c r="Y1615" s="198">
        <f>_xll.qlInterestRateIndexValueDate(IborIndex,X1615,Trigger)</f>
        <v>50468</v>
      </c>
      <c r="Z1615" s="199">
        <v>2.9222473500459534E-2</v>
      </c>
      <c r="AA1615" s="201">
        <v>2.9189744861053413E-2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50473</v>
      </c>
      <c r="Y1616" s="198">
        <f>_xll.qlInterestRateIndexValueDate(IborIndex,X1616,Trigger)</f>
        <v>50475</v>
      </c>
      <c r="Z1616" s="199">
        <v>2.9220070496416284E-2</v>
      </c>
      <c r="AA1616" s="201">
        <v>2.9187299473480977E-2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50480</v>
      </c>
      <c r="Y1617" s="198">
        <f>_xll.qlInterestRateIndexValueDate(IborIndex,X1617,Trigger)</f>
        <v>50482</v>
      </c>
      <c r="Z1617" s="199">
        <v>2.9217697036839907E-2</v>
      </c>
      <c r="AA1617" s="201">
        <v>2.9184883555695151E-2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50487</v>
      </c>
      <c r="Y1618" s="198">
        <f>_xll.qlInterestRateIndexValueDate(IborIndex,X1618,Trigger)</f>
        <v>50489</v>
      </c>
      <c r="Z1618" s="199">
        <v>2.9216372924342308E-2</v>
      </c>
      <c r="AA1618" s="201">
        <v>2.9182497107855809E-2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50494</v>
      </c>
      <c r="Y1619" s="198">
        <f>_xll.qlInterestRateIndexValueDate(IborIndex,X1619,Trigger)</f>
        <v>50496</v>
      </c>
      <c r="Z1619" s="199">
        <v>2.9214060476543E-2</v>
      </c>
      <c r="AA1619" s="201">
        <v>2.9180140129803078E-2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50501</v>
      </c>
      <c r="Y1620" s="198">
        <f>_xll.qlInterestRateIndexValueDate(IborIndex,X1620,Trigger)</f>
        <v>50503</v>
      </c>
      <c r="Z1620" s="199">
        <v>2.9210753924702182E-2</v>
      </c>
      <c r="AA1620" s="201">
        <v>2.9177812621536958E-2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50508</v>
      </c>
      <c r="Y1621" s="198">
        <f>_xll.qlInterestRateIndexValueDate(IborIndex,X1621,Trigger)</f>
        <v>50510</v>
      </c>
      <c r="Z1621" s="199">
        <v>2.9208498642798453E-2</v>
      </c>
      <c r="AA1621" s="201">
        <v>2.9175514583057449E-2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50515</v>
      </c>
      <c r="Y1622" s="198">
        <f>_xll.qlInterestRateIndexValueDate(IborIndex,X1622,Trigger)</f>
        <v>50517</v>
      </c>
      <c r="Z1622" s="199">
        <v>2.9206272905266673E-2</v>
      </c>
      <c r="AA1622" s="201">
        <v>2.9172603264751018E-2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50522</v>
      </c>
      <c r="Y1623" s="198">
        <f>_xll.qlInterestRateIndexValueDate(IborIndex,X1623,Trigger)</f>
        <v>50524</v>
      </c>
      <c r="Z1623" s="199">
        <v>2.920098982770504E-2</v>
      </c>
      <c r="AA1623" s="201">
        <v>2.9170689450204179E-2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50529</v>
      </c>
      <c r="Y1624" s="198">
        <f>_xll.qlInterestRateIndexValueDate(IborIndex,X1624,Trigger)</f>
        <v>50531</v>
      </c>
      <c r="Z1624" s="199">
        <v>2.9201910063254011E-2</v>
      </c>
      <c r="AA1624" s="201">
        <v>2.9168797286818204E-2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50536</v>
      </c>
      <c r="Y1625" s="198">
        <f>_xll.qlInterestRateIndexValueDate(IborIndex,X1625,Trigger)</f>
        <v>50538</v>
      </c>
      <c r="Z1625" s="199">
        <v>2.9199772958735659E-2</v>
      </c>
      <c r="AA1625" s="201">
        <v>2.9166617127645011E-2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50543</v>
      </c>
      <c r="Y1626" s="198">
        <f>_xll.qlInterestRateIndexValueDate(IborIndex,X1626,Trigger)</f>
        <v>50545</v>
      </c>
      <c r="Z1626" s="199">
        <v>2.9197665398526806E-2</v>
      </c>
      <c r="AA1626" s="201">
        <v>2.9164466438338366E-2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50550</v>
      </c>
      <c r="Y1627" s="198">
        <f>_xll.qlInterestRateIndexValueDate(IborIndex,X1627,Trigger)</f>
        <v>50552</v>
      </c>
      <c r="Z1627" s="199">
        <v>2.9195587382602473E-2</v>
      </c>
      <c r="AA1627" s="201">
        <v>2.9162044593213921E-2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50557</v>
      </c>
      <c r="Y1628" s="198">
        <f>_xll.qlInterestRateIndexValueDate(IborIndex,X1628,Trigger)</f>
        <v>50559</v>
      </c>
      <c r="Z1628" s="199">
        <v>2.9194578050979268E-2</v>
      </c>
      <c r="AA1628" s="201">
        <v>2.9160253469164843E-2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50564</v>
      </c>
      <c r="Y1629" s="198">
        <f>_xll.qlInterestRateIndexValueDate(IborIndex,X1629,Trigger)</f>
        <v>50566</v>
      </c>
      <c r="Z1629" s="199">
        <v>2.9191519983557401E-2</v>
      </c>
      <c r="AA1629" s="201">
        <v>2.9158191189377902E-2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50571</v>
      </c>
      <c r="Y1630" s="198">
        <f>_xll.qlInterestRateIndexValueDate(IborIndex,X1630,Trigger)</f>
        <v>50573</v>
      </c>
      <c r="Z1630" s="199">
        <v>2.918953060040419E-2</v>
      </c>
      <c r="AA1630" s="201">
        <v>2.9156158379297636E-2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50578</v>
      </c>
      <c r="Y1631" s="198">
        <f>_xll.qlInterestRateIndexValueDate(IborIndex,X1631,Trigger)</f>
        <v>50580</v>
      </c>
      <c r="Z1631" s="199">
        <v>2.9187570761473047E-2</v>
      </c>
      <c r="AA1631" s="201">
        <v>2.9154155039163854E-2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50585</v>
      </c>
      <c r="Y1632" s="198">
        <f>_xll.qlInterestRateIndexValueDate(IborIndex,X1632,Trigger)</f>
        <v>50587</v>
      </c>
      <c r="Z1632" s="199">
        <v>2.9185640466751483E-2</v>
      </c>
      <c r="AA1632" s="201">
        <v>2.915218116865681E-2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50592</v>
      </c>
      <c r="Y1633" s="198">
        <f>_xll.qlInterestRateIndexValueDate(IborIndex,X1633,Trigger)</f>
        <v>50594</v>
      </c>
      <c r="Z1633" s="199">
        <v>2.918373971622451E-2</v>
      </c>
      <c r="AA1633" s="201">
        <v>2.9150236768176185E-2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50599</v>
      </c>
      <c r="Y1634" s="198">
        <f>_xll.qlInterestRateIndexValueDate(IborIndex,X1634,Trigger)</f>
        <v>50601</v>
      </c>
      <c r="Z1634" s="199">
        <v>2.9181868509879638E-2</v>
      </c>
      <c r="AA1634" s="201">
        <v>2.9148321837402236E-2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50606</v>
      </c>
      <c r="Y1635" s="198">
        <f>_xll.qlInterestRateIndexValueDate(IborIndex,X1635,Trigger)</f>
        <v>50608</v>
      </c>
      <c r="Z1635" s="199">
        <v>2.9180026847694385E-2</v>
      </c>
      <c r="AA1635" s="201">
        <v>2.9146436376494833E-2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50613</v>
      </c>
      <c r="Y1636" s="198">
        <f>_xll.qlInterestRateIndexValueDate(IborIndex,X1636,Trigger)</f>
        <v>50615</v>
      </c>
      <c r="Z1636" s="199">
        <v>2.9179269512651377E-2</v>
      </c>
      <c r="AA1636" s="201">
        <v>2.9144580385294105E-2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50620</v>
      </c>
      <c r="Y1637" s="198">
        <f>_xll.qlInterestRateIndexValueDate(IborIndex,X1637,Trigger)</f>
        <v>50622</v>
      </c>
      <c r="Z1637" s="199">
        <v>2.9177488904922236E-2</v>
      </c>
      <c r="AA1637" s="201">
        <v>2.9142753864039861E-2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50627</v>
      </c>
      <c r="Y1638" s="198">
        <f>_xll.qlInterestRateIndexValueDate(IborIndex,X1638,Trigger)</f>
        <v>50629</v>
      </c>
      <c r="Z1638" s="199">
        <v>2.9174679125981429E-2</v>
      </c>
      <c r="AA1638" s="201">
        <v>2.9140956812572227E-2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50634</v>
      </c>
      <c r="Y1639" s="198">
        <f>_xll.qlInterestRateIndexValueDate(IborIndex,X1639,Trigger)</f>
        <v>50636</v>
      </c>
      <c r="Z1639" s="199">
        <v>2.9172955640312248E-2</v>
      </c>
      <c r="AA1639" s="201">
        <v>2.9139189230891205E-2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50641</v>
      </c>
      <c r="Y1640" s="198">
        <f>_xll.qlInterestRateIndexValueDate(IborIndex,X1640,Trigger)</f>
        <v>50643</v>
      </c>
      <c r="Z1640" s="199">
        <v>2.9171261698737738E-2</v>
      </c>
      <c r="AA1640" s="201">
        <v>2.9137205223053186E-2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50648</v>
      </c>
      <c r="Y1641" s="198">
        <f>_xll.qlInterestRateIndexValueDate(IborIndex,X1641,Trigger)</f>
        <v>50650</v>
      </c>
      <c r="Z1641" s="199">
        <v>2.9169597301240413E-2</v>
      </c>
      <c r="AA1641" s="201">
        <v>2.9135742477048865E-2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50655</v>
      </c>
      <c r="Y1642" s="198">
        <f>_xll.qlInterestRateIndexValueDate(IborIndex,X1642,Trigger)</f>
        <v>50657</v>
      </c>
      <c r="Z1642" s="199">
        <v>2.9169029063820646E-2</v>
      </c>
      <c r="AA1642" s="201">
        <v>2.9134063304807611E-2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50662</v>
      </c>
      <c r="Y1643" s="198">
        <f>_xll.qlInterestRateIndexValueDate(IborIndex,X1643,Trigger)</f>
        <v>50664</v>
      </c>
      <c r="Z1643" s="199">
        <v>2.9166357138439847E-2</v>
      </c>
      <c r="AA1643" s="201">
        <v>2.9132413602352969E-2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50669</v>
      </c>
      <c r="Y1644" s="198">
        <f>_xll.qlInterestRateIndexValueDate(IborIndex,X1644,Trigger)</f>
        <v>50671</v>
      </c>
      <c r="Z1644" s="199">
        <v>2.9164781373109128E-2</v>
      </c>
      <c r="AA1644" s="201">
        <v>2.9130793369764874E-2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50676</v>
      </c>
      <c r="Y1645" s="198">
        <f>_xll.qlInterestRateIndexValueDate(IborIndex,X1645,Trigger)</f>
        <v>50678</v>
      </c>
      <c r="Z1645" s="199">
        <v>2.916001894021961E-2</v>
      </c>
      <c r="AA1645" s="201">
        <v>2.9129202606963389E-2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50683</v>
      </c>
      <c r="Y1646" s="198">
        <f>_xll.qlInterestRateIndexValueDate(IborIndex,X1646,Trigger)</f>
        <v>50685</v>
      </c>
      <c r="Z1646" s="199">
        <v>2.9161718474524367E-2</v>
      </c>
      <c r="AA1646" s="201">
        <v>2.9127641314028452E-2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50690</v>
      </c>
      <c r="Y1647" s="198">
        <f>_xll.qlInterestRateIndexValueDate(IborIndex,X1647,Trigger)</f>
        <v>50692</v>
      </c>
      <c r="Z1647" s="199">
        <v>2.9160231341250342E-2</v>
      </c>
      <c r="AA1647" s="201">
        <v>2.9126109490880125E-2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50697</v>
      </c>
      <c r="Y1648" s="198">
        <f>_xll.qlInterestRateIndexValueDate(IborIndex,X1648,Trigger)</f>
        <v>50699</v>
      </c>
      <c r="Z1648" s="199">
        <v>2.9158773751966072E-2</v>
      </c>
      <c r="AA1648" s="201">
        <v>2.912460713751841E-2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50704</v>
      </c>
      <c r="Y1649" s="198">
        <f>_xll.qlInterestRateIndexValueDate(IborIndex,X1649,Trigger)</f>
        <v>50706</v>
      </c>
      <c r="Z1649" s="199">
        <v>2.9157345706664062E-2</v>
      </c>
      <c r="AA1649" s="201">
        <v>2.9123134253943306E-2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50711</v>
      </c>
      <c r="Y1650" s="198">
        <f>_xll.qlInterestRateIndexValueDate(IborIndex,X1650,Trigger)</f>
        <v>50713</v>
      </c>
      <c r="Z1650" s="199">
        <v>2.9155947205336818E-2</v>
      </c>
      <c r="AA1650" s="201">
        <v>2.9121690840234749E-2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50718</v>
      </c>
      <c r="Y1651" s="198">
        <f>_xll.qlInterestRateIndexValueDate(IborIndex,X1651,Trigger)</f>
        <v>50721</v>
      </c>
      <c r="Z1651" s="199">
        <v>2.915330053045748E-2</v>
      </c>
      <c r="AA1651" s="201">
        <v>2.9120077310125225E-2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50725</v>
      </c>
      <c r="Y1652" s="198">
        <f>_xll.qlInterestRateIndexValueDate(IborIndex,X1652,Trigger)</f>
        <v>50727</v>
      </c>
      <c r="Z1652" s="199">
        <v>2.9153238834549178E-2</v>
      </c>
      <c r="AA1652" s="201">
        <v>2.9118892422257403E-2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50732</v>
      </c>
      <c r="Y1653" s="198">
        <f>_xll.qlInterestRateIndexValueDate(IborIndex,X1653,Trigger)</f>
        <v>50735</v>
      </c>
      <c r="Z1653" s="199">
        <v>2.915283307310481E-2</v>
      </c>
      <c r="AA1653" s="201">
        <v>2.9117346251625875E-2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50739</v>
      </c>
      <c r="Y1654" s="198">
        <f>_xll.qlInterestRateIndexValueDate(IborIndex,X1654,Trigger)</f>
        <v>50741</v>
      </c>
      <c r="Z1654" s="199">
        <v>2.9151739180365996E-2</v>
      </c>
      <c r="AA1654" s="201">
        <v>2.9116211883426502E-2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50746</v>
      </c>
      <c r="Y1655" s="198">
        <f>_xll.qlInterestRateIndexValueDate(IborIndex,X1655,Trigger)</f>
        <v>50748</v>
      </c>
      <c r="Z1655" s="199">
        <v>2.9149397857889947E-2</v>
      </c>
      <c r="AA1655" s="201">
        <v>2.9114915818810871E-2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50753</v>
      </c>
      <c r="Y1656" s="198">
        <f>_xll.qlInterestRateIndexValueDate(IborIndex,X1656,Trigger)</f>
        <v>50755</v>
      </c>
      <c r="Z1656" s="199">
        <v>2.9149271182005169E-2</v>
      </c>
      <c r="AA1656" s="201">
        <v>2.9113649223981852E-2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50760</v>
      </c>
      <c r="Y1657" s="198">
        <f>_xll.qlInterestRateIndexValueDate(IborIndex,X1657,Trigger)</f>
        <v>50762</v>
      </c>
      <c r="Z1657" s="199">
        <v>2.9146984926345376E-2</v>
      </c>
      <c r="AA1657" s="201">
        <v>2.9112064047511765E-2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50768</v>
      </c>
      <c r="Y1658" s="198">
        <f>_xll.qlInterestRateIndexValueDate(IborIndex,X1658,Trigger)</f>
        <v>50774</v>
      </c>
      <c r="Z1658" s="199">
        <v>2.9143910974988852E-2</v>
      </c>
      <c r="AA1658" s="201">
        <v>2.9110695898477701E-2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50775</v>
      </c>
      <c r="Y1659" s="198">
        <f>_xll.qlInterestRateIndexValueDate(IborIndex,X1659,Trigger)</f>
        <v>50777</v>
      </c>
      <c r="Z1659" s="199">
        <v>2.9143430133294651E-2</v>
      </c>
      <c r="AA1659" s="201">
        <v>2.9109860351725914E-2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50782</v>
      </c>
      <c r="Y1660" s="198">
        <f>_xll.qlInterestRateIndexValueDate(IborIndex,X1660,Trigger)</f>
        <v>50784</v>
      </c>
      <c r="Z1660" s="199">
        <v>2.9142329270399614E-2</v>
      </c>
      <c r="AA1660" s="201">
        <v>2.9108715846115629E-2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50789</v>
      </c>
      <c r="Y1661" s="198">
        <f>_xll.qlInterestRateIndexValueDate(IborIndex,X1661,Trigger)</f>
        <v>50791</v>
      </c>
      <c r="Z1661" s="199">
        <v>2.9142362641847719E-2</v>
      </c>
      <c r="AA1661" s="201">
        <v>2.910760081021202E-2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50796</v>
      </c>
      <c r="Y1662" s="198">
        <f>_xll.qlInterestRateIndexValueDate(IborIndex,X1662,Trigger)</f>
        <v>50798</v>
      </c>
      <c r="Z1662" s="199">
        <v>2.9140216169020579E-2</v>
      </c>
      <c r="AA1662" s="201">
        <v>2.9106515244174958E-2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50803</v>
      </c>
      <c r="Y1663" s="198">
        <f>_xll.qlInterestRateIndexValueDate(IborIndex,X1663,Trigger)</f>
        <v>50805</v>
      </c>
      <c r="Z1663" s="199">
        <v>2.9135879207510103E-2</v>
      </c>
      <c r="AA1663" s="201">
        <v>2.9105459148004442E-2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50810</v>
      </c>
      <c r="Y1664" s="198">
        <f>_xll.qlInterestRateIndexValueDate(IborIndex,X1664,Trigger)</f>
        <v>50812</v>
      </c>
      <c r="Z1664" s="199">
        <v>2.9134890419969688E-2</v>
      </c>
      <c r="AA1664" s="201">
        <v>2.9104432521540602E-2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50817</v>
      </c>
      <c r="Y1665" s="198">
        <f>_xll.qlInterestRateIndexValueDate(IborIndex,X1665,Trigger)</f>
        <v>50819</v>
      </c>
      <c r="Z1665" s="199">
        <v>2.9133931166704295E-2</v>
      </c>
      <c r="AA1665" s="201">
        <v>2.9103435364943309E-2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50824</v>
      </c>
      <c r="Y1666" s="198">
        <f>_xll.qlInterestRateIndexValueDate(IborIndex,X1666,Trigger)</f>
        <v>50826</v>
      </c>
      <c r="Z1666" s="199">
        <v>2.9133001447696798E-2</v>
      </c>
      <c r="AA1666" s="201">
        <v>2.9102467678132626E-2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50831</v>
      </c>
      <c r="Y1667" s="198">
        <f>_xll.qlInterestRateIndexValueDate(IborIndex,X1667,Trigger)</f>
        <v>50833</v>
      </c>
      <c r="Z1667" s="199">
        <v>2.9135450390887156E-2</v>
      </c>
      <c r="AA1667" s="201">
        <v>2.9101529461188491E-2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50838</v>
      </c>
      <c r="Y1668" s="198">
        <f>_xll.qlInterestRateIndexValueDate(IborIndex,X1668,Trigger)</f>
        <v>50840</v>
      </c>
      <c r="Z1668" s="199">
        <v>2.9135704784951921E-2</v>
      </c>
      <c r="AA1668" s="201">
        <v>2.9100620713951031E-2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50845</v>
      </c>
      <c r="Y1669" s="198">
        <f>_xll.qlInterestRateIndexValueDate(IborIndex,X1669,Trigger)</f>
        <v>50847</v>
      </c>
      <c r="Z1669" s="199">
        <v>2.9133750869615057E-2</v>
      </c>
      <c r="AA1669" s="201">
        <v>2.9099741436580118E-2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50852</v>
      </c>
      <c r="Y1670" s="198">
        <f>_xll.qlInterestRateIndexValueDate(IborIndex,X1670,Trigger)</f>
        <v>50854</v>
      </c>
      <c r="Z1670" s="199">
        <v>2.9132945421091693E-2</v>
      </c>
      <c r="AA1670" s="201">
        <v>2.9098891628995815E-2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50859</v>
      </c>
      <c r="Y1671" s="198">
        <f>_xll.qlInterestRateIndexValueDate(IborIndex,X1671,Trigger)</f>
        <v>50861</v>
      </c>
      <c r="Z1671" s="199">
        <v>2.9133294574875401E-2</v>
      </c>
      <c r="AA1671" s="201">
        <v>2.9098071291198124E-2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50866</v>
      </c>
      <c r="Y1672" s="198">
        <f>_xll.qlInterestRateIndexValueDate(IborIndex,X1672,Trigger)</f>
        <v>50872</v>
      </c>
      <c r="Z1672" s="199">
        <v>2.9129881890110454E-2</v>
      </c>
      <c r="AA1672" s="201">
        <v>2.909705987368838E-2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50873</v>
      </c>
      <c r="Y1673" s="198">
        <f>_xll.qlInterestRateIndexValueDate(IborIndex,X1673,Trigger)</f>
        <v>50875</v>
      </c>
      <c r="Z1673" s="199">
        <v>2.9130706323889848E-2</v>
      </c>
      <c r="AA1673" s="201">
        <v>2.9096519025042511E-2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50880</v>
      </c>
      <c r="Y1674" s="198">
        <f>_xll.qlInterestRateIndexValueDate(IborIndex,X1674,Trigger)</f>
        <v>50882</v>
      </c>
      <c r="Z1674" s="199">
        <v>2.9130019040931564E-2</v>
      </c>
      <c r="AA1674" s="201">
        <v>2.9095787096764525E-2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50887</v>
      </c>
      <c r="Y1675" s="198">
        <f>_xll.qlInterestRateIndexValueDate(IborIndex,X1675,Trigger)</f>
        <v>50889</v>
      </c>
      <c r="Z1675" s="199">
        <v>2.9130494574368948E-2</v>
      </c>
      <c r="AA1675" s="201">
        <v>2.9094986692621561E-2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50894</v>
      </c>
      <c r="Y1676" s="198">
        <f>_xll.qlInterestRateIndexValueDate(IborIndex,X1676,Trigger)</f>
        <v>50896</v>
      </c>
      <c r="Z1676" s="199">
        <v>2.9128733099132068E-2</v>
      </c>
      <c r="AA1676" s="201">
        <v>2.9094411649408514E-2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50901</v>
      </c>
      <c r="Y1677" s="198">
        <f>_xll.qlInterestRateIndexValueDate(IborIndex,X1677,Trigger)</f>
        <v>50903</v>
      </c>
      <c r="Z1677" s="199">
        <v>2.9128134440288278E-2</v>
      </c>
      <c r="AA1677" s="201">
        <v>2.9093768130410425E-2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50908</v>
      </c>
      <c r="Y1678" s="198">
        <f>_xll.qlInterestRateIndexValueDate(IborIndex,X1678,Trigger)</f>
        <v>50910</v>
      </c>
      <c r="Z1678" s="199">
        <v>2.9127565322809974E-2</v>
      </c>
      <c r="AA1678" s="201">
        <v>2.9093154081358819E-2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50915</v>
      </c>
      <c r="Y1679" s="198">
        <f>_xll.qlInterestRateIndexValueDate(IborIndex,X1679,Trigger)</f>
        <v>50917</v>
      </c>
      <c r="Z1679" s="199">
        <v>2.9127025746684257E-2</v>
      </c>
      <c r="AA1679" s="201">
        <v>2.9092488396331717E-2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50922</v>
      </c>
      <c r="Y1680" s="198">
        <f>_xll.qlInterestRateIndexValueDate(IborIndex,X1680,Trigger)</f>
        <v>50924</v>
      </c>
      <c r="Z1680" s="199">
        <v>2.9127659308322007E-2</v>
      </c>
      <c r="AA1680" s="201">
        <v>2.9092014392455567E-2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50929</v>
      </c>
      <c r="Y1681" s="198">
        <f>_xll.qlInterestRateIndexValueDate(IborIndex,X1681,Trigger)</f>
        <v>50931</v>
      </c>
      <c r="Z1681" s="199">
        <v>2.9126035218495754E-2</v>
      </c>
      <c r="AA1681" s="201">
        <v>2.9091488752683858E-2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50936</v>
      </c>
      <c r="Y1682" s="198">
        <f>_xll.qlInterestRateIndexValueDate(IborIndex,X1682,Trigger)</f>
        <v>50938</v>
      </c>
      <c r="Z1682" s="199">
        <v>2.912558426642781E-2</v>
      </c>
      <c r="AA1682" s="201">
        <v>2.9090992582778696E-2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50943</v>
      </c>
      <c r="Y1683" s="198">
        <f>_xll.qlInterestRateIndexValueDate(IborIndex,X1683,Trigger)</f>
        <v>50945</v>
      </c>
      <c r="Z1683" s="199">
        <v>2.9125162855699559E-2</v>
      </c>
      <c r="AA1683" s="201">
        <v>2.9090525882660145E-2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50950</v>
      </c>
      <c r="Y1684" s="198">
        <f>_xll.qlInterestRateIndexValueDate(IborIndex,X1684,Trigger)</f>
        <v>50952</v>
      </c>
      <c r="Z1684" s="199">
        <v>2.9124770986316165E-2</v>
      </c>
      <c r="AA1684" s="201">
        <v>2.9090088652328205E-2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50957</v>
      </c>
      <c r="Y1685" s="198">
        <f>_xll.qlInterestRateIndexValueDate(IborIndex,X1685,Trigger)</f>
        <v>50959</v>
      </c>
      <c r="Z1685" s="199">
        <v>2.9124408658264732E-2</v>
      </c>
      <c r="AA1685" s="201">
        <v>2.9089680891942749E-2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50964</v>
      </c>
      <c r="Y1686" s="198">
        <f>_xll.qlInterestRateIndexValueDate(IborIndex,X1686,Trigger)</f>
        <v>50966</v>
      </c>
      <c r="Z1686" s="199">
        <v>2.9124075871550418E-2</v>
      </c>
      <c r="AA1686" s="201">
        <v>2.9089302601104094E-2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50971</v>
      </c>
      <c r="Y1687" s="198">
        <f>_xll.qlInterestRateIndexValueDate(IborIndex,X1687,Trigger)</f>
        <v>50973</v>
      </c>
      <c r="Z1687" s="199">
        <v>2.9123772626168064E-2</v>
      </c>
      <c r="AA1687" s="201">
        <v>2.9088953780211924E-2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50978</v>
      </c>
      <c r="Y1688" s="198">
        <f>_xll.qlInterestRateIndexValueDate(IborIndex,X1688,Trigger)</f>
        <v>50980</v>
      </c>
      <c r="Z1688" s="199">
        <v>2.9125819653324961E-2</v>
      </c>
      <c r="AA1688" s="201">
        <v>2.9088634429026428E-2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50985</v>
      </c>
      <c r="Y1689" s="198">
        <f>_xll.qlInterestRateIndexValueDate(IborIndex,X1689,Trigger)</f>
        <v>50987</v>
      </c>
      <c r="Z1689" s="199">
        <v>2.9124417084679943E-2</v>
      </c>
      <c r="AA1689" s="201">
        <v>2.9088344547707479E-2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50992</v>
      </c>
      <c r="Y1690" s="198">
        <f>_xll.qlInterestRateIndexValueDate(IborIndex,X1690,Trigger)</f>
        <v>50994</v>
      </c>
      <c r="Z1690" s="199">
        <v>2.9123040137984408E-2</v>
      </c>
      <c r="AA1690" s="201">
        <v>2.9088084136255077E-2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50999</v>
      </c>
      <c r="Y1691" s="198">
        <f>_xll.qlInterestRateIndexValueDate(IborIndex,X1691,Trigger)</f>
        <v>51001</v>
      </c>
      <c r="Z1691" s="199">
        <v>2.9122855057909271E-2</v>
      </c>
      <c r="AA1691" s="201">
        <v>2.9087853194589286E-2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51006</v>
      </c>
      <c r="Y1692" s="198">
        <f>_xll.qlInterestRateIndexValueDate(IborIndex,X1692,Trigger)</f>
        <v>51008</v>
      </c>
      <c r="Z1692" s="199">
        <v>2.9122699519155783E-2</v>
      </c>
      <c r="AA1692" s="201">
        <v>2.9087625346688739E-2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51013</v>
      </c>
      <c r="Y1693" s="198">
        <f>_xll.qlInterestRateIndexValueDate(IborIndex,X1693,Trigger)</f>
        <v>51015</v>
      </c>
      <c r="Z1693" s="199">
        <v>2.9122573521726518E-2</v>
      </c>
      <c r="AA1693" s="201">
        <v>2.9087479720617537E-2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51020</v>
      </c>
      <c r="Y1694" s="198">
        <f>_xll.qlInterestRateIndexValueDate(IborIndex,X1694,Trigger)</f>
        <v>51022</v>
      </c>
      <c r="Z1694" s="199">
        <v>2.9123649879398139E-2</v>
      </c>
      <c r="AA1694" s="201">
        <v>2.9087337188231643E-2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51027</v>
      </c>
      <c r="Y1695" s="198">
        <f>_xll.qlInterestRateIndexValueDate(IborIndex,X1695,Trigger)</f>
        <v>51029</v>
      </c>
      <c r="Z1695" s="199">
        <v>2.9122410150822616E-2</v>
      </c>
      <c r="AA1695" s="201">
        <v>2.9087224125712297E-2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51034</v>
      </c>
      <c r="Y1696" s="198">
        <f>_xll.qlInterestRateIndexValueDate(IborIndex,X1696,Trigger)</f>
        <v>51036</v>
      </c>
      <c r="Z1696" s="199">
        <v>2.9122372777353137E-2</v>
      </c>
      <c r="AA1696" s="201">
        <v>2.9087140533059497E-2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51041</v>
      </c>
      <c r="Y1697" s="198">
        <f>_xll.qlInterestRateIndexValueDate(IborIndex,X1697,Trigger)</f>
        <v>51043</v>
      </c>
      <c r="Z1697" s="199">
        <v>2.9122364945197567E-2</v>
      </c>
      <c r="AA1697" s="201">
        <v>2.9087086410273244E-2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51048</v>
      </c>
      <c r="Y1698" s="198">
        <f>_xll.qlInterestRateIndexValueDate(IborIndex,X1698,Trigger)</f>
        <v>51050</v>
      </c>
      <c r="Z1698" s="199">
        <v>2.9122386654363643E-2</v>
      </c>
      <c r="AA1698" s="201">
        <v>2.9087061757193666E-2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51055</v>
      </c>
      <c r="Y1699" s="198">
        <f>_xll.qlInterestRateIndexValueDate(IborIndex,X1699,Trigger)</f>
        <v>51057</v>
      </c>
      <c r="Z1699" s="199">
        <v>2.9122437904848791E-2</v>
      </c>
      <c r="AA1699" s="201">
        <v>2.9087066573820763E-2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51062</v>
      </c>
      <c r="Y1700" s="198">
        <f>_xll.qlInterestRateIndexValueDate(IborIndex,X1700,Trigger)</f>
        <v>51064</v>
      </c>
      <c r="Z1700" s="199">
        <v>2.9122518696655584E-2</v>
      </c>
      <c r="AA1700" s="201">
        <v>2.9087100860394344E-2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51069</v>
      </c>
      <c r="Y1701" s="198">
        <f>_xll.qlInterestRateIndexValueDate(IborIndex,X1701,Trigger)</f>
        <v>51071</v>
      </c>
      <c r="Z1701" s="199">
        <v>2.9122629029776286E-2</v>
      </c>
      <c r="AA1701" s="201">
        <v>2.9087164616754535E-2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51076</v>
      </c>
      <c r="Y1702" s="198">
        <f>_xll.qlInterestRateIndexValueDate(IborIndex,X1702,Trigger)</f>
        <v>51078</v>
      </c>
      <c r="Z1702" s="199">
        <v>2.9122768904221219E-2</v>
      </c>
      <c r="AA1702" s="201">
        <v>2.9087257842821401E-2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51083</v>
      </c>
      <c r="Y1703" s="198">
        <f>_xll.qlInterestRateIndexValueDate(IborIndex,X1703,Trigger)</f>
        <v>51088</v>
      </c>
      <c r="Z1703" s="199">
        <v>2.9121827482473606E-2</v>
      </c>
      <c r="AA1703" s="201">
        <v>2.9087400472489477E-2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51090</v>
      </c>
      <c r="Y1704" s="198">
        <f>_xll.qlInterestRateIndexValueDate(IborIndex,X1704,Trigger)</f>
        <v>51092</v>
      </c>
      <c r="Z1704" s="199">
        <v>2.9123137277083752E-2</v>
      </c>
      <c r="AA1704" s="201">
        <v>2.9087532704474839E-2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51097</v>
      </c>
      <c r="Y1705" s="198">
        <f>_xll.qlInterestRateIndexValueDate(IborIndex,X1705,Trigger)</f>
        <v>51099</v>
      </c>
      <c r="Z1705" s="199">
        <v>2.9125758239997204E-2</v>
      </c>
      <c r="AA1705" s="201">
        <v>2.9087714340141346E-2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51104</v>
      </c>
      <c r="Y1706" s="198">
        <f>_xll.qlInterestRateIndexValueDate(IborIndex,X1706,Trigger)</f>
        <v>51106</v>
      </c>
      <c r="Z1706" s="199">
        <v>2.912482204486283E-2</v>
      </c>
      <c r="AA1706" s="201">
        <v>2.9087925445434593E-2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51111</v>
      </c>
      <c r="Y1707" s="198">
        <f>_xll.qlInterestRateIndexValueDate(IborIndex,X1707,Trigger)</f>
        <v>51113</v>
      </c>
      <c r="Z1707" s="199">
        <v>2.9123911396311829E-2</v>
      </c>
      <c r="AA1707" s="201">
        <v>2.9088166020594386E-2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51118</v>
      </c>
      <c r="Y1708" s="198">
        <f>_xll.qlInterestRateIndexValueDate(IborIndex,X1708,Trigger)</f>
        <v>51120</v>
      </c>
      <c r="Z1708" s="199">
        <v>2.9125431017724968E-2</v>
      </c>
      <c r="AA1708" s="201">
        <v>2.908843606554079E-2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51125</v>
      </c>
      <c r="Y1709" s="198">
        <f>_xll.qlInterestRateIndexValueDate(IborIndex,X1709,Trigger)</f>
        <v>51127</v>
      </c>
      <c r="Z1709" s="199">
        <v>2.9124575182444986E-2</v>
      </c>
      <c r="AA1709" s="201">
        <v>2.9088826568690607E-2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51132</v>
      </c>
      <c r="Y1710" s="198">
        <f>_xll.qlInterestRateIndexValueDate(IborIndex,X1710,Trigger)</f>
        <v>51134</v>
      </c>
      <c r="Z1710" s="199">
        <v>2.9126158165474481E-2</v>
      </c>
      <c r="AA1710" s="201">
        <v>2.9089113968314706E-2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51139</v>
      </c>
      <c r="Y1711" s="198">
        <f>_xll.qlInterestRateIndexValueDate(IborIndex,X1711,Trigger)</f>
        <v>51141</v>
      </c>
      <c r="Z1711" s="199">
        <v>2.9125357133929192E-2</v>
      </c>
      <c r="AA1711" s="201">
        <v>2.9089423019179605E-2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51146</v>
      </c>
      <c r="Y1712" s="198">
        <f>_xll.qlInterestRateIndexValueDate(IborIndex,X1712,Trigger)</f>
        <v>51148</v>
      </c>
      <c r="Z1712" s="199">
        <v>2.9125792421678263E-2</v>
      </c>
      <c r="AA1712" s="201">
        <v>2.9089810943432326E-2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51153</v>
      </c>
      <c r="Y1713" s="198">
        <f>_xll.qlInterestRateIndexValueDate(IborIndex,X1713,Trigger)</f>
        <v>51155</v>
      </c>
      <c r="Z1713" s="199">
        <v>2.9127470465050986E-2</v>
      </c>
      <c r="AA1713" s="201">
        <v>2.9090228337311785E-2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51160</v>
      </c>
      <c r="Y1714" s="198">
        <f>_xll.qlInterestRateIndexValueDate(IborIndex,X1714,Trigger)</f>
        <v>51162</v>
      </c>
      <c r="Z1714" s="199">
        <v>2.9126751621216126E-2</v>
      </c>
      <c r="AA1714" s="201">
        <v>2.9090675201137728E-2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51167</v>
      </c>
      <c r="Y1715" s="198">
        <f>_xll.qlInterestRateIndexValueDate(IborIndex,X1715,Trigger)</f>
        <v>51169</v>
      </c>
      <c r="Z1715" s="199">
        <v>2.9127275533017812E-2</v>
      </c>
      <c r="AA1715" s="201">
        <v>2.9091151534590409E-2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51174</v>
      </c>
      <c r="Y1716" s="198">
        <f>_xll.qlInterestRateIndexValueDate(IborIndex,X1716,Trigger)</f>
        <v>51176</v>
      </c>
      <c r="Z1716" s="199">
        <v>2.9127828986172083E-2</v>
      </c>
      <c r="AA1716" s="201">
        <v>2.9091657337989574E-2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51181</v>
      </c>
      <c r="Y1717" s="198">
        <f>_xll.qlInterestRateIndexValueDate(IborIndex,X1717,Trigger)</f>
        <v>51183</v>
      </c>
      <c r="Z1717" s="199">
        <v>2.9128411980686685E-2</v>
      </c>
      <c r="AA1717" s="201">
        <v>2.9092192611175349E-2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51188</v>
      </c>
      <c r="Y1718" s="198">
        <f>_xll.qlInterestRateIndexValueDate(IborIndex,X1718,Trigger)</f>
        <v>51190</v>
      </c>
      <c r="Z1718" s="199">
        <v>2.9129024516566765E-2</v>
      </c>
      <c r="AA1718" s="201">
        <v>2.9092757354147736E-2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51195</v>
      </c>
      <c r="Y1719" s="198">
        <f>_xll.qlInterestRateIndexValueDate(IborIndex,X1719,Trigger)</f>
        <v>51197</v>
      </c>
      <c r="Z1719" s="199">
        <v>2.913089274521774E-2</v>
      </c>
      <c r="AA1719" s="201">
        <v>2.9093351566986669E-2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51202</v>
      </c>
      <c r="Y1720" s="198">
        <f>_xll.qlInterestRateIndexValueDate(IborIndex,X1720,Trigger)</f>
        <v>51204</v>
      </c>
      <c r="Z1720" s="199">
        <v>2.913033821243885E-2</v>
      </c>
      <c r="AA1720" s="201">
        <v>2.9093975249532278E-2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51209</v>
      </c>
      <c r="Y1721" s="198">
        <f>_xll.qlInterestRateIndexValueDate(IborIndex,X1721,Trigger)</f>
        <v>51211</v>
      </c>
      <c r="Z1721" s="199">
        <v>2.9131039372441169E-2</v>
      </c>
      <c r="AA1721" s="201">
        <v>2.9094628401864497E-2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51216</v>
      </c>
      <c r="Y1722" s="198">
        <f>_xll.qlInterestRateIndexValueDate(IborIndex,X1722,Trigger)</f>
        <v>51218</v>
      </c>
      <c r="Z1722" s="199">
        <v>2.9131770073827019E-2</v>
      </c>
      <c r="AA1722" s="201">
        <v>2.9095311024063264E-2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51223</v>
      </c>
      <c r="Y1723" s="198">
        <f>_xll.qlInterestRateIndexValueDate(IborIndex,X1723,Trigger)</f>
        <v>51229</v>
      </c>
      <c r="Z1723" s="199">
        <v>2.9131742212382683E-2</v>
      </c>
      <c r="AA1723" s="201">
        <v>2.9096231983771759E-2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51230</v>
      </c>
      <c r="Y1724" s="198">
        <f>_xll.qlInterestRateIndexValueDate(IborIndex,X1724,Trigger)</f>
        <v>51232</v>
      </c>
      <c r="Z1724" s="199">
        <v>2.9134557098823288E-2</v>
      </c>
      <c r="AA1724" s="201">
        <v>2.9096764677980502E-2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51237</v>
      </c>
      <c r="Y1725" s="198">
        <f>_xll.qlInterestRateIndexValueDate(IborIndex,X1725,Trigger)</f>
        <v>51239</v>
      </c>
      <c r="Z1725" s="199">
        <v>2.9134139426357966E-2</v>
      </c>
      <c r="AA1725" s="201">
        <v>2.9097535709619038E-2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51244</v>
      </c>
      <c r="Y1726" s="198">
        <f>_xll.qlInterestRateIndexValueDate(IborIndex,X1726,Trigger)</f>
        <v>51246</v>
      </c>
      <c r="Z1726" s="199">
        <v>2.9134986665382709E-2</v>
      </c>
      <c r="AA1726" s="201">
        <v>2.9098336210884312E-2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51251</v>
      </c>
      <c r="Y1727" s="198">
        <f>_xll.qlInterestRateIndexValueDate(IborIndex,X1727,Trigger)</f>
        <v>51253</v>
      </c>
      <c r="Z1727" s="199">
        <v>2.9137094717163747E-2</v>
      </c>
      <c r="AA1727" s="201">
        <v>2.9099166182176006E-2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51258</v>
      </c>
      <c r="Y1728" s="198">
        <f>_xll.qlInterestRateIndexValueDate(IborIndex,X1728,Trigger)</f>
        <v>51260</v>
      </c>
      <c r="Z1728" s="199">
        <v>2.9136730696506099E-2</v>
      </c>
      <c r="AA1728" s="201">
        <v>2.9100150806318226E-2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51265</v>
      </c>
      <c r="Y1729" s="198">
        <f>_xll.qlInterestRateIndexValueDate(IborIndex,X1729,Trigger)</f>
        <v>51267</v>
      </c>
      <c r="Z1729" s="199">
        <v>2.9137607953031584E-2</v>
      </c>
      <c r="AA1729" s="201">
        <v>2.910091350662114E-2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51272</v>
      </c>
      <c r="Y1730" s="198">
        <f>_xll.qlInterestRateIndexValueDate(IborIndex,X1730,Trigger)</f>
        <v>51274</v>
      </c>
      <c r="Z1730" s="199">
        <v>2.9138475983566777E-2</v>
      </c>
      <c r="AA1730" s="201">
        <v>2.9101801064008725E-2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51279</v>
      </c>
      <c r="Y1731" s="198">
        <f>_xll.qlInterestRateIndexValueDate(IborIndex,X1731,Trigger)</f>
        <v>51281</v>
      </c>
      <c r="Z1731" s="199">
        <v>2.9139330426305274E-2</v>
      </c>
      <c r="AA1731" s="201">
        <v>2.9102798660813889E-2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51286</v>
      </c>
      <c r="Y1732" s="198">
        <f>_xll.qlInterestRateIndexValueDate(IborIndex,X1732,Trigger)</f>
        <v>51288</v>
      </c>
      <c r="Z1732" s="199">
        <v>2.9140171153086373E-2</v>
      </c>
      <c r="AA1732" s="201">
        <v>2.9103535130419189E-2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51293</v>
      </c>
      <c r="Y1733" s="198">
        <f>_xll.qlInterestRateIndexValueDate(IborIndex,X1733,Trigger)</f>
        <v>51295</v>
      </c>
      <c r="Z1733" s="199">
        <v>2.9140998163920379E-2</v>
      </c>
      <c r="AA1733" s="201">
        <v>2.9104381639362131E-2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51300</v>
      </c>
      <c r="Y1734" s="198">
        <f>_xll.qlInterestRateIndexValueDate(IborIndex,X1734,Trigger)</f>
        <v>51302</v>
      </c>
      <c r="Z1734" s="199">
        <v>2.9141811458794409E-2</v>
      </c>
      <c r="AA1734" s="201">
        <v>2.9105214465570128E-2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51307</v>
      </c>
      <c r="Y1735" s="198">
        <f>_xll.qlInterestRateIndexValueDate(IborIndex,X1735,Trigger)</f>
        <v>51309</v>
      </c>
      <c r="Z1735" s="199">
        <v>2.9142611037708453E-2</v>
      </c>
      <c r="AA1735" s="201">
        <v>2.910603360904318E-2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51314</v>
      </c>
      <c r="Y1736" s="198">
        <f>_xll.qlInterestRateIndexValueDate(IborIndex,X1736,Trigger)</f>
        <v>51316</v>
      </c>
      <c r="Z1736" s="199">
        <v>2.9144630460280763E-2</v>
      </c>
      <c r="AA1736" s="201">
        <v>2.9106839069701351E-2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51321</v>
      </c>
      <c r="Y1737" s="198">
        <f>_xll.qlInterestRateIndexValueDate(IborIndex,X1737,Trigger)</f>
        <v>51323</v>
      </c>
      <c r="Z1737" s="199">
        <v>2.9144169047646291E-2</v>
      </c>
      <c r="AA1737" s="201">
        <v>2.9107630847544641E-2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51328</v>
      </c>
      <c r="Y1738" s="198">
        <f>_xll.qlInterestRateIndexValueDate(IborIndex,X1738,Trigger)</f>
        <v>51330</v>
      </c>
      <c r="Z1738" s="199">
        <v>2.9144927478662347E-2</v>
      </c>
      <c r="AA1738" s="201">
        <v>2.910840894257305E-2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51335</v>
      </c>
      <c r="Y1739" s="198">
        <f>_xll.qlInterestRateIndexValueDate(IborIndex,X1739,Trigger)</f>
        <v>51337</v>
      </c>
      <c r="Z1739" s="199">
        <v>2.9145672193705528E-2</v>
      </c>
      <c r="AA1739" s="201">
        <v>2.9109173354866513E-2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51342</v>
      </c>
      <c r="Y1740" s="198">
        <f>_xll.qlInterestRateIndexValueDate(IborIndex,X1740,Trigger)</f>
        <v>51344</v>
      </c>
      <c r="Z1740" s="199">
        <v>2.9147633076321566E-2</v>
      </c>
      <c r="AA1740" s="201">
        <v>2.9109924084345096E-2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51349</v>
      </c>
      <c r="Y1741" s="198">
        <f>_xll.qlInterestRateIndexValueDate(IborIndex,X1741,Trigger)</f>
        <v>51351</v>
      </c>
      <c r="Z1741" s="199">
        <v>2.9148349437629339E-2</v>
      </c>
      <c r="AA1741" s="201">
        <v>2.9110661131008797E-2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51356</v>
      </c>
      <c r="Y1742" s="198">
        <f>_xll.qlInterestRateIndexValueDate(IborIndex,X1742,Trigger)</f>
        <v>51358</v>
      </c>
      <c r="Z1742" s="199">
        <v>2.9147824042992671E-2</v>
      </c>
      <c r="AA1742" s="201">
        <v>2.9111384494937553E-2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51363</v>
      </c>
      <c r="Y1743" s="198">
        <f>_xll.qlInterestRateIndexValueDate(IborIndex,X1743,Trigger)</f>
        <v>51365</v>
      </c>
      <c r="Z1743" s="199">
        <v>2.9148513894126309E-2</v>
      </c>
      <c r="AA1743" s="201">
        <v>2.9112094176051428E-2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51370</v>
      </c>
      <c r="Y1744" s="198">
        <f>_xll.qlInterestRateIndexValueDate(IborIndex,X1744,Trigger)</f>
        <v>51372</v>
      </c>
      <c r="Z1744" s="199">
        <v>2.9149190029279334E-2</v>
      </c>
      <c r="AA1744" s="201">
        <v>2.9112888485789412E-2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51377</v>
      </c>
      <c r="Y1745" s="198">
        <f>_xll.qlInterestRateIndexValueDate(IborIndex,X1745,Trigger)</f>
        <v>51379</v>
      </c>
      <c r="Z1745" s="199">
        <v>2.9146176524377867E-2</v>
      </c>
      <c r="AA1745" s="201">
        <v>2.9113472489994408E-2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51384</v>
      </c>
      <c r="Y1746" s="198">
        <f>_xll.qlInterestRateIndexValueDate(IborIndex,X1746,Trigger)</f>
        <v>51386</v>
      </c>
      <c r="Z1746" s="199">
        <v>2.9151725487811253E-2</v>
      </c>
      <c r="AA1746" s="201">
        <v>2.9114141122743575E-2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51391</v>
      </c>
      <c r="Y1747" s="198">
        <f>_xll.qlInterestRateIndexValueDate(IborIndex,X1747,Trigger)</f>
        <v>51393</v>
      </c>
      <c r="Z1747" s="199">
        <v>2.9151136138808348E-2</v>
      </c>
      <c r="AA1747" s="201">
        <v>2.9114796072677862E-2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51398</v>
      </c>
      <c r="Y1748" s="198">
        <f>_xll.qlInterestRateIndexValueDate(IborIndex,X1748,Trigger)</f>
        <v>51400</v>
      </c>
      <c r="Z1748" s="199">
        <v>2.915175741000026E-2</v>
      </c>
      <c r="AA1748" s="201">
        <v>2.911543733995714E-2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51405</v>
      </c>
      <c r="Y1749" s="198">
        <f>_xll.qlInterestRateIndexValueDate(IborIndex,X1749,Trigger)</f>
        <v>51407</v>
      </c>
      <c r="Z1749" s="199">
        <v>2.9154808037406003E-2</v>
      </c>
      <c r="AA1749" s="201">
        <v>2.9116064924261664E-2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51412</v>
      </c>
      <c r="Y1750" s="198">
        <f>_xll.qlInterestRateIndexValueDate(IborIndex,X1750,Trigger)</f>
        <v>51414</v>
      </c>
      <c r="Z1750" s="199">
        <v>2.9152958804398416E-2</v>
      </c>
      <c r="AA1750" s="201">
        <v>2.911667882591118E-2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51419</v>
      </c>
      <c r="Y1751" s="198">
        <f>_xll.qlInterestRateIndexValueDate(IborIndex,X1751,Trigger)</f>
        <v>51421</v>
      </c>
      <c r="Z1751" s="199">
        <v>2.9154758610519249E-2</v>
      </c>
      <c r="AA1751" s="201">
        <v>2.9117279044745814E-2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51426</v>
      </c>
      <c r="Y1752" s="198">
        <f>_xll.qlInterestRateIndexValueDate(IborIndex,X1752,Trigger)</f>
        <v>51428</v>
      </c>
      <c r="Z1752" s="199">
        <v>2.915410533479678E-2</v>
      </c>
      <c r="AA1752" s="201">
        <v>2.9117865580765567E-2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51433</v>
      </c>
      <c r="Y1753" s="198">
        <f>_xll.qlInterestRateIndexValueDate(IborIndex,X1753,Trigger)</f>
        <v>51435</v>
      </c>
      <c r="Z1753" s="199">
        <v>2.9154658025995393E-2</v>
      </c>
      <c r="AA1753" s="201">
        <v>2.9118438434050375E-2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51440</v>
      </c>
      <c r="Y1754" s="198">
        <f>_xll.qlInterestRateIndexValueDate(IborIndex,X1754,Trigger)</f>
        <v>51442</v>
      </c>
      <c r="Z1754" s="199">
        <v>2.9155197001185035E-2</v>
      </c>
      <c r="AA1754" s="201">
        <v>2.9118997604520303E-2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51447</v>
      </c>
      <c r="Y1755" s="198">
        <f>_xll.qlInterestRateIndexValueDate(IborIndex,X1755,Trigger)</f>
        <v>51449</v>
      </c>
      <c r="Z1755" s="199">
        <v>2.9155722260368281E-2</v>
      </c>
      <c r="AA1755" s="201">
        <v>2.9119543092175348E-2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51454</v>
      </c>
      <c r="Y1756" s="198">
        <f>_xll.qlInterestRateIndexValueDate(IborIndex,X1756,Trigger)</f>
        <v>51456</v>
      </c>
      <c r="Z1756" s="199">
        <v>2.9156233803539971E-2</v>
      </c>
      <c r="AA1756" s="201">
        <v>2.9120074897015513E-2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51461</v>
      </c>
      <c r="Y1757" s="198">
        <f>_xll.qlInterestRateIndexValueDate(IborIndex,X1757,Trigger)</f>
        <v>51463</v>
      </c>
      <c r="Z1757" s="199">
        <v>2.915673163070269E-2</v>
      </c>
      <c r="AA1757" s="201">
        <v>2.9120593019120733E-2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51468</v>
      </c>
      <c r="Y1758" s="198">
        <f>_xll.qlInterestRateIndexValueDate(IborIndex,X1758,Trigger)</f>
        <v>51470</v>
      </c>
      <c r="Z1758" s="199">
        <v>2.9157215741853856E-2</v>
      </c>
      <c r="AA1758" s="201">
        <v>2.9121097458411072E-2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51475</v>
      </c>
      <c r="Y1759" s="198">
        <f>_xll.qlInterestRateIndexValueDate(IborIndex,X1759,Trigger)</f>
        <v>51477</v>
      </c>
      <c r="Z1759" s="199">
        <v>2.9157686136988315E-2</v>
      </c>
      <c r="AA1759" s="201">
        <v>2.9121588214966465E-2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51482</v>
      </c>
      <c r="Y1760" s="198">
        <f>_xll.qlInterestRateIndexValueDate(IborIndex,X1760,Trigger)</f>
        <v>51484</v>
      </c>
      <c r="Z1760" s="199">
        <v>2.9158142816106063E-2</v>
      </c>
      <c r="AA1760" s="201">
        <v>2.9122065288706978E-2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51489</v>
      </c>
      <c r="Y1761" s="198">
        <f>_xll.qlInterestRateIndexValueDate(IborIndex,X1761,Trigger)</f>
        <v>51491</v>
      </c>
      <c r="Z1761" s="199">
        <v>2.9159796072429356E-2</v>
      </c>
      <c r="AA1761" s="201">
        <v>2.9122658563816017E-2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51497</v>
      </c>
      <c r="Y1762" s="198">
        <f>_xll.qlInterestRateIndexValueDate(IborIndex,X1762,Trigger)</f>
        <v>51501</v>
      </c>
      <c r="Z1762" s="199">
        <v>2.9159194790541368E-2</v>
      </c>
      <c r="AA1762" s="201">
        <v>2.9123104362653862E-2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51504</v>
      </c>
      <c r="Y1763" s="198">
        <f>_xll.qlInterestRateIndexValueDate(IborIndex,X1763,Trigger)</f>
        <v>51508</v>
      </c>
      <c r="Z1763" s="199">
        <v>2.9159604443309849E-2</v>
      </c>
      <c r="AA1763" s="201">
        <v>2.9123475585466352E-2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51511</v>
      </c>
      <c r="Y1764" s="198">
        <f>_xll.qlInterestRateIndexValueDate(IborIndex,X1764,Trigger)</f>
        <v>51515</v>
      </c>
      <c r="Z1764" s="199">
        <v>2.9160000380051305E-2</v>
      </c>
      <c r="AA1764" s="201">
        <v>2.9123895973430791E-2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51518</v>
      </c>
      <c r="Y1765" s="198">
        <f>_xll.qlInterestRateIndexValueDate(IborIndex,X1765,Trigger)</f>
        <v>51523</v>
      </c>
      <c r="Z1765" s="199">
        <v>2.9160436084053217E-2</v>
      </c>
      <c r="AA1765" s="201">
        <v>2.912435966227811E-2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51525</v>
      </c>
      <c r="Y1766" s="198">
        <f>_xll.qlInterestRateIndexValueDate(IborIndex,X1766,Trigger)</f>
        <v>51529</v>
      </c>
      <c r="Z1766" s="199">
        <v>2.9160751105460885E-2</v>
      </c>
      <c r="AA1766" s="201">
        <v>2.912469570083509E-2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51532</v>
      </c>
      <c r="Y1767" s="198">
        <f>_xll.qlInterestRateIndexValueDate(IborIndex,X1767,Trigger)</f>
        <v>51536</v>
      </c>
      <c r="Z1767" s="199">
        <v>2.9157493144496005E-2</v>
      </c>
      <c r="AA1767" s="201">
        <v>2.9125075040354886E-2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51539</v>
      </c>
      <c r="Y1768" s="198">
        <f>_xll.qlInterestRateIndexValueDate(IborIndex,X1768,Trigger)</f>
        <v>51543</v>
      </c>
      <c r="Z1768" s="199">
        <v>2.9157837072798985E-2</v>
      </c>
      <c r="AA1768" s="201">
        <v>2.9125440697059801E-2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51546</v>
      </c>
      <c r="Y1769" s="198">
        <f>_xll.qlInterestRateIndexValueDate(IborIndex,X1769,Trigger)</f>
        <v>51551</v>
      </c>
      <c r="Z1769" s="199">
        <v>2.9158213342654258E-2</v>
      </c>
      <c r="AA1769" s="201">
        <v>2.9125841836101785E-2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51553</v>
      </c>
      <c r="Y1770" s="198">
        <f>_xll.qlInterestRateIndexValueDate(IborIndex,X1770,Trigger)</f>
        <v>51557</v>
      </c>
      <c r="Z1770" s="199">
        <v>2.9158483791297738E-2</v>
      </c>
      <c r="AA1770" s="201">
        <v>2.912613096218486E-2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51560</v>
      </c>
      <c r="Y1771" s="198">
        <f>_xll.qlInterestRateIndexValueDate(IborIndex,X1771,Trigger)</f>
        <v>51564</v>
      </c>
      <c r="Z1771" s="199">
        <v>2.9162387888492576E-2</v>
      </c>
      <c r="AA1771" s="201">
        <v>2.9126455570445131E-2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51567</v>
      </c>
      <c r="Y1772" s="198">
        <f>_xll.qlInterestRateIndexValueDate(IborIndex,X1772,Trigger)</f>
        <v>51571</v>
      </c>
      <c r="Z1772" s="199">
        <v>2.9162674097004949E-2</v>
      </c>
      <c r="AA1772" s="201">
        <v>2.9126766496050394E-2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51574</v>
      </c>
      <c r="Y1773" s="198">
        <f>_xll.qlInterestRateIndexValueDate(IborIndex,X1773,Trigger)</f>
        <v>51578</v>
      </c>
      <c r="Z1773" s="199">
        <v>2.9162946589482566E-2</v>
      </c>
      <c r="AA1773" s="201">
        <v>2.9127063738920711E-2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51581</v>
      </c>
      <c r="Y1774" s="198">
        <f>_xll.qlInterestRateIndexValueDate(IborIndex,X1774,Trigger)</f>
        <v>51585</v>
      </c>
      <c r="Z1774" s="199">
        <v>2.916320536592542E-2</v>
      </c>
      <c r="AA1774" s="201">
        <v>2.9127347298896211E-2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51588</v>
      </c>
      <c r="Y1775" s="198">
        <f>_xll.qlInterestRateIndexValueDate(IborIndex,X1775,Trigger)</f>
        <v>51592</v>
      </c>
      <c r="Z1775" s="199">
        <v>2.9162253849599473E-2</v>
      </c>
      <c r="AA1775" s="201">
        <v>2.9127617176136766E-2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51595</v>
      </c>
      <c r="Y1776" s="198">
        <f>_xll.qlInterestRateIndexValueDate(IborIndex,X1776,Trigger)</f>
        <v>51599</v>
      </c>
      <c r="Z1776" s="199">
        <v>2.916248615488648E-2</v>
      </c>
      <c r="AA1776" s="201">
        <v>2.9127873370482504E-2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51602</v>
      </c>
      <c r="Y1777" s="198">
        <f>_xll.qlInterestRateIndexValueDate(IborIndex,X1777,Trigger)</f>
        <v>51606</v>
      </c>
      <c r="Z1777" s="199">
        <v>2.916270474525362E-2</v>
      </c>
      <c r="AA1777" s="201">
        <v>2.9128115882093297E-2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51609</v>
      </c>
      <c r="Y1778" s="198">
        <f>_xll.qlInterestRateIndexValueDate(IborIndex,X1778,Trigger)</f>
        <v>51615</v>
      </c>
      <c r="Z1778" s="199">
        <v>2.916296563746279E-2</v>
      </c>
      <c r="AA1778" s="201">
        <v>2.9130795412104504E-2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51616</v>
      </c>
      <c r="Y1779" s="198">
        <f>_xll.qlInterestRateIndexValueDate(IborIndex,X1779,Trigger)</f>
        <v>51620</v>
      </c>
      <c r="Z1779" s="199">
        <v>2.9163100781196327E-2</v>
      </c>
      <c r="AA1779" s="201">
        <v>2.9128559856950176E-2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51623</v>
      </c>
      <c r="Y1780" s="198">
        <f>_xll.qlInterestRateIndexValueDate(IborIndex,X1780,Trigger)</f>
        <v>51628</v>
      </c>
      <c r="Z1780" s="199">
        <v>2.9164494079590233E-2</v>
      </c>
      <c r="AA1780" s="201">
        <v>2.9128788983747711E-2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51630</v>
      </c>
      <c r="Y1781" s="198">
        <f>_xll.qlInterestRateIndexValueDate(IborIndex,X1781,Trigger)</f>
        <v>51634</v>
      </c>
      <c r="Z1781" s="199">
        <v>2.9164632751985092E-2</v>
      </c>
      <c r="AA1781" s="201">
        <v>2.9128949100787338E-2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51637</v>
      </c>
      <c r="Y1782" s="198">
        <f>_xll.qlInterestRateIndexValueDate(IborIndex,X1782,Trigger)</f>
        <v>51641</v>
      </c>
      <c r="Z1782" s="199">
        <v>2.9164781800121505E-2</v>
      </c>
      <c r="AA1782" s="201">
        <v>2.9129123198483597E-2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51644</v>
      </c>
      <c r="Y1783" s="198">
        <f>_xll.qlInterestRateIndexValueDate(IborIndex,X1783,Trigger)</f>
        <v>51649</v>
      </c>
      <c r="Z1783" s="199">
        <v>2.916493534569518E-2</v>
      </c>
      <c r="AA1783" s="201">
        <v>2.9129305412727291E-2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51651</v>
      </c>
      <c r="Y1784" s="198">
        <f>_xll.qlInterestRateIndexValueDate(IborIndex,X1784,Trigger)</f>
        <v>51655</v>
      </c>
      <c r="Z1784" s="199">
        <v>2.9163850859768914E-2</v>
      </c>
      <c r="AA1784" s="201">
        <v>2.9129430345431473E-2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51658</v>
      </c>
      <c r="Y1785" s="198">
        <f>_xll.qlInterestRateIndexValueDate(IborIndex,X1785,Trigger)</f>
        <v>51662</v>
      </c>
      <c r="Z1785" s="199">
        <v>2.9163959730686528E-2</v>
      </c>
      <c r="AA1785" s="201">
        <v>2.9129563394603153E-2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51665</v>
      </c>
      <c r="Y1786" s="198">
        <f>_xll.qlInterestRateIndexValueDate(IborIndex,X1786,Trigger)</f>
        <v>51669</v>
      </c>
      <c r="Z1786" s="199">
        <v>2.9164054886673618E-2</v>
      </c>
      <c r="AA1786" s="201">
        <v>2.912968276119976E-2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51672</v>
      </c>
      <c r="Y1787" s="198">
        <f>_xll.qlInterestRateIndexValueDate(IborIndex,X1787,Trigger)</f>
        <v>51676</v>
      </c>
      <c r="Z1787" s="199">
        <v>2.9164136327724854E-2</v>
      </c>
      <c r="AA1787" s="201">
        <v>2.9129788444981486E-2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51679</v>
      </c>
      <c r="Y1788" s="198">
        <f>_xll.qlInterestRateIndexValueDate(IborIndex,X1788,Trigger)</f>
        <v>51683</v>
      </c>
      <c r="Z1788" s="199">
        <v>2.9165388052055322E-2</v>
      </c>
      <c r="AA1788" s="201">
        <v>2.9129880445868395E-2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51686</v>
      </c>
      <c r="Y1789" s="198">
        <f>_xll.qlInterestRateIndexValueDate(IborIndex,X1789,Trigger)</f>
        <v>51690</v>
      </c>
      <c r="Z1789" s="199">
        <v>2.9165441087894269E-2</v>
      </c>
      <c r="AA1789" s="201">
        <v>2.9129958764100294E-2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51693</v>
      </c>
      <c r="Y1790" s="198">
        <f>_xll.qlInterestRateIndexValueDate(IborIndex,X1790,Trigger)</f>
        <v>51697</v>
      </c>
      <c r="Z1790" s="199">
        <v>2.9165480407688141E-2</v>
      </c>
      <c r="AA1790" s="201">
        <v>2.9130023399437377E-2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51700</v>
      </c>
      <c r="Y1791" s="198">
        <f>_xll.qlInterestRateIndexValueDate(IborIndex,X1791,Trigger)</f>
        <v>51704</v>
      </c>
      <c r="Z1791" s="199">
        <v>2.9165506011439517E-2</v>
      </c>
      <c r="AA1791" s="201">
        <v>2.9130074352039514E-2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51707</v>
      </c>
      <c r="Y1792" s="198">
        <f>_xll.qlInterestRateIndexValueDate(IborIndex,X1792,Trigger)</f>
        <v>51711</v>
      </c>
      <c r="Z1792" s="199">
        <v>2.91655178991484E-2</v>
      </c>
      <c r="AA1792" s="201">
        <v>2.9130111621746835E-2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51714</v>
      </c>
      <c r="Y1793" s="198">
        <f>_xll.qlInterestRateIndexValueDate(IborIndex,X1793,Trigger)</f>
        <v>51718</v>
      </c>
      <c r="Z1793" s="199">
        <v>2.9165516070812206E-2</v>
      </c>
      <c r="AA1793" s="201">
        <v>2.913013520871921E-2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51721</v>
      </c>
      <c r="Y1794" s="198">
        <f>_xll.qlInterestRateIndexValueDate(IborIndex,X1794,Trigger)</f>
        <v>51725</v>
      </c>
      <c r="Z1794" s="199">
        <v>2.9165500526428363E-2</v>
      </c>
      <c r="AA1794" s="201">
        <v>2.9130145112876704E-2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51728</v>
      </c>
      <c r="Y1795" s="198">
        <f>_xll.qlInterestRateIndexValueDate(IborIndex,X1795,Trigger)</f>
        <v>51732</v>
      </c>
      <c r="Z1795" s="199">
        <v>2.916547126600718E-2</v>
      </c>
      <c r="AA1795" s="201">
        <v>2.9130141334379189E-2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51735</v>
      </c>
      <c r="Y1796" s="198">
        <f>_xll.qlInterestRateIndexValueDate(IborIndex,X1796,Trigger)</f>
        <v>51740</v>
      </c>
      <c r="Z1796" s="199">
        <v>2.9165421030367015E-2</v>
      </c>
      <c r="AA1796" s="201">
        <v>2.9130120261555703E-2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51742</v>
      </c>
      <c r="Y1797" s="198">
        <f>_xll.qlInterestRateIndexValueDate(IborIndex,X1797,Trigger)</f>
        <v>51747</v>
      </c>
      <c r="Z1797" s="199">
        <v>2.9164187338978742E-2</v>
      </c>
      <c r="AA1797" s="201">
        <v>2.9130087162672069E-2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51749</v>
      </c>
      <c r="Y1798" s="198">
        <f>_xll.qlInterestRateIndexValueDate(IborIndex,X1798,Trigger)</f>
        <v>51753</v>
      </c>
      <c r="Z1798" s="199">
        <v>2.9164126993671324E-2</v>
      </c>
      <c r="AA1798" s="201">
        <v>2.9130047901837486E-2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51756</v>
      </c>
      <c r="Y1799" s="198">
        <f>_xll.qlInterestRateIndexValueDate(IborIndex,X1799,Trigger)</f>
        <v>51760</v>
      </c>
      <c r="Z1799" s="199">
        <v>2.9164043855518962E-2</v>
      </c>
      <c r="AA1799" s="201">
        <v>2.9129989392080446E-2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51763</v>
      </c>
      <c r="Y1800" s="198">
        <f>_xll.qlInterestRateIndexValueDate(IborIndex,X1800,Trigger)</f>
        <v>51767</v>
      </c>
      <c r="Z1800" s="199">
        <v>2.9163947002430746E-2</v>
      </c>
      <c r="AA1800" s="201">
        <v>2.9129917199588462E-2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51770</v>
      </c>
      <c r="Y1801" s="198">
        <f>_xll.qlInterestRateIndexValueDate(IborIndex,X1801,Trigger)</f>
        <v>51774</v>
      </c>
      <c r="Z1801" s="199">
        <v>2.9165007666549003E-2</v>
      </c>
      <c r="AA1801" s="201">
        <v>2.9129831324281596E-2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51777</v>
      </c>
      <c r="Y1802" s="198">
        <f>_xll.qlInterestRateIndexValueDate(IborIndex,X1802,Trigger)</f>
        <v>51781</v>
      </c>
      <c r="Z1802" s="199">
        <v>2.9164882393822616E-2</v>
      </c>
      <c r="AA1802" s="201">
        <v>2.912973176615985E-2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51784</v>
      </c>
      <c r="Y1803" s="198">
        <f>_xll.qlInterestRateIndexValueDate(IborIndex,X1803,Trigger)</f>
        <v>51789</v>
      </c>
      <c r="Z1803" s="199">
        <v>2.9164722429839911E-2</v>
      </c>
      <c r="AA1803" s="201">
        <v>2.9129601231057123E-2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51791</v>
      </c>
      <c r="Y1804" s="198">
        <f>_xll.qlInterestRateIndexValueDate(IborIndex,X1804,Trigger)</f>
        <v>51795</v>
      </c>
      <c r="Z1804" s="199">
        <v>2.9164590700250095E-2</v>
      </c>
      <c r="AA1804" s="201">
        <v>2.9129491601551649E-2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51798</v>
      </c>
      <c r="Y1805" s="198">
        <f>_xll.qlInterestRateIndexValueDate(IborIndex,X1805,Trigger)</f>
        <v>51802</v>
      </c>
      <c r="Z1805" s="199">
        <v>2.9165591514040967E-2</v>
      </c>
      <c r="AA1805" s="201">
        <v>2.9129350994985259E-2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51805</v>
      </c>
      <c r="Y1806" s="198">
        <f>_xll.qlInterestRateIndexValueDate(IborIndex,X1806,Trigger)</f>
        <v>51809</v>
      </c>
      <c r="Z1806" s="199">
        <v>2.9163077870336451E-2</v>
      </c>
      <c r="AA1806" s="201">
        <v>2.912919670576386E-2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51812</v>
      </c>
      <c r="Y1807" s="198">
        <f>_xll.qlInterestRateIndexValueDate(IborIndex,X1807,Trigger)</f>
        <v>51817</v>
      </c>
      <c r="Z1807" s="199">
        <v>2.9162856342058063E-2</v>
      </c>
      <c r="AA1807" s="201">
        <v>2.9129003620695926E-2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51819</v>
      </c>
      <c r="Y1808" s="198">
        <f>_xll.qlInterestRateIndexValueDate(IborIndex,X1808,Trigger)</f>
        <v>51823</v>
      </c>
      <c r="Z1808" s="199">
        <v>2.9162678440194156E-2</v>
      </c>
      <c r="AA1808" s="201">
        <v>2.9128847078796483E-2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51826</v>
      </c>
      <c r="Y1809" s="198">
        <f>_xll.qlInterestRateIndexValueDate(IborIndex,X1809,Trigger)</f>
        <v>51830</v>
      </c>
      <c r="Z1809" s="199">
        <v>2.9164784686106504E-2</v>
      </c>
      <c r="AA1809" s="201">
        <v>2.9128651741210376E-2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51833</v>
      </c>
      <c r="Y1810" s="198">
        <f>_xll.qlInterestRateIndexValueDate(IborIndex,X1810,Trigger)</f>
        <v>51837</v>
      </c>
      <c r="Z1810" s="199">
        <v>2.916338643456937E-2</v>
      </c>
      <c r="AA1810" s="201">
        <v>2.9128442720809389E-2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51840</v>
      </c>
      <c r="Y1811" s="198">
        <f>_xll.qlInterestRateIndexValueDate(IborIndex,X1811,Trigger)</f>
        <v>51844</v>
      </c>
      <c r="Z1811" s="199">
        <v>2.916313771748889E-2</v>
      </c>
      <c r="AA1811" s="201">
        <v>2.9128220017513584E-2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51847</v>
      </c>
      <c r="Y1812" s="198">
        <f>_xll.qlInterestRateIndexValueDate(IborIndex,X1812,Trigger)</f>
        <v>51851</v>
      </c>
      <c r="Z1812" s="199">
        <v>2.9162875284376229E-2</v>
      </c>
      <c r="AA1812" s="201">
        <v>2.912798363156277E-2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51854</v>
      </c>
      <c r="Y1813" s="198">
        <f>_xll.qlInterestRateIndexValueDate(IborIndex,X1813,Trigger)</f>
        <v>51858</v>
      </c>
      <c r="Z1813" s="199">
        <v>2.916259913522623E-2</v>
      </c>
      <c r="AA1813" s="201">
        <v>2.9129978889947949E-2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51862</v>
      </c>
      <c r="Y1814" s="198">
        <f>_xll.qlInterestRateIndexValueDate(IborIndex,X1814,Trigger)</f>
        <v>51866</v>
      </c>
      <c r="Z1814" s="199">
        <v>2.9162266741057267E-2</v>
      </c>
      <c r="AA1814" s="201">
        <v>2.9129709230693024E-2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51869</v>
      </c>
      <c r="Y1815" s="198">
        <f>_xll.qlInterestRateIndexValueDate(IborIndex,X1815,Trigger)</f>
        <v>51873</v>
      </c>
      <c r="Z1815" s="199">
        <v>2.9161961200409002E-2</v>
      </c>
      <c r="AA1815" s="201">
        <v>2.9127151626298087E-2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51876</v>
      </c>
      <c r="Y1816" s="198">
        <f>_xll.qlInterestRateIndexValueDate(IborIndex,X1816,Trigger)</f>
        <v>51880</v>
      </c>
      <c r="Z1816" s="199">
        <v>2.9161641943728556E-2</v>
      </c>
      <c r="AA1816" s="201">
        <v>2.9126858554491264E-2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51883</v>
      </c>
      <c r="Y1817" s="198">
        <f>_xll.qlInterestRateIndexValueDate(IborIndex,X1817,Trigger)</f>
        <v>51887</v>
      </c>
      <c r="Z1817" s="199">
        <v>2.9161308971018506E-2</v>
      </c>
      <c r="AA1817" s="201">
        <v>2.9126551799789624E-2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51890</v>
      </c>
      <c r="Y1818" s="198">
        <f>_xll.qlInterestRateIndexValueDate(IborIndex,X1818,Trigger)</f>
        <v>51894</v>
      </c>
      <c r="Z1818" s="199">
        <v>2.9160962282281433E-2</v>
      </c>
      <c r="AA1818" s="201">
        <v>2.9126231362432975E-2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51897</v>
      </c>
      <c r="Y1819" s="198">
        <f>_xll.qlInterestRateIndexValueDate(IborIndex,X1819,Trigger)</f>
        <v>51901</v>
      </c>
      <c r="Z1819" s="199">
        <v>2.9157142468741855E-2</v>
      </c>
      <c r="AA1819" s="201">
        <v>2.9125897242181509E-2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51904</v>
      </c>
      <c r="Y1820" s="198">
        <f>_xll.qlInterestRateIndexValueDate(IborIndex,X1820,Trigger)</f>
        <v>51908</v>
      </c>
      <c r="Z1820" s="199">
        <v>2.9156771377172954E-2</v>
      </c>
      <c r="AA1820" s="201">
        <v>2.9125549439195098E-2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51911</v>
      </c>
      <c r="Y1821" s="198">
        <f>_xll.qlInterestRateIndexValueDate(IborIndex,X1821,Trigger)</f>
        <v>51915</v>
      </c>
      <c r="Z1821" s="199">
        <v>2.9156386572904505E-2</v>
      </c>
      <c r="AA1821" s="201">
        <v>2.9125187953233933E-2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51918</v>
      </c>
      <c r="Y1822" s="198">
        <f>_xll.qlInterestRateIndexValueDate(IborIndex,X1822,Trigger)</f>
        <v>51922</v>
      </c>
      <c r="Z1822" s="199">
        <v>2.9155988055936506E-2</v>
      </c>
      <c r="AA1822" s="201">
        <v>2.9124812784777632E-2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51925</v>
      </c>
      <c r="Y1823" s="198">
        <f>_xll.qlInterestRateIndexValueDate(IborIndex,X1823,Trigger)</f>
        <v>51929</v>
      </c>
      <c r="Z1823" s="199">
        <v>2.9163618975495607E-2</v>
      </c>
      <c r="AA1823" s="201">
        <v>2.9124423933346577E-2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51932</v>
      </c>
      <c r="Y1824" s="198">
        <f>_xll.qlInterestRateIndexValueDate(IborIndex,X1824,Trigger)</f>
        <v>51936</v>
      </c>
      <c r="Z1824" s="199">
        <v>2.915859411331212E-2</v>
      </c>
      <c r="AA1824" s="201">
        <v>2.9124021399180577E-2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51939</v>
      </c>
      <c r="Y1825" s="198">
        <f>_xll.qlInterestRateIndexValueDate(IborIndex,X1825,Trigger)</f>
        <v>51943</v>
      </c>
      <c r="Z1825" s="199">
        <v>2.9158151412406508E-2</v>
      </c>
      <c r="AA1825" s="201">
        <v>2.9123605182279633E-2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51946</v>
      </c>
      <c r="Y1826" s="198">
        <f>_xll.qlInterestRateIndexValueDate(IborIndex,X1826,Trigger)</f>
        <v>51950</v>
      </c>
      <c r="Z1826" s="199">
        <v>2.9157694995486767E-2</v>
      </c>
      <c r="AA1826" s="201">
        <v>2.9123175282483871E-2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51953</v>
      </c>
      <c r="Y1827" s="198">
        <f>_xll.qlInterestRateIndexValueDate(IborIndex,X1827,Trigger)</f>
        <v>51957</v>
      </c>
      <c r="Z1827" s="199">
        <v>2.9156079870540808E-2</v>
      </c>
      <c r="AA1827" s="201">
        <v>2.9127314361755197E-2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51964</v>
      </c>
      <c r="Y1828" s="198">
        <f>_xll.qlInterestRateIndexValueDate(IborIndex,X1828,Trigger)</f>
        <v>51966</v>
      </c>
      <c r="Z1828" s="199">
        <v>2.9157743898211297E-2</v>
      </c>
      <c r="AA1828" s="201">
        <v>2.9122006996855632E-2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51971</v>
      </c>
      <c r="Y1829" s="198">
        <f>_xll.qlInterestRateIndexValueDate(IborIndex,X1829,Trigger)</f>
        <v>51973</v>
      </c>
      <c r="Z1829" s="199">
        <v>2.9157241394023037E-2</v>
      </c>
      <c r="AA1829" s="201">
        <v>2.9121528230069416E-2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51978</v>
      </c>
      <c r="Y1830" s="198">
        <f>_xll.qlInterestRateIndexValueDate(IborIndex,X1830,Trigger)</f>
        <v>51980</v>
      </c>
      <c r="Z1830" s="199">
        <v>2.9157866741481478E-2</v>
      </c>
      <c r="AA1830" s="201">
        <v>2.9121035780388382E-2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51985</v>
      </c>
      <c r="Y1831" s="198">
        <f>_xll.qlInterestRateIndexValueDate(IborIndex,X1831,Trigger)</f>
        <v>51987</v>
      </c>
      <c r="Z1831" s="199">
        <v>2.9156195234294191E-2</v>
      </c>
      <c r="AA1831" s="201">
        <v>2.9120456226303659E-2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51992</v>
      </c>
      <c r="Y1832" s="198">
        <f>_xll.qlInterestRateIndexValueDate(IborIndex,X1832,Trigger)</f>
        <v>51994</v>
      </c>
      <c r="Z1832" s="199">
        <v>2.9155651578753605E-2</v>
      </c>
      <c r="AA1832" s="201">
        <v>2.9120009832741545E-2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51999</v>
      </c>
      <c r="Y1833" s="198">
        <f>_xll.qlInterestRateIndexValueDate(IborIndex,X1833,Trigger)</f>
        <v>52001</v>
      </c>
      <c r="Z1833" s="199">
        <v>2.9155094206103072E-2</v>
      </c>
      <c r="AA1833" s="201">
        <v>2.911947633477574E-2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52006</v>
      </c>
      <c r="Y1834" s="198">
        <f>_xll.qlInterestRateIndexValueDate(IborIndex,X1834,Trigger)</f>
        <v>52008</v>
      </c>
      <c r="Z1834" s="199">
        <v>2.9154523116340092E-2</v>
      </c>
      <c r="AA1834" s="201">
        <v>2.9118849868217112E-2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52013</v>
      </c>
      <c r="Y1835" s="198">
        <f>_xll.qlInterestRateIndexValueDate(IborIndex,X1835,Trigger)</f>
        <v>52015</v>
      </c>
      <c r="Z1835" s="199">
        <v>2.9153938309467164E-2</v>
      </c>
      <c r="AA1835" s="201">
        <v>2.9118368290319552E-2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52020</v>
      </c>
      <c r="Y1836" s="198">
        <f>_xll.qlInterestRateIndexValueDate(IborIndex,X1836,Trigger)</f>
        <v>52022</v>
      </c>
      <c r="Z1836" s="199">
        <v>2.9153339785486787E-2</v>
      </c>
      <c r="AA1836" s="201">
        <v>2.911779374398904E-2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52027</v>
      </c>
      <c r="Y1837" s="198">
        <f>_xll.qlInterestRateIndexValueDate(IborIndex,X1837,Trigger)</f>
        <v>52029</v>
      </c>
      <c r="Z1837" s="199">
        <v>2.915272754439896E-2</v>
      </c>
      <c r="AA1837" s="201">
        <v>2.9117205514763711E-2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52034</v>
      </c>
      <c r="Y1838" s="198">
        <f>_xll.qlInterestRateIndexValueDate(IborIndex,X1838,Trigger)</f>
        <v>52036</v>
      </c>
      <c r="Z1838" s="199">
        <v>2.9152101586211177E-2</v>
      </c>
      <c r="AA1838" s="201">
        <v>2.9116603602883373E-2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52041</v>
      </c>
      <c r="Y1839" s="198">
        <f>_xll.qlInterestRateIndexValueDate(IborIndex,X1839,Trigger)</f>
        <v>52043</v>
      </c>
      <c r="Z1839" s="199">
        <v>2.9151461910920939E-2</v>
      </c>
      <c r="AA1839" s="201">
        <v>2.9115988008108218E-2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52048</v>
      </c>
      <c r="Y1840" s="198">
        <f>_xll.qlInterestRateIndexValueDate(IborIndex,X1840,Trigger)</f>
        <v>52050</v>
      </c>
      <c r="Z1840" s="199">
        <v>2.9150808518533244E-2</v>
      </c>
      <c r="AA1840" s="201">
        <v>2.9115358730598118E-2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52055</v>
      </c>
      <c r="Y1841" s="198">
        <f>_xll.qlInterestRateIndexValueDate(IborIndex,X1841,Trigger)</f>
        <v>52057</v>
      </c>
      <c r="Z1841" s="199">
        <v>2.9150141409050589E-2</v>
      </c>
      <c r="AA1841" s="201">
        <v>2.9114715770273136E-2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52062</v>
      </c>
      <c r="Y1842" s="198">
        <f>_xll.qlInterestRateIndexValueDate(IborIndex,X1842,Trigger)</f>
        <v>52064</v>
      </c>
      <c r="Z1842" s="199">
        <v>2.9149460582477971E-2</v>
      </c>
      <c r="AA1842" s="201">
        <v>2.9114059127133274E-2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52069</v>
      </c>
      <c r="Y1843" s="198">
        <f>_xll.qlInterestRateIndexValueDate(IborIndex,X1843,Trigger)</f>
        <v>52071</v>
      </c>
      <c r="Z1843" s="199">
        <v>2.9149894225512861E-2</v>
      </c>
      <c r="AA1843" s="201">
        <v>2.9113388801258466E-2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52076</v>
      </c>
      <c r="Y1844" s="198">
        <f>_xll.qlInterestRateIndexValueDate(IborIndex,X1844,Trigger)</f>
        <v>52078</v>
      </c>
      <c r="Z1844" s="199">
        <v>2.9144676100718657E-2</v>
      </c>
      <c r="AA1844" s="201">
        <v>2.9112704792648714E-2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52083</v>
      </c>
      <c r="Y1845" s="198">
        <f>_xll.qlInterestRateIndexValueDate(IborIndex,X1845,Trigger)</f>
        <v>52085</v>
      </c>
      <c r="Z1845" s="199">
        <v>2.9147335800212837E-2</v>
      </c>
      <c r="AA1845" s="201">
        <v>2.911200710122408E-2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52090</v>
      </c>
      <c r="Y1846" s="198">
        <f>_xll.qlInterestRateIndexValueDate(IborIndex,X1846,Trigger)</f>
        <v>52092</v>
      </c>
      <c r="Z1846" s="199">
        <v>2.9146600105290354E-2</v>
      </c>
      <c r="AA1846" s="201">
        <v>2.9111295726904629E-2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52097</v>
      </c>
      <c r="Y1847" s="198">
        <f>_xll.qlInterestRateIndexValueDate(IborIndex,X1847,Trigger)</f>
        <v>52099</v>
      </c>
      <c r="Z1847" s="199">
        <v>2.9145850693282904E-2</v>
      </c>
      <c r="AA1847" s="201">
        <v>2.9110465973358757E-2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52104</v>
      </c>
      <c r="Y1848" s="198">
        <f>_xll.qlInterestRateIndexValueDate(IborIndex,X1848,Trigger)</f>
        <v>52106</v>
      </c>
      <c r="Z1848" s="199">
        <v>2.9145087564200478E-2</v>
      </c>
      <c r="AA1848" s="201">
        <v>2.9109831930060892E-2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52111</v>
      </c>
      <c r="Y1849" s="198">
        <f>_xll.qlInterestRateIndexValueDate(IborIndex,X1849,Trigger)</f>
        <v>52113</v>
      </c>
      <c r="Z1849" s="199">
        <v>2.9144310718043076E-2</v>
      </c>
      <c r="AA1849" s="201">
        <v>2.9109079507376734E-2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52118</v>
      </c>
      <c r="Y1850" s="198">
        <f>_xll.qlInterestRateIndexValueDate(IborIndex,X1850,Trigger)</f>
        <v>52120</v>
      </c>
      <c r="Z1850" s="199">
        <v>2.9144641058244408E-2</v>
      </c>
      <c r="AA1850" s="201">
        <v>2.9108313402037567E-2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52125</v>
      </c>
      <c r="Y1851" s="198">
        <f>_xll.qlInterestRateIndexValueDate(IborIndex,X1851,Trigger)</f>
        <v>52127</v>
      </c>
      <c r="Z1851" s="199">
        <v>2.9142715874515834E-2</v>
      </c>
      <c r="AA1851" s="201">
        <v>2.9107533613883518E-2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52132</v>
      </c>
      <c r="Y1852" s="198">
        <f>_xll.qlInterestRateIndexValueDate(IborIndex,X1852,Trigger)</f>
        <v>52134</v>
      </c>
      <c r="Z1852" s="199">
        <v>2.9141897877150991E-2</v>
      </c>
      <c r="AA1852" s="201">
        <v>2.9106740142914589E-2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52139</v>
      </c>
      <c r="Y1853" s="198">
        <f>_xll.qlInterestRateIndexValueDate(IborIndex,X1853,Trigger)</f>
        <v>52141</v>
      </c>
      <c r="Z1853" s="199">
        <v>2.9141066162723661E-2</v>
      </c>
      <c r="AA1853" s="201">
        <v>2.9105932989050842E-2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52146</v>
      </c>
      <c r="Y1854" s="198">
        <f>_xll.qlInterestRateIndexValueDate(IborIndex,X1854,Trigger)</f>
        <v>52148</v>
      </c>
      <c r="Z1854" s="199">
        <v>2.9140220731236344E-2</v>
      </c>
      <c r="AA1854" s="201">
        <v>2.9105112152612023E-2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52153</v>
      </c>
      <c r="Y1855" s="198">
        <f>_xll.qlInterestRateIndexValueDate(IborIndex,X1855,Trigger)</f>
        <v>52155</v>
      </c>
      <c r="Z1855" s="199">
        <v>2.9139361582689038E-2</v>
      </c>
      <c r="AA1855" s="201">
        <v>2.9104277633278386E-2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52160</v>
      </c>
      <c r="Y1856" s="198">
        <f>_xll.qlInterestRateIndexValueDate(IborIndex,X1856,Trigger)</f>
        <v>52162</v>
      </c>
      <c r="Z1856" s="199">
        <v>2.9138488717089239E-2</v>
      </c>
      <c r="AA1856" s="201">
        <v>2.9103429431129868E-2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52167</v>
      </c>
      <c r="Y1857" s="198">
        <f>_xll.qlInterestRateIndexValueDate(IborIndex,X1857,Trigger)</f>
        <v>52169</v>
      </c>
      <c r="Z1857" s="199">
        <v>2.913426119531435E-2</v>
      </c>
      <c r="AA1857" s="201">
        <v>2.9102567546246405E-2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52174</v>
      </c>
      <c r="Y1858" s="198">
        <f>_xll.qlInterestRateIndexValueDate(IborIndex,X1858,Trigger)</f>
        <v>52176</v>
      </c>
      <c r="Z1858" s="199">
        <v>2.9136701834742151E-2</v>
      </c>
      <c r="AA1858" s="201">
        <v>2.9101691978548061E-2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52181</v>
      </c>
      <c r="Y1859" s="198">
        <f>_xll.qlInterestRateIndexValueDate(IborIndex,X1859,Trigger)</f>
        <v>52183</v>
      </c>
      <c r="Z1859" s="199">
        <v>2.9135787817999859E-2</v>
      </c>
      <c r="AA1859" s="201">
        <v>2.91008027279549E-2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52188</v>
      </c>
      <c r="Y1860" s="198">
        <f>_xll.qlInterestRateIndexValueDate(IborIndex,X1860,Trigger)</f>
        <v>52190</v>
      </c>
      <c r="Z1860" s="199">
        <v>2.9134860084215064E-2</v>
      </c>
      <c r="AA1860" s="201">
        <v>2.9099899794706729E-2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52195</v>
      </c>
      <c r="Y1861" s="198">
        <f>_xll.qlInterestRateIndexValueDate(IborIndex,X1861,Trigger)</f>
        <v>52198</v>
      </c>
      <c r="Z1861" s="199">
        <v>2.9134892218414459E-2</v>
      </c>
      <c r="AA1861" s="201">
        <v>2.9098851116602376E-2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52202</v>
      </c>
      <c r="Y1862" s="198">
        <f>_xll.qlInterestRateIndexValueDate(IborIndex,X1862,Trigger)</f>
        <v>52204</v>
      </c>
      <c r="Z1862" s="199">
        <v>2.9132963465537953E-2</v>
      </c>
      <c r="AA1862" s="201">
        <v>2.9098052879845682E-2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52209</v>
      </c>
      <c r="Y1863" s="198">
        <f>_xll.qlInterestRateIndexValueDate(IborIndex,X1863,Trigger)</f>
        <v>52211</v>
      </c>
      <c r="Z1863" s="199">
        <v>2.9131994580655629E-2</v>
      </c>
      <c r="AA1863" s="201">
        <v>2.9097108898232804E-2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52216</v>
      </c>
      <c r="Y1864" s="198">
        <f>_xll.qlInterestRateIndexValueDate(IborIndex,X1864,Trigger)</f>
        <v>52218</v>
      </c>
      <c r="Z1864" s="199">
        <v>2.9132118152911089E-2</v>
      </c>
      <c r="AA1864" s="201">
        <v>2.9096151233805045E-2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52223</v>
      </c>
      <c r="Y1865" s="198">
        <f>_xll.qlInterestRateIndexValueDate(IborIndex,X1865,Trigger)</f>
        <v>52229</v>
      </c>
      <c r="Z1865" s="199">
        <v>2.9128335627025225E-2</v>
      </c>
      <c r="AA1865" s="201">
        <v>2.9096005333073549E-2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52230</v>
      </c>
      <c r="Y1866" s="198">
        <f>_xll.qlInterestRateIndexValueDate(IborIndex,X1866,Trigger)</f>
        <v>52233</v>
      </c>
      <c r="Z1866" s="199">
        <v>2.9127756270931802E-2</v>
      </c>
      <c r="AA1866" s="201">
        <v>2.9094053021081479E-2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52237</v>
      </c>
      <c r="Y1867" s="198">
        <f>_xll.qlInterestRateIndexValueDate(IborIndex,X1867,Trigger)</f>
        <v>52239</v>
      </c>
      <c r="Z1867" s="199">
        <v>2.9127981870876174E-2</v>
      </c>
      <c r="AA1867" s="201">
        <v>2.9093196143872291E-2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52244</v>
      </c>
      <c r="Y1868" s="198">
        <f>_xll.qlInterestRateIndexValueDate(IborIndex,X1868,Trigger)</f>
        <v>52246</v>
      </c>
      <c r="Z1868" s="199">
        <v>2.9128046326885645E-2</v>
      </c>
      <c r="AA1868" s="201">
        <v>2.9092183748264944E-2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52251</v>
      </c>
      <c r="Y1869" s="198">
        <f>_xll.qlInterestRateIndexValueDate(IborIndex,X1869,Trigger)</f>
        <v>52253</v>
      </c>
      <c r="Z1869" s="199">
        <v>2.9125893213898801E-2</v>
      </c>
      <c r="AA1869" s="201">
        <v>2.9091157669922652E-2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52258</v>
      </c>
      <c r="Y1870" s="198">
        <f>_xll.qlInterestRateIndexValueDate(IborIndex,X1870,Trigger)</f>
        <v>52260</v>
      </c>
      <c r="Z1870" s="199">
        <v>2.9121528669839015E-2</v>
      </c>
      <c r="AA1870" s="201">
        <v>2.9090117908845414E-2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52265</v>
      </c>
      <c r="Y1871" s="198">
        <f>_xll.qlInterestRateIndexValueDate(IborIndex,X1871,Trigger)</f>
        <v>52267</v>
      </c>
      <c r="Z1871" s="199">
        <v>2.9119354350558728E-2</v>
      </c>
      <c r="AA1871" s="201">
        <v>2.908906446487336E-2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52272</v>
      </c>
      <c r="Y1872" s="198">
        <f>_xll.qlInterestRateIndexValueDate(IborIndex,X1872,Trigger)</f>
        <v>52274</v>
      </c>
      <c r="Z1872" s="199">
        <v>2.9118266283396643E-2</v>
      </c>
      <c r="AA1872" s="201">
        <v>2.908799733816636E-2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52279</v>
      </c>
      <c r="Y1873" s="198">
        <f>_xll.qlInterestRateIndexValueDate(IborIndex,X1873,Trigger)</f>
        <v>52281</v>
      </c>
      <c r="Z1873" s="199">
        <v>2.9117164503660625E-2</v>
      </c>
      <c r="AA1873" s="201">
        <v>2.908691652864448E-2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52286</v>
      </c>
      <c r="Y1874" s="198">
        <f>_xll.qlInterestRateIndexValueDate(IborIndex,X1874,Trigger)</f>
        <v>52288</v>
      </c>
      <c r="Z1874" s="199">
        <v>2.9116049011353531E-2</v>
      </c>
      <c r="AA1874" s="201">
        <v>2.908582203646759E-2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52293</v>
      </c>
      <c r="Y1875" s="198">
        <f>_xll.qlInterestRateIndexValueDate(IborIndex,X1875,Trigger)</f>
        <v>52295</v>
      </c>
      <c r="Z1875" s="199">
        <v>2.9119298034968322E-2</v>
      </c>
      <c r="AA1875" s="201">
        <v>2.9084713861395883E-2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52300</v>
      </c>
      <c r="Y1876" s="198">
        <f>_xll.qlInterestRateIndexValueDate(IborIndex,X1876,Trigger)</f>
        <v>52302</v>
      </c>
      <c r="Z1876" s="199">
        <v>2.9118150829023082E-2</v>
      </c>
      <c r="AA1876" s="201">
        <v>2.9083592003589231E-2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52307</v>
      </c>
      <c r="Y1877" s="198">
        <f>_xll.qlInterestRateIndexValueDate(IborIndex,X1877,Trigger)</f>
        <v>52309</v>
      </c>
      <c r="Z1877" s="199">
        <v>2.9116989906102786E-2</v>
      </c>
      <c r="AA1877" s="201">
        <v>2.9082456462887762E-2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52314</v>
      </c>
      <c r="Y1878" s="198">
        <f>_xll.qlInterestRateIndexValueDate(IborIndex,X1878,Trigger)</f>
        <v>52316</v>
      </c>
      <c r="Z1878" s="199">
        <v>2.9115815266207434E-2</v>
      </c>
      <c r="AA1878" s="201">
        <v>2.9080976376754109E-2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52321</v>
      </c>
      <c r="Y1879" s="198">
        <f>_xll.qlInterestRateIndexValueDate(IborIndex,X1879,Trigger)</f>
        <v>52323</v>
      </c>
      <c r="Z1879" s="199">
        <v>2.9115717061715625E-2</v>
      </c>
      <c r="AA1879" s="201">
        <v>2.9080144333279989E-2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52328</v>
      </c>
      <c r="Y1880" s="198">
        <f>_xll.qlInterestRateIndexValueDate(IborIndex,X1880,Trigger)</f>
        <v>52330</v>
      </c>
      <c r="Z1880" s="199">
        <v>2.911342483552154E-2</v>
      </c>
      <c r="AA1880" s="201">
        <v>2.9078967744373685E-2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52335</v>
      </c>
      <c r="Y1881" s="198">
        <f>_xll.qlInterestRateIndexValueDate(IborIndex,X1881,Trigger)</f>
        <v>52337</v>
      </c>
      <c r="Z1881" s="199">
        <v>2.9112209044735993E-2</v>
      </c>
      <c r="AA1881" s="201">
        <v>2.9077777472572564E-2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52342</v>
      </c>
      <c r="Y1882" s="198">
        <f>_xll.qlInterestRateIndexValueDate(IborIndex,X1882,Trigger)</f>
        <v>52344</v>
      </c>
      <c r="Z1882" s="199">
        <v>2.9112066455188251E-2</v>
      </c>
      <c r="AA1882" s="201">
        <v>2.9076573518036497E-2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52349</v>
      </c>
      <c r="Y1883" s="198">
        <f>_xll.qlInterestRateIndexValueDate(IborIndex,X1883,Trigger)</f>
        <v>52351</v>
      </c>
      <c r="Z1883" s="199">
        <v>2.9106478531393174E-2</v>
      </c>
      <c r="AA1883" s="201">
        <v>2.9075180815523183E-2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52356</v>
      </c>
      <c r="Y1884" s="198">
        <f>_xll.qlInterestRateIndexValueDate(IborIndex,X1884,Trigger)</f>
        <v>52358</v>
      </c>
      <c r="Z1884" s="199">
        <v>2.9108479370668905E-2</v>
      </c>
      <c r="AA1884" s="201">
        <v>2.9074124560599657E-2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52363</v>
      </c>
      <c r="Y1885" s="198">
        <f>_xll.qlInterestRateIndexValueDate(IborIndex,X1885,Trigger)</f>
        <v>52365</v>
      </c>
      <c r="Z1885" s="199">
        <v>2.9107208712093047E-2</v>
      </c>
      <c r="AA1885" s="201">
        <v>2.9072879557698883E-2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52370</v>
      </c>
      <c r="Y1886" s="198">
        <f>_xll.qlInterestRateIndexValueDate(IborIndex,X1886,Trigger)</f>
        <v>52372</v>
      </c>
      <c r="Z1886" s="199">
        <v>2.9105924336574607E-2</v>
      </c>
      <c r="AA1886" s="201">
        <v>2.9071439942871535E-2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52377</v>
      </c>
      <c r="Y1887" s="198">
        <f>_xll.qlInterestRateIndexValueDate(IborIndex,X1887,Trigger)</f>
        <v>52379</v>
      </c>
      <c r="Z1887" s="199">
        <v>2.9104626244131071E-2</v>
      </c>
      <c r="AA1887" s="201">
        <v>2.9070348503532628E-2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52384</v>
      </c>
      <c r="Y1888" s="198">
        <f>_xll.qlInterestRateIndexValueDate(IborIndex,X1888,Trigger)</f>
        <v>52386</v>
      </c>
      <c r="Z1888" s="199">
        <v>2.9103314434754946E-2</v>
      </c>
      <c r="AA1888" s="201">
        <v>2.9069062452347083E-2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52391</v>
      </c>
      <c r="Y1889" s="198">
        <f>_xll.qlInterestRateIndexValueDate(IborIndex,X1889,Trigger)</f>
        <v>52393</v>
      </c>
      <c r="Z1889" s="199">
        <v>2.9101988908461218E-2</v>
      </c>
      <c r="AA1889" s="201">
        <v>2.9067762718266721E-2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52398</v>
      </c>
      <c r="Y1890" s="198">
        <f>_xll.qlInterestRateIndexValueDate(IborIndex,X1890,Trigger)</f>
        <v>52400</v>
      </c>
      <c r="Z1890" s="199">
        <v>2.9100649665244893E-2</v>
      </c>
      <c r="AA1890" s="201">
        <v>2.906644930153135E-2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52405</v>
      </c>
      <c r="Y1891" s="198">
        <f>_xll.qlInterestRateIndexValueDate(IborIndex,X1891,Trigger)</f>
        <v>52407</v>
      </c>
      <c r="Z1891" s="199">
        <v>2.909929670511846E-2</v>
      </c>
      <c r="AA1891" s="201">
        <v>2.9065122201901161E-2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52412</v>
      </c>
      <c r="Y1892" s="198">
        <f>_xll.qlInterestRateIndexValueDate(IborIndex,X1892,Trigger)</f>
        <v>52414</v>
      </c>
      <c r="Z1892" s="199">
        <v>2.9097930028084418E-2</v>
      </c>
      <c r="AA1892" s="201">
        <v>2.9063781419615964E-2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52419</v>
      </c>
      <c r="Y1893" s="198">
        <f>_xll.qlInterestRateIndexValueDate(IborIndex,X1893,Trigger)</f>
        <v>52421</v>
      </c>
      <c r="Z1893" s="199">
        <v>2.9096549634147761E-2</v>
      </c>
      <c r="AA1893" s="201">
        <v>2.9062426954356013E-2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52426</v>
      </c>
      <c r="Y1894" s="198">
        <f>_xll.qlInterestRateIndexValueDate(IborIndex,X1894,Trigger)</f>
        <v>52428</v>
      </c>
      <c r="Z1894" s="199">
        <v>2.9095155523310989E-2</v>
      </c>
      <c r="AA1894" s="201">
        <v>2.9061058806441054E-2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52433</v>
      </c>
      <c r="Y1895" s="198">
        <f>_xll.qlInterestRateIndexValueDate(IborIndex,X1895,Trigger)</f>
        <v>52435</v>
      </c>
      <c r="Z1895" s="199">
        <v>2.9093747695581595E-2</v>
      </c>
      <c r="AA1895" s="201">
        <v>2.9059676975711213E-2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52440</v>
      </c>
      <c r="Y1896" s="198">
        <f>_xll.qlInterestRateIndexValueDate(IborIndex,X1896,Trigger)</f>
        <v>52442</v>
      </c>
      <c r="Z1896" s="199">
        <v>2.908911078840044E-2</v>
      </c>
      <c r="AA1896" s="201">
        <v>2.9058281462246427E-2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52447</v>
      </c>
      <c r="Y1897" s="198">
        <f>_xll.qlInterestRateIndexValueDate(IborIndex,X1897,Trigger)</f>
        <v>52449</v>
      </c>
      <c r="Z1897" s="199">
        <v>2.9091961487936017E-2</v>
      </c>
      <c r="AA1897" s="201">
        <v>2.9056872265886824E-2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52454</v>
      </c>
      <c r="Y1898" s="198">
        <f>_xll.qlInterestRateIndexValueDate(IborIndex,X1898,Trigger)</f>
        <v>52456</v>
      </c>
      <c r="Z1898" s="199">
        <v>2.9089441911092639E-2</v>
      </c>
      <c r="AA1898" s="201">
        <v>2.9055449386872212E-2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52461</v>
      </c>
      <c r="Y1899" s="198">
        <f>_xll.qlInterestRateIndexValueDate(IborIndex,X1899,Trigger)</f>
        <v>52463</v>
      </c>
      <c r="Z1899" s="199">
        <v>2.9087979215845217E-2</v>
      </c>
      <c r="AA1899" s="201">
        <v>2.9054012824962783E-2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52468</v>
      </c>
      <c r="Y1900" s="198">
        <f>_xll.qlInterestRateIndexValueDate(IborIndex,X1900,Trigger)</f>
        <v>52470</v>
      </c>
      <c r="Z1900" s="199">
        <v>2.9086502803730152E-2</v>
      </c>
      <c r="AA1900" s="201">
        <v>2.9052354285656889E-2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52475</v>
      </c>
      <c r="Y1901" s="198">
        <f>_xll.qlInterestRateIndexValueDate(IborIndex,X1901,Trigger)</f>
        <v>52477</v>
      </c>
      <c r="Z1901" s="199">
        <v>2.9085012674757438E-2</v>
      </c>
      <c r="AA1901" s="201">
        <v>2.9051098653019025E-2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52482</v>
      </c>
      <c r="Y1902" s="198">
        <f>_xll.qlInterestRateIndexValueDate(IborIndex,X1902,Trigger)</f>
        <v>52484</v>
      </c>
      <c r="Z1902" s="199">
        <v>2.9084573932411123E-2</v>
      </c>
      <c r="AA1902" s="201">
        <v>2.9049621042744889E-2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52489</v>
      </c>
      <c r="Y1903" s="198">
        <f>_xll.qlInterestRateIndexValueDate(IborIndex,X1903,Trigger)</f>
        <v>52491</v>
      </c>
      <c r="Z1903" s="199">
        <v>2.9081991266244056E-2</v>
      </c>
      <c r="AA1903" s="201">
        <v>2.9048129749895679E-2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52496</v>
      </c>
      <c r="Y1904" s="198">
        <f>_xll.qlInterestRateIndexValueDate(IborIndex,X1904,Trigger)</f>
        <v>52498</v>
      </c>
      <c r="Z1904" s="199">
        <v>2.9080459986718377E-2</v>
      </c>
      <c r="AA1904" s="201">
        <v>2.9046624774071717E-2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52503</v>
      </c>
      <c r="Y1905" s="198">
        <f>_xll.qlInterestRateIndexValueDate(IborIndex,X1905,Trigger)</f>
        <v>52505</v>
      </c>
      <c r="Z1905" s="199">
        <v>2.9078914990355031E-2</v>
      </c>
      <c r="AA1905" s="201">
        <v>2.9045106115512809E-2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52510</v>
      </c>
      <c r="Y1906" s="198">
        <f>_xll.qlInterestRateIndexValueDate(IborIndex,X1906,Trigger)</f>
        <v>52512</v>
      </c>
      <c r="Z1906" s="199">
        <v>2.9077356277156519E-2</v>
      </c>
      <c r="AA1906" s="201">
        <v>2.9043573774218956E-2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52517</v>
      </c>
      <c r="Y1907" s="198">
        <f>_xll.qlInterestRateIndexValueDate(IborIndex,X1907,Trigger)</f>
        <v>52519</v>
      </c>
      <c r="Z1907" s="199">
        <v>2.9075783847130332E-2</v>
      </c>
      <c r="AA1907" s="201">
        <v>2.9042027750110222E-2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52524</v>
      </c>
      <c r="Y1908" s="198">
        <f>_xll.qlInterestRateIndexValueDate(IborIndex,X1908,Trigger)</f>
        <v>52526</v>
      </c>
      <c r="Z1908" s="199">
        <v>2.9074197700281468E-2</v>
      </c>
      <c r="AA1908" s="201">
        <v>2.9040468043346479E-2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52531</v>
      </c>
      <c r="Y1909" s="198">
        <f>_xll.qlInterestRateIndexValueDate(IborIndex,X1909,Trigger)</f>
        <v>52533</v>
      </c>
      <c r="Z1909" s="199">
        <v>2.9072597836614922E-2</v>
      </c>
      <c r="AA1909" s="201">
        <v>2.9038894653607983E-2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52538</v>
      </c>
      <c r="Y1910" s="198">
        <f>_xll.qlInterestRateIndexValueDate(IborIndex,X1910,Trigger)</f>
        <v>52540</v>
      </c>
      <c r="Z1910" s="199">
        <v>2.9070984256143184E-2</v>
      </c>
      <c r="AA1910" s="201">
        <v>2.9037307581134542E-2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52545</v>
      </c>
      <c r="Y1911" s="198">
        <f>_xll.qlInterestRateIndexValueDate(IborIndex,X1911,Trigger)</f>
        <v>52547</v>
      </c>
      <c r="Z1911" s="199">
        <v>2.9069356958863757E-2</v>
      </c>
      <c r="AA1911" s="201">
        <v>2.9035706825926155E-2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52552</v>
      </c>
      <c r="Y1912" s="198">
        <f>_xll.qlInterestRateIndexValueDate(IborIndex,X1912,Trigger)</f>
        <v>52554</v>
      </c>
      <c r="Z1912" s="199">
        <v>2.9067715944784134E-2</v>
      </c>
      <c r="AA1912" s="201">
        <v>2.903409238806276E-2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52559</v>
      </c>
      <c r="Y1913" s="198">
        <f>_xll.qlInterestRateIndexValueDate(IborIndex,X1913,Trigger)</f>
        <v>52562</v>
      </c>
      <c r="Z1913" s="199">
        <v>2.9065823704052529E-2</v>
      </c>
      <c r="AA1913" s="201">
        <v>2.9032230561609751E-2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52566</v>
      </c>
      <c r="Y1914" s="198">
        <f>_xll.qlInterestRateIndexValueDate(IborIndex,X1914,Trigger)</f>
        <v>52568</v>
      </c>
      <c r="Z1914" s="199">
        <v>2.9064392766254277E-2</v>
      </c>
      <c r="AA1914" s="201">
        <v>2.9030822463651518E-2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52573</v>
      </c>
      <c r="Y1915" s="198">
        <f>_xll.qlInterestRateIndexValueDate(IborIndex,X1915,Trigger)</f>
        <v>52575</v>
      </c>
      <c r="Z1915" s="199">
        <v>2.9062710601816533E-2</v>
      </c>
      <c r="AA1915" s="201">
        <v>2.9029166977343479E-2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52580</v>
      </c>
      <c r="Y1916" s="198">
        <f>_xll.qlInterestRateIndexValueDate(IborIndex,X1916,Trigger)</f>
        <v>52582</v>
      </c>
      <c r="Z1916" s="199">
        <v>2.9062064291912909E-2</v>
      </c>
      <c r="AA1916" s="201">
        <v>2.9027497808220559E-2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52587</v>
      </c>
      <c r="Y1917" s="198">
        <f>_xll.qlInterestRateIndexValueDate(IborIndex,X1917,Trigger)</f>
        <v>52589</v>
      </c>
      <c r="Z1917" s="199">
        <v>2.905930512262539E-2</v>
      </c>
      <c r="AA1917" s="201">
        <v>2.9025331628425022E-2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52594</v>
      </c>
      <c r="Y1918" s="198">
        <f>_xll.qlInterestRateIndexValueDate(IborIndex,X1918,Trigger)</f>
        <v>52596</v>
      </c>
      <c r="Z1918" s="199">
        <v>2.9054439501152333E-2</v>
      </c>
      <c r="AA1918" s="201">
        <v>2.9023874942692984E-2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52601</v>
      </c>
      <c r="Y1919" s="198">
        <f>_xll.qlInterestRateIndexValueDate(IborIndex,X1919,Trigger)</f>
        <v>52603</v>
      </c>
      <c r="Z1919" s="199">
        <v>2.9055844776385842E-2</v>
      </c>
      <c r="AA1919" s="201">
        <v>2.9022408204282257E-2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52608</v>
      </c>
      <c r="Y1920" s="198">
        <f>_xll.qlInterestRateIndexValueDate(IborIndex,X1920,Trigger)</f>
        <v>52610</v>
      </c>
      <c r="Z1920" s="199">
        <v>2.9055139122146786E-2</v>
      </c>
      <c r="AA1920" s="201">
        <v>2.9020684304139621E-2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52615</v>
      </c>
      <c r="Y1921" s="198">
        <f>_xll.qlInterestRateIndexValueDate(IborIndex,X1921,Trigger)</f>
        <v>52617</v>
      </c>
      <c r="Z1921" s="199">
        <v>2.905232956314785E-2</v>
      </c>
      <c r="AA1921" s="201">
        <v>2.9018946721102168E-2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52622</v>
      </c>
      <c r="Y1922" s="198">
        <f>_xll.qlInterestRateIndexValueDate(IborIndex,X1922,Trigger)</f>
        <v>52624</v>
      </c>
      <c r="Z1922" s="199">
        <v>2.9050551381420986E-2</v>
      </c>
      <c r="AA1922" s="201">
        <v>2.9017195455409706E-2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52629</v>
      </c>
      <c r="Y1923" s="198">
        <f>_xll.qlInterestRateIndexValueDate(IborIndex,X1923,Trigger)</f>
        <v>52631</v>
      </c>
      <c r="Z1923" s="199">
        <v>2.9045634002174088E-2</v>
      </c>
      <c r="AA1923" s="201">
        <v>2.9015430506822426E-2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52636</v>
      </c>
      <c r="Y1924" s="198">
        <f>_xll.qlInterestRateIndexValueDate(IborIndex,X1924,Trigger)</f>
        <v>52638</v>
      </c>
      <c r="Z1924" s="199">
        <v>2.9043831762048673E-2</v>
      </c>
      <c r="AA1924" s="201">
        <v>2.9013651875420265E-2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52643</v>
      </c>
      <c r="Y1925" s="198">
        <f>_xll.qlInterestRateIndexValueDate(IborIndex,X1925,Trigger)</f>
        <v>52645</v>
      </c>
      <c r="Z1925" s="199">
        <v>2.9042015808490113E-2</v>
      </c>
      <c r="AA1925" s="201">
        <v>2.9011859561363096E-2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52650</v>
      </c>
      <c r="Y1926" s="198">
        <f>_xll.qlInterestRateIndexValueDate(IborIndex,X1926,Trigger)</f>
        <v>52652</v>
      </c>
      <c r="Z1926" s="199">
        <v>2.9040186141509432E-2</v>
      </c>
      <c r="AA1926" s="201">
        <v>2.9010053564411109E-2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52657</v>
      </c>
      <c r="Y1927" s="198">
        <f>_xll.qlInterestRateIndexValueDate(IborIndex,X1927,Trigger)</f>
        <v>52659</v>
      </c>
      <c r="Z1927" s="199">
        <v>2.9041454721967785E-2</v>
      </c>
      <c r="AA1927" s="201">
        <v>2.9008233884804113E-2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52664</v>
      </c>
      <c r="Y1928" s="198">
        <f>_xll.qlInterestRateIndexValueDate(IborIndex,X1928,Trigger)</f>
        <v>52666</v>
      </c>
      <c r="Z1928" s="199">
        <v>2.9039594239959332E-2</v>
      </c>
      <c r="AA1928" s="201">
        <v>2.9006400522462172E-2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52671</v>
      </c>
      <c r="Y1929" s="198">
        <f>_xll.qlInterestRateIndexValueDate(IborIndex,X1929,Trigger)</f>
        <v>52673</v>
      </c>
      <c r="Z1929" s="199">
        <v>2.9038754997229403E-2</v>
      </c>
      <c r="AA1929" s="201">
        <v>2.9004553477225414E-2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52678</v>
      </c>
      <c r="Y1930" s="198">
        <f>_xll.qlInterestRateIndexValueDate(IborIndex,X1930,Trigger)</f>
        <v>52680</v>
      </c>
      <c r="Z1930" s="199">
        <v>2.9035832125881567E-2</v>
      </c>
      <c r="AA1930" s="201">
        <v>2.9002692749253711E-2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52685</v>
      </c>
      <c r="Y1931" s="198">
        <f>_xll.qlInterestRateIndexValueDate(IborIndex,X1931,Trigger)</f>
        <v>52687</v>
      </c>
      <c r="Z1931" s="199">
        <v>2.9030832105461625E-2</v>
      </c>
      <c r="AA1931" s="201">
        <v>2.9000818338467127E-2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52692</v>
      </c>
      <c r="Y1932" s="198">
        <f>_xll.qlInterestRateIndexValueDate(IborIndex,X1932,Trigger)</f>
        <v>52694</v>
      </c>
      <c r="Z1932" s="199">
        <v>2.9032015145095125E-2</v>
      </c>
      <c r="AA1932" s="201">
        <v>2.8998930245025534E-2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52699</v>
      </c>
      <c r="Y1933" s="198">
        <f>_xll.qlInterestRateIndexValueDate(IborIndex,X1933,Trigger)</f>
        <v>52701</v>
      </c>
      <c r="Z1933" s="199">
        <v>2.9030086079707695E-2</v>
      </c>
      <c r="AA1933" s="201">
        <v>2.8996482590946115E-2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52706</v>
      </c>
      <c r="Y1934" s="198">
        <f>_xll.qlInterestRateIndexValueDate(IborIndex,X1934,Trigger)</f>
        <v>52708</v>
      </c>
      <c r="Z1934" s="199">
        <v>2.9028143297662456E-2</v>
      </c>
      <c r="AA1934" s="201">
        <v>2.8995113009617768E-2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52713</v>
      </c>
      <c r="Y1935" s="198">
        <f>_xll.qlInterestRateIndexValueDate(IborIndex,X1935,Trigger)</f>
        <v>52715</v>
      </c>
      <c r="Z1935" s="199">
        <v>2.9027214946970987E-2</v>
      </c>
      <c r="AA1935" s="201">
        <v>2.8992907159155479E-2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52720</v>
      </c>
      <c r="Y1936" s="198">
        <f>_xll.qlInterestRateIndexValueDate(IborIndex,X1936,Trigger)</f>
        <v>52722</v>
      </c>
      <c r="Z1936" s="199">
        <v>2.902421658363602E-2</v>
      </c>
      <c r="AA1936" s="201">
        <v>2.899124104311035E-2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52727</v>
      </c>
      <c r="Y1937" s="198">
        <f>_xll.qlInterestRateIndexValueDate(IborIndex,X1937,Trigger)</f>
        <v>52729</v>
      </c>
      <c r="Z1937" s="199">
        <v>2.9022232651667312E-2</v>
      </c>
      <c r="AA1937" s="201">
        <v>2.8989284535674287E-2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52734</v>
      </c>
      <c r="Y1938" s="198">
        <f>_xll.qlInterestRateIndexValueDate(IborIndex,X1938,Trigger)</f>
        <v>52736</v>
      </c>
      <c r="Z1938" s="199">
        <v>2.9020235003075767E-2</v>
      </c>
      <c r="AA1938" s="201">
        <v>2.8987314345583215E-2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52741</v>
      </c>
      <c r="Y1939" s="198">
        <f>_xll.qlInterestRateIndexValueDate(IborIndex,X1939,Trigger)</f>
        <v>52743</v>
      </c>
      <c r="Z1939" s="199">
        <v>2.9018223637861384E-2</v>
      </c>
      <c r="AA1939" s="201">
        <v>2.8985045945155719E-2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52748</v>
      </c>
      <c r="Y1940" s="198">
        <f>_xll.qlInterestRateIndexValueDate(IborIndex,X1940,Trigger)</f>
        <v>52750</v>
      </c>
      <c r="Z1940" s="199">
        <v>2.9017221000658049E-2</v>
      </c>
      <c r="AA1940" s="201">
        <v>2.8983332916796556E-2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52755</v>
      </c>
      <c r="Y1941" s="198">
        <f>_xll.qlInterestRateIndexValueDate(IborIndex,X1941,Trigger)</f>
        <v>52757</v>
      </c>
      <c r="Z1941" s="199">
        <v>2.9014159757604074E-2</v>
      </c>
      <c r="AA1941" s="201">
        <v>2.8981321678420713E-2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52762</v>
      </c>
      <c r="Y1942" s="198">
        <f>_xll.qlInterestRateIndexValueDate(IborIndex,X1942,Trigger)</f>
        <v>52764</v>
      </c>
      <c r="Z1942" s="199">
        <v>2.9012107242573637E-2</v>
      </c>
      <c r="AA1942" s="201">
        <v>2.8979296757070117E-2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52769</v>
      </c>
      <c r="Y1943" s="198">
        <f>_xll.qlInterestRateIndexValueDate(IborIndex,X1943,Trigger)</f>
        <v>52771</v>
      </c>
      <c r="Z1943" s="199">
        <v>2.9010041010957832E-2</v>
      </c>
      <c r="AA1943" s="201">
        <v>2.8977258153064511E-2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52776</v>
      </c>
      <c r="Y1944" s="198">
        <f>_xll.qlInterestRateIndexValueDate(IborIndex,X1944,Trigger)</f>
        <v>52778</v>
      </c>
      <c r="Z1944" s="199">
        <v>2.9004907147485388E-2</v>
      </c>
      <c r="AA1944" s="201">
        <v>2.8975205866244025E-2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52783</v>
      </c>
      <c r="Y1945" s="198">
        <f>_xll.qlInterestRateIndexValueDate(IborIndex,X1945,Trigger)</f>
        <v>52785</v>
      </c>
      <c r="Z1945" s="199">
        <v>2.900586739798261E-2</v>
      </c>
      <c r="AA1945" s="201">
        <v>2.8973139896688593E-2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52790</v>
      </c>
      <c r="Y1946" s="198">
        <f>_xll.qlInterestRateIndexValueDate(IborIndex,X1946,Trigger)</f>
        <v>52792</v>
      </c>
      <c r="Z1946" s="199">
        <v>2.9003760016643176E-2</v>
      </c>
      <c r="AA1946" s="201">
        <v>2.8971060244318281E-2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52797</v>
      </c>
      <c r="Y1947" s="198">
        <f>_xll.qlInterestRateIndexValueDate(IborIndex,X1947,Trigger)</f>
        <v>52799</v>
      </c>
      <c r="Z1947" s="199">
        <v>2.9001638918740857E-2</v>
      </c>
      <c r="AA1947" s="201">
        <v>2.8968966909133087E-2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52804</v>
      </c>
      <c r="Y1948" s="198">
        <f>_xll.qlInterestRateIndexValueDate(IborIndex,X1948,Trigger)</f>
        <v>52806</v>
      </c>
      <c r="Z1948" s="199">
        <v>2.90005173667299E-2</v>
      </c>
      <c r="AA1948" s="201">
        <v>2.8966859891292884E-2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52811</v>
      </c>
      <c r="Y1949" s="198">
        <f>_xll.qlInterestRateIndexValueDate(IborIndex,X1949,Trigger)</f>
        <v>52813</v>
      </c>
      <c r="Z1949" s="199">
        <v>2.8998367683052771E-2</v>
      </c>
      <c r="AA1949" s="201">
        <v>2.89647391906378E-2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52818</v>
      </c>
      <c r="Y1950" s="198">
        <f>_xll.qlInterestRateIndexValueDate(IborIndex,X1950,Trigger)</f>
        <v>52820</v>
      </c>
      <c r="Z1950" s="199">
        <v>2.8995193325761504E-2</v>
      </c>
      <c r="AA1950" s="201">
        <v>2.8962604807247772E-2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52825</v>
      </c>
      <c r="Y1951" s="198">
        <f>_xll.qlInterestRateIndexValueDate(IborIndex,X1951,Trigger)</f>
        <v>52827</v>
      </c>
      <c r="Z1951" s="199">
        <v>2.8993017361702567E-2</v>
      </c>
      <c r="AA1951" s="201">
        <v>2.8960456741042861E-2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52832</v>
      </c>
      <c r="Y1952" s="198">
        <f>_xll.qlInterestRateIndexValueDate(IborIndex,X1952,Trigger)</f>
        <v>52834</v>
      </c>
      <c r="Z1952" s="199">
        <v>2.8990827681120712E-2</v>
      </c>
      <c r="AA1952" s="201">
        <v>2.8957985053787993E-2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52839</v>
      </c>
      <c r="Y1953" s="198">
        <f>_xll.qlInterestRateIndexValueDate(IborIndex,X1953,Trigger)</f>
        <v>52841</v>
      </c>
      <c r="Z1953" s="199">
        <v>2.898862428402843E-2</v>
      </c>
      <c r="AA1953" s="201">
        <v>2.8956119560268334E-2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52846</v>
      </c>
      <c r="Y1954" s="198">
        <f>_xll.qlInterestRateIndexValueDate(IborIndex,X1954,Trigger)</f>
        <v>52848</v>
      </c>
      <c r="Z1954" s="199">
        <v>2.898741350043724E-2</v>
      </c>
      <c r="AA1954" s="201">
        <v>2.8953930445698717E-2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52853</v>
      </c>
      <c r="Y1955" s="198">
        <f>_xll.qlInterestRateIndexValueDate(IborIndex,X1955,Trigger)</f>
        <v>52855</v>
      </c>
      <c r="Z1955" s="199">
        <v>2.8984176340340062E-2</v>
      </c>
      <c r="AA1955" s="201">
        <v>2.895172764847409E-2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52860</v>
      </c>
      <c r="Y1956" s="198">
        <f>_xll.qlInterestRateIndexValueDate(IborIndex,X1956,Trigger)</f>
        <v>52862</v>
      </c>
      <c r="Z1956" s="199">
        <v>2.8981931793761462E-2</v>
      </c>
      <c r="AA1956" s="201">
        <v>2.8949511168354647E-2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52867</v>
      </c>
      <c r="Y1957" s="198">
        <f>_xll.qlInterestRateIndexValueDate(IborIndex,X1957,Trigger)</f>
        <v>52869</v>
      </c>
      <c r="Z1957" s="199">
        <v>2.897967353070241E-2</v>
      </c>
      <c r="AA1957" s="201">
        <v>2.8947281005580194E-2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52874</v>
      </c>
      <c r="Y1958" s="198">
        <f>_xll.qlInterestRateIndexValueDate(IborIndex,X1958,Trigger)</f>
        <v>52876</v>
      </c>
      <c r="Z1958" s="199">
        <v>2.8977401551167903E-2</v>
      </c>
      <c r="AA1958" s="201">
        <v>2.8945037159990861E-2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52881</v>
      </c>
      <c r="Y1959" s="198">
        <f>_xll.qlInterestRateIndexValueDate(IborIndex,X1959,Trigger)</f>
        <v>52883</v>
      </c>
      <c r="Z1959" s="199">
        <v>2.8975115855175426E-2</v>
      </c>
      <c r="AA1959" s="201">
        <v>2.8942779631666582E-2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52888</v>
      </c>
      <c r="Y1960" s="198">
        <f>_xll.qlInterestRateIndexValueDate(IborIndex,X1960,Trigger)</f>
        <v>52890</v>
      </c>
      <c r="Z1960" s="199">
        <v>2.897281644272498E-2</v>
      </c>
      <c r="AA1960" s="201">
        <v>2.8940508420447486E-2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52895</v>
      </c>
      <c r="Y1961" s="198">
        <f>_xll.qlInterestRateIndexValueDate(IborIndex,X1961,Trigger)</f>
        <v>52897</v>
      </c>
      <c r="Z1961" s="199">
        <v>2.8970503313829055E-2</v>
      </c>
      <c r="AA1961" s="201">
        <v>2.8938223526573381E-2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52902</v>
      </c>
      <c r="Y1962" s="198">
        <f>_xll.qlInterestRateIndexValueDate(IborIndex,X1962,Trigger)</f>
        <v>52904</v>
      </c>
      <c r="Z1962" s="199">
        <v>2.8968176468495144E-2</v>
      </c>
      <c r="AA1962" s="201">
        <v>2.8935924949884395E-2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52909</v>
      </c>
      <c r="Y1963" s="198">
        <f>_xll.qlInterestRateIndexValueDate(IborIndex,X1963,Trigger)</f>
        <v>52911</v>
      </c>
      <c r="Z1963" s="199">
        <v>2.8965835906733239E-2</v>
      </c>
      <c r="AA1963" s="201">
        <v>2.8933612690460464E-2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52916</v>
      </c>
      <c r="Y1964" s="198">
        <f>_xll.qlInterestRateIndexValueDate(IborIndex,X1964,Trigger)</f>
        <v>52918</v>
      </c>
      <c r="Z1964" s="199">
        <v>2.8963481628550836E-2</v>
      </c>
      <c r="AA1964" s="201">
        <v>2.8931286748301588E-2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52923</v>
      </c>
      <c r="Y1965" s="198">
        <f>_xll.qlInterestRateIndexValueDate(IborIndex,X1965,Trigger)</f>
        <v>52926</v>
      </c>
      <c r="Z1965" s="199">
        <v>2.8961767580845628E-2</v>
      </c>
      <c r="AA1965" s="201">
        <v>2.8928611774139412E-2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52930</v>
      </c>
      <c r="Y1966" s="198">
        <f>_xll.qlInterestRateIndexValueDate(IborIndex,X1966,Trigger)</f>
        <v>52932</v>
      </c>
      <c r="Z1966" s="199">
        <v>2.8959724270563442E-2</v>
      </c>
      <c r="AA1966" s="201">
        <v>2.8926593815539192E-2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52937</v>
      </c>
      <c r="Y1967" s="198">
        <f>_xll.qlInterestRateIndexValueDate(IborIndex,X1967,Trigger)</f>
        <v>52939</v>
      </c>
      <c r="Z1967" s="199">
        <v>2.8956336495558066E-2</v>
      </c>
      <c r="AA1967" s="201">
        <v>2.8924226825015609E-2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52944</v>
      </c>
      <c r="Y1968" s="198">
        <f>_xll.qlInterestRateIndexValueDate(IborIndex,X1968,Trigger)</f>
        <v>52946</v>
      </c>
      <c r="Z1968" s="199">
        <v>2.8954917353778826E-2</v>
      </c>
      <c r="AA1968" s="201">
        <v>2.892184615175708E-2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52951</v>
      </c>
      <c r="Y1969" s="198">
        <f>_xll.qlInterestRateIndexValueDate(IborIndex,X1969,Trigger)</f>
        <v>52953</v>
      </c>
      <c r="Z1969" s="199">
        <v>2.8951504491618596E-2</v>
      </c>
      <c r="AA1969" s="201">
        <v>2.8918765180918626E-2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52959</v>
      </c>
      <c r="Y1970" s="198">
        <f>_xll.qlInterestRateIndexValueDate(IborIndex,X1970,Trigger)</f>
        <v>52961</v>
      </c>
      <c r="Z1970" s="199">
        <v>2.8948718713028287E-2</v>
      </c>
      <c r="AA1970" s="201">
        <v>2.8916353232677494E-2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52966</v>
      </c>
      <c r="Y1971" s="198">
        <f>_xll.qlInterestRateIndexValueDate(IborIndex,X1971,Trigger)</f>
        <v>52968</v>
      </c>
      <c r="Z1971" s="199">
        <v>2.8945280094004412E-2</v>
      </c>
      <c r="AA1971" s="201">
        <v>2.8914274958165009E-2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52973</v>
      </c>
      <c r="Y1972" s="198">
        <f>_xll.qlInterestRateIndexValueDate(IborIndex,X1972,Trigger)</f>
        <v>52975</v>
      </c>
      <c r="Z1972" s="199">
        <v>2.8942815302962176E-2</v>
      </c>
      <c r="AA1972" s="201">
        <v>2.8911837599210344E-2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52980</v>
      </c>
      <c r="Y1973" s="198">
        <f>_xll.qlInterestRateIndexValueDate(IborIndex,X1973,Trigger)</f>
        <v>52982</v>
      </c>
      <c r="Z1973" s="199">
        <v>2.8941320806888104E-2</v>
      </c>
      <c r="AA1973" s="201">
        <v>2.8909386557360861E-2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52987</v>
      </c>
      <c r="Y1974" s="198">
        <f>_xll.qlInterestRateIndexValueDate(IborIndex,X1974,Trigger)</f>
        <v>52989</v>
      </c>
      <c r="Z1974" s="199">
        <v>2.8937844575107046E-2</v>
      </c>
      <c r="AA1974" s="201">
        <v>2.8906921832776433E-2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52994</v>
      </c>
      <c r="Y1975" s="198">
        <f>_xll.qlInterestRateIndexValueDate(IborIndex,X1975,Trigger)</f>
        <v>52996</v>
      </c>
      <c r="Z1975" s="199">
        <v>2.8932393329736641E-2</v>
      </c>
      <c r="AA1975" s="201">
        <v>2.8904443425536996E-2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53001</v>
      </c>
      <c r="Y1976" s="198">
        <f>_xll.qlInterestRateIndexValueDate(IborIndex,X1976,Trigger)</f>
        <v>53003</v>
      </c>
      <c r="Z1976" s="199">
        <v>2.8929877222699636E-2</v>
      </c>
      <c r="AA1976" s="201">
        <v>2.8901951335402742E-2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53008</v>
      </c>
      <c r="Y1977" s="198">
        <f>_xll.qlInterestRateIndexValueDate(IborIndex,X1977,Trigger)</f>
        <v>53010</v>
      </c>
      <c r="Z1977" s="199">
        <v>2.8927347403688217E-2</v>
      </c>
      <c r="AA1977" s="201">
        <v>2.8899445562613479E-2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53015</v>
      </c>
      <c r="Y1978" s="198">
        <f>_xll.qlInterestRateIndexValueDate(IborIndex,X1978,Trigger)</f>
        <v>53017</v>
      </c>
      <c r="Z1978" s="199">
        <v>2.8924803872713803E-2</v>
      </c>
      <c r="AA1978" s="201">
        <v>2.8896926107009335E-2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53022</v>
      </c>
      <c r="Y1979" s="198">
        <f>_xll.qlInterestRateIndexValueDate(IborIndex,X1979,Trigger)</f>
        <v>53024</v>
      </c>
      <c r="Z1979" s="199">
        <v>2.8925177738941276E-2</v>
      </c>
      <c r="AA1979" s="201">
        <v>2.8894392968670246E-2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53029</v>
      </c>
      <c r="Y1980" s="198">
        <f>_xll.qlInterestRateIndexValueDate(IborIndex,X1980,Trigger)</f>
        <v>53031</v>
      </c>
      <c r="Z1980" s="199">
        <v>2.8923578954723195E-2</v>
      </c>
      <c r="AA1980" s="201">
        <v>2.8891846147516276E-2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53036</v>
      </c>
      <c r="Y1981" s="198">
        <f>_xll.qlInterestRateIndexValueDate(IborIndex,X1981,Trigger)</f>
        <v>53038</v>
      </c>
      <c r="Z1981" s="199">
        <v>2.8920014998050993E-2</v>
      </c>
      <c r="AA1981" s="201">
        <v>2.888928564362736E-2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53043</v>
      </c>
      <c r="Y1982" s="198">
        <f>_xll.qlInterestRateIndexValueDate(IborIndex,X1982,Trigger)</f>
        <v>53045</v>
      </c>
      <c r="Z1982" s="199">
        <v>2.8917413054837849E-2</v>
      </c>
      <c r="AA1982" s="201">
        <v>2.88867114570035E-2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53050</v>
      </c>
      <c r="Y1983" s="198">
        <f>_xll.qlInterestRateIndexValueDate(IborIndex,X1983,Trigger)</f>
        <v>53052</v>
      </c>
      <c r="Z1983" s="199">
        <v>2.8911880538625225E-2</v>
      </c>
      <c r="AA1983" s="201">
        <v>2.8884123587484822E-2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53057</v>
      </c>
      <c r="Y1984" s="198">
        <f>_xll.qlInterestRateIndexValueDate(IborIndex,X1984,Trigger)</f>
        <v>53063</v>
      </c>
      <c r="Z1984" s="199">
        <v>2.8909689012613704E-2</v>
      </c>
      <c r="AA1984" s="201">
        <v>2.8880776221660298E-2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53064</v>
      </c>
      <c r="Y1985" s="198">
        <f>_xll.qlInterestRateIndexValueDate(IborIndex,X1985,Trigger)</f>
        <v>53066</v>
      </c>
      <c r="Z1985" s="199">
        <v>2.8909524934229533E-2</v>
      </c>
      <c r="AA1985" s="201">
        <v>2.887890680048244E-2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53071</v>
      </c>
      <c r="Y1986" s="198">
        <f>_xll.qlInterestRateIndexValueDate(IborIndex,X1986,Trigger)</f>
        <v>53073</v>
      </c>
      <c r="Z1986" s="199">
        <v>2.8906868292520333E-2</v>
      </c>
      <c r="AA1986" s="201">
        <v>2.8876277882758927E-2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53078</v>
      </c>
      <c r="Y1987" s="198">
        <f>_xll.qlInterestRateIndexValueDate(IborIndex,X1987,Trigger)</f>
        <v>53080</v>
      </c>
      <c r="Z1987" s="199">
        <v>2.8906134156333578E-2</v>
      </c>
      <c r="AA1987" s="201">
        <v>2.8873256651014145E-2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53085</v>
      </c>
      <c r="Y1988" s="198">
        <f>_xll.qlInterestRateIndexValueDate(IborIndex,X1988,Trigger)</f>
        <v>53087</v>
      </c>
      <c r="Z1988" s="199">
        <v>2.8901517754497369E-2</v>
      </c>
      <c r="AA1988" s="201">
        <v>2.8870978999107066E-2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53092</v>
      </c>
      <c r="Y1989" s="198">
        <f>_xll.qlInterestRateIndexValueDate(IborIndex,X1989,Trigger)</f>
        <v>53094</v>
      </c>
      <c r="Z1989" s="199">
        <v>2.8898825803592602E-2</v>
      </c>
      <c r="AA1989" s="201">
        <v>2.8868309135416936E-2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53099</v>
      </c>
      <c r="Y1990" s="198">
        <f>_xll.qlInterestRateIndexValueDate(IborIndex,X1990,Trigger)</f>
        <v>53101</v>
      </c>
      <c r="Z1990" s="199">
        <v>2.8896123998113903E-2</v>
      </c>
      <c r="AA1990" s="201">
        <v>2.886562855613839E-2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53106</v>
      </c>
      <c r="Y1991" s="198">
        <f>_xll.qlInterestRateIndexValueDate(IborIndex,X1991,Trigger)</f>
        <v>53108</v>
      </c>
      <c r="Z1991" s="199">
        <v>2.8893412772420919E-2</v>
      </c>
      <c r="AA1991" s="201">
        <v>2.8862553544612979E-2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53113</v>
      </c>
      <c r="Y1992" s="198">
        <f>_xll.qlInterestRateIndexValueDate(IborIndex,X1992,Trigger)</f>
        <v>53115</v>
      </c>
      <c r="Z1992" s="199">
        <v>2.8890692139285367E-2</v>
      </c>
      <c r="AA1992" s="201">
        <v>2.8860239241303987E-2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53120</v>
      </c>
      <c r="Y1993" s="198">
        <f>_xll.qlInterestRateIndexValueDate(IborIndex,X1993,Trigger)</f>
        <v>53122</v>
      </c>
      <c r="Z1993" s="199">
        <v>2.8887962098709825E-2</v>
      </c>
      <c r="AA1993" s="201">
        <v>2.885753050574813E-2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53127</v>
      </c>
      <c r="Y1994" s="198">
        <f>_xll.qlInterestRateIndexValueDate(IborIndex,X1994,Trigger)</f>
        <v>53129</v>
      </c>
      <c r="Z1994" s="199">
        <v>2.888522265070461E-2</v>
      </c>
      <c r="AA1994" s="201">
        <v>2.8854812384659922E-2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53134</v>
      </c>
      <c r="Y1995" s="198">
        <f>_xll.qlInterestRateIndexValueDate(IborIndex,X1995,Trigger)</f>
        <v>53136</v>
      </c>
      <c r="Z1995" s="199">
        <v>2.8882473795277457E-2</v>
      </c>
      <c r="AA1995" s="201">
        <v>2.8852084878039364E-2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53141</v>
      </c>
      <c r="Y1996" s="198">
        <f>_xll.qlInterestRateIndexValueDate(IborIndex,X1996,Trigger)</f>
        <v>53143</v>
      </c>
      <c r="Z1996" s="199">
        <v>2.8879715532430947E-2</v>
      </c>
      <c r="AA1996" s="201">
        <v>2.8849347986046325E-2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53148</v>
      </c>
      <c r="Y1997" s="198">
        <f>_xll.qlInterestRateIndexValueDate(IborIndex,X1997,Trigger)</f>
        <v>53150</v>
      </c>
      <c r="Z1997" s="199">
        <v>2.8876947862172809E-2</v>
      </c>
      <c r="AA1997" s="201">
        <v>2.8846601708600872E-2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53155</v>
      </c>
      <c r="Y1998" s="198">
        <f>_xll.qlInterestRateIndexValueDate(IborIndex,X1998,Trigger)</f>
        <v>53157</v>
      </c>
      <c r="Z1998" s="199">
        <v>2.8874170784510787E-2</v>
      </c>
      <c r="AA1998" s="201">
        <v>2.8843846045703003E-2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53162</v>
      </c>
      <c r="Y1999" s="198">
        <f>_xll.qlInterestRateIndexValueDate(IborIndex,X1999,Trigger)</f>
        <v>53164</v>
      </c>
      <c r="Z1999" s="199">
        <v>2.8871384299452608E-2</v>
      </c>
      <c r="AA1999" s="201">
        <v>2.8841080997272783E-2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53169</v>
      </c>
      <c r="Y2000" s="198">
        <f>_xll.qlInterestRateIndexValueDate(IborIndex,X2000,Trigger)</f>
        <v>53171</v>
      </c>
      <c r="Z2000" s="199">
        <v>2.8869544386893042E-2</v>
      </c>
      <c r="AA2000" s="201">
        <v>2.883830656355002E-2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53176</v>
      </c>
      <c r="Y2001" s="198">
        <f>_xll.qlInterestRateIndexValueDate(IborIndex,X2001,Trigger)</f>
        <v>53178</v>
      </c>
      <c r="Z2001" s="199">
        <v>2.8866738190372887E-2</v>
      </c>
      <c r="AA2001" s="201">
        <v>2.883552274421497E-2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53183</v>
      </c>
      <c r="Y2002" s="198">
        <f>_xll.qlInterestRateIndexValueDate(IborIndex,X2002,Trigger)</f>
        <v>53185</v>
      </c>
      <c r="Z2002" s="199">
        <v>2.8862968399955315E-2</v>
      </c>
      <c r="AA2002" s="201">
        <v>2.883272953950744E-2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53190</v>
      </c>
      <c r="Y2003" s="198">
        <f>_xll.qlInterestRateIndexValueDate(IborIndex,X2003,Trigger)</f>
        <v>53192</v>
      </c>
      <c r="Z2003" s="199">
        <v>2.8860144285374416E-2</v>
      </c>
      <c r="AA2003" s="201">
        <v>2.8829926949187623E-2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53197</v>
      </c>
      <c r="Y2004" s="198">
        <f>_xll.qlInterestRateIndexValueDate(IborIndex,X2004,Trigger)</f>
        <v>53199</v>
      </c>
      <c r="Z2004" s="199">
        <v>2.8857310763430885E-2</v>
      </c>
      <c r="AA2004" s="201">
        <v>2.8826712496563545E-2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53204</v>
      </c>
      <c r="Y2005" s="198">
        <f>_xll.qlInterestRateIndexValueDate(IborIndex,X2005,Trigger)</f>
        <v>53206</v>
      </c>
      <c r="Z2005" s="199">
        <v>2.88544678341273E-2</v>
      </c>
      <c r="AA2005" s="201">
        <v>2.8824293612430552E-2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53211</v>
      </c>
      <c r="Y2006" s="198">
        <f>_xll.qlInterestRateIndexValueDate(IborIndex,X2006,Trigger)</f>
        <v>53213</v>
      </c>
      <c r="Z2006" s="199">
        <v>2.8852566086295106E-2</v>
      </c>
      <c r="AA2006" s="201">
        <v>2.8821462865833425E-2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53218</v>
      </c>
      <c r="Y2007" s="198">
        <f>_xll.qlInterestRateIndexValueDate(IborIndex,X2007,Trigger)</f>
        <v>53220</v>
      </c>
      <c r="Z2007" s="199">
        <v>2.8848753753481237E-2</v>
      </c>
      <c r="AA2007" s="201">
        <v>2.8818622733783883E-2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53225</v>
      </c>
      <c r="Y2008" s="198">
        <f>_xll.qlInterestRateIndexValueDate(IborIndex,X2008,Trigger)</f>
        <v>53227</v>
      </c>
      <c r="Z2008" s="199">
        <v>2.8845882602151648E-2</v>
      </c>
      <c r="AA2008" s="201">
        <v>2.8815773216281926E-2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53232</v>
      </c>
      <c r="Y2009" s="198">
        <f>_xll.qlInterestRateIndexValueDate(IborIndex,X2009,Trigger)</f>
        <v>53234</v>
      </c>
      <c r="Z2009" s="199">
        <v>2.8843949926919132E-2</v>
      </c>
      <c r="AA2009" s="201">
        <v>2.8812914313407489E-2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53239</v>
      </c>
      <c r="Y2010" s="198">
        <f>_xll.qlInterestRateIndexValueDate(IborIndex,X2010,Trigger)</f>
        <v>53241</v>
      </c>
      <c r="Z2010" s="199">
        <v>2.8840112077512876E-2</v>
      </c>
      <c r="AA2010" s="201">
        <v>2.8810046024920766E-2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53246</v>
      </c>
      <c r="Y2011" s="198">
        <f>_xll.qlInterestRateIndexValueDate(IborIndex,X2011,Trigger)</f>
        <v>53248</v>
      </c>
      <c r="Z2011" s="199">
        <v>2.8837212704214008E-2</v>
      </c>
      <c r="AA2011" s="201">
        <v>2.8807168351061563E-2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53253</v>
      </c>
      <c r="Y2012" s="198">
        <f>_xll.qlInterestRateIndexValueDate(IborIndex,X2012,Trigger)</f>
        <v>53255</v>
      </c>
      <c r="Z2012" s="199">
        <v>2.8834303923611818E-2</v>
      </c>
      <c r="AA2012" s="201">
        <v>2.8804281291670009E-2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53260</v>
      </c>
      <c r="Y2013" s="198">
        <f>_xll.qlInterestRateIndexValueDate(IborIndex,X2013,Trigger)</f>
        <v>53262</v>
      </c>
      <c r="Z2013" s="199">
        <v>2.8831385735706302E-2</v>
      </c>
      <c r="AA2013" s="201">
        <v>2.8801384846985911E-2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53267</v>
      </c>
      <c r="Y2014" s="198">
        <f>_xll.qlInterestRateIndexValueDate(IborIndex,X2014,Trigger)</f>
        <v>53269</v>
      </c>
      <c r="Z2014" s="199">
        <v>2.882845814050778E-2</v>
      </c>
      <c r="AA2014" s="201">
        <v>2.8798479016689527E-2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53274</v>
      </c>
      <c r="Y2015" s="198">
        <f>_xll.qlInterestRateIndexValueDate(IborIndex,X2015,Trigger)</f>
        <v>53279</v>
      </c>
      <c r="Z2015" s="199">
        <v>2.8823317442581597E-2</v>
      </c>
      <c r="AA2015" s="201">
        <v>2.8795146575486541E-2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53281</v>
      </c>
      <c r="Y2016" s="198">
        <f>_xll.qlInterestRateIndexValueDate(IborIndex,X2016,Trigger)</f>
        <v>53283</v>
      </c>
      <c r="Z2016" s="199">
        <v>2.8822574728257489E-2</v>
      </c>
      <c r="AA2016" s="201">
        <v>2.8792639199899384E-2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53288</v>
      </c>
      <c r="Y2017" s="198">
        <f>_xll.qlInterestRateIndexValueDate(IborIndex,X2017,Trigger)</f>
        <v>53290</v>
      </c>
      <c r="Z2017" s="199">
        <v>2.8821500148720508E-2</v>
      </c>
      <c r="AA2017" s="201">
        <v>2.8789705213325689E-2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53295</v>
      </c>
      <c r="Y2018" s="198">
        <f>_xll.qlInterestRateIndexValueDate(IborIndex,X2018,Trigger)</f>
        <v>53297</v>
      </c>
      <c r="Z2018" s="199">
        <v>2.8817593414816323E-2</v>
      </c>
      <c r="AA2018" s="201">
        <v>2.8786761841219644E-2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53302</v>
      </c>
      <c r="Y2019" s="198">
        <f>_xll.qlInterestRateIndexValueDate(IborIndex,X2019,Trigger)</f>
        <v>53304</v>
      </c>
      <c r="Z2019" s="199">
        <v>2.8813679055359833E-2</v>
      </c>
      <c r="AA2019" s="201">
        <v>2.8783809083741119E-2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53309</v>
      </c>
      <c r="Y2020" s="198">
        <f>_xll.qlInterestRateIndexValueDate(IborIndex,X2020,Trigger)</f>
        <v>53311</v>
      </c>
      <c r="Z2020" s="199">
        <v>2.8811632924100328E-2</v>
      </c>
      <c r="AA2020" s="201">
        <v>2.8780846940730243E-2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53316</v>
      </c>
      <c r="Y2021" s="198">
        <f>_xll.qlInterestRateIndexValueDate(IborIndex,X2021,Trigger)</f>
        <v>53318</v>
      </c>
      <c r="Z2021" s="199">
        <v>2.8807701570491465E-2</v>
      </c>
      <c r="AA2021" s="201">
        <v>2.8777024680382013E-2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53323</v>
      </c>
      <c r="Y2022" s="198">
        <f>_xll.qlInterestRateIndexValueDate(IborIndex,X2022,Trigger)</f>
        <v>53325</v>
      </c>
      <c r="Z2022" s="199">
        <v>2.8806570848727894E-2</v>
      </c>
      <c r="AA2022" s="201">
        <v>2.8774467887444644E-2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53330</v>
      </c>
      <c r="Y2023" s="198">
        <f>_xll.qlInterestRateIndexValueDate(IborIndex,X2023,Trigger)</f>
        <v>53332</v>
      </c>
      <c r="Z2023" s="199">
        <v>2.8801686456683129E-2</v>
      </c>
      <c r="AA2023" s="201">
        <v>2.8771904199063059E-2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53337</v>
      </c>
      <c r="Y2024" s="198">
        <f>_xll.qlInterestRateIndexValueDate(IborIndex,X2024,Trigger)</f>
        <v>53339</v>
      </c>
      <c r="Z2024" s="199">
        <v>2.8798664788938725E-2</v>
      </c>
      <c r="AA2024" s="201">
        <v>2.8768904514322458E-2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53344</v>
      </c>
      <c r="Y2025" s="198">
        <f>_xll.qlInterestRateIndexValueDate(IborIndex,X2025,Trigger)</f>
        <v>53346</v>
      </c>
      <c r="Z2025" s="199">
        <v>2.8796567057958189E-2</v>
      </c>
      <c r="AA2025" s="201">
        <v>2.8765895444129441E-2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53351</v>
      </c>
      <c r="Y2026" s="198">
        <f>_xll.qlInterestRateIndexValueDate(IborIndex,X2026,Trigger)</f>
        <v>53353</v>
      </c>
      <c r="Z2026" s="199">
        <v>2.8792593231818431E-2</v>
      </c>
      <c r="AA2026" s="201">
        <v>2.8762876988404074E-2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53358</v>
      </c>
      <c r="Y2027" s="198">
        <f>_xll.qlInterestRateIndexValueDate(IborIndex,X2027,Trigger)</f>
        <v>53360</v>
      </c>
      <c r="Z2027" s="199">
        <v>2.8786748576104922E-2</v>
      </c>
      <c r="AA2027" s="201">
        <v>2.8759849147306227E-2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53365</v>
      </c>
      <c r="Y2028" s="198">
        <f>_xll.qlInterestRateIndexValueDate(IborIndex,X2028,Trigger)</f>
        <v>53367</v>
      </c>
      <c r="Z2028" s="199">
        <v>2.8783692027839005E-2</v>
      </c>
      <c r="AA2028" s="201">
        <v>2.8756811920755965E-2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53372</v>
      </c>
      <c r="Y2029" s="198">
        <f>_xll.qlInterestRateIndexValueDate(IborIndex,X2029,Trigger)</f>
        <v>53374</v>
      </c>
      <c r="Z2029" s="199">
        <v>2.878062607456203E-2</v>
      </c>
      <c r="AA2029" s="201">
        <v>2.8753765308673351E-2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53379</v>
      </c>
      <c r="Y2030" s="198">
        <f>_xll.qlInterestRateIndexValueDate(IborIndex,X2030,Trigger)</f>
        <v>53381</v>
      </c>
      <c r="Z2030" s="199">
        <v>2.8781265993505223E-2</v>
      </c>
      <c r="AA2030" s="201">
        <v>2.8750709311218259E-2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53386</v>
      </c>
      <c r="Y2031" s="198">
        <f>_xll.qlInterestRateIndexValueDate(IborIndex,X2031,Trigger)</f>
        <v>53388</v>
      </c>
      <c r="Z2031" s="199">
        <v>2.8777249713153784E-2</v>
      </c>
      <c r="AA2031" s="201">
        <v>2.8747643928230815E-2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53393</v>
      </c>
      <c r="Y2032" s="198">
        <f>_xll.qlInterestRateIndexValueDate(IborIndex,X2032,Trigger)</f>
        <v>53395</v>
      </c>
      <c r="Z2032" s="199">
        <v>2.8774152787903347E-2</v>
      </c>
      <c r="AA2032" s="201">
        <v>2.8744569159870892E-2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53400</v>
      </c>
      <c r="Y2033" s="198">
        <f>_xll.qlInterestRateIndexValueDate(IborIndex,X2033,Trigger)</f>
        <v>53402</v>
      </c>
      <c r="Z2033" s="199">
        <v>2.8771046455496562E-2</v>
      </c>
      <c r="AA2033" s="201">
        <v>2.8741485005978618E-2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53407</v>
      </c>
      <c r="Y2034" s="198">
        <f>_xll.qlInterestRateIndexValueDate(IborIndex,X2034,Trigger)</f>
        <v>53413</v>
      </c>
      <c r="Z2034" s="199">
        <v>2.8766146069727137E-2</v>
      </c>
      <c r="AA2034" s="201">
        <v>2.8737505874474323E-2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53414</v>
      </c>
      <c r="Y2035" s="198">
        <f>_xll.qlInterestRateIndexValueDate(IborIndex,X2035,Trigger)</f>
        <v>53416</v>
      </c>
      <c r="Z2035" s="199">
        <v>2.8764805569250065E-2</v>
      </c>
      <c r="AA2035" s="201">
        <v>2.8735288541916759E-2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53421</v>
      </c>
      <c r="Y2036" s="198">
        <f>_xll.qlInterestRateIndexValueDate(IborIndex,X2036,Trigger)</f>
        <v>53423</v>
      </c>
      <c r="Z2036" s="199">
        <v>2.8762594255736795E-2</v>
      </c>
      <c r="AA2036" s="201">
        <v>2.8732176231747175E-2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53428</v>
      </c>
      <c r="Y2037" s="198">
        <f>_xll.qlInterestRateIndexValueDate(IborIndex,X2037,Trigger)</f>
        <v>53430</v>
      </c>
      <c r="Z2037" s="199">
        <v>2.8758527054476176E-2</v>
      </c>
      <c r="AA2037" s="201">
        <v>2.8729054536125176E-2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53435</v>
      </c>
      <c r="Y2038" s="198">
        <f>_xll.qlInterestRateIndexValueDate(IborIndex,X2038,Trigger)</f>
        <v>53437</v>
      </c>
      <c r="Z2038" s="199">
        <v>2.8755373686408865E-2</v>
      </c>
      <c r="AA2038" s="201">
        <v>2.8725923454970825E-2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53442</v>
      </c>
      <c r="Y2039" s="198">
        <f>_xll.qlInterestRateIndexValueDate(IborIndex,X2039,Trigger)</f>
        <v>53444</v>
      </c>
      <c r="Z2039" s="199">
        <v>2.8753131380805652E-2</v>
      </c>
      <c r="AA2039" s="201">
        <v>2.8722782988443996E-2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53449</v>
      </c>
      <c r="Y2040" s="198">
        <f>_xll.qlInterestRateIndexValueDate(IborIndex,X2040,Trigger)</f>
        <v>53451</v>
      </c>
      <c r="Z2040" s="199">
        <v>2.8749038728952188E-2</v>
      </c>
      <c r="AA2040" s="201">
        <v>2.8719182391423459E-2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53456</v>
      </c>
      <c r="Y2041" s="198">
        <f>_xll.qlInterestRateIndexValueDate(IborIndex,X2041,Trigger)</f>
        <v>53458</v>
      </c>
      <c r="Z2041" s="199">
        <v>2.8745857139580874E-2</v>
      </c>
      <c r="AA2041" s="201">
        <v>2.871647389903309E-2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53463</v>
      </c>
      <c r="Y2042" s="198">
        <f>_xll.qlInterestRateIndexValueDate(IborIndex,X2042,Trigger)</f>
        <v>53465</v>
      </c>
      <c r="Z2042" s="199">
        <v>2.8742666143120259E-2</v>
      </c>
      <c r="AA2042" s="201">
        <v>2.8713305276149015E-2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53470</v>
      </c>
      <c r="Y2043" s="198">
        <f>_xll.qlInterestRateIndexValueDate(IborIndex,X2043,Trigger)</f>
        <v>53472</v>
      </c>
      <c r="Z2043" s="199">
        <v>2.8739465739583234E-2</v>
      </c>
      <c r="AA2043" s="201">
        <v>2.8709672500388805E-2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53477</v>
      </c>
      <c r="Y2044" s="198">
        <f>_xll.qlInterestRateIndexValueDate(IborIndex,X2044,Trigger)</f>
        <v>53479</v>
      </c>
      <c r="Z2044" s="199">
        <v>2.8736255928972384E-2</v>
      </c>
      <c r="AA2044" s="201">
        <v>2.8706939873943682E-2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53484</v>
      </c>
      <c r="Y2045" s="198">
        <f>_xll.qlInterestRateIndexValueDate(IborIndex,X2045,Trigger)</f>
        <v>53486</v>
      </c>
      <c r="Z2045" s="199">
        <v>2.8733036711303173E-2</v>
      </c>
      <c r="AA2045" s="201">
        <v>2.8703743094702361E-2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53491</v>
      </c>
      <c r="Y2046" s="198">
        <f>_xll.qlInterestRateIndexValueDate(IborIndex,X2046,Trigger)</f>
        <v>53493</v>
      </c>
      <c r="Z2046" s="199">
        <v>2.8729808086573022E-2</v>
      </c>
      <c r="AA2046" s="201">
        <v>2.870053693008856E-2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53498</v>
      </c>
      <c r="Y2047" s="198">
        <f>_xll.qlInterestRateIndexValueDate(IborIndex,X2047,Trigger)</f>
        <v>53500</v>
      </c>
      <c r="Z2047" s="199">
        <v>2.8726570054799987E-2</v>
      </c>
      <c r="AA2047" s="201">
        <v>2.8697321380022345E-2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53505</v>
      </c>
      <c r="Y2048" s="198">
        <f>_xll.qlInterestRateIndexValueDate(IborIndex,X2048,Trigger)</f>
        <v>53507</v>
      </c>
      <c r="Z2048" s="199">
        <v>2.8724234734382459E-2</v>
      </c>
      <c r="AA2048" s="201">
        <v>2.8694096444263906E-2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53512</v>
      </c>
      <c r="Y2049" s="198">
        <f>_xll.qlInterestRateIndexValueDate(IborIndex,X2049,Trigger)</f>
        <v>53514</v>
      </c>
      <c r="Z2049" s="199">
        <v>2.8720065770138154E-2</v>
      </c>
      <c r="AA2049" s="201">
        <v>2.869086212329286E-2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53519</v>
      </c>
      <c r="Y2050" s="198">
        <f>_xll.qlInterestRateIndexValueDate(IborIndex,X2050,Trigger)</f>
        <v>53521</v>
      </c>
      <c r="Z2050" s="199">
        <v>2.8716799517269982E-2</v>
      </c>
      <c r="AA2050" s="201">
        <v>2.8687618416869398E-2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53526</v>
      </c>
      <c r="Y2051" s="198">
        <f>_xll.qlInterestRateIndexValueDate(IborIndex,X2051,Trigger)</f>
        <v>53528</v>
      </c>
      <c r="Z2051" s="199">
        <v>2.8713523857384706E-2</v>
      </c>
      <c r="AA2051" s="201">
        <v>2.8684365324913585E-2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53533</v>
      </c>
      <c r="Y2052" s="198">
        <f>_xll.qlInterestRateIndexValueDate(IborIndex,X2052,Trigger)</f>
        <v>53535</v>
      </c>
      <c r="Z2052" s="199">
        <v>2.8711147178530905E-2</v>
      </c>
      <c r="AA2052" s="201">
        <v>2.8681102847505358E-2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53540</v>
      </c>
      <c r="Y2053" s="198">
        <f>_xll.qlInterestRateIndexValueDate(IborIndex,X2053,Trigger)</f>
        <v>53542</v>
      </c>
      <c r="Z2053" s="199">
        <v>2.870785177024715E-2</v>
      </c>
      <c r="AA2053" s="201">
        <v>2.8677830984644714E-2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53547</v>
      </c>
      <c r="Y2054" s="198">
        <f>_xll.qlInterestRateIndexValueDate(IborIndex,X2054,Trigger)</f>
        <v>53549</v>
      </c>
      <c r="Z2054" s="199">
        <v>2.8703640435708798E-2</v>
      </c>
      <c r="AA2054" s="201">
        <v>2.8674549736411592E-2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53554</v>
      </c>
      <c r="Y2055" s="198">
        <f>_xll.qlInterestRateIndexValueDate(IborIndex,X2055,Trigger)</f>
        <v>53556</v>
      </c>
      <c r="Z2055" s="199">
        <v>2.8700327147837636E-2</v>
      </c>
      <c r="AA2055" s="201">
        <v>2.8671259102726054E-2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53561</v>
      </c>
      <c r="Y2056" s="198">
        <f>_xll.qlInterestRateIndexValueDate(IborIndex,X2056,Trigger)</f>
        <v>53563</v>
      </c>
      <c r="Z2056" s="199">
        <v>2.8697004452993207E-2</v>
      </c>
      <c r="AA2056" s="201">
        <v>2.8667486886106985E-2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53568</v>
      </c>
      <c r="Y2057" s="198">
        <f>_xll.qlInterestRateIndexValueDate(IborIndex,X2057,Trigger)</f>
        <v>53570</v>
      </c>
      <c r="Z2057" s="199">
        <v>2.8690960976247251E-2</v>
      </c>
      <c r="AA2057" s="201">
        <v>2.8664649678997733E-2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53575</v>
      </c>
      <c r="Y2058" s="198">
        <f>_xll.qlInterestRateIndexValueDate(IborIndex,X2058,Trigger)</f>
        <v>53577</v>
      </c>
      <c r="Z2058" s="199">
        <v>2.8691233613349076E-2</v>
      </c>
      <c r="AA2058" s="201">
        <v>2.866133088895495E-2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53582</v>
      </c>
      <c r="Y2059" s="198">
        <f>_xll.qlInterestRateIndexValueDate(IborIndex,X2059,Trigger)</f>
        <v>53584</v>
      </c>
      <c r="Z2059" s="199">
        <v>2.868697992667707E-2</v>
      </c>
      <c r="AA2059" s="201">
        <v>2.8658002713459751E-2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53589</v>
      </c>
      <c r="Y2060" s="198">
        <f>_xll.qlInterestRateIndexValueDate(IborIndex,X2060,Trigger)</f>
        <v>53591</v>
      </c>
      <c r="Z2060" s="199">
        <v>2.8683619604009204E-2</v>
      </c>
      <c r="AA2060" s="201">
        <v>2.8654665152512138E-2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53596</v>
      </c>
      <c r="Y2061" s="198">
        <f>_xll.qlInterestRateIndexValueDate(IborIndex,X2061,Trigger)</f>
        <v>53598</v>
      </c>
      <c r="Z2061" s="199">
        <v>2.8682049737945355E-2</v>
      </c>
      <c r="AA2061" s="201">
        <v>2.8651318206112109E-2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53603</v>
      </c>
      <c r="Y2062" s="198">
        <f>_xll.qlInterestRateIndexValueDate(IborIndex,X2062,Trigger)</f>
        <v>53605</v>
      </c>
      <c r="Z2062" s="199">
        <v>2.8676870737869717E-2</v>
      </c>
      <c r="AA2062" s="201">
        <v>2.8647961874259664E-2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53610</v>
      </c>
      <c r="Y2063" s="198">
        <f>_xll.qlInterestRateIndexValueDate(IborIndex,X2063,Trigger)</f>
        <v>53612</v>
      </c>
      <c r="Z2063" s="199">
        <v>2.8674380264724908E-2</v>
      </c>
      <c r="AA2063" s="201">
        <v>2.8644596157034741E-2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53617</v>
      </c>
      <c r="Y2064" s="198">
        <f>_xll.qlInterestRateIndexValueDate(IborIndex,X2064,Trigger)</f>
        <v>53619</v>
      </c>
      <c r="Z2064" s="199">
        <v>2.8670084244053772E-2</v>
      </c>
      <c r="AA2064" s="201">
        <v>2.8641221054357402E-2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53624</v>
      </c>
      <c r="Y2065" s="198">
        <f>_xll.qlInterestRateIndexValueDate(IborIndex,X2065,Trigger)</f>
        <v>53626</v>
      </c>
      <c r="Z2065" s="199">
        <v>2.8666676886787756E-2</v>
      </c>
      <c r="AA2065" s="201">
        <v>2.8637836566147712E-2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53631</v>
      </c>
      <c r="Y2066" s="198">
        <f>_xll.qlInterestRateIndexValueDate(IborIndex,X2066,Trigger)</f>
        <v>53633</v>
      </c>
      <c r="Z2066" s="199">
        <v>2.8663260122630988E-2</v>
      </c>
      <c r="AA2066" s="201">
        <v>2.8634442692565543E-2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53638</v>
      </c>
      <c r="Y2067" s="198">
        <f>_xll.qlInterestRateIndexValueDate(IborIndex,X2067,Trigger)</f>
        <v>53640</v>
      </c>
      <c r="Z2067" s="199">
        <v>2.8659833951580893E-2</v>
      </c>
      <c r="AA2067" s="201">
        <v>2.8631039433610894E-2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53645</v>
      </c>
      <c r="Y2068" s="198">
        <f>_xll.qlInterestRateIndexValueDate(IborIndex,X2068,Trigger)</f>
        <v>53647</v>
      </c>
      <c r="Z2068" s="199">
        <v>2.8656398373658097E-2</v>
      </c>
      <c r="AA2068" s="201">
        <v>2.8627626789043958E-2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53652</v>
      </c>
      <c r="Y2069" s="198">
        <f>_xll.qlInterestRateIndexValueDate(IborIndex,X2069,Trigger)</f>
        <v>53654</v>
      </c>
      <c r="Z2069" s="199">
        <v>2.8652953388862604E-2</v>
      </c>
      <c r="AA2069" s="201">
        <v>2.8624204759184479E-2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53659</v>
      </c>
      <c r="Y2070" s="198">
        <f>_xll.qlInterestRateIndexValueDate(IborIndex,X2070,Trigger)</f>
        <v>53661</v>
      </c>
      <c r="Z2070" s="199">
        <v>2.8649498997207298E-2</v>
      </c>
      <c r="AA2070" s="201">
        <v>2.8620773343792649E-2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53666</v>
      </c>
      <c r="Y2071" s="198">
        <f>_xll.qlInterestRateIndexValueDate(IborIndex,X2071,Trigger)</f>
        <v>53668</v>
      </c>
      <c r="Z2071" s="199">
        <v>2.8646035198702503E-2</v>
      </c>
      <c r="AA2071" s="201">
        <v>2.8617332542948404E-2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53673</v>
      </c>
      <c r="Y2072" s="198">
        <f>_xll.qlInterestRateIndexValueDate(IborIndex,X2072,Trigger)</f>
        <v>53675</v>
      </c>
      <c r="Z2072" s="199">
        <v>2.8642561993350794E-2</v>
      </c>
      <c r="AA2072" s="201">
        <v>2.8613882356731679E-2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53680</v>
      </c>
      <c r="Y2073" s="198">
        <f>_xll.qlInterestRateIndexValueDate(IborIndex,X2073,Trigger)</f>
        <v>53682</v>
      </c>
      <c r="Z2073" s="199">
        <v>2.8639967996542393E-2</v>
      </c>
      <c r="AA2073" s="201">
        <v>2.8609432612158869E-2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53688</v>
      </c>
      <c r="Y2074" s="198">
        <f>_xll.qlInterestRateIndexValueDate(IborIndex,X2074,Trigger)</f>
        <v>53692</v>
      </c>
      <c r="Z2074" s="199">
        <v>2.8634087902930452E-2</v>
      </c>
      <c r="AA2074" s="201">
        <v>2.860596097350232E-2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53695</v>
      </c>
      <c r="Y2075" s="198">
        <f>_xll.qlInterestRateIndexValueDate(IborIndex,X2075,Trigger)</f>
        <v>53699</v>
      </c>
      <c r="Z2075" s="199">
        <v>2.8630582445602168E-2</v>
      </c>
      <c r="AA2075" s="201">
        <v>2.8602977813063646E-2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53702</v>
      </c>
      <c r="Y2076" s="198">
        <f>_xll.qlInterestRateIndexValueDate(IborIndex,X2076,Trigger)</f>
        <v>53706</v>
      </c>
      <c r="Z2076" s="199">
        <v>2.8627067581470808E-2</v>
      </c>
      <c r="AA2076" s="201">
        <v>2.8599488744349699E-2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53709</v>
      </c>
      <c r="Y2077" s="198">
        <f>_xll.qlInterestRateIndexValueDate(IborIndex,X2077,Trigger)</f>
        <v>53714</v>
      </c>
      <c r="Z2077" s="199">
        <v>2.8623039075361463E-2</v>
      </c>
      <c r="AA2077" s="201">
        <v>2.8595489744818181E-2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53716</v>
      </c>
      <c r="Y2078" s="198">
        <f>_xll.qlInterestRateIndexValueDate(IborIndex,X2078,Trigger)</f>
        <v>53720</v>
      </c>
      <c r="Z2078" s="199">
        <v>2.8620009632816898E-2</v>
      </c>
      <c r="AA2078" s="201">
        <v>2.8592482450404688E-2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53723</v>
      </c>
      <c r="Y2079" s="198">
        <f>_xll.qlInterestRateIndexValueDate(IborIndex,X2079,Trigger)</f>
        <v>53727</v>
      </c>
      <c r="Z2079" s="199">
        <v>2.8613818784872472E-2</v>
      </c>
      <c r="AA2079" s="201">
        <v>2.8588965225333496E-2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53730</v>
      </c>
      <c r="Y2080" s="198">
        <f>_xll.qlInterestRateIndexValueDate(IborIndex,X2080,Trigger)</f>
        <v>53734</v>
      </c>
      <c r="Z2080" s="199">
        <v>2.8610269154842563E-2</v>
      </c>
      <c r="AA2080" s="201">
        <v>2.8585438614809888E-2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53737</v>
      </c>
      <c r="Y2081" s="198">
        <f>_xll.qlInterestRateIndexValueDate(IborIndex,X2081,Trigger)</f>
        <v>53742</v>
      </c>
      <c r="Z2081" s="199">
        <v>2.8606200918937268E-2</v>
      </c>
      <c r="AA2081" s="201">
        <v>2.8581396710318785E-2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53744</v>
      </c>
      <c r="Y2082" s="198">
        <f>_xll.qlInterestRateIndexValueDate(IborIndex,X2082,Trigger)</f>
        <v>53748</v>
      </c>
      <c r="Z2082" s="199">
        <v>2.8603141680902944E-2</v>
      </c>
      <c r="AA2082" s="201">
        <v>2.8578357237405427E-2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53751</v>
      </c>
      <c r="Y2083" s="198">
        <f>_xll.qlInterestRateIndexValueDate(IborIndex,X2083,Trigger)</f>
        <v>53755</v>
      </c>
      <c r="Z2083" s="199">
        <v>2.8602200142660735E-2</v>
      </c>
      <c r="AA2083" s="201">
        <v>2.857480247060451E-2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53758</v>
      </c>
      <c r="Y2084" s="198">
        <f>_xll.qlInterestRateIndexValueDate(IborIndex,X2084,Trigger)</f>
        <v>53762</v>
      </c>
      <c r="Z2084" s="199">
        <v>2.8598610024380654E-2</v>
      </c>
      <c r="AA2084" s="201">
        <v>2.8571238318271241E-2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53765</v>
      </c>
      <c r="Y2085" s="198">
        <f>_xll.qlInterestRateIndexValueDate(IborIndex,X2085,Trigger)</f>
        <v>53769</v>
      </c>
      <c r="Z2085" s="199">
        <v>2.8595010499372273E-2</v>
      </c>
      <c r="AA2085" s="201">
        <v>2.8567664780485558E-2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53772</v>
      </c>
      <c r="Y2086" s="198">
        <f>_xll.qlInterestRateIndexValueDate(IborIndex,X2086,Trigger)</f>
        <v>53776</v>
      </c>
      <c r="Z2086" s="199">
        <v>2.8591401567643327E-2</v>
      </c>
      <c r="AA2086" s="201">
        <v>2.8564081857407331E-2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53779</v>
      </c>
      <c r="Y2087" s="198">
        <f>_xll.qlInterestRateIndexValueDate(IborIndex,X2087,Trigger)</f>
        <v>53783</v>
      </c>
      <c r="Z2087" s="199">
        <v>2.8586908336394323E-2</v>
      </c>
      <c r="AA2087" s="201">
        <v>2.8560489548716816E-2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53786</v>
      </c>
      <c r="Y2088" s="198">
        <f>_xll.qlInterestRateIndexValueDate(IborIndex,X2088,Trigger)</f>
        <v>53790</v>
      </c>
      <c r="Z2088" s="199">
        <v>2.8583281550799811E-2</v>
      </c>
      <c r="AA2088" s="201">
        <v>2.8556887854653823E-2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53793</v>
      </c>
      <c r="Y2089" s="198">
        <f>_xll.qlInterestRateIndexValueDate(IborIndex,X2089,Trigger)</f>
        <v>53799</v>
      </c>
      <c r="Z2089" s="199">
        <v>2.8578604719717404E-2</v>
      </c>
      <c r="AA2089" s="201">
        <v>2.8553990740078916E-2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53800</v>
      </c>
      <c r="Y2090" s="198">
        <f>_xll.qlInterestRateIndexValueDate(IborIndex,X2090,Trigger)</f>
        <v>53804</v>
      </c>
      <c r="Z2090" s="199">
        <v>2.8575999761670801E-2</v>
      </c>
      <c r="AA2090" s="201">
        <v>2.8549656310330462E-2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53807</v>
      </c>
      <c r="Y2091" s="198">
        <f>_xll.qlInterestRateIndexValueDate(IborIndex,X2091,Trigger)</f>
        <v>53811</v>
      </c>
      <c r="Z2091" s="199">
        <v>2.8572344758146961E-2</v>
      </c>
      <c r="AA2091" s="201">
        <v>2.8546026459910223E-2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53814</v>
      </c>
      <c r="Y2092" s="198">
        <f>_xll.qlInterestRateIndexValueDate(IborIndex,X2092,Trigger)</f>
        <v>53819</v>
      </c>
      <c r="Z2092" s="199">
        <v>2.8569026044173135E-2</v>
      </c>
      <c r="AA2092" s="201">
        <v>2.8541866567159957E-2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53821</v>
      </c>
      <c r="Y2093" s="198">
        <f>_xll.qlInterestRateIndexValueDate(IborIndex,X2093,Trigger)</f>
        <v>53825</v>
      </c>
      <c r="Z2093" s="199">
        <v>2.8565875658089518E-2</v>
      </c>
      <c r="AA2093" s="201">
        <v>2.8538738602952307E-2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53828</v>
      </c>
      <c r="Y2094" s="198">
        <f>_xll.qlInterestRateIndexValueDate(IborIndex,X2094,Trigger)</f>
        <v>53832</v>
      </c>
      <c r="Z2094" s="199">
        <v>2.8562191472908071E-2</v>
      </c>
      <c r="AA2094" s="201">
        <v>2.8535080596254758E-2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53835</v>
      </c>
      <c r="Y2095" s="198">
        <f>_xll.qlInterestRateIndexValueDate(IborIndex,X2095,Trigger)</f>
        <v>53840</v>
      </c>
      <c r="Z2095" s="199">
        <v>2.8557969457226492E-2</v>
      </c>
      <c r="AA2095" s="201">
        <v>2.8530888524764819E-2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53842</v>
      </c>
      <c r="Y2096" s="198">
        <f>_xll.qlInterestRateIndexValueDate(IborIndex,X2096,Trigger)</f>
        <v>53846</v>
      </c>
      <c r="Z2096" s="199">
        <v>2.8553928651304794E-2</v>
      </c>
      <c r="AA2096" s="201">
        <v>2.8527736426662287E-2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53849</v>
      </c>
      <c r="Y2097" s="198">
        <f>_xll.qlInterestRateIndexValueDate(IborIndex,X2097,Trigger)</f>
        <v>53853</v>
      </c>
      <c r="Z2097" s="199">
        <v>2.8550217212154116E-2</v>
      </c>
      <c r="AA2097" s="201">
        <v>2.8524050263687428E-2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53856</v>
      </c>
      <c r="Y2098" s="198">
        <f>_xll.qlInterestRateIndexValueDate(IborIndex,X2098,Trigger)</f>
        <v>53860</v>
      </c>
      <c r="Z2098" s="199">
        <v>2.8546496367087393E-2</v>
      </c>
      <c r="AA2098" s="201">
        <v>2.8520354715260154E-2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53863</v>
      </c>
      <c r="Y2099" s="198">
        <f>_xll.qlInterestRateIndexValueDate(IborIndex,X2099,Trigger)</f>
        <v>53867</v>
      </c>
      <c r="Z2099" s="199">
        <v>2.8542766116128604E-2</v>
      </c>
      <c r="AA2099" s="201">
        <v>2.8516649781540337E-2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53870</v>
      </c>
      <c r="Y2100" s="198">
        <f>_xll.qlInterestRateIndexValueDate(IborIndex,X2100,Trigger)</f>
        <v>53874</v>
      </c>
      <c r="Z2100" s="199">
        <v>2.8539888822683383E-2</v>
      </c>
      <c r="AA2100" s="201">
        <v>2.8512935462208233E-2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53877</v>
      </c>
      <c r="Y2101" s="198">
        <f>_xll.qlInterestRateIndexValueDate(IborIndex,X2101,Trigger)</f>
        <v>53881</v>
      </c>
      <c r="Z2101" s="199">
        <v>2.8536138791205777E-2</v>
      </c>
      <c r="AA2101" s="201">
        <v>2.850921175750365E-2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53884</v>
      </c>
      <c r="Y2102" s="198">
        <f>_xll.qlInterestRateIndexValueDate(IborIndex,X2102,Trigger)</f>
        <v>53888</v>
      </c>
      <c r="Z2102" s="199">
        <v>2.8532379353149433E-2</v>
      </c>
      <c r="AA2102" s="201">
        <v>2.8505478667426587E-2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53891</v>
      </c>
      <c r="Y2103" s="198">
        <f>_xll.qlInterestRateIndexValueDate(IborIndex,X2103,Trigger)</f>
        <v>53895</v>
      </c>
      <c r="Z2103" s="199">
        <v>2.8528610508524659E-2</v>
      </c>
      <c r="AA2103" s="201">
        <v>2.8501736191897109E-2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53898</v>
      </c>
      <c r="Y2104" s="198">
        <f>_xll.qlInterestRateIndexValueDate(IborIndex,X2104,Trigger)</f>
        <v>53902</v>
      </c>
      <c r="Z2104" s="199">
        <v>2.8524832257339195E-2</v>
      </c>
      <c r="AA2104" s="201">
        <v>2.8497984330755344E-2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53905</v>
      </c>
      <c r="Y2105" s="198">
        <f>_xll.qlInterestRateIndexValueDate(IborIndex,X2105,Trigger)</f>
        <v>53909</v>
      </c>
      <c r="Z2105" s="199">
        <v>2.8521044599603355E-2</v>
      </c>
      <c r="AA2105" s="201">
        <v>2.8494223084321035E-2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53912</v>
      </c>
      <c r="Y2106" s="198">
        <f>_xll.qlInterestRateIndexValueDate(IborIndex,X2106,Trigger)</f>
        <v>53916</v>
      </c>
      <c r="Z2106" s="199">
        <v>2.8517247535324874E-2</v>
      </c>
      <c r="AA2106" s="201">
        <v>2.8490452452594184E-2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53919</v>
      </c>
      <c r="Y2107" s="198">
        <f>_xll.qlInterestRateIndexValueDate(IborIndex,X2107,Trigger)</f>
        <v>53923</v>
      </c>
      <c r="Z2107" s="199">
        <v>2.8513441064516643E-2</v>
      </c>
      <c r="AA2107" s="201">
        <v>2.8486672435255045E-2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53926</v>
      </c>
      <c r="Y2108" s="198">
        <f>_xll.qlInterestRateIndexValueDate(IborIndex,X2108,Trigger)</f>
        <v>53931</v>
      </c>
      <c r="Z2108" s="199">
        <v>2.8509079293971895E-2</v>
      </c>
      <c r="AA2108" s="201">
        <v>2.8482340923146054E-2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53933</v>
      </c>
      <c r="Y2109" s="198">
        <f>_xll.qlInterestRateIndexValueDate(IborIndex,X2109,Trigger)</f>
        <v>53938</v>
      </c>
      <c r="Z2109" s="199">
        <v>2.850439918625014E-2</v>
      </c>
      <c r="AA2109" s="201">
        <v>2.8478540794134588E-2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53940</v>
      </c>
      <c r="Y2110" s="198">
        <f>_xll.qlInterestRateIndexValueDate(IborIndex,X2110,Trigger)</f>
        <v>53944</v>
      </c>
      <c r="Z2110" s="199">
        <v>2.8501112568720011E-2</v>
      </c>
      <c r="AA2110" s="201">
        <v>2.8475276070842881E-2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53947</v>
      </c>
      <c r="Y2111" s="198">
        <f>_xll.qlInterestRateIndexValueDate(IborIndex,X2111,Trigger)</f>
        <v>53951</v>
      </c>
      <c r="Z2111" s="199">
        <v>2.8497269447661289E-2</v>
      </c>
      <c r="AA2111" s="201">
        <v>2.8471458511853953E-2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53954</v>
      </c>
      <c r="Y2112" s="198">
        <f>_xll.qlInterestRateIndexValueDate(IborIndex,X2112,Trigger)</f>
        <v>53958</v>
      </c>
      <c r="Z2112" s="199">
        <v>2.8493416920809089E-2</v>
      </c>
      <c r="AA2112" s="201">
        <v>2.8467631567332674E-2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53961</v>
      </c>
      <c r="Y2113" s="198">
        <f>_xll.qlInterestRateIndexValueDate(IborIndex,X2113,Trigger)</f>
        <v>53965</v>
      </c>
      <c r="Z2113" s="199">
        <v>2.8490404703001519E-2</v>
      </c>
      <c r="AA2113" s="201">
        <v>2.8463795237518852E-2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53968</v>
      </c>
      <c r="Y2114" s="198">
        <f>_xll.qlInterestRateIndexValueDate(IborIndex,X2114,Trigger)</f>
        <v>53972</v>
      </c>
      <c r="Z2114" s="199">
        <v>2.8486532386727433E-2</v>
      </c>
      <c r="AA2114" s="201">
        <v>2.8459949522252614E-2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53975</v>
      </c>
      <c r="Y2115" s="198">
        <f>_xll.qlInterestRateIndexValueDate(IborIndex,X2115,Trigger)</f>
        <v>53980</v>
      </c>
      <c r="Z2115" s="199">
        <v>2.848209536430054E-2</v>
      </c>
      <c r="AA2115" s="201">
        <v>2.8455542926684174E-2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53982</v>
      </c>
      <c r="Y2116" s="198">
        <f>_xll.qlInterestRateIndexValueDate(IborIndex,X2116,Trigger)</f>
        <v>53986</v>
      </c>
      <c r="Z2116" s="199">
        <v>2.847875953481693E-2</v>
      </c>
      <c r="AA2116" s="201">
        <v>2.8452229935282958E-2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53989</v>
      </c>
      <c r="Y2117" s="198">
        <f>_xll.qlInterestRateIndexValueDate(IborIndex,X2117,Trigger)</f>
        <v>53993</v>
      </c>
      <c r="Z2117" s="199">
        <v>2.8475704749383046E-2</v>
      </c>
      <c r="AA2117" s="201">
        <v>2.8448356063739411E-2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53996</v>
      </c>
      <c r="Y2118" s="198">
        <f>_xll.qlInterestRateIndexValueDate(IborIndex,X2118,Trigger)</f>
        <v>54000</v>
      </c>
      <c r="Z2118" s="199">
        <v>2.8470104238773608E-2</v>
      </c>
      <c r="AA2118" s="201">
        <v>2.8444472806743448E-2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54003</v>
      </c>
      <c r="Y2119" s="198">
        <f>_xll.qlInterestRateIndexValueDate(IborIndex,X2119,Trigger)</f>
        <v>54008</v>
      </c>
      <c r="Z2119" s="199">
        <v>2.8465625337150691E-2</v>
      </c>
      <c r="AA2119" s="201">
        <v>2.8440023306375295E-2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54010</v>
      </c>
      <c r="Y2120" s="198">
        <f>_xll.qlInterestRateIndexValueDate(IborIndex,X2120,Trigger)</f>
        <v>54014</v>
      </c>
      <c r="Z2120" s="199">
        <v>2.8462258098899795E-2</v>
      </c>
      <c r="AA2120" s="201">
        <v>2.8436678136474214E-2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54017</v>
      </c>
      <c r="Y2121" s="198">
        <f>_xll.qlInterestRateIndexValueDate(IborIndex,X2121,Trigger)</f>
        <v>54021</v>
      </c>
      <c r="Z2121" s="199">
        <v>2.8460004615252776E-2</v>
      </c>
      <c r="AA2121" s="201">
        <v>2.8432766723121006E-2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54024</v>
      </c>
      <c r="Y2122" s="198">
        <f>_xll.qlInterestRateIndexValueDate(IborIndex,X2122,Trigger)</f>
        <v>54028</v>
      </c>
      <c r="Z2122" s="199">
        <v>2.8455215224841738E-2</v>
      </c>
      <c r="AA2122" s="201">
        <v>2.8428845924315382E-2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54031</v>
      </c>
      <c r="Y2123" s="198">
        <f>_xll.qlInterestRateIndexValueDate(IborIndex,X2123,Trigger)</f>
        <v>54035</v>
      </c>
      <c r="Z2123" s="199">
        <v>2.8451258250787512E-2</v>
      </c>
      <c r="AA2123" s="201">
        <v>2.8424915740217216E-2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54038</v>
      </c>
      <c r="Y2124" s="198">
        <f>_xll.qlInterestRateIndexValueDate(IborIndex,X2124,Trigger)</f>
        <v>54042</v>
      </c>
      <c r="Z2124" s="199">
        <v>2.8447291870360832E-2</v>
      </c>
      <c r="AA2124" s="201">
        <v>2.8420976170666634E-2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54045</v>
      </c>
      <c r="Y2125" s="198">
        <f>_xll.qlInterestRateIndexValueDate(IborIndex,X2125,Trigger)</f>
        <v>54049</v>
      </c>
      <c r="Z2125" s="199">
        <v>2.8443316083572007E-2</v>
      </c>
      <c r="AA2125" s="201">
        <v>2.841757479258078E-2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54053</v>
      </c>
      <c r="Y2126" s="198">
        <f>_xll.qlInterestRateIndexValueDate(IborIndex,X2126,Trigger)</f>
        <v>54057</v>
      </c>
      <c r="Z2126" s="199">
        <v>2.8438760809259413E-2</v>
      </c>
      <c r="AA2126" s="201">
        <v>2.8413611804376515E-2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54060</v>
      </c>
      <c r="Y2127" s="198">
        <f>_xll.qlInterestRateIndexValueDate(IborIndex,X2127,Trigger)</f>
        <v>54064</v>
      </c>
      <c r="Z2127" s="199">
        <v>2.8434764866010862E-2</v>
      </c>
      <c r="AA2127" s="201">
        <v>2.8408533565240646E-2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54067</v>
      </c>
      <c r="Y2128" s="198">
        <f>_xll.qlInterestRateIndexValueDate(IborIndex,X2128,Trigger)</f>
        <v>54071</v>
      </c>
      <c r="Z2128" s="199">
        <v>2.8430759516431117E-2</v>
      </c>
      <c r="AA2128" s="201">
        <v>2.8404555113112906E-2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54074</v>
      </c>
      <c r="Y2129" s="198">
        <f>_xll.qlInterestRateIndexValueDate(IborIndex,X2129,Trigger)</f>
        <v>54078</v>
      </c>
      <c r="Z2129" s="199">
        <v>2.8426744760530486E-2</v>
      </c>
      <c r="AA2129" s="201">
        <v>2.8400567275772559E-2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54081</v>
      </c>
      <c r="Y2130" s="198">
        <f>_xll.qlInterestRateIndexValueDate(IborIndex,X2130,Trigger)</f>
        <v>54085</v>
      </c>
      <c r="Z2130" s="199">
        <v>2.8422720598314129E-2</v>
      </c>
      <c r="AA2130" s="201">
        <v>2.8396570052899861E-2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54088</v>
      </c>
      <c r="Y2131" s="198">
        <f>_xll.qlInterestRateIndexValueDate(IborIndex,X2131,Trigger)</f>
        <v>54092</v>
      </c>
      <c r="Z2131" s="199">
        <v>2.841702325041344E-2</v>
      </c>
      <c r="AA2131" s="201">
        <v>2.8392563444494812E-2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54095</v>
      </c>
      <c r="Y2132" s="198">
        <f>_xll.qlInterestRateIndexValueDate(IborIndex,X2132,Trigger)</f>
        <v>54099</v>
      </c>
      <c r="Z2132" s="199">
        <v>2.8412982256592494E-2</v>
      </c>
      <c r="AA2132" s="201">
        <v>2.8388547450797219E-2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54102</v>
      </c>
      <c r="Y2133" s="198">
        <f>_xll.qlInterestRateIndexValueDate(IborIndex,X2133,Trigger)</f>
        <v>54106</v>
      </c>
      <c r="Z2133" s="199">
        <v>2.8408931857883648E-2</v>
      </c>
      <c r="AA2133" s="201">
        <v>2.8384522071647211E-2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54109</v>
      </c>
      <c r="Y2134" s="198">
        <f>_xll.qlInterestRateIndexValueDate(IborIndex,X2134,Trigger)</f>
        <v>54113</v>
      </c>
      <c r="Z2134" s="199">
        <v>2.8404872054286899E-2</v>
      </c>
      <c r="AA2134" s="201">
        <v>2.8380487307044788E-2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54116</v>
      </c>
      <c r="Y2135" s="198">
        <f>_xll.qlInterestRateIndexValueDate(IborIndex,X2135,Trigger)</f>
        <v>54120</v>
      </c>
      <c r="Z2135" s="199">
        <v>2.8405769773355009E-2</v>
      </c>
      <c r="AA2135" s="201">
        <v>2.837644315698995E-2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54123</v>
      </c>
      <c r="Y2136" s="198">
        <f>_xll.qlInterestRateIndexValueDate(IborIndex,X2136,Trigger)</f>
        <v>54127</v>
      </c>
      <c r="Z2136" s="199">
        <v>2.8398378093002014E-2</v>
      </c>
      <c r="AA2136" s="201">
        <v>2.8372389621562633E-2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54130</v>
      </c>
      <c r="Y2137" s="198">
        <f>_xll.qlInterestRateIndexValueDate(IborIndex,X2137,Trigger)</f>
        <v>54134</v>
      </c>
      <c r="Z2137" s="199">
        <v>2.8394288086869529E-2</v>
      </c>
      <c r="AA2137" s="201">
        <v>2.8368326700762836E-2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54137</v>
      </c>
      <c r="Y2138" s="198">
        <f>_xll.qlInterestRateIndexValueDate(IborIndex,X2138,Trigger)</f>
        <v>54141</v>
      </c>
      <c r="Z2138" s="199">
        <v>2.8390188674506413E-2</v>
      </c>
      <c r="AA2138" s="201">
        <v>2.8364254394350752E-2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54144</v>
      </c>
      <c r="Y2139" s="198">
        <f>_xll.qlInterestRateIndexValueDate(IborIndex,X2139,Trigger)</f>
        <v>54148</v>
      </c>
      <c r="Z2139" s="199">
        <v>2.8385255935451603E-2</v>
      </c>
      <c r="AA2139" s="201">
        <v>2.8363472903590647E-2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54155</v>
      </c>
      <c r="Y2140" s="198">
        <f>_xll.qlInterestRateIndexValueDate(IborIndex,X2140,Trigger)</f>
        <v>54157</v>
      </c>
      <c r="Z2140" s="199">
        <v>2.8381605855618552E-2</v>
      </c>
      <c r="AA2140" s="201">
        <v>2.8353739653352861E-2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54162</v>
      </c>
      <c r="Y2141" s="198">
        <f>_xll.qlInterestRateIndexValueDate(IborIndex,X2141,Trigger)</f>
        <v>54164</v>
      </c>
      <c r="Z2141" s="199">
        <v>2.837747453999645E-2</v>
      </c>
      <c r="AA2141" s="201">
        <v>2.8349633827673415E-2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54169</v>
      </c>
      <c r="Y2142" s="198">
        <f>_xll.qlInterestRateIndexValueDate(IborIndex,X2142,Trigger)</f>
        <v>54171</v>
      </c>
      <c r="Z2142" s="199">
        <v>2.8374154358321784E-2</v>
      </c>
      <c r="AA2142" s="201">
        <v>2.8345518616701426E-2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54176</v>
      </c>
      <c r="Y2143" s="198">
        <f>_xll.qlInterestRateIndexValueDate(IborIndex,X2143,Trigger)</f>
        <v>54178</v>
      </c>
      <c r="Z2143" s="199">
        <v>2.8366724748536791E-2</v>
      </c>
      <c r="AA2143" s="201">
        <v>2.8340804026063537E-2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54183</v>
      </c>
      <c r="Y2144" s="198">
        <f>_xll.qlInterestRateIndexValueDate(IborIndex,X2144,Trigger)</f>
        <v>54185</v>
      </c>
      <c r="Z2144" s="199">
        <v>2.8365024151875973E-2</v>
      </c>
      <c r="AA2144" s="201">
        <v>2.8337260038320267E-2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54190</v>
      </c>
      <c r="Y2145" s="198">
        <f>_xll.qlInterestRateIndexValueDate(IborIndex,X2145,Trigger)</f>
        <v>54192</v>
      </c>
      <c r="Z2145" s="199">
        <v>2.8360855208780233E-2</v>
      </c>
      <c r="AA2145" s="201">
        <v>2.8333116671070968E-2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54197</v>
      </c>
      <c r="Y2146" s="198">
        <f>_xll.qlInterestRateIndexValueDate(IborIndex,X2146,Trigger)</f>
        <v>54199</v>
      </c>
      <c r="Z2146" s="199">
        <v>2.835667685884169E-2</v>
      </c>
      <c r="AA2146" s="201">
        <v>2.832836990161347E-2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54204</v>
      </c>
      <c r="Y2147" s="198">
        <f>_xll.qlInterestRateIndexValueDate(IborIndex,X2147,Trigger)</f>
        <v>54206</v>
      </c>
      <c r="Z2147" s="199">
        <v>2.8352489102075329E-2</v>
      </c>
      <c r="AA2147" s="201">
        <v>2.8324801780135189E-2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54211</v>
      </c>
      <c r="Y2148" s="198">
        <f>_xll.qlInterestRateIndexValueDate(IborIndex,X2148,Trigger)</f>
        <v>54213</v>
      </c>
      <c r="Z2148" s="199">
        <v>2.8348291938491144E-2</v>
      </c>
      <c r="AA2148" s="201">
        <v>2.8320630256448709E-2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54218</v>
      </c>
      <c r="Y2149" s="198">
        <f>_xll.qlInterestRateIndexValueDate(IborIndex,X2149,Trigger)</f>
        <v>54220</v>
      </c>
      <c r="Z2149" s="199">
        <v>2.8344085368089134E-2</v>
      </c>
      <c r="AA2149" s="201">
        <v>2.8316449347549622E-2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54225</v>
      </c>
      <c r="Y2150" s="198">
        <f>_xll.qlInterestRateIndexValueDate(IborIndex,X2150,Trigger)</f>
        <v>54227</v>
      </c>
      <c r="Z2150" s="199">
        <v>2.8339869390886785E-2</v>
      </c>
      <c r="AA2150" s="201">
        <v>2.8312259053118183E-2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54232</v>
      </c>
      <c r="Y2151" s="198">
        <f>_xll.qlInterestRateIndexValueDate(IborIndex,X2151,Trigger)</f>
        <v>54234</v>
      </c>
      <c r="Z2151" s="199">
        <v>2.8335644006901584E-2</v>
      </c>
      <c r="AA2151" s="201">
        <v>2.8308059373314265E-2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54239</v>
      </c>
      <c r="Y2152" s="198">
        <f>_xll.qlInterestRateIndexValueDate(IborIndex,X2152,Trigger)</f>
        <v>54241</v>
      </c>
      <c r="Z2152" s="199">
        <v>2.833140921613353E-2</v>
      </c>
      <c r="AA2152" s="201">
        <v>2.8303850307977996E-2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54246</v>
      </c>
      <c r="Y2153" s="198">
        <f>_xll.qlInterestRateIndexValueDate(IborIndex,X2153,Trigger)</f>
        <v>54248</v>
      </c>
      <c r="Z2153" s="199">
        <v>2.8327165018592615E-2</v>
      </c>
      <c r="AA2153" s="201">
        <v>2.8299631857349183E-2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54253</v>
      </c>
      <c r="Y2154" s="198">
        <f>_xll.qlInterestRateIndexValueDate(IborIndex,X2154,Trigger)</f>
        <v>54255</v>
      </c>
      <c r="Z2154" s="199">
        <v>2.8322911414298824E-2</v>
      </c>
      <c r="AA2154" s="201">
        <v>2.8295404021347892E-2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54260</v>
      </c>
      <c r="Y2155" s="198">
        <f>_xll.qlInterestRateIndexValueDate(IborIndex,X2155,Trigger)</f>
        <v>54262</v>
      </c>
      <c r="Z2155" s="199">
        <v>2.8318648403257152E-2</v>
      </c>
      <c r="AA2155" s="201">
        <v>2.8291166799734313E-2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54267</v>
      </c>
      <c r="Y2156" s="198">
        <f>_xll.qlInterestRateIndexValueDate(IborIndex,X2156,Trigger)</f>
        <v>54269</v>
      </c>
      <c r="Z2156" s="199">
        <v>2.831195617153354E-2</v>
      </c>
      <c r="AA2156" s="201">
        <v>2.8286920192908127E-2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54274</v>
      </c>
      <c r="Y2157" s="198">
        <f>_xll.qlInterestRateIndexValueDate(IborIndex,X2157,Trigger)</f>
        <v>54276</v>
      </c>
      <c r="Z2157" s="199">
        <v>2.8310899649757398E-2</v>
      </c>
      <c r="AA2157" s="201">
        <v>2.8282664200629526E-2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54281</v>
      </c>
      <c r="Y2158" s="198">
        <f>_xll.qlInterestRateIndexValueDate(IborIndex,X2158,Trigger)</f>
        <v>54283</v>
      </c>
      <c r="Z2158" s="199">
        <v>2.8305802929754764E-2</v>
      </c>
      <c r="AA2158" s="201">
        <v>2.8278398822738637E-2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54288</v>
      </c>
      <c r="Y2159" s="198">
        <f>_xll.qlInterestRateIndexValueDate(IborIndex,X2159,Trigger)</f>
        <v>54290</v>
      </c>
      <c r="Z2159" s="199">
        <v>2.8301502291828984E-2</v>
      </c>
      <c r="AA2159" s="201">
        <v>2.8274124059635142E-2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54295</v>
      </c>
      <c r="Y2160" s="198">
        <f>_xll.qlInterestRateIndexValueDate(IborIndex,X2160,Trigger)</f>
        <v>54297</v>
      </c>
      <c r="Z2160" s="199">
        <v>2.8297192247210279E-2</v>
      </c>
      <c r="AA2160" s="201">
        <v>2.8269227123658425E-2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54302</v>
      </c>
      <c r="Y2161" s="198">
        <f>_xll.qlInterestRateIndexValueDate(IborIndex,X2161,Trigger)</f>
        <v>54304</v>
      </c>
      <c r="Z2161" s="199">
        <v>2.8292872795908641E-2</v>
      </c>
      <c r="AA2161" s="201">
        <v>2.8265546377150841E-2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54309</v>
      </c>
      <c r="Y2162" s="198">
        <f>_xll.qlInterestRateIndexValueDate(IborIndex,X2162,Trigger)</f>
        <v>54311</v>
      </c>
      <c r="Z2162" s="199">
        <v>2.8289344374955956E-2</v>
      </c>
      <c r="AA2162" s="201">
        <v>2.8261243457690099E-2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54316</v>
      </c>
      <c r="Y2163" s="198">
        <f>_xll.qlInterestRateIndexValueDate(IborIndex,X2163,Trigger)</f>
        <v>54318</v>
      </c>
      <c r="Z2163" s="199">
        <v>2.8284205673301532E-2</v>
      </c>
      <c r="AA2163" s="201">
        <v>2.8256931152856879E-2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54323</v>
      </c>
      <c r="Y2164" s="198">
        <f>_xll.qlInterestRateIndexValueDate(IborIndex,X2164,Trigger)</f>
        <v>54325</v>
      </c>
      <c r="Z2164" s="199">
        <v>2.8279858002016045E-2</v>
      </c>
      <c r="AA2164" s="201">
        <v>2.8252609462651179E-2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54330</v>
      </c>
      <c r="Y2165" s="198">
        <f>_xll.qlInterestRateIndexValueDate(IborIndex,X2165,Trigger)</f>
        <v>54332</v>
      </c>
      <c r="Z2165" s="199">
        <v>2.8275500924095087E-2</v>
      </c>
      <c r="AA2165" s="201">
        <v>2.8248278387073E-2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54337</v>
      </c>
      <c r="Y2166" s="198">
        <f>_xll.qlInterestRateIndexValueDate(IborIndex,X2166,Trigger)</f>
        <v>54339</v>
      </c>
      <c r="Z2166" s="199">
        <v>2.8271134439541157E-2</v>
      </c>
      <c r="AA2166" s="201">
        <v>2.8243937925882534E-2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54344</v>
      </c>
      <c r="Y2167" s="198">
        <f>_xll.qlInterestRateIndexValueDate(IborIndex,X2167,Trigger)</f>
        <v>54346</v>
      </c>
      <c r="Z2167" s="199">
        <v>2.8266758548369242E-2</v>
      </c>
      <c r="AA2167" s="201">
        <v>2.8239588079559397E-2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54351</v>
      </c>
      <c r="Y2168" s="198">
        <f>_xll.qlInterestRateIndexValueDate(IborIndex,X2168,Trigger)</f>
        <v>54353</v>
      </c>
      <c r="Z2168" s="199">
        <v>2.8262373250591832E-2</v>
      </c>
      <c r="AA2168" s="201">
        <v>2.8235228847623972E-2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54358</v>
      </c>
      <c r="Y2169" s="198">
        <f>_xll.qlInterestRateIndexValueDate(IborIndex,X2169,Trigger)</f>
        <v>54360</v>
      </c>
      <c r="Z2169" s="199">
        <v>2.8257978546221418E-2</v>
      </c>
      <c r="AA2169" s="201">
        <v>2.8230860230236132E-2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54365</v>
      </c>
      <c r="Y2170" s="198">
        <f>_xll.qlInterestRateIndexValueDate(IborIndex,X2170,Trigger)</f>
        <v>54367</v>
      </c>
      <c r="Z2170" s="199">
        <v>2.8253574435265494E-2</v>
      </c>
      <c r="AA2170" s="201">
        <v>2.8226482227635685E-2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54372</v>
      </c>
      <c r="Y2171" s="198">
        <f>_xll.qlInterestRateIndexValueDate(IborIndex,X2171,Trigger)</f>
        <v>54374</v>
      </c>
      <c r="Z2171" s="199">
        <v>2.8249160917729055E-2</v>
      </c>
      <c r="AA2171" s="201">
        <v>2.8222094839662759E-2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54379</v>
      </c>
      <c r="Y2172" s="198">
        <f>_xll.qlInterestRateIndexValueDate(IborIndex,X2172,Trigger)</f>
        <v>54381</v>
      </c>
      <c r="Z2172" s="199">
        <v>2.8244737993637081E-2</v>
      </c>
      <c r="AA2172" s="201">
        <v>2.821769806599761E-2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54386</v>
      </c>
      <c r="Y2173" s="198">
        <f>_xll.qlInterestRateIndexValueDate(IborIndex,X2173,Trigger)</f>
        <v>54389</v>
      </c>
      <c r="Z2173" s="199">
        <v>2.8239671705015956E-2</v>
      </c>
      <c r="AA2173" s="201">
        <v>2.8212661689721585E-2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54393</v>
      </c>
      <c r="Y2174" s="198">
        <f>_xll.qlInterestRateIndexValueDate(IborIndex,X2174,Trigger)</f>
        <v>54395</v>
      </c>
      <c r="Z2174" s="199">
        <v>2.8235863925801519E-2</v>
      </c>
      <c r="AA2174" s="201">
        <v>2.8208876362789681E-2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54400</v>
      </c>
      <c r="Y2175" s="198">
        <f>_xll.qlInterestRateIndexValueDate(IborIndex,X2175,Trigger)</f>
        <v>54402</v>
      </c>
      <c r="Z2175" s="199">
        <v>2.8231412782087906E-2</v>
      </c>
      <c r="AA2175" s="201">
        <v>2.820445143308703E-2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54407</v>
      </c>
      <c r="Y2176" s="198">
        <f>_xll.qlInterestRateIndexValueDate(IborIndex,X2176,Trigger)</f>
        <v>54409</v>
      </c>
      <c r="Z2176" s="199">
        <v>2.8227738432920934E-2</v>
      </c>
      <c r="AA2176" s="201">
        <v>2.8200017117852028E-2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54414</v>
      </c>
      <c r="Y2177" s="198">
        <f>_xll.qlInterestRateIndexValueDate(IborIndex,X2177,Trigger)</f>
        <v>54416</v>
      </c>
      <c r="Z2177" s="199">
        <v>2.822248227511398E-2</v>
      </c>
      <c r="AA2177" s="201">
        <v>2.819430206478124E-2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54421</v>
      </c>
      <c r="Y2178" s="198">
        <f>_xll.qlInterestRateIndexValueDate(IborIndex,X2178,Trigger)</f>
        <v>54423</v>
      </c>
      <c r="Z2178" s="199">
        <v>2.8215650103365027E-2</v>
      </c>
      <c r="AA2178" s="201">
        <v>2.8190483410028833E-2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54428</v>
      </c>
      <c r="Y2179" s="198">
        <f>_xll.qlInterestRateIndexValueDate(IborIndex,X2179,Trigger)</f>
        <v>54430</v>
      </c>
      <c r="Z2179" s="199">
        <v>2.8213514142152729E-2</v>
      </c>
      <c r="AA2179" s="201">
        <v>2.8186657859992081E-2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54435</v>
      </c>
      <c r="Y2180" s="198">
        <f>_xll.qlInterestRateIndexValueDate(IborIndex,X2180,Trigger)</f>
        <v>54437</v>
      </c>
      <c r="Z2180" s="199">
        <v>2.8209798075064671E-2</v>
      </c>
      <c r="AA2180" s="201">
        <v>2.8182186003187226E-2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54442</v>
      </c>
      <c r="Y2181" s="198">
        <f>_xll.qlInterestRateIndexValueDate(IborIndex,X2181,Trigger)</f>
        <v>54444</v>
      </c>
      <c r="Z2181" s="199">
        <v>2.8204508383301574E-2</v>
      </c>
      <c r="AA2181" s="201">
        <v>2.8177704761009892E-2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54449</v>
      </c>
      <c r="Y2182" s="198">
        <f>_xll.qlInterestRateIndexValueDate(IborIndex,X2182,Trigger)</f>
        <v>54451</v>
      </c>
      <c r="Z2182" s="199">
        <v>2.8197650874873918E-2</v>
      </c>
      <c r="AA2182" s="201">
        <v>2.8173214133460078E-2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54456</v>
      </c>
      <c r="Y2183" s="198">
        <f>_xll.qlInterestRateIndexValueDate(IborIndex,X2183,Trigger)</f>
        <v>54458</v>
      </c>
      <c r="Z2183" s="199">
        <v>2.8192348295160867E-2</v>
      </c>
      <c r="AA2183" s="201">
        <v>2.816871412045785E-2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54463</v>
      </c>
      <c r="Y2184" s="198">
        <f>_xll.qlInterestRateIndexValueDate(IborIndex,X2184,Trigger)</f>
        <v>54465</v>
      </c>
      <c r="Z2184" s="199">
        <v>2.8187816598834101E-2</v>
      </c>
      <c r="AA2184" s="201">
        <v>2.8164204721923269E-2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54470</v>
      </c>
      <c r="Y2185" s="198">
        <f>_xll.qlInterestRateIndexValueDate(IborIndex,X2185,Trigger)</f>
        <v>54472</v>
      </c>
      <c r="Z2185" s="199">
        <v>2.8183275498800953E-2</v>
      </c>
      <c r="AA2185" s="201">
        <v>2.8159685938176082E-2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54477</v>
      </c>
      <c r="Y2186" s="198">
        <f>_xll.qlInterestRateIndexValueDate(IborIndex,X2186,Trigger)</f>
        <v>54479</v>
      </c>
      <c r="Z2186" s="199">
        <v>2.8178724995069983E-2</v>
      </c>
      <c r="AA2186" s="201">
        <v>2.8155157769056416E-2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54484</v>
      </c>
      <c r="Y2187" s="198">
        <f>_xll.qlInterestRateIndexValueDate(IborIndex,X2187,Trigger)</f>
        <v>54486</v>
      </c>
      <c r="Z2187" s="199">
        <v>2.8177265352280489E-2</v>
      </c>
      <c r="AA2187" s="201">
        <v>2.8150620214244526E-2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54491</v>
      </c>
      <c r="Y2188" s="198">
        <f>_xll.qlInterestRateIndexValueDate(IborIndex,X2188,Trigger)</f>
        <v>54493</v>
      </c>
      <c r="Z2188" s="199">
        <v>2.8172691924706339E-2</v>
      </c>
      <c r="AA2188" s="201">
        <v>2.8146073274220029E-2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54498</v>
      </c>
      <c r="Y2189" s="198">
        <f>_xll.qlInterestRateIndexValueDate(IborIndex,X2189,Trigger)</f>
        <v>54500</v>
      </c>
      <c r="Z2189" s="199">
        <v>2.8168881953260054E-2</v>
      </c>
      <c r="AA2189" s="201">
        <v>2.8141516948823053E-2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54505</v>
      </c>
      <c r="Y2190" s="198">
        <f>_xll.qlInterestRateIndexValueDate(IborIndex,X2190,Trigger)</f>
        <v>54507</v>
      </c>
      <c r="Z2190" s="199">
        <v>2.8163516850448489E-2</v>
      </c>
      <c r="AA2190" s="201">
        <v>2.8136951238053598E-2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54512</v>
      </c>
      <c r="Y2191" s="198">
        <f>_xll.qlInterestRateIndexValueDate(IborIndex,X2191,Trigger)</f>
        <v>54514</v>
      </c>
      <c r="Z2191" s="199">
        <v>2.8159686004050662E-2</v>
      </c>
      <c r="AA2191" s="201">
        <v>2.8132376141751791E-2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54519</v>
      </c>
      <c r="Y2192" s="198">
        <f>_xll.qlInterestRateIndexValueDate(IborIndex,X2192,Trigger)</f>
        <v>54521</v>
      </c>
      <c r="Z2192" s="199">
        <v>2.8154304150800336E-2</v>
      </c>
      <c r="AA2192" s="201">
        <v>2.8127791660157442E-2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54526</v>
      </c>
      <c r="Y2193" s="198">
        <f>_xll.qlInterestRateIndexValueDate(IborIndex,X2193,Trigger)</f>
        <v>54528</v>
      </c>
      <c r="Z2193" s="199">
        <v>2.8149683691480187E-2</v>
      </c>
      <c r="AA2193" s="201">
        <v>2.8121883535847658E-2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54533</v>
      </c>
      <c r="Y2194" s="198">
        <f>_xll.qlInterestRateIndexValueDate(IborIndex,X2194,Trigger)</f>
        <v>54535</v>
      </c>
      <c r="Z2194" s="199">
        <v>2.8145053825851807E-2</v>
      </c>
      <c r="AA2194" s="201">
        <v>2.8118594540611497E-2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54540</v>
      </c>
      <c r="Y2195" s="198">
        <f>_xll.qlInterestRateIndexValueDate(IborIndex,X2195,Trigger)</f>
        <v>54542</v>
      </c>
      <c r="Z2195" s="199">
        <v>2.8138114199033528E-2</v>
      </c>
      <c r="AA2195" s="201">
        <v>2.8113322188376699E-2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54547</v>
      </c>
      <c r="Y2196" s="198">
        <f>_xll.qlInterestRateIndexValueDate(IborIndex,X2196,Trigger)</f>
        <v>54549</v>
      </c>
      <c r="Z2196" s="199">
        <v>2.8135765875690333E-2</v>
      </c>
      <c r="AA2196" s="201">
        <v>2.8109359879495699E-2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54554</v>
      </c>
      <c r="Y2197" s="198">
        <f>_xll.qlInterestRateIndexValueDate(IborIndex,X2197,Trigger)</f>
        <v>54556</v>
      </c>
      <c r="Z2197" s="199">
        <v>2.8131107791187215E-2</v>
      </c>
      <c r="AA2197" s="201">
        <v>2.8104728470879081E-2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54561</v>
      </c>
      <c r="Y2198" s="198">
        <f>_xll.qlInterestRateIndexValueDate(IborIndex,X2198,Trigger)</f>
        <v>54563</v>
      </c>
      <c r="Z2198" s="199">
        <v>2.8126440300418332E-2</v>
      </c>
      <c r="AA2198" s="201">
        <v>2.8100087676730112E-2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54568</v>
      </c>
      <c r="Y2199" s="198">
        <f>_xll.qlInterestRateIndexValueDate(IborIndex,X2199,Trigger)</f>
        <v>54570</v>
      </c>
      <c r="Z2199" s="199">
        <v>2.8121763403391176E-2</v>
      </c>
      <c r="AA2199" s="201">
        <v>2.8094772419855474E-2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54575</v>
      </c>
      <c r="Y2200" s="198">
        <f>_xll.qlInterestRateIndexValueDate(IborIndex,X2200,Trigger)</f>
        <v>54577</v>
      </c>
      <c r="Z2200" s="199">
        <v>2.8117838586894903E-2</v>
      </c>
      <c r="AA2200" s="201">
        <v>2.8090777932474609E-2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54582</v>
      </c>
      <c r="Y2201" s="198">
        <f>_xll.qlInterestRateIndexValueDate(IborIndex,X2201,Trigger)</f>
        <v>54584</v>
      </c>
      <c r="Z2201" s="199">
        <v>2.8112381390619501E-2</v>
      </c>
      <c r="AA2201" s="201">
        <v>2.8086108982208202E-2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54589</v>
      </c>
      <c r="Y2202" s="198">
        <f>_xll.qlInterestRateIndexValueDate(IborIndex,X2202,Trigger)</f>
        <v>54591</v>
      </c>
      <c r="Z2202" s="199">
        <v>2.8107676274894966E-2</v>
      </c>
      <c r="AA2202" s="201">
        <v>2.808143064648938E-2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54596</v>
      </c>
      <c r="Y2203" s="198">
        <f>_xll.qlInterestRateIndexValueDate(IborIndex,X2203,Trigger)</f>
        <v>54598</v>
      </c>
      <c r="Z2203" s="199">
        <v>2.8102961752962119E-2</v>
      </c>
      <c r="AA2203" s="201">
        <v>2.8076742925557951E-2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54603</v>
      </c>
      <c r="Y2204" s="198">
        <f>_xll.qlInterestRateIndexValueDate(IborIndex,X2204,Trigger)</f>
        <v>54605</v>
      </c>
      <c r="Z2204" s="199">
        <v>2.809823782483345E-2</v>
      </c>
      <c r="AA2204" s="201">
        <v>2.8072045819094171E-2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54610</v>
      </c>
      <c r="Y2205" s="198">
        <f>_xll.qlInterestRateIndexValueDate(IborIndex,X2205,Trigger)</f>
        <v>54612</v>
      </c>
      <c r="Z2205" s="199">
        <v>2.8093504490521448E-2</v>
      </c>
      <c r="AA2205" s="201">
        <v>2.806733932709804E-2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54617</v>
      </c>
      <c r="Y2206" s="198">
        <f>_xll.qlInterestRateIndexValueDate(IborIndex,X2206,Trigger)</f>
        <v>54619</v>
      </c>
      <c r="Z2206" s="199">
        <v>2.8088761750036106E-2</v>
      </c>
      <c r="AA2206" s="201">
        <v>2.8062623449889301E-2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54624</v>
      </c>
      <c r="Y2207" s="198">
        <f>_xll.qlInterestRateIndexValueDate(IborIndex,X2207,Trigger)</f>
        <v>54626</v>
      </c>
      <c r="Z2207" s="199">
        <v>2.8084009603387416E-2</v>
      </c>
      <c r="AA2207" s="201">
        <v>2.8057898187308083E-2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54631</v>
      </c>
      <c r="Y2208" s="198">
        <f>_xll.qlInterestRateIndexValueDate(IborIndex,X2208,Trigger)</f>
        <v>54633</v>
      </c>
      <c r="Z2208" s="199">
        <v>2.8080001213011133E-2</v>
      </c>
      <c r="AA2208" s="201">
        <v>2.805316353927445E-2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54638</v>
      </c>
      <c r="Y2209" s="198">
        <f>_xll.qlInterestRateIndexValueDate(IborIndex,X2209,Trigger)</f>
        <v>54640</v>
      </c>
      <c r="Z2209" s="199">
        <v>2.8075229210516157E-2</v>
      </c>
      <c r="AA2209" s="201">
        <v>2.8048419505708466E-2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54645</v>
      </c>
      <c r="Y2210" s="198">
        <f>_xll.qlInterestRateIndexValueDate(IborIndex,X2210,Trigger)</f>
        <v>54647</v>
      </c>
      <c r="Z2210" s="199">
        <v>2.8069696726596149E-2</v>
      </c>
      <c r="AA2210" s="201">
        <v>2.8043666086929875E-2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54652</v>
      </c>
      <c r="Y2211" s="198">
        <f>_xll.qlInterestRateIndexValueDate(IborIndex,X2211,Trigger)</f>
        <v>54654</v>
      </c>
      <c r="Z2211" s="199">
        <v>2.8064906955418967E-2</v>
      </c>
      <c r="AA2211" s="201">
        <v>2.8038903282698868E-2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54659</v>
      </c>
      <c r="Y2212" s="198">
        <f>_xll.qlInterestRateIndexValueDate(IborIndex,X2212,Trigger)</f>
        <v>54661</v>
      </c>
      <c r="Z2212" s="199">
        <v>2.8060107778145882E-2</v>
      </c>
      <c r="AA2212" s="201">
        <v>2.8033448585524923E-2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54666</v>
      </c>
      <c r="Y2213" s="198">
        <f>_xll.qlInterestRateIndexValueDate(IborIndex,X2213,Trigger)</f>
        <v>54668</v>
      </c>
      <c r="Z2213" s="199">
        <v>2.8055299194781891E-2</v>
      </c>
      <c r="AA2213" s="201">
        <v>2.8029349517959545E-2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54673</v>
      </c>
      <c r="Y2214" s="198">
        <f>_xll.qlInterestRateIndexValueDate(IborIndex,X2214,Trigger)</f>
        <v>54675</v>
      </c>
      <c r="Z2214" s="199">
        <v>2.8051228096387281E-2</v>
      </c>
      <c r="AA2214" s="201">
        <v>2.8024558557611101E-2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54680</v>
      </c>
      <c r="Y2215" s="198">
        <f>_xll.qlInterestRateIndexValueDate(IborIndex,X2215,Trigger)</f>
        <v>54682</v>
      </c>
      <c r="Z2215" s="199">
        <v>2.8045653809828652E-2</v>
      </c>
      <c r="AA2215" s="201">
        <v>2.8019758211730306E-2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54687</v>
      </c>
      <c r="Y2216" s="198">
        <f>_xll.qlInterestRateIndexValueDate(IborIndex,X2216,Trigger)</f>
        <v>54689</v>
      </c>
      <c r="Z2216" s="199">
        <v>2.8040817008269381E-2</v>
      </c>
      <c r="AA2216" s="201">
        <v>2.8014948480477031E-2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54694</v>
      </c>
      <c r="Y2217" s="198">
        <f>_xll.qlInterestRateIndexValueDate(IborIndex,X2217,Trigger)</f>
        <v>54696</v>
      </c>
      <c r="Z2217" s="199">
        <v>2.8033739193266929E-2</v>
      </c>
      <c r="AA2217" s="201">
        <v>2.8010129363851277E-2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54701</v>
      </c>
      <c r="Y2218" s="198">
        <f>_xll.qlInterestRateIndexValueDate(IborIndex,X2218,Trigger)</f>
        <v>54703</v>
      </c>
      <c r="Z2218" s="199">
        <v>2.8031115187030498E-2</v>
      </c>
      <c r="AA2218" s="201">
        <v>2.800530086193298E-2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54708</v>
      </c>
      <c r="Y2219" s="198">
        <f>_xll.qlInterestRateIndexValueDate(IborIndex,X2219,Trigger)</f>
        <v>54710</v>
      </c>
      <c r="Z2219" s="199">
        <v>2.802625016738336E-2</v>
      </c>
      <c r="AA2219" s="201">
        <v>2.8000462974482332E-2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54715</v>
      </c>
      <c r="Y2220" s="198">
        <f>_xll.qlInterestRateIndexValueDate(IborIndex,X2220,Trigger)</f>
        <v>54717</v>
      </c>
      <c r="Z2220" s="199">
        <v>2.802137574172775E-2</v>
      </c>
      <c r="AA2220" s="201">
        <v>2.7995615701659204E-2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54722</v>
      </c>
      <c r="Y2221" s="198">
        <f>_xll.qlInterestRateIndexValueDate(IborIndex,X2221,Trigger)</f>
        <v>54724</v>
      </c>
      <c r="Z2221" s="199">
        <v>2.8016491910078656E-2</v>
      </c>
      <c r="AA2221" s="201">
        <v>2.799075904362347E-2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54729</v>
      </c>
      <c r="Y2222" s="198">
        <f>_xll.qlInterestRateIndexValueDate(IborIndex,X2222,Trigger)</f>
        <v>54731</v>
      </c>
      <c r="Z2222" s="199">
        <v>2.8011598672451066E-2</v>
      </c>
      <c r="AA2222" s="201">
        <v>2.7985892999975448E-2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54736</v>
      </c>
      <c r="Y2223" s="198">
        <f>_xll.qlInterestRateIndexValueDate(IborIndex,X2223,Trigger)</f>
        <v>54739</v>
      </c>
      <c r="Z2223" s="199">
        <v>2.8005257532652171E-2</v>
      </c>
      <c r="AA2223" s="201">
        <v>2.7980320315021956E-2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54743</v>
      </c>
      <c r="Y2224" s="198">
        <f>_xll.qlInterestRateIndexValueDate(IborIndex,X2224,Trigger)</f>
        <v>54745</v>
      </c>
      <c r="Z2224" s="199">
        <v>2.8001783979307859E-2</v>
      </c>
      <c r="AA2224" s="201">
        <v>2.7976132756641903E-2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54750</v>
      </c>
      <c r="Y2225" s="198">
        <f>_xll.qlInterestRateIndexValueDate(IborIndex,X2225,Trigger)</f>
        <v>54753</v>
      </c>
      <c r="Z2225" s="199">
        <v>2.7996893871515223E-2</v>
      </c>
      <c r="AA2225" s="201">
        <v>2.7970538619248586E-2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54757</v>
      </c>
      <c r="Y2226" s="198">
        <f>_xll.qlInterestRateIndexValueDate(IborIndex,X2226,Trigger)</f>
        <v>54759</v>
      </c>
      <c r="Z2226" s="199">
        <v>2.7992665938774346E-2</v>
      </c>
      <c r="AA2226" s="201">
        <v>2.7966334971738505E-2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54764</v>
      </c>
      <c r="Y2227" s="198">
        <f>_xll.qlInterestRateIndexValueDate(IborIndex,X2227,Trigger)</f>
        <v>54766</v>
      </c>
      <c r="Z2227" s="199">
        <v>2.7986991395037852E-2</v>
      </c>
      <c r="AA2227" s="201">
        <v>2.7961422001228087E-2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54771</v>
      </c>
      <c r="Y2228" s="198">
        <f>_xll.qlInterestRateIndexValueDate(IborIndex,X2228,Trigger)</f>
        <v>54773</v>
      </c>
      <c r="Z2228" s="199">
        <v>2.798277388644799E-2</v>
      </c>
      <c r="AA2228" s="201">
        <v>2.795649964534519E-2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54778</v>
      </c>
      <c r="Y2229" s="198">
        <f>_xll.qlInterestRateIndexValueDate(IborIndex,X2229,Trigger)</f>
        <v>54780</v>
      </c>
      <c r="Z2229" s="199">
        <v>2.7977082642639262E-2</v>
      </c>
      <c r="AA2229" s="201">
        <v>2.7950157111247265E-2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54786</v>
      </c>
      <c r="Y2230" s="198">
        <f>_xll.qlInterestRateIndexValueDate(IborIndex,X2230,Trigger)</f>
        <v>54792</v>
      </c>
      <c r="Z2230" s="199">
        <v>2.7967830123423545E-2</v>
      </c>
      <c r="AA2230" s="201">
        <v>2.7944506278485548E-2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54793</v>
      </c>
      <c r="Y2231" s="198">
        <f>_xll.qlInterestRateIndexValueDate(IborIndex,X2231,Trigger)</f>
        <v>54795</v>
      </c>
      <c r="Z2231" s="199">
        <v>2.7965695467575331E-2</v>
      </c>
      <c r="AA2231" s="201">
        <v>2.7940968283148848E-2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54800</v>
      </c>
      <c r="Y2232" s="198">
        <f>_xll.qlInterestRateIndexValueDate(IborIndex,X2232,Trigger)</f>
        <v>54802</v>
      </c>
      <c r="Z2232" s="199">
        <v>2.7960707885939892E-2</v>
      </c>
      <c r="AA2232" s="201">
        <v>2.7936007044768729E-2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54807</v>
      </c>
      <c r="Y2233" s="198">
        <f>_xll.qlInterestRateIndexValueDate(IborIndex,X2233,Trigger)</f>
        <v>54809</v>
      </c>
      <c r="Z2233" s="199">
        <v>2.795643768488093E-2</v>
      </c>
      <c r="AA2233" s="201">
        <v>2.7931036421255939E-2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54814</v>
      </c>
      <c r="Y2234" s="198">
        <f>_xll.qlInterestRateIndexValueDate(IborIndex,X2234,Trigger)</f>
        <v>54816</v>
      </c>
      <c r="Z2234" s="199">
        <v>2.7950704507122989E-2</v>
      </c>
      <c r="AA2234" s="201">
        <v>2.7926056412210798E-2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54821</v>
      </c>
      <c r="Y2235" s="198">
        <f>_xll.qlInterestRateIndexValueDate(IborIndex,X2235,Trigger)</f>
        <v>54823</v>
      </c>
      <c r="Z2235" s="199">
        <v>2.794351433366498E-2</v>
      </c>
      <c r="AA2235" s="201">
        <v>2.7921067017793177E-2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54828</v>
      </c>
      <c r="Y2236" s="198">
        <f>_xll.qlInterestRateIndexValueDate(IborIndex,X2236,Trigger)</f>
        <v>54830</v>
      </c>
      <c r="Z2236" s="199">
        <v>2.7938492314955519E-2</v>
      </c>
      <c r="AA2236" s="201">
        <v>2.7916068237923142E-2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54835</v>
      </c>
      <c r="Y2237" s="198">
        <f>_xll.qlInterestRateIndexValueDate(IborIndex,X2237,Trigger)</f>
        <v>54837</v>
      </c>
      <c r="Z2237" s="199">
        <v>2.7933460893084953E-2</v>
      </c>
      <c r="AA2237" s="201">
        <v>2.7911060072760563E-2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54842</v>
      </c>
      <c r="Y2238" s="198">
        <f>_xll.qlInterestRateIndexValueDate(IborIndex,X2238,Trigger)</f>
        <v>54844</v>
      </c>
      <c r="Z2238" s="199">
        <v>2.7928420068067554E-2</v>
      </c>
      <c r="AA2238" s="201">
        <v>2.7906042522225505E-2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54849</v>
      </c>
      <c r="Y2239" s="198">
        <f>_xll.qlInterestRateIndexValueDate(IborIndex,X2239,Trigger)</f>
        <v>54851</v>
      </c>
      <c r="Z2239" s="199">
        <v>2.7925531470020436E-2</v>
      </c>
      <c r="AA2239" s="201">
        <v>2.7901015586238032E-2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54856</v>
      </c>
      <c r="Y2240" s="198">
        <f>_xll.qlInterestRateIndexValueDate(IborIndex,X2240,Trigger)</f>
        <v>54858</v>
      </c>
      <c r="Z2240" s="199">
        <v>2.7921187998306285E-2</v>
      </c>
      <c r="AA2240" s="201">
        <v>2.7895979264878079E-2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54863</v>
      </c>
      <c r="Y2241" s="198">
        <f>_xll.qlInterestRateIndexValueDate(IborIndex,X2241,Trigger)</f>
        <v>54865</v>
      </c>
      <c r="Z2241" s="199">
        <v>2.7915396419412642E-2</v>
      </c>
      <c r="AA2241" s="201">
        <v>2.7890933558225584E-2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54870</v>
      </c>
      <c r="Y2242" s="198">
        <f>_xll.qlInterestRateIndexValueDate(IborIndex,X2242,Trigger)</f>
        <v>54872</v>
      </c>
      <c r="Z2242" s="199">
        <v>2.7910314786486576E-2</v>
      </c>
      <c r="AA2242" s="201">
        <v>2.7885878466120673E-2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54877</v>
      </c>
      <c r="Y2243" s="198">
        <f>_xll.qlInterestRateIndexValueDate(IborIndex,X2243,Trigger)</f>
        <v>54879</v>
      </c>
      <c r="Z2243" s="199">
        <v>2.7905939903392074E-2</v>
      </c>
      <c r="AA2243" s="201">
        <v>2.7880813988563347E-2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54884</v>
      </c>
      <c r="Y2244" s="198">
        <f>_xll.qlInterestRateIndexValueDate(IborIndex,X2244,Trigger)</f>
        <v>54890</v>
      </c>
      <c r="Z2244" s="199">
        <v>2.7896490000753005E-2</v>
      </c>
      <c r="AA2244" s="201">
        <v>2.7874288726712493E-2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54891</v>
      </c>
      <c r="Y2245" s="198">
        <f>_xll.qlInterestRateIndexValueDate(IborIndex,X2245,Trigger)</f>
        <v>54893</v>
      </c>
      <c r="Z2245" s="199">
        <v>2.7895013457410529E-2</v>
      </c>
      <c r="AA2245" s="201">
        <v>2.7870656877491129E-2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54898</v>
      </c>
      <c r="Y2246" s="198">
        <f>_xll.qlInterestRateIndexValueDate(IborIndex,X2246,Trigger)</f>
        <v>54900</v>
      </c>
      <c r="Z2246" s="199">
        <v>2.788989420431684E-2</v>
      </c>
      <c r="AA2246" s="201">
        <v>2.7865564243816365E-2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54905</v>
      </c>
      <c r="Y2247" s="198">
        <f>_xll.qlInterestRateIndexValueDate(IborIndex,X2247,Trigger)</f>
        <v>54907</v>
      </c>
      <c r="Z2247" s="199">
        <v>2.7885477430381056E-2</v>
      </c>
      <c r="AA2247" s="201">
        <v>2.7859732598809472E-2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54912</v>
      </c>
      <c r="Y2248" s="198">
        <f>_xll.qlInterestRateIndexValueDate(IborIndex,X2248,Trigger)</f>
        <v>54914</v>
      </c>
      <c r="Z2248" s="199">
        <v>2.7879627483114618E-2</v>
      </c>
      <c r="AA2248" s="201">
        <v>2.7855350820429337E-2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54919</v>
      </c>
      <c r="Y2249" s="198">
        <f>_xll.qlInterestRateIndexValueDate(IborIndex,X2249,Trigger)</f>
        <v>54921</v>
      </c>
      <c r="Z2249" s="199">
        <v>2.7874480015029294E-2</v>
      </c>
      <c r="AA2249" s="201">
        <v>2.7850230030637135E-2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54926</v>
      </c>
      <c r="Y2250" s="198">
        <f>_xll.qlInterestRateIndexValueDate(IborIndex,X2250,Trigger)</f>
        <v>54928</v>
      </c>
      <c r="Z2250" s="199">
        <v>2.7869323141969105E-2</v>
      </c>
      <c r="AA2250" s="201">
        <v>2.7845099855392519E-2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54933</v>
      </c>
      <c r="Y2251" s="198">
        <f>_xll.qlInterestRateIndexValueDate(IborIndex,X2251,Trigger)</f>
        <v>54935</v>
      </c>
      <c r="Z2251" s="199">
        <v>2.7864156863946946E-2</v>
      </c>
      <c r="AA2251" s="201">
        <v>2.7839225305825721E-2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54940</v>
      </c>
      <c r="Y2252" s="198">
        <f>_xll.qlInterestRateIndexValueDate(IborIndex,X2252,Trigger)</f>
        <v>54942</v>
      </c>
      <c r="Z2252" s="199">
        <v>2.7859687712025183E-2</v>
      </c>
      <c r="AA2252" s="201">
        <v>2.7834811348945721E-2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54947</v>
      </c>
      <c r="Y2253" s="198">
        <f>_xll.qlInterestRateIndexValueDate(IborIndex,X2253,Trigger)</f>
        <v>54949</v>
      </c>
      <c r="Z2253" s="199">
        <v>2.7853796093065711E-2</v>
      </c>
      <c r="AA2253" s="201">
        <v>2.7829653017663603E-2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54954</v>
      </c>
      <c r="Y2254" s="198">
        <f>_xll.qlInterestRateIndexValueDate(IborIndex,X2254,Trigger)</f>
        <v>54956</v>
      </c>
      <c r="Z2254" s="199">
        <v>2.784860160023242E-2</v>
      </c>
      <c r="AA2254" s="201">
        <v>2.7824485300929069E-2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54961</v>
      </c>
      <c r="Y2255" s="198">
        <f>_xll.qlInterestRateIndexValueDate(IborIndex,X2255,Trigger)</f>
        <v>54963</v>
      </c>
      <c r="Z2255" s="199">
        <v>2.7843397702486151E-2</v>
      </c>
      <c r="AA2255" s="201">
        <v>2.7819308198901993E-2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54968</v>
      </c>
      <c r="Y2256" s="198">
        <f>_xll.qlInterestRateIndexValueDate(IborIndex,X2256,Trigger)</f>
        <v>54970</v>
      </c>
      <c r="Z2256" s="199">
        <v>2.7838184399847535E-2</v>
      </c>
      <c r="AA2256" s="201">
        <v>2.7814121711502438E-2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54975</v>
      </c>
      <c r="Y2257" s="198">
        <f>_xll.qlInterestRateIndexValueDate(IborIndex,X2257,Trigger)</f>
        <v>54977</v>
      </c>
      <c r="Z2257" s="199">
        <v>2.7832961692321728E-2</v>
      </c>
      <c r="AA2257" s="201">
        <v>2.7808925838570531E-2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54982</v>
      </c>
      <c r="Y2258" s="198">
        <f>_xll.qlInterestRateIndexValueDate(IborIndex,X2258,Trigger)</f>
        <v>54984</v>
      </c>
      <c r="Z2258" s="199">
        <v>2.7827729579919042E-2</v>
      </c>
      <c r="AA2258" s="201">
        <v>2.7803720580426017E-2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54989</v>
      </c>
      <c r="Y2259" s="198">
        <f>_xll.qlInterestRateIndexValueDate(IborIndex,X2259,Trigger)</f>
        <v>54991</v>
      </c>
      <c r="Z2259" s="199">
        <v>2.782248806265495E-2</v>
      </c>
      <c r="AA2259" s="201">
        <v>2.7798505936909024E-2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54996</v>
      </c>
      <c r="Y2260" s="198">
        <f>_xll.qlInterestRateIndexValueDate(IborIndex,X2260,Trigger)</f>
        <v>54998</v>
      </c>
      <c r="Z2260" s="199">
        <v>2.7818632938218263E-2</v>
      </c>
      <c r="AA2260" s="201">
        <v>2.7793281907939615E-2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55003</v>
      </c>
      <c r="Y2261" s="198">
        <f>_xll.qlInterestRateIndexValueDate(IborIndex,X2261,Trigger)</f>
        <v>55005</v>
      </c>
      <c r="Z2261" s="199">
        <v>2.78126736680398E-2</v>
      </c>
      <c r="AA2261" s="201">
        <v>2.7788048493517792E-2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55010</v>
      </c>
      <c r="Y2262" s="198">
        <f>_xll.qlInterestRateIndexValueDate(IborIndex,X2262,Trigger)</f>
        <v>55012</v>
      </c>
      <c r="Z2262" s="199">
        <v>2.7806707081836062E-2</v>
      </c>
      <c r="AA2262" s="201">
        <v>2.7782805693803425E-2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55017</v>
      </c>
      <c r="Y2263" s="198">
        <f>_xll.qlInterestRateIndexValueDate(IborIndex,X2263,Trigger)</f>
        <v>55019</v>
      </c>
      <c r="Z2263" s="199">
        <v>2.7801427945257855E-2</v>
      </c>
      <c r="AA2263" s="201">
        <v>2.7777553508796515E-2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55024</v>
      </c>
      <c r="Y2264" s="198">
        <f>_xll.qlInterestRateIndexValueDate(IborIndex,X2264,Trigger)</f>
        <v>55026</v>
      </c>
      <c r="Z2264" s="199">
        <v>2.7796139403882706E-2</v>
      </c>
      <c r="AA2264" s="201">
        <v>2.7771539519250155E-2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55031</v>
      </c>
      <c r="Y2265" s="198">
        <f>_xll.qlInterestRateIndexValueDate(IborIndex,X2265,Trigger)</f>
        <v>55033</v>
      </c>
      <c r="Z2265" s="199">
        <v>2.779084145772609E-2</v>
      </c>
      <c r="AA2265" s="201">
        <v>2.776702098242545E-2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55038</v>
      </c>
      <c r="Y2266" s="198">
        <f>_xll.qlInterestRateIndexValueDate(IborIndex,X2266,Trigger)</f>
        <v>55040</v>
      </c>
      <c r="Z2266" s="199">
        <v>2.7786225562639044E-2</v>
      </c>
      <c r="AA2266" s="201">
        <v>2.7761740641301103E-2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55045</v>
      </c>
      <c r="Y2267" s="198">
        <f>_xll.qlInterestRateIndexValueDate(IborIndex,X2267,Trigger)</f>
        <v>55047</v>
      </c>
      <c r="Z2267" s="199">
        <v>2.7780217351107122E-2</v>
      </c>
      <c r="AA2267" s="201">
        <v>2.775645091472434E-2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55052</v>
      </c>
      <c r="Y2268" s="198">
        <f>_xll.qlInterestRateIndexValueDate(IborIndex,X2268,Trigger)</f>
        <v>55054</v>
      </c>
      <c r="Z2268" s="199">
        <v>2.7774891190673136E-2</v>
      </c>
      <c r="AA2268" s="201">
        <v>2.7751151802615226E-2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55059</v>
      </c>
      <c r="Y2269" s="198">
        <f>_xll.qlInterestRateIndexValueDate(IborIndex,X2269,Trigger)</f>
        <v>55061</v>
      </c>
      <c r="Z2269" s="199">
        <v>2.7769555625511835E-2</v>
      </c>
      <c r="AA2269" s="201">
        <v>2.7745843305293505E-2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55066</v>
      </c>
      <c r="Y2270" s="198">
        <f>_xll.qlInterestRateIndexValueDate(IborIndex,X2270,Trigger)</f>
        <v>55068</v>
      </c>
      <c r="Z2270" s="199">
        <v>2.7764210655623209E-2</v>
      </c>
      <c r="AA2270" s="201">
        <v>2.7740525422679241E-2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55073</v>
      </c>
      <c r="Y2271" s="198">
        <f>_xll.qlInterestRateIndexValueDate(IborIndex,X2271,Trigger)</f>
        <v>55075</v>
      </c>
      <c r="Z2271" s="199">
        <v>2.7758856281033053E-2</v>
      </c>
      <c r="AA2271" s="201">
        <v>2.7735198154612561E-2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55080</v>
      </c>
      <c r="Y2272" s="198">
        <f>_xll.qlInterestRateIndexValueDate(IborIndex,X2272,Trigger)</f>
        <v>55082</v>
      </c>
      <c r="Z2272" s="199">
        <v>2.775349250174652E-2</v>
      </c>
      <c r="AA2272" s="201">
        <v>2.7729861501093467E-2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55087</v>
      </c>
      <c r="Y2273" s="198">
        <f>_xll.qlInterestRateIndexValueDate(IborIndex,X2273,Trigger)</f>
        <v>55089</v>
      </c>
      <c r="Z2273" s="199">
        <v>2.7748119317779082E-2</v>
      </c>
      <c r="AA2273" s="201">
        <v>2.7724515462281829E-2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55094</v>
      </c>
      <c r="Y2274" s="198">
        <f>_xll.qlInterestRateIndexValueDate(IborIndex,X2274,Trigger)</f>
        <v>55096</v>
      </c>
      <c r="Z2274" s="199">
        <v>2.7742736729146209E-2</v>
      </c>
      <c r="AA2274" s="201">
        <v>2.7719160038097712E-2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55101</v>
      </c>
      <c r="Y2275" s="198">
        <f>_xll.qlInterestRateIndexValueDate(IborIndex,X2275,Trigger)</f>
        <v>55106</v>
      </c>
      <c r="Z2275" s="199">
        <v>2.773434970222155E-2</v>
      </c>
      <c r="AA2275" s="201">
        <v>2.7713028061011613E-2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55108</v>
      </c>
      <c r="Y2276" s="198">
        <f>_xll.qlInterestRateIndexValueDate(IborIndex,X2276,Trigger)</f>
        <v>55110</v>
      </c>
      <c r="Z2276" s="199">
        <v>2.7731943337928004E-2</v>
      </c>
      <c r="AA2276" s="201">
        <v>2.7708421033532105E-2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55115</v>
      </c>
      <c r="Y2277" s="198">
        <f>_xll.qlInterestRateIndexValueDate(IborIndex,X2277,Trigger)</f>
        <v>55117</v>
      </c>
      <c r="Z2277" s="199">
        <v>2.7727891510840118E-2</v>
      </c>
      <c r="AA2277" s="201">
        <v>2.7703037453310486E-2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55122</v>
      </c>
      <c r="Y2278" s="198">
        <f>_xll.qlInterestRateIndexValueDate(IborIndex,X2278,Trigger)</f>
        <v>55124</v>
      </c>
      <c r="Z2278" s="199">
        <v>2.772179076162673E-2</v>
      </c>
      <c r="AA2278" s="201">
        <v>2.7697644487716389E-2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55129</v>
      </c>
      <c r="Y2279" s="198">
        <f>_xll.qlInterestRateIndexValueDate(IborIndex,X2279,Trigger)</f>
        <v>55131</v>
      </c>
      <c r="Z2279" s="199">
        <v>2.7715682716415502E-2</v>
      </c>
      <c r="AA2279" s="201">
        <v>2.7692242136510004E-2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55136</v>
      </c>
      <c r="Y2280" s="198">
        <f>_xll.qlInterestRateIndexValueDate(IborIndex,X2280,Trigger)</f>
        <v>55138</v>
      </c>
      <c r="Z2280" s="199">
        <v>2.7710919954095081E-2</v>
      </c>
      <c r="AA2280" s="201">
        <v>2.7686830400250884E-2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55143</v>
      </c>
      <c r="Y2281" s="198">
        <f>_xll.qlInterestRateIndexValueDate(IborIndex,X2281,Trigger)</f>
        <v>55145</v>
      </c>
      <c r="Z2281" s="199">
        <v>2.7704795279112824E-2</v>
      </c>
      <c r="AA2281" s="201">
        <v>2.7679858662663648E-2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55150</v>
      </c>
      <c r="Y2282" s="198">
        <f>_xll.qlInterestRateIndexValueDate(IborIndex,X2282,Trigger)</f>
        <v>55152</v>
      </c>
      <c r="Z2282" s="199">
        <v>2.770001152569701E-2</v>
      </c>
      <c r="AA2282" s="201">
        <v>2.767520221839348E-2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55157</v>
      </c>
      <c r="Y2283" s="198">
        <f>_xll.qlInterestRateIndexValueDate(IborIndex,X2283,Trigger)</f>
        <v>55159</v>
      </c>
      <c r="Z2283" s="199">
        <v>2.7693870223555829E-2</v>
      </c>
      <c r="AA2283" s="201">
        <v>2.7670538878679096E-2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55164</v>
      </c>
      <c r="Y2284" s="198">
        <f>_xll.qlInterestRateIndexValueDate(IborIndex,X2284,Trigger)</f>
        <v>55166</v>
      </c>
      <c r="Z2284" s="199">
        <v>2.7688393588964837E-2</v>
      </c>
      <c r="AA2284" s="201">
        <v>2.7665089600850123E-2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55171</v>
      </c>
      <c r="Y2285" s="198">
        <f>_xll.qlInterestRateIndexValueDate(IborIndex,X2285,Trigger)</f>
        <v>55173</v>
      </c>
      <c r="Z2285" s="199">
        <v>2.7683578344218918E-2</v>
      </c>
      <c r="AA2285" s="201">
        <v>2.7659630937648672E-2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55178</v>
      </c>
      <c r="Y2286" s="198">
        <f>_xll.qlInterestRateIndexValueDate(IborIndex,X2286,Trigger)</f>
        <v>55180</v>
      </c>
      <c r="Z2286" s="199">
        <v>2.7677412106232653E-2</v>
      </c>
      <c r="AA2286" s="201">
        <v>2.7654162888914868E-2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55185</v>
      </c>
      <c r="Y2287" s="198">
        <f>_xll.qlInterestRateIndexValueDate(IborIndex,X2287,Trigger)</f>
        <v>55187</v>
      </c>
      <c r="Z2287" s="199">
        <v>2.7669901019602108E-2</v>
      </c>
      <c r="AA2287" s="201">
        <v>2.7648685454888522E-2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55192</v>
      </c>
      <c r="Y2288" s="198">
        <f>_xll.qlInterestRateIndexValueDate(IborIndex,X2288,Trigger)</f>
        <v>55194</v>
      </c>
      <c r="Z2288" s="199">
        <v>2.7664390051631571E-2</v>
      </c>
      <c r="AA2288" s="201">
        <v>2.7643198635569632E-2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55199</v>
      </c>
      <c r="Y2289" s="198">
        <f>_xll.qlInterestRateIndexValueDate(IborIndex,X2289,Trigger)</f>
        <v>55201</v>
      </c>
      <c r="Z2289" s="199">
        <v>2.7658869681102299E-2</v>
      </c>
      <c r="AA2289" s="201">
        <v>2.7637702430878264E-2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55206</v>
      </c>
      <c r="Y2290" s="198">
        <f>_xll.qlInterestRateIndexValueDate(IborIndex,X2290,Trigger)</f>
        <v>55208</v>
      </c>
      <c r="Z2290" s="199">
        <v>2.7653339908025716E-2</v>
      </c>
      <c r="AA2290" s="201">
        <v>2.7632196840814416E-2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55213</v>
      </c>
      <c r="Y2291" s="198">
        <f>_xll.qlInterestRateIndexValueDate(IborIndex,X2291,Trigger)</f>
        <v>55215</v>
      </c>
      <c r="Z2291" s="199">
        <v>2.7650458042660087E-2</v>
      </c>
      <c r="AA2291" s="201">
        <v>2.7626681865378089E-2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55220</v>
      </c>
      <c r="Y2292" s="198">
        <f>_xll.qlInterestRateIndexValueDate(IborIndex,X2292,Trigger)</f>
        <v>55222</v>
      </c>
      <c r="Z2292" s="199">
        <v>2.7644241950549847E-2</v>
      </c>
      <c r="AA2292" s="201">
        <v>2.7621157504649219E-2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55227</v>
      </c>
      <c r="Y2293" s="198">
        <f>_xll.qlInterestRateIndexValueDate(IborIndex,X2293,Trigger)</f>
        <v>55229</v>
      </c>
      <c r="Z2293" s="199">
        <v>2.763868067573113E-2</v>
      </c>
      <c r="AA2293" s="201">
        <v>2.7615623758387997E-2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55234</v>
      </c>
      <c r="Y2294" s="198">
        <f>_xll.qlInterestRateIndexValueDate(IborIndex,X2294,Trigger)</f>
        <v>55236</v>
      </c>
      <c r="Z2294" s="199">
        <v>2.7633109996517725E-2</v>
      </c>
      <c r="AA2294" s="201">
        <v>2.7610080626834232E-2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55241</v>
      </c>
      <c r="Y2295" s="198">
        <f>_xll.qlInterestRateIndexValueDate(IborIndex,X2295,Trigger)</f>
        <v>55247</v>
      </c>
      <c r="Z2295" s="199">
        <v>2.7623677801567048E-2</v>
      </c>
      <c r="AA2295" s="201">
        <v>2.7602939952782179E-2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55248</v>
      </c>
      <c r="Y2296" s="198">
        <f>_xll.qlInterestRateIndexValueDate(IborIndex,X2296,Trigger)</f>
        <v>55250</v>
      </c>
      <c r="Z2296" s="199">
        <v>2.7621940424930082E-2</v>
      </c>
      <c r="AA2296" s="201">
        <v>2.7598966207689202E-2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55255</v>
      </c>
      <c r="Y2297" s="198">
        <f>_xll.qlInterestRateIndexValueDate(IborIndex,X2297,Trigger)</f>
        <v>55257</v>
      </c>
      <c r="Z2297" s="199">
        <v>2.7616341532584205E-2</v>
      </c>
      <c r="AA2297" s="201">
        <v>2.7593394920097936E-2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55262</v>
      </c>
      <c r="Y2298" s="198">
        <f>_xll.qlInterestRateIndexValueDate(IborIndex,X2298,Trigger)</f>
        <v>55264</v>
      </c>
      <c r="Z2298" s="199">
        <v>2.7610733235895218E-2</v>
      </c>
      <c r="AA2298" s="201">
        <v>2.758781424713419E-2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55269</v>
      </c>
      <c r="Y2299" s="198">
        <f>_xll.qlInterestRateIndexValueDate(IborIndex,X2299,Trigger)</f>
        <v>55271</v>
      </c>
      <c r="Z2299" s="199">
        <v>2.7606426308536575E-2</v>
      </c>
      <c r="AA2299" s="201">
        <v>2.7581424842848534E-2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55276</v>
      </c>
      <c r="Y2300" s="198">
        <f>_xll.qlInterestRateIndexValueDate(IborIndex,X2300,Trigger)</f>
        <v>55278</v>
      </c>
      <c r="Z2300" s="199">
        <v>2.7599488429521431E-2</v>
      </c>
      <c r="AA2300" s="201">
        <v>2.7576624745089262E-2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55283</v>
      </c>
      <c r="Y2301" s="198">
        <f>_xll.qlInterestRateIndexValueDate(IborIndex,X2301,Trigger)</f>
        <v>55285</v>
      </c>
      <c r="Z2301" s="199">
        <v>2.7593851919870155E-2</v>
      </c>
      <c r="AA2301" s="201">
        <v>2.7571015916008079E-2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55290</v>
      </c>
      <c r="Y2302" s="198">
        <f>_xll.qlInterestRateIndexValueDate(IborIndex,X2302,Trigger)</f>
        <v>55292</v>
      </c>
      <c r="Z2302" s="199">
        <v>2.758820600592218E-2</v>
      </c>
      <c r="AA2302" s="201">
        <v>2.7565397701714289E-2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55297</v>
      </c>
      <c r="Y2303" s="198">
        <f>_xll.qlInterestRateIndexValueDate(IborIndex,X2303,Trigger)</f>
        <v>55299</v>
      </c>
      <c r="Z2303" s="199">
        <v>2.7582550687698139E-2</v>
      </c>
      <c r="AA2303" s="201">
        <v>2.7558965392868728E-2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55304</v>
      </c>
      <c r="Y2304" s="198">
        <f>_xll.qlInterestRateIndexValueDate(IborIndex,X2304,Trigger)</f>
        <v>55306</v>
      </c>
      <c r="Z2304" s="199">
        <v>2.7576885965200609E-2</v>
      </c>
      <c r="AA2304" s="201">
        <v>2.7554133116689528E-2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55311</v>
      </c>
      <c r="Y2305" s="198">
        <f>_xll.qlInterestRateIndexValueDate(IborIndex,X2305,Trigger)</f>
        <v>55313</v>
      </c>
      <c r="Z2305" s="199">
        <v>2.7571211838455376E-2</v>
      </c>
      <c r="AA2305" s="201">
        <v>2.7548486746198364E-2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55318</v>
      </c>
      <c r="Y2306" s="198">
        <f>_xll.qlInterestRateIndexValueDate(IborIndex,X2306,Trigger)</f>
        <v>55320</v>
      </c>
      <c r="Z2306" s="199">
        <v>2.7565528307467599E-2</v>
      </c>
      <c r="AA2306" s="201">
        <v>2.7542830990414657E-2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55325</v>
      </c>
      <c r="Y2307" s="198">
        <f>_xll.qlInterestRateIndexValueDate(IborIndex,X2307,Trigger)</f>
        <v>55327</v>
      </c>
      <c r="Z2307" s="199">
        <v>2.7559835372257903E-2</v>
      </c>
      <c r="AA2307" s="201">
        <v>2.7537165849178535E-2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55332</v>
      </c>
      <c r="Y2308" s="198">
        <f>_xll.qlInterestRateIndexValueDate(IborIndex,X2308,Trigger)</f>
        <v>55334</v>
      </c>
      <c r="Z2308" s="199">
        <v>2.7554133032836603E-2</v>
      </c>
      <c r="AA2308" s="201">
        <v>2.7531491322569934E-2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55339</v>
      </c>
      <c r="Y2309" s="198">
        <f>_xll.qlInterestRateIndexValueDate(IborIndex,X2309,Trigger)</f>
        <v>55341</v>
      </c>
      <c r="Z2309" s="199">
        <v>2.7548421289214014E-2</v>
      </c>
      <c r="AA2309" s="201">
        <v>2.752580741066879E-2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55346</v>
      </c>
      <c r="Y2310" s="198">
        <f>_xll.qlInterestRateIndexValueDate(IborIndex,X2310,Trigger)</f>
        <v>55348</v>
      </c>
      <c r="Z2310" s="199">
        <v>2.7542700141413346E-2</v>
      </c>
      <c r="AA2310" s="201">
        <v>2.7520114113395167E-2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55353</v>
      </c>
      <c r="Y2311" s="198">
        <f>_xll.qlInterestRateIndexValueDate(IborIndex,X2311,Trigger)</f>
        <v>55355</v>
      </c>
      <c r="Z2311" s="199">
        <v>2.7536969589444911E-2</v>
      </c>
      <c r="AA2311" s="201">
        <v>2.7514411430669128E-2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55360</v>
      </c>
      <c r="Y2312" s="198">
        <f>_xll.qlInterestRateIndexValueDate(IborIndex,X2312,Trigger)</f>
        <v>55362</v>
      </c>
      <c r="Z2312" s="199">
        <v>2.7531870671292369E-2</v>
      </c>
      <c r="AA2312" s="201">
        <v>2.7508699362650546E-2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55367</v>
      </c>
      <c r="Y2313" s="198">
        <f>_xll.qlInterestRateIndexValueDate(IborIndex,X2313,Trigger)</f>
        <v>55369</v>
      </c>
      <c r="Z2313" s="199">
        <v>2.7526120200113136E-2</v>
      </c>
      <c r="AA2313" s="201">
        <v>2.7502977909499293E-2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55374</v>
      </c>
      <c r="Y2314" s="198">
        <f>_xll.qlInterestRateIndexValueDate(IborIndex,X2314,Trigger)</f>
        <v>55376</v>
      </c>
      <c r="Z2314" s="199">
        <v>2.7519721508646455E-2</v>
      </c>
      <c r="AA2314" s="201">
        <v>2.7497247070735753E-2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55381</v>
      </c>
      <c r="Y2315" s="198">
        <f>_xll.qlInterestRateIndexValueDate(IborIndex,X2315,Trigger)</f>
        <v>55383</v>
      </c>
      <c r="Z2315" s="199">
        <v>2.7513953340133301E-2</v>
      </c>
      <c r="AA2315" s="201">
        <v>2.7491506846759606E-2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55388</v>
      </c>
      <c r="Y2316" s="198">
        <f>_xll.qlInterestRateIndexValueDate(IborIndex,X2316,Trigger)</f>
        <v>55390</v>
      </c>
      <c r="Z2316" s="199">
        <v>2.7508175767524581E-2</v>
      </c>
      <c r="AA2316" s="201">
        <v>2.7484935098334162E-2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55395</v>
      </c>
      <c r="Y2317" s="198">
        <f>_xll.qlInterestRateIndexValueDate(IborIndex,X2317,Trigger)</f>
        <v>55397</v>
      </c>
      <c r="Z2317" s="199">
        <v>2.7502388790825449E-2</v>
      </c>
      <c r="AA2317" s="201">
        <v>2.7479998242609938E-2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55402</v>
      </c>
      <c r="Y2318" s="198">
        <f>_xll.qlInterestRateIndexValueDate(IborIndex,X2318,Trigger)</f>
        <v>55404</v>
      </c>
      <c r="Z2318" s="199">
        <v>2.7497226773229577E-2</v>
      </c>
      <c r="AA2318" s="201">
        <v>2.7474229862356481E-2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55409</v>
      </c>
      <c r="Y2319" s="198">
        <f>_xll.qlInterestRateIndexValueDate(IborIndex,X2319,Trigger)</f>
        <v>55411</v>
      </c>
      <c r="Z2319" s="199">
        <v>2.7490786625225583E-2</v>
      </c>
      <c r="AA2319" s="201">
        <v>2.7468452096970353E-2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55416</v>
      </c>
      <c r="Y2320" s="198">
        <f>_xll.qlInterestRateIndexValueDate(IborIndex,X2320,Trigger)</f>
        <v>55418</v>
      </c>
      <c r="Z2320" s="199">
        <v>2.748497143635063E-2</v>
      </c>
      <c r="AA2320" s="201">
        <v>2.746266494613181E-2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55423</v>
      </c>
      <c r="Y2321" s="198">
        <f>_xll.qlInterestRateIndexValueDate(IborIndex,X2321,Trigger)</f>
        <v>55425</v>
      </c>
      <c r="Z2321" s="199">
        <v>2.7479777860807131E-2</v>
      </c>
      <c r="AA2321" s="201">
        <v>2.7456868410080659E-2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55430</v>
      </c>
      <c r="Y2322" s="198">
        <f>_xll.qlInterestRateIndexValueDate(IborIndex,X2322,Trigger)</f>
        <v>55432</v>
      </c>
      <c r="Z2322" s="199">
        <v>2.7473312846535782E-2</v>
      </c>
      <c r="AA2322" s="201">
        <v>2.7451062488417222E-2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55437</v>
      </c>
      <c r="Y2323" s="198">
        <f>_xll.qlInterestRateIndexValueDate(IborIndex,X2323,Trigger)</f>
        <v>55439</v>
      </c>
      <c r="Z2323" s="199">
        <v>2.7467469445613939E-2</v>
      </c>
      <c r="AA2323" s="201">
        <v>2.7445247181461241E-2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55444</v>
      </c>
      <c r="Y2324" s="198">
        <f>_xll.qlInterestRateIndexValueDate(IborIndex,X2324,Trigger)</f>
        <v>55446</v>
      </c>
      <c r="Z2324" s="199">
        <v>2.7461616640707408E-2</v>
      </c>
      <c r="AA2324" s="201">
        <v>2.7439422489452525E-2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55451</v>
      </c>
      <c r="Y2325" s="198">
        <f>_xll.qlInterestRateIndexValueDate(IborIndex,X2325,Trigger)</f>
        <v>55453</v>
      </c>
      <c r="Z2325" s="199">
        <v>2.7455754431829082E-2</v>
      </c>
      <c r="AA2325" s="201">
        <v>2.7433588411831522E-2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55458</v>
      </c>
      <c r="Y2326" s="198">
        <f>_xll.qlInterestRateIndexValueDate(IborIndex,X2326,Trigger)</f>
        <v>55460</v>
      </c>
      <c r="Z2326" s="199">
        <v>2.744988281899443E-2</v>
      </c>
      <c r="AA2326" s="201">
        <v>2.742774494883804E-2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55465</v>
      </c>
      <c r="Y2327" s="198">
        <f>_xll.qlInterestRateIndexValueDate(IborIndex,X2327,Trigger)</f>
        <v>55470</v>
      </c>
      <c r="Z2327" s="199">
        <v>2.7440854583722363E-2</v>
      </c>
      <c r="AA2327" s="201">
        <v>2.7421055213272538E-2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55472</v>
      </c>
      <c r="Y2328" s="198">
        <f>_xll.qlInterestRateIndexValueDate(IborIndex,X2328,Trigger)</f>
        <v>55474</v>
      </c>
      <c r="Z2328" s="199">
        <v>2.7438111381497418E-2</v>
      </c>
      <c r="AA2328" s="201">
        <v>2.7416029866973446E-2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55479</v>
      </c>
      <c r="Y2329" s="198">
        <f>_xll.qlInterestRateIndexValueDate(IborIndex,X2329,Trigger)</f>
        <v>55481</v>
      </c>
      <c r="Z2329" s="199">
        <v>2.74334556172901E-2</v>
      </c>
      <c r="AA2329" s="201">
        <v>2.7410158248022398E-2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55486</v>
      </c>
      <c r="Y2330" s="198">
        <f>_xll.qlInterestRateIndexValueDate(IborIndex,X2330,Trigger)</f>
        <v>55488</v>
      </c>
      <c r="Z2330" s="199">
        <v>2.7426923274709303E-2</v>
      </c>
      <c r="AA2330" s="201">
        <v>2.7404277243778807E-2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55493</v>
      </c>
      <c r="Y2331" s="198">
        <f>_xll.qlInterestRateIndexValueDate(IborIndex,X2331,Trigger)</f>
        <v>55495</v>
      </c>
      <c r="Z2331" s="199">
        <v>2.7420383695917268E-2</v>
      </c>
      <c r="AA2331" s="201">
        <v>2.7398386854162737E-2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55500</v>
      </c>
      <c r="Y2332" s="198">
        <f>_xll.qlInterestRateIndexValueDate(IborIndex,X2332,Trigger)</f>
        <v>55502</v>
      </c>
      <c r="Z2332" s="199">
        <v>2.7415074361196445E-2</v>
      </c>
      <c r="AA2332" s="201">
        <v>2.7392487079094252E-2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55507</v>
      </c>
      <c r="Y2333" s="198">
        <f>_xll.qlInterestRateIndexValueDate(IborIndex,X2333,Trigger)</f>
        <v>55509</v>
      </c>
      <c r="Z2333" s="199">
        <v>2.7408518219473304E-2</v>
      </c>
      <c r="AA2333" s="201">
        <v>2.7384887863357577E-2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55514</v>
      </c>
      <c r="Y2334" s="198">
        <f>_xll.qlInterestRateIndexValueDate(IborIndex,X2334,Trigger)</f>
        <v>55516</v>
      </c>
      <c r="Z2334" s="199">
        <v>2.7403804208199618E-2</v>
      </c>
      <c r="AA2334" s="201">
        <v>2.7379813100507633E-2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55521</v>
      </c>
      <c r="Y2335" s="198">
        <f>_xll.qlInterestRateIndexValueDate(IborIndex,X2335,Trigger)</f>
        <v>55523</v>
      </c>
      <c r="Z2335" s="199">
        <v>2.7396615127657876E-2</v>
      </c>
      <c r="AA2335" s="201">
        <v>2.7374731442213474E-2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55528</v>
      </c>
      <c r="Y2336" s="198">
        <f>_xll.qlInterestRateIndexValueDate(IborIndex,X2336,Trigger)</f>
        <v>55530</v>
      </c>
      <c r="Z2336" s="199">
        <v>2.7390649476015518E-2</v>
      </c>
      <c r="AA2336" s="201">
        <v>2.7368794125655072E-2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55535</v>
      </c>
      <c r="Y2337" s="198">
        <f>_xll.qlInterestRateIndexValueDate(IborIndex,X2337,Trigger)</f>
        <v>55537</v>
      </c>
      <c r="Z2337" s="199">
        <v>2.7385287499349376E-2</v>
      </c>
      <c r="AA2337" s="201">
        <v>2.7362847423884062E-2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55542</v>
      </c>
      <c r="Y2338" s="198">
        <f>_xll.qlInterestRateIndexValueDate(IborIndex,X2338,Trigger)</f>
        <v>55544</v>
      </c>
      <c r="Z2338" s="199">
        <v>2.7378689961341445E-2</v>
      </c>
      <c r="AA2338" s="201">
        <v>2.7356891336900446E-2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55549</v>
      </c>
      <c r="Y2339" s="198">
        <f>_xll.qlInterestRateIndexValueDate(IborIndex,X2339,Trigger)</f>
        <v>55551</v>
      </c>
      <c r="Z2339" s="199">
        <v>2.7372696098343256E-2</v>
      </c>
      <c r="AA2339" s="201">
        <v>2.7350925864544351E-2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55556</v>
      </c>
      <c r="Y2340" s="198">
        <f>_xll.qlInterestRateIndexValueDate(IborIndex,X2340,Trigger)</f>
        <v>55558</v>
      </c>
      <c r="Z2340" s="199">
        <v>2.7366692831584716E-2</v>
      </c>
      <c r="AA2340" s="201">
        <v>2.7344951006815776E-2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55563</v>
      </c>
      <c r="Y2341" s="198">
        <f>_xll.qlInterestRateIndexValueDate(IborIndex,X2341,Trigger)</f>
        <v>55565</v>
      </c>
      <c r="Z2341" s="199">
        <v>2.736068016108387E-2</v>
      </c>
      <c r="AA2341" s="201">
        <v>2.7338966763714723E-2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55570</v>
      </c>
      <c r="Y2342" s="198">
        <f>_xll.qlInterestRateIndexValueDate(IborIndex,X2342,Trigger)</f>
        <v>55572</v>
      </c>
      <c r="Z2342" s="199">
        <v>2.73546580868562E-2</v>
      </c>
      <c r="AA2342" s="201">
        <v>2.7332973135401062E-2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55577</v>
      </c>
      <c r="Y2343" s="198">
        <f>_xll.qlInterestRateIndexValueDate(IborIndex,X2343,Trigger)</f>
        <v>55579</v>
      </c>
      <c r="Z2343" s="199">
        <v>2.7348626608912012E-2</v>
      </c>
      <c r="AA2343" s="201">
        <v>2.732697012155505E-2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55584</v>
      </c>
      <c r="Y2344" s="198">
        <f>_xll.qlInterestRateIndexValueDate(IborIndex,X2344,Trigger)</f>
        <v>55586</v>
      </c>
      <c r="Z2344" s="199">
        <v>2.7342585727266781E-2</v>
      </c>
      <c r="AA2344" s="201">
        <v>2.7320957722416495E-2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55591</v>
      </c>
      <c r="Y2345" s="198">
        <f>_xll.qlInterestRateIndexValueDate(IborIndex,X2345,Trigger)</f>
        <v>55593</v>
      </c>
      <c r="Z2345" s="199">
        <v>2.7336535441943713E-2</v>
      </c>
      <c r="AA2345" s="201">
        <v>2.7314935937985396E-2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55598</v>
      </c>
      <c r="Y2346" s="198">
        <f>_xll.qlInterestRateIndexValueDate(IborIndex,X2346,Trigger)</f>
        <v>55600</v>
      </c>
      <c r="Z2346" s="199">
        <v>2.7331078672034881E-2</v>
      </c>
      <c r="AA2346" s="201">
        <v>2.7308904768261755E-2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55605</v>
      </c>
      <c r="Y2347" s="198">
        <f>_xll.qlInterestRateIndexValueDate(IborIndex,X2347,Trigger)</f>
        <v>55607</v>
      </c>
      <c r="Z2347" s="199">
        <v>2.7325008447474375E-2</v>
      </c>
      <c r="AA2347" s="201">
        <v>2.7302864213085698E-2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55612</v>
      </c>
      <c r="Y2348" s="198">
        <f>_xll.qlInterestRateIndexValueDate(IborIndex,X2348,Trigger)</f>
        <v>55614</v>
      </c>
      <c r="Z2348" s="199">
        <v>2.7318928818661492E-2</v>
      </c>
      <c r="AA2348" s="201">
        <v>2.7296814272537162E-2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55619</v>
      </c>
      <c r="Y2349" s="198">
        <f>_xll.qlInterestRateIndexValueDate(IborIndex,X2349,Trigger)</f>
        <v>55621</v>
      </c>
      <c r="Z2349" s="199">
        <v>2.7312240264081945E-2</v>
      </c>
      <c r="AA2349" s="201">
        <v>2.7290754946855955E-2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55626</v>
      </c>
      <c r="Y2350" s="198">
        <f>_xll.qlInterestRateIndexValueDate(IborIndex,X2350,Trigger)</f>
        <v>55632</v>
      </c>
      <c r="Z2350" s="199">
        <v>2.7302056747529946E-2</v>
      </c>
      <c r="AA2350" s="201">
        <v>2.7282950594331723E-2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55633</v>
      </c>
      <c r="Y2351" s="198">
        <f>_xll.qlInterestRateIndexValueDate(IborIndex,X2351,Trigger)</f>
        <v>55635</v>
      </c>
      <c r="Z2351" s="199">
        <v>2.7300633506870953E-2</v>
      </c>
      <c r="AA2351" s="201">
        <v>2.7278608139136296E-2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55640</v>
      </c>
      <c r="Y2352" s="198">
        <f>_xll.qlInterestRateIndexValueDate(IborIndex,X2352,Trigger)</f>
        <v>55642</v>
      </c>
      <c r="Z2352" s="199">
        <v>2.7293920142718784E-2</v>
      </c>
      <c r="AA2352" s="201">
        <v>2.7271650251030621E-2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55647</v>
      </c>
      <c r="Y2353" s="198">
        <f>_xll.qlInterestRateIndexValueDate(IborIndex,X2353,Trigger)</f>
        <v>55649</v>
      </c>
      <c r="Z2353" s="199">
        <v>2.7287794628444904E-2</v>
      </c>
      <c r="AA2353" s="201">
        <v>2.7266423790246463E-2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55654</v>
      </c>
      <c r="Y2354" s="198">
        <f>_xll.qlInterestRateIndexValueDate(IborIndex,X2354,Trigger)</f>
        <v>55656</v>
      </c>
      <c r="Z2354" s="199">
        <v>2.7281659710616964E-2</v>
      </c>
      <c r="AA2354" s="201">
        <v>2.7260317537782797E-2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55661</v>
      </c>
      <c r="Y2355" s="198">
        <f>_xll.qlInterestRateIndexValueDate(IborIndex,X2355,Trigger)</f>
        <v>55663</v>
      </c>
      <c r="Z2355" s="199">
        <v>2.7275515389258164E-2</v>
      </c>
      <c r="AA2355" s="201">
        <v>2.7253327471257194E-2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55668</v>
      </c>
      <c r="Y2356" s="198">
        <f>_xll.qlInterestRateIndexValueDate(IborIndex,X2356,Trigger)</f>
        <v>55670</v>
      </c>
      <c r="Z2356" s="199">
        <v>2.7267586475320398E-2</v>
      </c>
      <c r="AA2356" s="201">
        <v>2.7248076876817962E-2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55675</v>
      </c>
      <c r="Y2357" s="198">
        <f>_xll.qlInterestRateIndexValueDate(IborIndex,X2357,Trigger)</f>
        <v>55677</v>
      </c>
      <c r="Z2357" s="199">
        <v>2.7263198535978934E-2</v>
      </c>
      <c r="AA2357" s="201">
        <v>2.7241942468316793E-2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55682</v>
      </c>
      <c r="Y2358" s="198">
        <f>_xll.qlInterestRateIndexValueDate(IborIndex,X2358,Trigger)</f>
        <v>55684</v>
      </c>
      <c r="Z2358" s="199">
        <v>2.7257026004097185E-2</v>
      </c>
      <c r="AA2358" s="201">
        <v>2.7235798674443146E-2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55689</v>
      </c>
      <c r="Y2359" s="198">
        <f>_xll.qlInterestRateIndexValueDate(IborIndex,X2359,Trigger)</f>
        <v>55691</v>
      </c>
      <c r="Z2359" s="199">
        <v>2.7250844068733571E-2</v>
      </c>
      <c r="AA2359" s="201">
        <v>2.7229645495197019E-2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55696</v>
      </c>
      <c r="Y2360" s="198">
        <f>_xll.qlInterestRateIndexValueDate(IborIndex,X2360,Trigger)</f>
        <v>55698</v>
      </c>
      <c r="Z2360" s="199">
        <v>2.7245826684937864E-2</v>
      </c>
      <c r="AA2360" s="201">
        <v>2.7223482930818221E-2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55703</v>
      </c>
      <c r="Y2361" s="198">
        <f>_xll.qlInterestRateIndexValueDate(IborIndex,X2361,Trigger)</f>
        <v>55705</v>
      </c>
      <c r="Z2361" s="199">
        <v>2.7238451987643266E-2</v>
      </c>
      <c r="AA2361" s="201">
        <v>2.7217310980987008E-2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55710</v>
      </c>
      <c r="Y2362" s="198">
        <f>_xll.qlInterestRateIndexValueDate(IborIndex,X2362,Trigger)</f>
        <v>55712</v>
      </c>
      <c r="Z2362" s="199">
        <v>2.7232241841937201E-2</v>
      </c>
      <c r="AA2362" s="201">
        <v>2.7211129645863252E-2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55717</v>
      </c>
      <c r="Y2363" s="198">
        <f>_xll.qlInterestRateIndexValueDate(IborIndex,X2363,Trigger)</f>
        <v>55719</v>
      </c>
      <c r="Z2363" s="199">
        <v>2.7226022292818897E-2</v>
      </c>
      <c r="AA2363" s="201">
        <v>2.7204938925367017E-2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55724</v>
      </c>
      <c r="Y2364" s="198">
        <f>_xll.qlInterestRateIndexValueDate(IborIndex,X2364,Trigger)</f>
        <v>55726</v>
      </c>
      <c r="Z2364" s="199">
        <v>2.7220375792111895E-2</v>
      </c>
      <c r="AA2364" s="201">
        <v>2.7198738819578239E-2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55731</v>
      </c>
      <c r="Y2365" s="198">
        <f>_xll.qlInterestRateIndexValueDate(IborIndex,X2365,Trigger)</f>
        <v>55733</v>
      </c>
      <c r="Z2365" s="199">
        <v>2.7214136293396696E-2</v>
      </c>
      <c r="AA2365" s="201">
        <v>2.7192529328496917E-2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55738</v>
      </c>
      <c r="Y2366" s="198">
        <f>_xll.qlInterestRateIndexValueDate(IborIndex,X2366,Trigger)</f>
        <v>55740</v>
      </c>
      <c r="Z2366" s="199">
        <v>2.7207307225106562E-2</v>
      </c>
      <c r="AA2366" s="201">
        <v>2.718631045196318E-2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55745</v>
      </c>
      <c r="Y2367" s="198">
        <f>_xll.qlInterestRateIndexValueDate(IborIndex,X2367,Trigger)</f>
        <v>55747</v>
      </c>
      <c r="Z2367" s="199">
        <v>2.7201050062468216E-2</v>
      </c>
      <c r="AA2367" s="201">
        <v>2.7180082190216837E-2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55752</v>
      </c>
      <c r="Y2368" s="198">
        <f>_xll.qlInterestRateIndexValueDate(IborIndex,X2368,Trigger)</f>
        <v>55754</v>
      </c>
      <c r="Z2368" s="199">
        <v>2.7194783496489829E-2</v>
      </c>
      <c r="AA2368" s="201">
        <v>2.7172952684431095E-2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55759</v>
      </c>
      <c r="Y2369" s="198">
        <f>_xll.qlInterestRateIndexValueDate(IborIndex,X2369,Trigger)</f>
        <v>55761</v>
      </c>
      <c r="Z2369" s="199">
        <v>2.7188507527186868E-2</v>
      </c>
      <c r="AA2369" s="201">
        <v>2.7167597510606711E-2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55766</v>
      </c>
      <c r="Y2370" s="198">
        <f>_xll.qlInterestRateIndexValueDate(IborIndex,X2370,Trigger)</f>
        <v>55768</v>
      </c>
      <c r="Z2370" s="199">
        <v>2.718222215457481E-2</v>
      </c>
      <c r="AA2370" s="201">
        <v>2.7161341092822866E-2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55773</v>
      </c>
      <c r="Y2371" s="198">
        <f>_xll.qlInterestRateIndexValueDate(IborIndex,X2371,Trigger)</f>
        <v>55775</v>
      </c>
      <c r="Z2371" s="199">
        <v>2.7176501818202969E-2</v>
      </c>
      <c r="AA2371" s="201">
        <v>2.7155075289746478E-2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55780</v>
      </c>
      <c r="Y2372" s="198">
        <f>_xll.qlInterestRateIndexValueDate(IborIndex,X2372,Trigger)</f>
        <v>55782</v>
      </c>
      <c r="Z2372" s="199">
        <v>2.7169623199467235E-2</v>
      </c>
      <c r="AA2372" s="201">
        <v>2.714880010129761E-2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55787</v>
      </c>
      <c r="Y2373" s="198">
        <f>_xll.qlInterestRateIndexValueDate(IborIndex,X2373,Trigger)</f>
        <v>55789</v>
      </c>
      <c r="Z2373" s="199">
        <v>2.7163309617007816E-2</v>
      </c>
      <c r="AA2373" s="201">
        <v>2.7142515527396327E-2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55794</v>
      </c>
      <c r="Y2374" s="198">
        <f>_xll.qlInterestRateIndexValueDate(IborIndex,X2374,Trigger)</f>
        <v>55796</v>
      </c>
      <c r="Z2374" s="199">
        <v>2.7156986631298605E-2</v>
      </c>
      <c r="AA2374" s="201">
        <v>2.7136221568442309E-2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55801</v>
      </c>
      <c r="Y2375" s="198">
        <f>_xll.qlInterestRateIndexValueDate(IborIndex,X2375,Trigger)</f>
        <v>55803</v>
      </c>
      <c r="Z2375" s="199">
        <v>2.7151224090294634E-2</v>
      </c>
      <c r="AA2375" s="201">
        <v>2.712991822395594E-2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55808</v>
      </c>
      <c r="Y2376" s="198">
        <f>_xll.qlInterestRateIndexValueDate(IborIndex,X2376,Trigger)</f>
        <v>55810</v>
      </c>
      <c r="Z2376" s="199">
        <v>2.7144312450195274E-2</v>
      </c>
      <c r="AA2376" s="201">
        <v>2.7123605494256964E-2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55815</v>
      </c>
      <c r="Y2377" s="198">
        <f>_xll.qlInterestRateIndexValueDate(IborIndex,X2377,Trigger)</f>
        <v>55817</v>
      </c>
      <c r="Z2377" s="199">
        <v>2.7137961254829514E-2</v>
      </c>
      <c r="AA2377" s="201">
        <v>2.7117283379185508E-2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55822</v>
      </c>
      <c r="Y2378" s="198">
        <f>_xll.qlInterestRateIndexValueDate(IborIndex,X2378,Trigger)</f>
        <v>55824</v>
      </c>
      <c r="Z2378" s="199">
        <v>2.7131600656273274E-2</v>
      </c>
      <c r="AA2378" s="201">
        <v>2.7110951878741574E-2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55829</v>
      </c>
      <c r="Y2379" s="198">
        <f>_xll.qlInterestRateIndexValueDate(IborIndex,X2379,Trigger)</f>
        <v>55831</v>
      </c>
      <c r="Z2379" s="199">
        <v>2.7125230654547177E-2</v>
      </c>
      <c r="AA2379" s="201">
        <v>2.7104610993085032E-2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55836</v>
      </c>
      <c r="Y2380" s="198">
        <f>_xll.qlInterestRateIndexValueDate(IborIndex,X2380,Trigger)</f>
        <v>55838</v>
      </c>
      <c r="Z2380" s="199">
        <v>2.7118851249664119E-2</v>
      </c>
      <c r="AA2380" s="201">
        <v>2.7098260721896139E-2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55843</v>
      </c>
      <c r="Y2381" s="198">
        <f>_xll.qlInterestRateIndexValueDate(IborIndex,X2381,Trigger)</f>
        <v>55845</v>
      </c>
      <c r="Z2381" s="199">
        <v>2.7112462441636988E-2</v>
      </c>
      <c r="AA2381" s="201">
        <v>2.7091901065574575E-2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55850</v>
      </c>
      <c r="Y2382" s="198">
        <f>_xll.qlInterestRateIndexValueDate(IborIndex,X2382,Trigger)</f>
        <v>55852</v>
      </c>
      <c r="Z2382" s="199">
        <v>2.7106626020185209E-2</v>
      </c>
      <c r="AA2382" s="201">
        <v>2.7085532024040404E-2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55857</v>
      </c>
      <c r="Y2383" s="198">
        <f>_xll.qlInterestRateIndexValueDate(IborIndex,X2383,Trigger)</f>
        <v>55859</v>
      </c>
      <c r="Z2383" s="199">
        <v>2.7099656616214982E-2</v>
      </c>
      <c r="AA2383" s="201">
        <v>2.7079153596893946E-2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55864</v>
      </c>
      <c r="Y2384" s="198">
        <f>_xll.qlInterestRateIndexValueDate(IborIndex,X2384,Trigger)</f>
        <v>55866</v>
      </c>
      <c r="Z2384" s="199">
        <v>2.7093239598853631E-2</v>
      </c>
      <c r="AA2384" s="201">
        <v>2.707276578453488E-2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55871</v>
      </c>
      <c r="Y2385" s="198">
        <f>_xll.qlInterestRateIndexValueDate(IborIndex,X2385,Trigger)</f>
        <v>55873</v>
      </c>
      <c r="Z2385" s="199">
        <v>2.7087371505689906E-2</v>
      </c>
      <c r="AA2385" s="201">
        <v>2.7067488752630098E-2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55880</v>
      </c>
      <c r="Y2386" s="198">
        <f>_xll.qlInterestRateIndexValueDate(IborIndex,X2386,Trigger)</f>
        <v>55884</v>
      </c>
      <c r="Z2386" s="199">
        <v>2.7076695519696676E-2</v>
      </c>
      <c r="AA2386" s="201">
        <v>2.7058330326079627E-2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55887</v>
      </c>
      <c r="Y2387" s="198">
        <f>_xll.qlInterestRateIndexValueDate(IborIndex,X2387,Trigger)</f>
        <v>55891</v>
      </c>
      <c r="Z2387" s="199">
        <v>2.7070244919975204E-2</v>
      </c>
      <c r="AA2387" s="201">
        <v>2.7051711178156523E-2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55894</v>
      </c>
      <c r="Y2388" s="198">
        <f>_xll.qlInterestRateIndexValueDate(IborIndex,X2388,Trigger)</f>
        <v>55898</v>
      </c>
      <c r="Z2388" s="199">
        <v>2.7063784917236013E-2</v>
      </c>
      <c r="AA2388" s="201">
        <v>2.7045283143012355E-2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55901</v>
      </c>
      <c r="Y2389" s="198">
        <f>_xll.qlInterestRateIndexValueDate(IborIndex,X2389,Trigger)</f>
        <v>55905</v>
      </c>
      <c r="Z2389" s="199">
        <v>2.7057315511486837E-2</v>
      </c>
      <c r="AA2389" s="201">
        <v>2.7038845722575644E-2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55908</v>
      </c>
      <c r="Y2390" s="198">
        <f>_xll.qlInterestRateIndexValueDate(IborIndex,X2390,Trigger)</f>
        <v>55912</v>
      </c>
      <c r="Z2390" s="199">
        <v>2.7050836702737995E-2</v>
      </c>
      <c r="AA2390" s="201">
        <v>2.7032398916766454E-2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55915</v>
      </c>
      <c r="Y2391" s="198">
        <f>_xll.qlInterestRateIndexValueDate(IborIndex,X2391,Trigger)</f>
        <v>55919</v>
      </c>
      <c r="Z2391" s="199">
        <v>2.7042695820870107E-2</v>
      </c>
      <c r="AA2391" s="201">
        <v>2.7025942725584784E-2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55922</v>
      </c>
      <c r="Y2392" s="198">
        <f>_xll.qlInterestRateIndexValueDate(IborIndex,X2392,Trigger)</f>
        <v>55926</v>
      </c>
      <c r="Z2392" s="199">
        <v>2.7036201683048322E-2</v>
      </c>
      <c r="AA2392" s="201">
        <v>2.7019477149270443E-2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55929</v>
      </c>
      <c r="Y2393" s="198">
        <f>_xll.qlInterestRateIndexValueDate(IborIndex,X2393,Trigger)</f>
        <v>55933</v>
      </c>
      <c r="Z2393" s="199">
        <v>2.7029698144040992E-2</v>
      </c>
      <c r="AA2393" s="201">
        <v>2.701300218766356E-2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55936</v>
      </c>
      <c r="Y2394" s="198">
        <f>_xll.qlInterestRateIndexValueDate(IborIndex,X2394,Trigger)</f>
        <v>55940</v>
      </c>
      <c r="Z2394" s="199">
        <v>2.7023185203868101E-2</v>
      </c>
      <c r="AA2394" s="201">
        <v>2.7006517840524324E-2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55943</v>
      </c>
      <c r="Y2395" s="198">
        <f>_xll.qlInterestRateIndexValueDate(IborIndex,X2395,Trigger)</f>
        <v>55947</v>
      </c>
      <c r="Z2395" s="199">
        <v>2.7020485450644265E-2</v>
      </c>
      <c r="AA2395" s="201">
        <v>2.7000024108252418E-2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55950</v>
      </c>
      <c r="Y2396" s="198">
        <f>_xll.qlInterestRateIndexValueDate(IborIndex,X2396,Trigger)</f>
        <v>55954</v>
      </c>
      <c r="Z2396" s="199">
        <v>2.7011766388296204E-2</v>
      </c>
      <c r="AA2396" s="201">
        <v>2.6993520990687969E-2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55957</v>
      </c>
      <c r="Y2397" s="198">
        <f>_xll.qlInterestRateIndexValueDate(IborIndex,X2397,Trigger)</f>
        <v>55961</v>
      </c>
      <c r="Z2397" s="199">
        <v>2.7005221759042186E-2</v>
      </c>
      <c r="AA2397" s="201">
        <v>2.6987008487511233E-2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55964</v>
      </c>
      <c r="Y2398" s="198">
        <f>_xll.qlInterestRateIndexValueDate(IborIndex,X2398,Trigger)</f>
        <v>55968</v>
      </c>
      <c r="Z2398" s="199">
        <v>2.6998667726920007E-2</v>
      </c>
      <c r="AA2398" s="201">
        <v>2.6980486599281761E-2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55971</v>
      </c>
      <c r="Y2399" s="198">
        <f>_xll.qlInterestRateIndexValueDate(IborIndex,X2399,Trigger)</f>
        <v>55975</v>
      </c>
      <c r="Z2399" s="199">
        <v>2.6991562773739375E-2</v>
      </c>
      <c r="AA2399" s="201">
        <v>2.6976129265571913E-2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55982</v>
      </c>
      <c r="Y2400" s="198">
        <f>_xll.qlInterestRateIndexValueDate(IborIndex,X2400,Trigger)</f>
        <v>55984</v>
      </c>
      <c r="Z2400" s="199">
        <v>2.6984191711291461E-2</v>
      </c>
      <c r="AA2400" s="201">
        <v>2.6963672933542071E-2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55989</v>
      </c>
      <c r="Y2401" s="198">
        <f>_xll.qlInterestRateIndexValueDate(IborIndex,X2401,Trigger)</f>
        <v>55991</v>
      </c>
      <c r="Z2401" s="199">
        <v>2.6977605619514511E-2</v>
      </c>
      <c r="AA2401" s="201">
        <v>2.6957117526444918E-2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55996</v>
      </c>
      <c r="Y2402" s="198">
        <f>_xll.qlInterestRateIndexValueDate(IborIndex,X2402,Trigger)</f>
        <v>55998</v>
      </c>
      <c r="Z2402" s="199">
        <v>2.6971547648155795E-2</v>
      </c>
      <c r="AA2402" s="201">
        <v>2.6950552733815414E-2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56003</v>
      </c>
      <c r="Y2403" s="198">
        <f>_xll.qlInterestRateIndexValueDate(IborIndex,X2403,Trigger)</f>
        <v>56005</v>
      </c>
      <c r="Z2403" s="199">
        <v>2.696440522585386E-2</v>
      </c>
      <c r="AA2403" s="201">
        <v>2.6943038621602966E-2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56010</v>
      </c>
      <c r="Y2404" s="198">
        <f>_xll.qlInterestRateIndexValueDate(IborIndex,X2404,Trigger)</f>
        <v>56012</v>
      </c>
      <c r="Z2404" s="199">
        <v>2.6957790923990144E-2</v>
      </c>
      <c r="AA2404" s="201">
        <v>2.6937394992758712E-2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56017</v>
      </c>
      <c r="Y2405" s="198">
        <f>_xll.qlInterestRateIndexValueDate(IborIndex,X2405,Trigger)</f>
        <v>56019</v>
      </c>
      <c r="Z2405" s="199">
        <v>2.6951167218793315E-2</v>
      </c>
      <c r="AA2405" s="201">
        <v>2.6930802044331514E-2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56024</v>
      </c>
      <c r="Y2406" s="198">
        <f>_xll.qlInterestRateIndexValueDate(IborIndex,X2406,Trigger)</f>
        <v>56026</v>
      </c>
      <c r="Z2406" s="199">
        <v>2.6944534110283358E-2</v>
      </c>
      <c r="AA2406" s="201">
        <v>2.692325575385901E-2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56031</v>
      </c>
      <c r="Y2407" s="198">
        <f>_xll.qlInterestRateIndexValueDate(IborIndex,X2407,Trigger)</f>
        <v>56033</v>
      </c>
      <c r="Z2407" s="199">
        <v>2.6937891598477759E-2</v>
      </c>
      <c r="AA2407" s="201">
        <v>2.6917587991359682E-2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56038</v>
      </c>
      <c r="Y2408" s="198">
        <f>_xll.qlInterestRateIndexValueDate(IborIndex,X2408,Trigger)</f>
        <v>56040</v>
      </c>
      <c r="Z2408" s="199">
        <v>2.693123968338651E-2</v>
      </c>
      <c r="AA2408" s="201">
        <v>2.6910966886974919E-2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56045</v>
      </c>
      <c r="Y2409" s="198">
        <f>_xll.qlInterestRateIndexValueDate(IborIndex,X2409,Trigger)</f>
        <v>56047</v>
      </c>
      <c r="Z2409" s="199">
        <v>2.6924578365032092E-2</v>
      </c>
      <c r="AA2409" s="201">
        <v>2.6904336397217676E-2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56052</v>
      </c>
      <c r="Y2410" s="198">
        <f>_xll.qlInterestRateIndexValueDate(IborIndex,X2410,Trigger)</f>
        <v>56054</v>
      </c>
      <c r="Z2410" s="199">
        <v>2.6917907643434491E-2</v>
      </c>
      <c r="AA2410" s="201">
        <v>2.6897696522167891E-2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56059</v>
      </c>
      <c r="Y2411" s="198">
        <f>_xll.qlInterestRateIndexValueDate(IborIndex,X2411,Trigger)</f>
        <v>56061</v>
      </c>
      <c r="Z2411" s="199">
        <v>2.6911227518598702E-2</v>
      </c>
      <c r="AA2411" s="201">
        <v>2.6891047261825562E-2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56066</v>
      </c>
      <c r="Y2412" s="198">
        <f>_xll.qlInterestRateIndexValueDate(IborIndex,X2412,Trigger)</f>
        <v>56068</v>
      </c>
      <c r="Z2412" s="199">
        <v>2.6904537990552202E-2</v>
      </c>
      <c r="AA2412" s="201">
        <v>2.6884388616110755E-2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56073</v>
      </c>
      <c r="Y2413" s="198">
        <f>_xll.qlInterestRateIndexValueDate(IborIndex,X2413,Trigger)</f>
        <v>56075</v>
      </c>
      <c r="Z2413" s="199">
        <v>2.6897839059302486E-2</v>
      </c>
      <c r="AA2413" s="201">
        <v>2.687772058518334E-2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56080</v>
      </c>
      <c r="Y2414" s="198">
        <f>_xll.qlInterestRateIndexValueDate(IborIndex,X2414,Trigger)</f>
        <v>56082</v>
      </c>
      <c r="Z2414" s="199">
        <v>2.6891130724877033E-2</v>
      </c>
      <c r="AA2414" s="201">
        <v>2.6871043168883446E-2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56087</v>
      </c>
      <c r="Y2415" s="198">
        <f>_xll.qlInterestRateIndexValueDate(IborIndex,X2415,Trigger)</f>
        <v>56089</v>
      </c>
      <c r="Z2415" s="199">
        <v>2.6884935309048948E-2</v>
      </c>
      <c r="AA2415" s="201">
        <v>2.6864356367450881E-2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56094</v>
      </c>
      <c r="Y2416" s="198">
        <f>_xll.qlInterestRateIndexValueDate(IborIndex,X2416,Trigger)</f>
        <v>56096</v>
      </c>
      <c r="Z2416" s="199">
        <v>2.6876121886123306E-2</v>
      </c>
      <c r="AA2416" s="201">
        <v>2.6857660180485965E-2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56101</v>
      </c>
      <c r="Y2417" s="198">
        <f>_xll.qlInterestRateIndexValueDate(IborIndex,X2417,Trigger)</f>
        <v>56103</v>
      </c>
      <c r="Z2417" s="199">
        <v>2.6870949302676139E-2</v>
      </c>
      <c r="AA2417" s="201">
        <v>2.6850954608388378E-2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56108</v>
      </c>
      <c r="Y2418" s="198">
        <f>_xll.qlInterestRateIndexValueDate(IborIndex,X2418,Trigger)</f>
        <v>56110</v>
      </c>
      <c r="Z2418" s="199">
        <v>2.6864203355692617E-2</v>
      </c>
      <c r="AA2418" s="201">
        <v>2.6844239650838375E-2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56115</v>
      </c>
      <c r="Y2419" s="198">
        <f>_xll.qlInterestRateIndexValueDate(IborIndex,X2419,Trigger)</f>
        <v>56117</v>
      </c>
      <c r="Z2419" s="199">
        <v>2.6857448005608298E-2</v>
      </c>
      <c r="AA2419" s="201">
        <v>2.6836553921425477E-2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56122</v>
      </c>
      <c r="Y2420" s="198">
        <f>_xll.qlInterestRateIndexValueDate(IborIndex,X2420,Trigger)</f>
        <v>56124</v>
      </c>
      <c r="Z2420" s="199">
        <v>2.685068325244816E-2</v>
      </c>
      <c r="AA2420" s="201">
        <v>2.6830781580020613E-2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56129</v>
      </c>
      <c r="Y2421" s="198">
        <f>_xll.qlInterestRateIndexValueDate(IborIndex,X2421,Trigger)</f>
        <v>56131</v>
      </c>
      <c r="Z2421" s="199">
        <v>2.6843909096227192E-2</v>
      </c>
      <c r="AA2421" s="201">
        <v>2.6824038466592981E-2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56136</v>
      </c>
      <c r="Y2422" s="198">
        <f>_xll.qlInterestRateIndexValueDate(IborIndex,X2422,Trigger)</f>
        <v>56138</v>
      </c>
      <c r="Z2422" s="199">
        <v>2.6837639632691822E-2</v>
      </c>
      <c r="AA2422" s="201">
        <v>2.6817285967872806E-2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56143</v>
      </c>
      <c r="Y2423" s="198">
        <f>_xll.qlInterestRateIndexValueDate(IborIndex,X2423,Trigger)</f>
        <v>56145</v>
      </c>
      <c r="Z2423" s="199">
        <v>2.6830332574652727E-2</v>
      </c>
      <c r="AA2423" s="201">
        <v>2.6810524083940024E-2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56150</v>
      </c>
      <c r="Y2424" s="198">
        <f>_xll.qlInterestRateIndexValueDate(IborIndex,X2424,Trigger)</f>
        <v>56152</v>
      </c>
      <c r="Z2424" s="199">
        <v>2.6823530209341695E-2</v>
      </c>
      <c r="AA2424" s="201">
        <v>2.6803752814714699E-2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56157</v>
      </c>
      <c r="Y2425" s="198">
        <f>_xll.qlInterestRateIndexValueDate(IborIndex,X2425,Trigger)</f>
        <v>56159</v>
      </c>
      <c r="Z2425" s="199">
        <v>2.6816718441032283E-2</v>
      </c>
      <c r="AA2425" s="201">
        <v>2.6796972160036958E-2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56164</v>
      </c>
      <c r="Y2426" s="198">
        <f>_xll.qlInterestRateIndexValueDate(IborIndex,X2426,Trigger)</f>
        <v>56166</v>
      </c>
      <c r="Z2426" s="199">
        <v>2.6809897269744476E-2</v>
      </c>
      <c r="AA2426" s="201">
        <v>2.6790182120226547E-2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56171</v>
      </c>
      <c r="Y2427" s="198">
        <f>_xll.qlInterestRateIndexValueDate(IborIndex,X2427,Trigger)</f>
        <v>56173</v>
      </c>
      <c r="Z2427" s="199">
        <v>2.6803066695495759E-2</v>
      </c>
      <c r="AA2427" s="201">
        <v>2.6783382695123592E-2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56178</v>
      </c>
      <c r="Y2428" s="198">
        <f>_xll.qlInterestRateIndexValueDate(IborIndex,X2428,Trigger)</f>
        <v>56180</v>
      </c>
      <c r="Z2428" s="199">
        <v>2.6796226718306115E-2</v>
      </c>
      <c r="AA2428" s="201">
        <v>2.6776573884488286E-2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56185</v>
      </c>
      <c r="Y2429" s="198">
        <f>_xll.qlInterestRateIndexValueDate(IborIndex,X2429,Trigger)</f>
        <v>56187</v>
      </c>
      <c r="Z2429" s="199">
        <v>2.6787859288305252E-2</v>
      </c>
      <c r="AA2429" s="201">
        <v>2.6769755688720309E-2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56192</v>
      </c>
      <c r="Y2430" s="198">
        <f>_xll.qlInterestRateIndexValueDate(IborIndex,X2430,Trigger)</f>
        <v>56194</v>
      </c>
      <c r="Z2430" s="199">
        <v>2.6782518555156509E-2</v>
      </c>
      <c r="AA2430" s="201">
        <v>2.6762928107739725E-2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56199</v>
      </c>
      <c r="Y2431" s="198">
        <f>_xll.qlInterestRateIndexValueDate(IborIndex,X2431,Trigger)</f>
        <v>56201</v>
      </c>
      <c r="Z2431" s="199">
        <v>2.6775650369236514E-2</v>
      </c>
      <c r="AA2431" s="201">
        <v>2.6756091141386662E-2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56206</v>
      </c>
      <c r="Y2432" s="198">
        <f>_xll.qlInterestRateIndexValueDate(IborIndex,X2432,Trigger)</f>
        <v>56208</v>
      </c>
      <c r="Z2432" s="199">
        <v>2.676877278044304E-2</v>
      </c>
      <c r="AA2432" s="201">
        <v>2.674924478966112E-2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56213</v>
      </c>
      <c r="Y2433" s="198">
        <f>_xll.qlInterestRateIndexValueDate(IborIndex,X2433,Trigger)</f>
        <v>56216</v>
      </c>
      <c r="Z2433" s="199">
        <v>2.6761402108841575E-2</v>
      </c>
      <c r="AA2433" s="201">
        <v>2.6741408895567531E-2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56220</v>
      </c>
      <c r="Y2434" s="198">
        <f>_xll.qlInterestRateIndexValueDate(IborIndex,X2434,Trigger)</f>
        <v>56222</v>
      </c>
      <c r="Z2434" s="199">
        <v>2.6754989394293105E-2</v>
      </c>
      <c r="AA2434" s="201">
        <v>2.6735523930492278E-2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56227</v>
      </c>
      <c r="Y2435" s="198">
        <f>_xll.qlInterestRateIndexValueDate(IborIndex,X2435,Trigger)</f>
        <v>56229</v>
      </c>
      <c r="Z2435" s="199">
        <v>2.6748083596974115E-2</v>
      </c>
      <c r="AA2435" s="201">
        <v>2.6728649423048978E-2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56234</v>
      </c>
      <c r="Y2436" s="198">
        <f>_xll.qlInterestRateIndexValueDate(IborIndex,X2436,Trigger)</f>
        <v>56236</v>
      </c>
      <c r="Z2436" s="199">
        <v>2.6741665956751991E-2</v>
      </c>
      <c r="AA2436" s="201">
        <v>2.6721765529993391E-2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56241</v>
      </c>
      <c r="Y2437" s="198">
        <f>_xll.qlInterestRateIndexValueDate(IborIndex,X2437,Trigger)</f>
        <v>56247</v>
      </c>
      <c r="Z2437" s="199">
        <v>2.6729786870929379E-2</v>
      </c>
      <c r="AA2437" s="201">
        <v>2.6713399113913461E-2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56248</v>
      </c>
      <c r="Y2438" s="198">
        <f>_xll.qlInterestRateIndexValueDate(IborIndex,X2438,Trigger)</f>
        <v>56251</v>
      </c>
      <c r="Z2438" s="199">
        <v>2.67258233407595E-2</v>
      </c>
      <c r="AA2438" s="201">
        <v>2.6706982727571216E-2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56255</v>
      </c>
      <c r="Y2439" s="198">
        <f>_xll.qlInterestRateIndexValueDate(IborIndex,X2439,Trigger)</f>
        <v>56257</v>
      </c>
      <c r="Z2439" s="199">
        <v>2.6720366379800187E-2</v>
      </c>
      <c r="AA2439" s="201">
        <v>2.670105753971086E-2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56262</v>
      </c>
      <c r="Y2440" s="198">
        <f>_xll.qlInterestRateIndexValueDate(IborIndex,X2440,Trigger)</f>
        <v>56264</v>
      </c>
      <c r="Z2440" s="199">
        <v>2.6713906383648772E-2</v>
      </c>
      <c r="AA2440" s="201">
        <v>2.6694136105804844E-2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56269</v>
      </c>
      <c r="Y2441" s="198">
        <f>_xll.qlInterestRateIndexValueDate(IborIndex,X2441,Trigger)</f>
        <v>56271</v>
      </c>
      <c r="Z2441" s="199">
        <v>2.6706451354725491E-2</v>
      </c>
      <c r="AA2441" s="201">
        <v>2.6687205286446414E-2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56276</v>
      </c>
      <c r="Y2442" s="198">
        <f>_xll.qlInterestRateIndexValueDate(IborIndex,X2442,Trigger)</f>
        <v>56278</v>
      </c>
      <c r="Z2442" s="199">
        <v>2.66980078865133E-2</v>
      </c>
      <c r="AA2442" s="201">
        <v>2.6680265081875376E-2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56283</v>
      </c>
      <c r="Y2443" s="198">
        <f>_xll.qlInterestRateIndexValueDate(IborIndex,X2443,Trigger)</f>
        <v>56285</v>
      </c>
      <c r="Z2443" s="199">
        <v>2.6690540825896773E-2</v>
      </c>
      <c r="AA2443" s="201">
        <v>2.6673315492011795E-2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56290</v>
      </c>
      <c r="Y2444" s="198">
        <f>_xll.qlInterestRateIndexValueDate(IborIndex,X2444,Trigger)</f>
        <v>56292</v>
      </c>
      <c r="Z2444" s="199">
        <v>2.6683555159982473E-2</v>
      </c>
      <c r="AA2444" s="201">
        <v>2.6666356516855672E-2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56297</v>
      </c>
      <c r="Y2445" s="198">
        <f>_xll.qlInterestRateIndexValueDate(IborIndex,X2445,Trigger)</f>
        <v>56299</v>
      </c>
      <c r="Z2445" s="199">
        <v>2.6676560093656296E-2</v>
      </c>
      <c r="AA2445" s="201">
        <v>2.6659388156407005E-2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56304</v>
      </c>
      <c r="Y2446" s="198">
        <f>_xll.qlInterestRateIndexValueDate(IborIndex,X2446,Trigger)</f>
        <v>56306</v>
      </c>
      <c r="Z2446" s="199">
        <v>2.6669555626938228E-2</v>
      </c>
      <c r="AA2446" s="201">
        <v>2.6652410410585858E-2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56311</v>
      </c>
      <c r="Y2447" s="198">
        <f>_xll.qlInterestRateIndexValueDate(IborIndex,X2447,Trigger)</f>
        <v>56313</v>
      </c>
      <c r="Z2447" s="199">
        <v>2.6664480615196662E-2</v>
      </c>
      <c r="AA2447" s="201">
        <v>2.6645423279552105E-2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56318</v>
      </c>
      <c r="Y2448" s="198">
        <f>_xll.qlInterestRateIndexValueDate(IborIndex,X2448,Trigger)</f>
        <v>56320</v>
      </c>
      <c r="Z2448" s="199">
        <v>2.6657452582745655E-2</v>
      </c>
      <c r="AA2448" s="201">
        <v>2.6638426763225809E-2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56325</v>
      </c>
      <c r="Y2449" s="198">
        <f>_xll.qlInterestRateIndexValueDate(IborIndex,X2449,Trigger)</f>
        <v>56327</v>
      </c>
      <c r="Z2449" s="199">
        <v>2.6650415147718431E-2</v>
      </c>
      <c r="AA2449" s="201">
        <v>2.6631420861686905E-2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56332</v>
      </c>
      <c r="Y2450" s="198">
        <f>_xll.qlInterestRateIndexValueDate(IborIndex,X2450,Trigger)</f>
        <v>56334</v>
      </c>
      <c r="Z2450" s="199">
        <v>2.6643368310134974E-2</v>
      </c>
      <c r="AA2450" s="201">
        <v>2.6622399483242631E-2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56339</v>
      </c>
      <c r="Y2451" s="198">
        <f>_xll.qlInterestRateIndexValueDate(IborIndex,X2451,Trigger)</f>
        <v>56341</v>
      </c>
      <c r="Z2451" s="199">
        <v>2.6636791790385059E-2</v>
      </c>
      <c r="AA2451" s="201">
        <v>2.6617380902571597E-2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56346</v>
      </c>
      <c r="Y2452" s="198">
        <f>_xll.qlInterestRateIndexValueDate(IborIndex,X2452,Trigger)</f>
        <v>56348</v>
      </c>
      <c r="Z2452" s="199">
        <v>2.6629246427331832E-2</v>
      </c>
      <c r="AA2452" s="201">
        <v>2.6610346845155064E-2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56353</v>
      </c>
      <c r="Y2453" s="198">
        <f>_xll.qlInterestRateIndexValueDate(IborIndex,X2453,Trigger)</f>
        <v>56355</v>
      </c>
      <c r="Z2453" s="199">
        <v>2.6622171382167104E-2</v>
      </c>
      <c r="AA2453" s="201">
        <v>2.6603303402445988E-2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56360</v>
      </c>
      <c r="Y2454" s="198">
        <f>_xll.qlInterestRateIndexValueDate(IborIndex,X2454,Trigger)</f>
        <v>56362</v>
      </c>
      <c r="Z2454" s="199">
        <v>2.6615563071929221E-2</v>
      </c>
      <c r="AA2454" s="201">
        <v>2.6596250574284497E-2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56367</v>
      </c>
      <c r="Y2455" s="198">
        <f>_xll.qlInterestRateIndexValueDate(IborIndex,X2455,Trigger)</f>
        <v>56369</v>
      </c>
      <c r="Z2455" s="199">
        <v>2.6606567715183344E-2</v>
      </c>
      <c r="AA2455" s="201">
        <v>2.6588178707269705E-2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56374</v>
      </c>
      <c r="Y2456" s="198">
        <f>_xll.qlInterestRateIndexValueDate(IborIndex,X2456,Trigger)</f>
        <v>56376</v>
      </c>
      <c r="Z2456" s="199">
        <v>2.6600889831775165E-2</v>
      </c>
      <c r="AA2456" s="201">
        <v>2.6582116762563501E-2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56381</v>
      </c>
      <c r="Y2457" s="198">
        <f>_xll.qlInterestRateIndexValueDate(IborIndex,X2457,Trigger)</f>
        <v>56383</v>
      </c>
      <c r="Z2457" s="199">
        <v>2.6593777176747713E-2</v>
      </c>
      <c r="AA2457" s="201">
        <v>2.6575035778444445E-2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56388</v>
      </c>
      <c r="Y2458" s="198">
        <f>_xll.qlInterestRateIndexValueDate(IborIndex,X2458,Trigger)</f>
        <v>56390</v>
      </c>
      <c r="Z2458" s="199">
        <v>2.6586655119298919E-2</v>
      </c>
      <c r="AA2458" s="201">
        <v>2.6566931733489341E-2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56395</v>
      </c>
      <c r="Y2459" s="198">
        <f>_xll.qlInterestRateIndexValueDate(IborIndex,X2459,Trigger)</f>
        <v>56397</v>
      </c>
      <c r="Z2459" s="199">
        <v>2.6579523659443771E-2</v>
      </c>
      <c r="AA2459" s="201">
        <v>2.656084565496819E-2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56402</v>
      </c>
      <c r="Y2460" s="198">
        <f>_xll.qlInterestRateIndexValueDate(IborIndex,X2460,Trigger)</f>
        <v>56404</v>
      </c>
      <c r="Z2460" s="199">
        <v>2.6572382797204752E-2</v>
      </c>
      <c r="AA2460" s="201">
        <v>2.6553736515291249E-2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56409</v>
      </c>
      <c r="Y2461" s="198">
        <f>_xll.qlInterestRateIndexValueDate(IborIndex,X2461,Trigger)</f>
        <v>56411</v>
      </c>
      <c r="Z2461" s="199">
        <v>2.6565232532604344E-2</v>
      </c>
      <c r="AA2461" s="201">
        <v>2.6546617990321764E-2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56416</v>
      </c>
      <c r="Y2462" s="198">
        <f>_xll.qlInterestRateIndexValueDate(IborIndex,X2462,Trigger)</f>
        <v>56418</v>
      </c>
      <c r="Z2462" s="199">
        <v>2.655807286565004E-2</v>
      </c>
      <c r="AA2462" s="201">
        <v>2.6539490079979799E-2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56423</v>
      </c>
      <c r="Y2463" s="198">
        <f>_xll.qlInterestRateIndexValueDate(IborIndex,X2463,Trigger)</f>
        <v>56425</v>
      </c>
      <c r="Z2463" s="199">
        <v>2.6550903796361824E-2</v>
      </c>
      <c r="AA2463" s="201">
        <v>2.6532352784505164E-2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56430</v>
      </c>
      <c r="Y2464" s="198">
        <f>_xll.qlInterestRateIndexValueDate(IborIndex,X2464,Trigger)</f>
        <v>56432</v>
      </c>
      <c r="Z2464" s="199">
        <v>2.6543725324769674E-2</v>
      </c>
      <c r="AA2464" s="201">
        <v>2.6525206103578114E-2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56437</v>
      </c>
      <c r="Y2465" s="198">
        <f>_xll.qlInterestRateIndexValueDate(IborIndex,X2465,Trigger)</f>
        <v>56439</v>
      </c>
      <c r="Z2465" s="199">
        <v>2.6536537450878583E-2</v>
      </c>
      <c r="AA2465" s="201">
        <v>2.651805003735852E-2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56444</v>
      </c>
      <c r="Y2466" s="198">
        <f>_xll.qlInterestRateIndexValueDate(IborIndex,X2466,Trigger)</f>
        <v>56446</v>
      </c>
      <c r="Z2466" s="199">
        <v>2.6529340174703542E-2</v>
      </c>
      <c r="AA2466" s="201">
        <v>2.6510884586166128E-2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56451</v>
      </c>
      <c r="Y2467" s="198">
        <f>_xll.qlInterestRateIndexValueDate(IborIndex,X2467,Trigger)</f>
        <v>56453</v>
      </c>
      <c r="Z2467" s="199">
        <v>2.6522133496277023E-2</v>
      </c>
      <c r="AA2467" s="201">
        <v>2.650370974952132E-2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56458</v>
      </c>
      <c r="Y2468" s="198">
        <f>_xll.qlInterestRateIndexValueDate(IborIndex,X2468,Trigger)</f>
        <v>56460</v>
      </c>
      <c r="Z2468" s="199">
        <v>2.6513538809374244E-2</v>
      </c>
      <c r="AA2468" s="201">
        <v>2.6496525527424097E-2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56465</v>
      </c>
      <c r="Y2469" s="198">
        <f>_xll.qlInterestRateIndexValueDate(IborIndex,X2469,Trigger)</f>
        <v>56467</v>
      </c>
      <c r="Z2469" s="199">
        <v>2.6508150080889369E-2</v>
      </c>
      <c r="AA2469" s="201">
        <v>2.6489331920194203E-2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56472</v>
      </c>
      <c r="Y2470" s="198">
        <f>_xll.qlInterestRateIndexValueDate(IborIndex,X2470,Trigger)</f>
        <v>56474</v>
      </c>
      <c r="Z2470" s="199">
        <v>2.6500457047616E-2</v>
      </c>
      <c r="AA2470" s="201">
        <v>2.6482128927831639E-2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56479</v>
      </c>
      <c r="Y2471" s="198">
        <f>_xll.qlInterestRateIndexValueDate(IborIndex,X2471,Trigger)</f>
        <v>56481</v>
      </c>
      <c r="Z2471" s="199">
        <v>2.6493212760333451E-2</v>
      </c>
      <c r="AA2471" s="201">
        <v>2.6474916550016658E-2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56486</v>
      </c>
      <c r="Y2472" s="198">
        <f>_xll.qlInterestRateIndexValueDate(IborIndex,X2472,Trigger)</f>
        <v>56488</v>
      </c>
      <c r="Z2472" s="199">
        <v>2.6485959070881859E-2</v>
      </c>
      <c r="AA2472" s="201">
        <v>2.6466662340380864E-2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56493</v>
      </c>
      <c r="Y2473" s="198">
        <f>_xll.qlInterestRateIndexValueDate(IborIndex,X2473,Trigger)</f>
        <v>56495</v>
      </c>
      <c r="Z2473" s="199">
        <v>2.6478695979273714E-2</v>
      </c>
      <c r="AA2473" s="201">
        <v>2.6460463638509069E-2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56500</v>
      </c>
      <c r="Y2474" s="198">
        <f>_xll.qlInterestRateIndexValueDate(IborIndex,X2474,Trigger)</f>
        <v>56502</v>
      </c>
      <c r="Z2474" s="199">
        <v>2.6471875609932676E-2</v>
      </c>
      <c r="AA2474" s="201">
        <v>2.6453223105056267E-2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56507</v>
      </c>
      <c r="Y2475" s="198">
        <f>_xll.qlInterestRateIndexValueDate(IborIndex,X2475,Trigger)</f>
        <v>56509</v>
      </c>
      <c r="Z2475" s="199">
        <v>2.6464141589687684E-2</v>
      </c>
      <c r="AA2475" s="201">
        <v>2.6445973186151051E-2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56514</v>
      </c>
      <c r="Y2476" s="198">
        <f>_xll.qlInterestRateIndexValueDate(IborIndex,X2476,Trigger)</f>
        <v>56516</v>
      </c>
      <c r="Z2476" s="199">
        <v>2.6456850291739775E-2</v>
      </c>
      <c r="AA2476" s="201">
        <v>2.6438713881953291E-2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56521</v>
      </c>
      <c r="Y2477" s="198">
        <f>_xll.qlInterestRateIndexValueDate(IborIndex,X2477,Trigger)</f>
        <v>56523</v>
      </c>
      <c r="Z2477" s="199">
        <v>2.6449549591712751E-2</v>
      </c>
      <c r="AA2477" s="201">
        <v>2.6431445192702796E-2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56528</v>
      </c>
      <c r="Y2478" s="198">
        <f>_xll.qlInterestRateIndexValueDate(IborIndex,X2478,Trigger)</f>
        <v>56530</v>
      </c>
      <c r="Z2478" s="199">
        <v>2.6442239489626596E-2</v>
      </c>
      <c r="AA2478" s="201">
        <v>2.642416711791995E-2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56535</v>
      </c>
      <c r="Y2479" s="198">
        <f>_xll.qlInterestRateIndexValueDate(IborIndex,X2479,Trigger)</f>
        <v>56537</v>
      </c>
      <c r="Z2479" s="199">
        <v>2.6434919985503791E-2</v>
      </c>
      <c r="AA2479" s="201">
        <v>2.6416879658004433E-2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56542</v>
      </c>
      <c r="Y2480" s="198">
        <f>_xll.qlInterestRateIndexValueDate(IborIndex,X2480,Trigger)</f>
        <v>56544</v>
      </c>
      <c r="Z2480" s="199">
        <v>2.6427591079354329E-2</v>
      </c>
      <c r="AA2480" s="201">
        <v>2.6409582812876309E-2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56549</v>
      </c>
      <c r="Y2481" s="198">
        <f>_xll.qlInterestRateIndexValueDate(IborIndex,X2481,Trigger)</f>
        <v>56551</v>
      </c>
      <c r="Z2481" s="199">
        <v>2.6420252771198194E-2</v>
      </c>
      <c r="AA2481" s="201">
        <v>2.6402276582375706E-2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56556</v>
      </c>
      <c r="Y2482" s="198">
        <f>_xll.qlInterestRateIndexValueDate(IborIndex,X2482,Trigger)</f>
        <v>56558</v>
      </c>
      <c r="Z2482" s="199">
        <v>2.6412905061065362E-2</v>
      </c>
      <c r="AA2482" s="201">
        <v>2.6394960966662495E-2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56563</v>
      </c>
      <c r="Y2483" s="198">
        <f>_xll.qlInterestRateIndexValueDate(IborIndex,X2483,Trigger)</f>
        <v>56565</v>
      </c>
      <c r="Z2483" s="199">
        <v>2.6405547948955832E-2</v>
      </c>
      <c r="AA2483" s="201">
        <v>2.6387635965576806E-2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56570</v>
      </c>
      <c r="Y2484" s="198">
        <f>_xll.qlInterestRateIndexValueDate(IborIndex,X2484,Trigger)</f>
        <v>56572</v>
      </c>
      <c r="Z2484" s="199">
        <v>2.6398181434894585E-2</v>
      </c>
      <c r="AA2484" s="201">
        <v>2.6380301579358445E-2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56577</v>
      </c>
      <c r="Y2485" s="198">
        <f>_xll.qlInterestRateIndexValueDate(IborIndex,X2485,Trigger)</f>
        <v>56580</v>
      </c>
      <c r="Z2485" s="199">
        <v>2.6389751049122612E-2</v>
      </c>
      <c r="AA2485" s="201">
        <v>2.6371907931421745E-2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56584</v>
      </c>
      <c r="Y2486" s="198">
        <f>_xll.qlInterestRateIndexValueDate(IborIndex,X2486,Trigger)</f>
        <v>56586</v>
      </c>
      <c r="Z2486" s="199">
        <v>2.6383420201009367E-2</v>
      </c>
      <c r="AA2486" s="201">
        <v>2.6365604650804286E-2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56591</v>
      </c>
      <c r="Y2487" s="198">
        <f>_xll.qlInterestRateIndexValueDate(IborIndex,X2487,Trigger)</f>
        <v>56593</v>
      </c>
      <c r="Z2487" s="199">
        <v>2.6376025481220366E-2</v>
      </c>
      <c r="AA2487" s="201">
        <v>2.6358242108868168E-2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56598</v>
      </c>
      <c r="Y2488" s="198">
        <f>_xll.qlInterestRateIndexValueDate(IborIndex,X2488,Trigger)</f>
        <v>56600</v>
      </c>
      <c r="Z2488" s="199">
        <v>2.6369056545453195E-2</v>
      </c>
      <c r="AA2488" s="201">
        <v>2.6350870181559571E-2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56605</v>
      </c>
      <c r="Y2489" s="198">
        <f>_xll.qlInterestRateIndexValueDate(IborIndex,X2489,Trigger)</f>
        <v>56607</v>
      </c>
      <c r="Z2489" s="199">
        <v>2.6361207836022027E-2</v>
      </c>
      <c r="AA2489" s="201">
        <v>2.6341378198599941E-2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56612</v>
      </c>
      <c r="Y2490" s="198">
        <f>_xll.qlInterestRateIndexValueDate(IborIndex,X2490,Trigger)</f>
        <v>56614</v>
      </c>
      <c r="Z2490" s="199">
        <v>2.63524860703203E-2</v>
      </c>
      <c r="AA2490" s="201">
        <v>2.6335041591041275E-2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56619</v>
      </c>
      <c r="Y2491" s="198">
        <f>_xll.qlInterestRateIndexValueDate(IborIndex,X2491,Trigger)</f>
        <v>56621</v>
      </c>
      <c r="Z2491" s="199">
        <v>2.6346352583468957E-2</v>
      </c>
      <c r="AA2491" s="201">
        <v>2.6328698087878522E-2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56626</v>
      </c>
      <c r="Y2492" s="198">
        <f>_xll.qlInterestRateIndexValueDate(IborIndex,X2492,Trigger)</f>
        <v>56628</v>
      </c>
      <c r="Z2492" s="199">
        <v>2.6339341181514025E-2</v>
      </c>
      <c r="AA2492" s="201">
        <v>2.6321288619559624E-2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56633</v>
      </c>
      <c r="Y2493" s="198">
        <f>_xll.qlInterestRateIndexValueDate(IborIndex,X2493,Trigger)</f>
        <v>56635</v>
      </c>
      <c r="Z2493" s="199">
        <v>2.6331459723713535E-2</v>
      </c>
      <c r="AA2493" s="201">
        <v>2.6313869765868247E-2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56640</v>
      </c>
      <c r="Y2494" s="198">
        <f>_xll.qlInterestRateIndexValueDate(IborIndex,X2494,Trigger)</f>
        <v>56642</v>
      </c>
      <c r="Z2494" s="199">
        <v>2.6322714937473055E-2</v>
      </c>
      <c r="AA2494" s="201">
        <v>2.6306441526884328E-2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56647</v>
      </c>
      <c r="Y2495" s="198">
        <f>_xll.qlInterestRateIndexValueDate(IborIndex,X2495,Trigger)</f>
        <v>56649</v>
      </c>
      <c r="Z2495" s="199">
        <v>2.6314821595808828E-2</v>
      </c>
      <c r="AA2495" s="201">
        <v>2.6299003902767737E-2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56654</v>
      </c>
      <c r="Y2496" s="198">
        <f>_xll.qlInterestRateIndexValueDate(IborIndex,X2496,Trigger)</f>
        <v>56656</v>
      </c>
      <c r="Z2496" s="199">
        <v>2.6307347129220306E-2</v>
      </c>
      <c r="AA2496" s="201">
        <v>2.6291556893438539E-2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56661</v>
      </c>
      <c r="Y2497" s="198">
        <f>_xll.qlInterestRateIndexValueDate(IborIndex,X2497,Trigger)</f>
        <v>56663</v>
      </c>
      <c r="Z2497" s="199">
        <v>2.629986326303925E-2</v>
      </c>
      <c r="AA2497" s="201">
        <v>2.628410049857699E-2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56668</v>
      </c>
      <c r="Y2498" s="198">
        <f>_xll.qlInterestRateIndexValueDate(IborIndex,X2498,Trigger)</f>
        <v>56670</v>
      </c>
      <c r="Z2498" s="199">
        <v>2.6292369997294212E-2</v>
      </c>
      <c r="AA2498" s="201">
        <v>2.6276634718662706E-2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56675</v>
      </c>
      <c r="Y2499" s="198">
        <f>_xll.qlInterestRateIndexValueDate(IborIndex,X2499,Trigger)</f>
        <v>56677</v>
      </c>
      <c r="Z2499" s="199">
        <v>2.6286555502706976E-2</v>
      </c>
      <c r="AA2499" s="201">
        <v>2.6269159553535815E-2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56682</v>
      </c>
      <c r="Y2500" s="198">
        <f>_xll.qlInterestRateIndexValueDate(IborIndex,X2500,Trigger)</f>
        <v>56684</v>
      </c>
      <c r="Z2500" s="199">
        <v>2.6279038559983703E-2</v>
      </c>
      <c r="AA2500" s="201">
        <v>2.6261675002956508E-2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56689</v>
      </c>
      <c r="Y2501" s="198">
        <f>_xll.qlInterestRateIndexValueDate(IborIndex,X2501,Trigger)</f>
        <v>56691</v>
      </c>
      <c r="Z2501" s="199">
        <v>2.6271931579119438E-2</v>
      </c>
      <c r="AA2501" s="201">
        <v>2.6254181067244531E-2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56696</v>
      </c>
      <c r="Y2502" s="198">
        <f>_xll.qlInterestRateIndexValueDate(IborIndex,X2502,Trigger)</f>
        <v>56698</v>
      </c>
      <c r="Z2502" s="199">
        <v>2.6263976469653727E-2</v>
      </c>
      <c r="AA2502" s="201">
        <v>2.6246677746319946E-2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56703</v>
      </c>
      <c r="Y2503" s="198">
        <f>_xll.qlInterestRateIndexValueDate(IborIndex,X2503,Trigger)</f>
        <v>56705</v>
      </c>
      <c r="Z2503" s="199">
        <v>2.6256848243431111E-2</v>
      </c>
      <c r="AA2503" s="201">
        <v>2.6239165040022883E-2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56710</v>
      </c>
      <c r="Y2504" s="198">
        <f>_xll.qlInterestRateIndexValueDate(IborIndex,X2504,Trigger)</f>
        <v>56712</v>
      </c>
      <c r="Z2504" s="199">
        <v>2.624887677294574E-2</v>
      </c>
      <c r="AA2504" s="201">
        <v>2.6231642948513212E-2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56717</v>
      </c>
      <c r="Y2505" s="198">
        <f>_xll.qlInterestRateIndexValueDate(IborIndex,X2505,Trigger)</f>
        <v>56719</v>
      </c>
      <c r="Z2505" s="199">
        <v>2.6241312890959989E-2</v>
      </c>
      <c r="AA2505" s="201">
        <v>2.6221957897591963E-2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56724</v>
      </c>
      <c r="Y2506" s="198">
        <f>_xll.qlInterestRateIndexValueDate(IborIndex,X2506,Trigger)</f>
        <v>56726</v>
      </c>
      <c r="Z2506" s="199">
        <v>2.6233742015003836E-2</v>
      </c>
      <c r="AA2506" s="201">
        <v>2.6216570609856049E-2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56731</v>
      </c>
      <c r="Y2507" s="198">
        <f>_xll.qlInterestRateIndexValueDate(IborIndex,X2507,Trigger)</f>
        <v>56733</v>
      </c>
      <c r="Z2507" s="199">
        <v>2.6224927748751441E-2</v>
      </c>
      <c r="AA2507" s="201">
        <v>2.6207940989557699E-2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56738</v>
      </c>
      <c r="Y2508" s="198">
        <f>_xll.qlInterestRateIndexValueDate(IborIndex,X2508,Trigger)</f>
        <v>56740</v>
      </c>
      <c r="Z2508" s="199">
        <v>2.6218599743047521E-2</v>
      </c>
      <c r="AA2508" s="201">
        <v>2.6201460729948778E-2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56745</v>
      </c>
      <c r="Y2509" s="198">
        <f>_xll.qlInterestRateIndexValueDate(IborIndex,X2509,Trigger)</f>
        <v>56747</v>
      </c>
      <c r="Z2509" s="199">
        <v>2.6211038822250565E-2</v>
      </c>
      <c r="AA2509" s="201">
        <v>2.6193894718691269E-2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56752</v>
      </c>
      <c r="Y2510" s="198">
        <f>_xll.qlInterestRateIndexValueDate(IborIndex,X2510,Trigger)</f>
        <v>56754</v>
      </c>
      <c r="Z2510" s="199">
        <v>2.6203491145302127E-2</v>
      </c>
      <c r="AA2510" s="201">
        <v>2.6186340205196501E-2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56759</v>
      </c>
      <c r="Y2511" s="198">
        <f>_xll.qlInterestRateIndexValueDate(IborIndex,X2511,Trigger)</f>
        <v>56761</v>
      </c>
      <c r="Z2511" s="199">
        <v>2.6195958007581011E-2</v>
      </c>
      <c r="AA2511" s="201">
        <v>2.6177724235578737E-2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56766</v>
      </c>
      <c r="Y2512" s="198">
        <f>_xll.qlInterestRateIndexValueDate(IborIndex,X2512,Trigger)</f>
        <v>56768</v>
      </c>
      <c r="Z2512" s="199">
        <v>2.6188855522527893E-2</v>
      </c>
      <c r="AA2512" s="201">
        <v>2.6171274690440782E-2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56773</v>
      </c>
      <c r="Y2513" s="198">
        <f>_xll.qlInterestRateIndexValueDate(IborIndex,X2513,Trigger)</f>
        <v>56775</v>
      </c>
      <c r="Z2513" s="199">
        <v>2.6180935357329738E-2</v>
      </c>
      <c r="AA2513" s="201">
        <v>2.6163763689339703E-2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56780</v>
      </c>
      <c r="Y2514" s="198">
        <f>_xll.qlInterestRateIndexValueDate(IborIndex,X2514,Trigger)</f>
        <v>56782</v>
      </c>
      <c r="Z2514" s="199">
        <v>2.6173445844742127E-2</v>
      </c>
      <c r="AA2514" s="201">
        <v>2.6156267192316562E-2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56787</v>
      </c>
      <c r="Y2515" s="198">
        <f>_xll.qlInterestRateIndexValueDate(IborIndex,X2515,Trigger)</f>
        <v>56789</v>
      </c>
      <c r="Z2515" s="199">
        <v>2.616597087381739E-2</v>
      </c>
      <c r="AA2515" s="201">
        <v>2.6148785199531233E-2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56794</v>
      </c>
      <c r="Y2516" s="198">
        <f>_xll.qlInterestRateIndexValueDate(IborIndex,X2516,Trigger)</f>
        <v>56796</v>
      </c>
      <c r="Z2516" s="199">
        <v>2.6158510444508065E-2</v>
      </c>
      <c r="AA2516" s="201">
        <v>2.6141317710903778E-2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56801</v>
      </c>
      <c r="Y2517" s="198">
        <f>_xll.qlInterestRateIndexValueDate(IborIndex,X2517,Trigger)</f>
        <v>56803</v>
      </c>
      <c r="Z2517" s="199">
        <v>2.6151064556796666E-2</v>
      </c>
      <c r="AA2517" s="201">
        <v>2.6133864726434197E-2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56808</v>
      </c>
      <c r="Y2518" s="198">
        <f>_xll.qlInterestRateIndexValueDate(IborIndex,X2518,Trigger)</f>
        <v>56810</v>
      </c>
      <c r="Z2518" s="199">
        <v>2.6143633210660711E-2</v>
      </c>
      <c r="AA2518" s="201">
        <v>2.6126426246122492E-2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56815</v>
      </c>
      <c r="Y2519" s="198">
        <f>_xll.qlInterestRateIndexValueDate(IborIndex,X2519,Trigger)</f>
        <v>56817</v>
      </c>
      <c r="Z2519" s="199">
        <v>2.6136216406060231E-2</v>
      </c>
      <c r="AA2519" s="201">
        <v>2.6119002269888725E-2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56822</v>
      </c>
      <c r="Y2520" s="198">
        <f>_xll.qlInterestRateIndexValueDate(IborIndex,X2520,Trigger)</f>
        <v>56824</v>
      </c>
      <c r="Z2520" s="199">
        <v>2.6129234236394312E-2</v>
      </c>
      <c r="AA2520" s="201">
        <v>2.6111592797892769E-2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56829</v>
      </c>
      <c r="Y2521" s="198">
        <f>_xll.qlInterestRateIndexValueDate(IborIndex,X2521,Trigger)</f>
        <v>56831</v>
      </c>
      <c r="Z2521" s="199">
        <v>2.6121847018022754E-2</v>
      </c>
      <c r="AA2521" s="201">
        <v>2.6104197830054687E-2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56836</v>
      </c>
      <c r="Y2522" s="198">
        <f>_xll.qlInterestRateIndexValueDate(IborIndex,X2522,Trigger)</f>
        <v>56838</v>
      </c>
      <c r="Z2522" s="199">
        <v>2.6114053241196866E-2</v>
      </c>
      <c r="AA2522" s="201">
        <v>2.6096817366214609E-2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56843</v>
      </c>
      <c r="Y2523" s="198">
        <f>_xll.qlInterestRateIndexValueDate(IborIndex,X2523,Trigger)</f>
        <v>56845</v>
      </c>
      <c r="Z2523" s="199">
        <v>2.6106694602466007E-2</v>
      </c>
      <c r="AA2523" s="201">
        <v>2.6089451406612341E-2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56850</v>
      </c>
      <c r="Y2524" s="198">
        <f>_xll.qlInterestRateIndexValueDate(IborIndex,X2524,Trigger)</f>
        <v>56852</v>
      </c>
      <c r="Z2524" s="199">
        <v>2.6099350505130736E-2</v>
      </c>
      <c r="AA2524" s="201">
        <v>2.6081050927260208E-2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56857</v>
      </c>
      <c r="Y2525" s="198">
        <f>_xll.qlInterestRateIndexValueDate(IborIndex,X2525,Trigger)</f>
        <v>56859</v>
      </c>
      <c r="Z2525" s="199">
        <v>2.6092020949158579E-2</v>
      </c>
      <c r="AA2525" s="201">
        <v>2.6074762999961365E-2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56864</v>
      </c>
      <c r="Y2526" s="198">
        <f>_xll.qlInterestRateIndexValueDate(IborIndex,X2526,Trigger)</f>
        <v>56866</v>
      </c>
      <c r="Z2526" s="199">
        <v>2.6085129065414655E-2</v>
      </c>
      <c r="AA2526" s="201">
        <v>2.6067440552832721E-2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56871</v>
      </c>
      <c r="Y2527" s="198">
        <f>_xll.qlInterestRateIndexValueDate(IborIndex,X2527,Trigger)</f>
        <v>56873</v>
      </c>
      <c r="Z2527" s="199">
        <v>2.6077405461213676E-2</v>
      </c>
      <c r="AA2527" s="201">
        <v>2.6060132609861952E-2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56878</v>
      </c>
      <c r="Y2528" s="198">
        <f>_xll.qlInterestRateIndexValueDate(IborIndex,X2528,Trigger)</f>
        <v>56880</v>
      </c>
      <c r="Z2528" s="199">
        <v>2.6070119529175984E-2</v>
      </c>
      <c r="AA2528" s="201">
        <v>2.6052839171049058E-2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56885</v>
      </c>
      <c r="Y2529" s="198">
        <f>_xll.qlInterestRateIndexValueDate(IborIndex,X2529,Trigger)</f>
        <v>56887</v>
      </c>
      <c r="Z2529" s="199">
        <v>2.6061574557559745E-2</v>
      </c>
      <c r="AA2529" s="201">
        <v>2.6045560236314103E-2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56892</v>
      </c>
      <c r="Y2530" s="198">
        <f>_xll.qlInterestRateIndexValueDate(IborIndex,X2530,Trigger)</f>
        <v>56894</v>
      </c>
      <c r="Z2530" s="199">
        <v>2.6055591288842717E-2</v>
      </c>
      <c r="AA2530" s="201">
        <v>2.6038295805737022E-2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56899</v>
      </c>
      <c r="Y2531" s="198">
        <f>_xll.qlInterestRateIndexValueDate(IborIndex,X2531,Trigger)</f>
        <v>56901</v>
      </c>
      <c r="Z2531" s="199">
        <v>2.604834898048719E-2</v>
      </c>
      <c r="AA2531" s="201">
        <v>2.6031045879397752E-2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56906</v>
      </c>
      <c r="Y2532" s="198">
        <f>_xll.qlInterestRateIndexValueDate(IborIndex,X2532,Trigger)</f>
        <v>56908</v>
      </c>
      <c r="Z2532" s="199">
        <v>2.6041121213297436E-2</v>
      </c>
      <c r="AA2532" s="201">
        <v>2.6023810457216356E-2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56913</v>
      </c>
      <c r="Y2533" s="198">
        <f>_xll.qlInterestRateIndexValueDate(IborIndex,X2533,Trigger)</f>
        <v>56915</v>
      </c>
      <c r="Z2533" s="199">
        <v>2.6033907987260962E-2</v>
      </c>
      <c r="AA2533" s="201">
        <v>2.6016589538953028E-2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56920</v>
      </c>
      <c r="Y2534" s="198">
        <f>_xll.qlInterestRateIndexValueDate(IborIndex,X2534,Trigger)</f>
        <v>56922</v>
      </c>
      <c r="Z2534" s="199">
        <v>2.6026709302332807E-2</v>
      </c>
      <c r="AA2534" s="201">
        <v>2.600938312492751E-2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56927</v>
      </c>
      <c r="Y2535" s="198">
        <f>_xll.qlInterestRateIndexValueDate(IborIndex,X2535,Trigger)</f>
        <v>56930</v>
      </c>
      <c r="Z2535" s="199">
        <v>2.6018072267223514E-2</v>
      </c>
      <c r="AA2535" s="201">
        <v>2.6001164983480152E-2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56934</v>
      </c>
      <c r="Y2536" s="198">
        <f>_xll.qlInterestRateIndexValueDate(IborIndex,X2536,Trigger)</f>
        <v>56936</v>
      </c>
      <c r="Z2536" s="199">
        <v>2.6012355555706523E-2</v>
      </c>
      <c r="AA2536" s="201">
        <v>2.599501380950997E-2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56941</v>
      </c>
      <c r="Y2537" s="198">
        <f>_xll.qlInterestRateIndexValueDate(IborIndex,X2537,Trigger)</f>
        <v>56944</v>
      </c>
      <c r="Z2537" s="199">
        <v>2.600460841548272E-2</v>
      </c>
      <c r="AA2537" s="201">
        <v>2.5986828820263597E-2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56948</v>
      </c>
      <c r="Y2538" s="198">
        <f>_xll.qlInterestRateIndexValueDate(IborIndex,X2538,Trigger)</f>
        <v>56950</v>
      </c>
      <c r="Z2538" s="199">
        <v>2.5998489308232727E-2</v>
      </c>
      <c r="AA2538" s="201">
        <v>2.5980702510484122E-2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56955</v>
      </c>
      <c r="Y2539" s="198">
        <f>_xll.qlInterestRateIndexValueDate(IborIndex,X2539,Trigger)</f>
        <v>56957</v>
      </c>
      <c r="Z2539" s="199">
        <v>2.5990933993434995E-2</v>
      </c>
      <c r="AA2539" s="201">
        <v>2.5973568617247977E-2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56962</v>
      </c>
      <c r="Y2540" s="198">
        <f>_xll.qlInterestRateIndexValueDate(IborIndex,X2540,Trigger)</f>
        <v>56964</v>
      </c>
      <c r="Z2540" s="199">
        <v>2.5984252940337269E-2</v>
      </c>
      <c r="AA2540" s="201">
        <v>2.5966449228089772E-2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56969</v>
      </c>
      <c r="Y2541" s="198">
        <f>_xll.qlInterestRateIndexValueDate(IborIndex,X2541,Trigger)</f>
        <v>56971</v>
      </c>
      <c r="Z2541" s="199">
        <v>2.5976725656710331E-2</v>
      </c>
      <c r="AA2541" s="201">
        <v>2.5957317039804195E-2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56977</v>
      </c>
      <c r="Y2542" s="198">
        <f>_xll.qlInterestRateIndexValueDate(IborIndex,X2542,Trigger)</f>
        <v>56983</v>
      </c>
      <c r="Z2542" s="199">
        <v>2.5964161627841188E-2</v>
      </c>
      <c r="AA2542" s="201">
        <v>2.5949219667511514E-2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56984</v>
      </c>
      <c r="Y2543" s="198">
        <f>_xll.qlInterestRateIndexValueDate(IborIndex,X2543,Trigger)</f>
        <v>56986</v>
      </c>
      <c r="Z2543" s="199">
        <v>2.5961135007454617E-2</v>
      </c>
      <c r="AA2543" s="201">
        <v>2.5944168429923309E-2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56991</v>
      </c>
      <c r="Y2544" s="198">
        <f>_xll.qlInterestRateIndexValueDate(IborIndex,X2544,Trigger)</f>
        <v>56993</v>
      </c>
      <c r="Z2544" s="199">
        <v>2.5954083278694983E-2</v>
      </c>
      <c r="AA2544" s="201">
        <v>2.593710912933922E-2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56998</v>
      </c>
      <c r="Y2545" s="198">
        <f>_xll.qlInterestRateIndexValueDate(IborIndex,X2545,Trigger)</f>
        <v>57000</v>
      </c>
      <c r="Z2545" s="199">
        <v>2.5947479127264583E-2</v>
      </c>
      <c r="AA2545" s="201">
        <v>2.5930064332673197E-2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57005</v>
      </c>
      <c r="Y2546" s="198">
        <f>_xll.qlInterestRateIndexValueDate(IborIndex,X2546,Trigger)</f>
        <v>57007</v>
      </c>
      <c r="Z2546" s="199">
        <v>2.594002344002103E-2</v>
      </c>
      <c r="AA2546" s="201">
        <v>2.5923034040324922E-2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57012</v>
      </c>
      <c r="Y2547" s="198">
        <f>_xll.qlInterestRateIndexValueDate(IborIndex,X2547,Trigger)</f>
        <v>57014</v>
      </c>
      <c r="Z2547" s="199">
        <v>2.5933015330049981E-2</v>
      </c>
      <c r="AA2547" s="201">
        <v>2.5916018252214457E-2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57019</v>
      </c>
      <c r="Y2548" s="198">
        <f>_xll.qlInterestRateIndexValueDate(IborIndex,X2548,Trigger)</f>
        <v>57021</v>
      </c>
      <c r="Z2548" s="199">
        <v>2.5926021759633006E-2</v>
      </c>
      <c r="AA2548" s="201">
        <v>2.590901696818193E-2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57026</v>
      </c>
      <c r="Y2549" s="198">
        <f>_xll.qlInterestRateIndexValueDate(IborIndex,X2549,Trigger)</f>
        <v>57028</v>
      </c>
      <c r="Z2549" s="199">
        <v>2.5919042728731433E-2</v>
      </c>
      <c r="AA2549" s="201">
        <v>2.5902030188067471E-2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57033</v>
      </c>
      <c r="Y2550" s="198">
        <f>_xll.qlInterestRateIndexValueDate(IborIndex,X2550,Trigger)</f>
        <v>57035</v>
      </c>
      <c r="Z2550" s="199">
        <v>2.5912078237327205E-2</v>
      </c>
      <c r="AA2550" s="201">
        <v>2.5895057912270758E-2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57040</v>
      </c>
      <c r="Y2551" s="198">
        <f>_xll.qlInterestRateIndexValueDate(IborIndex,X2551,Trigger)</f>
        <v>57042</v>
      </c>
      <c r="Z2551" s="199">
        <v>2.5905564539276671E-2</v>
      </c>
      <c r="AA2551" s="201">
        <v>2.5888100140551984E-2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57047</v>
      </c>
      <c r="Y2552" s="198">
        <f>_xll.qlInterestRateIndexValueDate(IborIndex,X2552,Trigger)</f>
        <v>57049</v>
      </c>
      <c r="Z2552" s="199">
        <v>2.5898192872887024E-2</v>
      </c>
      <c r="AA2552" s="201">
        <v>2.5881156872991085E-2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57054</v>
      </c>
      <c r="Y2553" s="198">
        <f>_xll.qlInterestRateIndexValueDate(IborIndex,X2553,Trigger)</f>
        <v>57056</v>
      </c>
      <c r="Z2553" s="199">
        <v>2.5891271999804653E-2</v>
      </c>
      <c r="AA2553" s="201">
        <v>2.5874228109428188E-2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57061</v>
      </c>
      <c r="Y2554" s="198">
        <f>_xll.qlInterestRateIndexValueDate(IborIndex,X2554,Trigger)</f>
        <v>57063</v>
      </c>
      <c r="Z2554" s="199">
        <v>2.5884365666108751E-2</v>
      </c>
      <c r="AA2554" s="201">
        <v>2.586731385034291E-2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57068</v>
      </c>
      <c r="Y2555" s="198">
        <f>_xll.qlInterestRateIndexValueDate(IborIndex,X2555,Trigger)</f>
        <v>57074</v>
      </c>
      <c r="Z2555" s="199">
        <v>2.5873103571653289E-2</v>
      </c>
      <c r="AA2555" s="201">
        <v>2.5858445400368524E-2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57075</v>
      </c>
      <c r="Y2556" s="198">
        <f>_xll.qlInterestRateIndexValueDate(IborIndex,X2556,Trigger)</f>
        <v>57077</v>
      </c>
      <c r="Z2556" s="199">
        <v>2.5870596616786107E-2</v>
      </c>
      <c r="AA2556" s="201">
        <v>2.5853528843846618E-2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57082</v>
      </c>
      <c r="Y2557" s="198">
        <f>_xll.qlInterestRateIndexValueDate(IborIndex,X2557,Trigger)</f>
        <v>57084</v>
      </c>
      <c r="Z2557" s="199">
        <v>2.586373390111037E-2</v>
      </c>
      <c r="AA2557" s="201">
        <v>2.584665809691522E-2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57089</v>
      </c>
      <c r="Y2558" s="198">
        <f>_xll.qlInterestRateIndexValueDate(IborIndex,X2558,Trigger)</f>
        <v>57091</v>
      </c>
      <c r="Z2558" s="199">
        <v>2.58568857247128E-2</v>
      </c>
      <c r="AA2558" s="201">
        <v>2.5839801854141697E-2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57096</v>
      </c>
      <c r="Y2559" s="198">
        <f>_xll.qlInterestRateIndexValueDate(IborIndex,X2559,Trigger)</f>
        <v>57098</v>
      </c>
      <c r="Z2559" s="199">
        <v>2.5850933377054828E-2</v>
      </c>
      <c r="AA2559" s="201">
        <v>2.5831983908171097E-2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57103</v>
      </c>
      <c r="Y2560" s="198">
        <f>_xll.qlInterestRateIndexValueDate(IborIndex,X2560,Trigger)</f>
        <v>57105</v>
      </c>
      <c r="Z2560" s="199">
        <v>2.5843232989682548E-2</v>
      </c>
      <c r="AA2560" s="201">
        <v>2.5826132880748531E-2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57110</v>
      </c>
      <c r="Y2561" s="198">
        <f>_xll.qlInterestRateIndexValueDate(IborIndex,X2561,Trigger)</f>
        <v>57112</v>
      </c>
      <c r="Z2561" s="199">
        <v>2.5836428430990554E-2</v>
      </c>
      <c r="AA2561" s="201">
        <v>2.581932015028876E-2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57117</v>
      </c>
      <c r="Y2562" s="198">
        <f>_xll.qlInterestRateIndexValueDate(IborIndex,X2562,Trigger)</f>
        <v>57119</v>
      </c>
      <c r="Z2562" s="199">
        <v>2.582963841148906E-2</v>
      </c>
      <c r="AA2562" s="201">
        <v>2.5812521923906928E-2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57124</v>
      </c>
      <c r="Y2563" s="198">
        <f>_xll.qlInterestRateIndexValueDate(IborIndex,X2563,Trigger)</f>
        <v>57126</v>
      </c>
      <c r="Z2563" s="199">
        <v>2.5822862931141961E-2</v>
      </c>
      <c r="AA2563" s="201">
        <v>2.5804770282498168E-2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57131</v>
      </c>
      <c r="Y2564" s="198">
        <f>_xll.qlInterestRateIndexValueDate(IborIndex,X2564,Trigger)</f>
        <v>57133</v>
      </c>
      <c r="Z2564" s="199">
        <v>2.5816101989926048E-2</v>
      </c>
      <c r="AA2564" s="201">
        <v>2.5798968983457016E-2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57138</v>
      </c>
      <c r="Y2565" s="198">
        <f>_xll.qlInterestRateIndexValueDate(IborIndex,X2565,Trigger)</f>
        <v>57140</v>
      </c>
      <c r="Z2565" s="199">
        <v>2.5809355587820701E-2</v>
      </c>
      <c r="AA2565" s="201">
        <v>2.5792214269548808E-2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57145</v>
      </c>
      <c r="Y2566" s="198">
        <f>_xll.qlInterestRateIndexValueDate(IborIndex,X2566,Trigger)</f>
        <v>57147</v>
      </c>
      <c r="Z2566" s="199">
        <v>2.5802623724797549E-2</v>
      </c>
      <c r="AA2566" s="201">
        <v>2.578547405947873E-2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57152</v>
      </c>
      <c r="Y2567" s="198">
        <f>_xll.qlInterestRateIndexValueDate(IborIndex,X2567,Trigger)</f>
        <v>57154</v>
      </c>
      <c r="Z2567" s="199">
        <v>2.5795906400835962E-2</v>
      </c>
      <c r="AA2567" s="201">
        <v>2.57787483537264E-2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57159</v>
      </c>
      <c r="Y2568" s="198">
        <f>_xll.qlInterestRateIndexValueDate(IborIndex,X2568,Trigger)</f>
        <v>57161</v>
      </c>
      <c r="Z2568" s="199">
        <v>2.5789203615902423E-2</v>
      </c>
      <c r="AA2568" s="201">
        <v>2.5772037152052008E-2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57166</v>
      </c>
      <c r="Y2569" s="198">
        <f>_xll.qlInterestRateIndexValueDate(IborIndex,X2569,Trigger)</f>
        <v>57168</v>
      </c>
      <c r="Z2569" s="199">
        <v>2.5782515369973724E-2</v>
      </c>
      <c r="AA2569" s="201">
        <v>2.5765340454455554E-2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57173</v>
      </c>
      <c r="Y2570" s="198">
        <f>_xll.qlInterestRateIndexValueDate(IborIndex,X2570,Trigger)</f>
        <v>57175</v>
      </c>
      <c r="Z2570" s="199">
        <v>2.5775841663026655E-2</v>
      </c>
      <c r="AA2570" s="201">
        <v>2.5758658261176848E-2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57180</v>
      </c>
      <c r="Y2571" s="198">
        <f>_xll.qlInterestRateIndexValueDate(IborIndex,X2571,Trigger)</f>
        <v>57182</v>
      </c>
      <c r="Z2571" s="199">
        <v>2.5769182495040587E-2</v>
      </c>
      <c r="AA2571" s="201">
        <v>2.5751990571656336E-2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57187</v>
      </c>
      <c r="Y2572" s="198">
        <f>_xll.qlInterestRateIndexValueDate(IborIndex,X2572,Trigger)</f>
        <v>57189</v>
      </c>
      <c r="Z2572" s="199">
        <v>2.5762985709001929E-2</v>
      </c>
      <c r="AA2572" s="201">
        <v>2.5745337386453571E-2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57194</v>
      </c>
      <c r="Y2573" s="198">
        <f>_xll.qlInterestRateIndexValueDate(IborIndex,X2573,Trigger)</f>
        <v>57196</v>
      </c>
      <c r="Z2573" s="199">
        <v>2.5756356183528339E-2</v>
      </c>
      <c r="AA2573" s="201">
        <v>2.5738698705328744E-2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57201</v>
      </c>
      <c r="Y2574" s="198">
        <f>_xll.qlInterestRateIndexValueDate(IborIndex,X2574,Trigger)</f>
        <v>57203</v>
      </c>
      <c r="Z2574" s="199">
        <v>2.5749292224569918E-2</v>
      </c>
      <c r="AA2574" s="201">
        <v>2.573207452820192E-2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57208</v>
      </c>
      <c r="Y2575" s="198">
        <f>_xll.qlInterestRateIndexValueDate(IborIndex,X2575,Trigger)</f>
        <v>57210</v>
      </c>
      <c r="Z2575" s="199">
        <v>2.5742691212162272E-2</v>
      </c>
      <c r="AA2575" s="201">
        <v>2.5725464855232971E-2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57215</v>
      </c>
      <c r="Y2576" s="198">
        <f>_xll.qlInterestRateIndexValueDate(IborIndex,X2576,Trigger)</f>
        <v>57217</v>
      </c>
      <c r="Z2576" s="199">
        <v>2.5736104738589272E-2</v>
      </c>
      <c r="AA2576" s="201">
        <v>2.5717928703530291E-2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57222</v>
      </c>
      <c r="Y2577" s="198">
        <f>_xll.qlInterestRateIndexValueDate(IborIndex,X2577,Trigger)</f>
        <v>57224</v>
      </c>
      <c r="Z2577" s="199">
        <v>2.5729532803819986E-2</v>
      </c>
      <c r="AA2577" s="201">
        <v>2.5712289021848633E-2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57229</v>
      </c>
      <c r="Y2578" s="198">
        <f>_xll.qlInterestRateIndexValueDate(IborIndex,X2578,Trigger)</f>
        <v>57231</v>
      </c>
      <c r="Z2578" s="199">
        <v>2.5723426656283355E-2</v>
      </c>
      <c r="AA2578" s="201">
        <v>2.57057228611135E-2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57236</v>
      </c>
      <c r="Y2579" s="198">
        <f>_xll.qlInterestRateIndexValueDate(IborIndex,X2579,Trigger)</f>
        <v>57238</v>
      </c>
      <c r="Z2579" s="199">
        <v>2.5716432550607446E-2</v>
      </c>
      <c r="AA2579" s="201">
        <v>2.5699171204616178E-2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57243</v>
      </c>
      <c r="Y2580" s="198">
        <f>_xll.qlInterestRateIndexValueDate(IborIndex,X2580,Trigger)</f>
        <v>57245</v>
      </c>
      <c r="Z2580" s="199">
        <v>2.5709904232117782E-2</v>
      </c>
      <c r="AA2580" s="201">
        <v>2.569263405227673E-2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57250</v>
      </c>
      <c r="Y2581" s="198">
        <f>_xll.qlInterestRateIndexValueDate(IborIndex,X2581,Trigger)</f>
        <v>57252</v>
      </c>
      <c r="Z2581" s="199">
        <v>2.5703843419103978E-2</v>
      </c>
      <c r="AA2581" s="201">
        <v>2.5686111403935286E-2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57257</v>
      </c>
      <c r="Y2582" s="198">
        <f>_xll.qlInterestRateIndexValueDate(IborIndex,X2582,Trigger)</f>
        <v>57259</v>
      </c>
      <c r="Z2582" s="199">
        <v>2.5696891211237565E-2</v>
      </c>
      <c r="AA2582" s="201">
        <v>2.5679603259591843E-2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57264</v>
      </c>
      <c r="Y2583" s="198">
        <f>_xll.qlInterestRateIndexValueDate(IborIndex,X2583,Trigger)</f>
        <v>57266</v>
      </c>
      <c r="Z2583" s="199">
        <v>2.569040650880576E-2</v>
      </c>
      <c r="AA2583" s="201">
        <v>2.5673109619646084E-2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57271</v>
      </c>
      <c r="Y2584" s="198">
        <f>_xll.qlInterestRateIndexValueDate(IborIndex,X2584,Trigger)</f>
        <v>57273</v>
      </c>
      <c r="Z2584" s="199">
        <v>2.5683936345002323E-2</v>
      </c>
      <c r="AA2584" s="201">
        <v>2.5666630483618391E-2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57278</v>
      </c>
      <c r="Y2585" s="198">
        <f>_xll.qlInterestRateIndexValueDate(IborIndex,X2585,Trigger)</f>
        <v>57280</v>
      </c>
      <c r="Z2585" s="199">
        <v>2.5677480719822093E-2</v>
      </c>
      <c r="AA2585" s="201">
        <v>2.5660165851588701E-2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57285</v>
      </c>
      <c r="Y2586" s="198">
        <f>_xll.qlInterestRateIndexValueDate(IborIndex,X2586,Trigger)</f>
        <v>57287</v>
      </c>
      <c r="Z2586" s="199">
        <v>2.5671039633226391E-2</v>
      </c>
      <c r="AA2586" s="201">
        <v>2.5653715723876758E-2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57292</v>
      </c>
      <c r="Y2587" s="198">
        <f>_xll.qlInterestRateIndexValueDate(IborIndex,X2587,Trigger)</f>
        <v>57297</v>
      </c>
      <c r="Z2587" s="199">
        <v>2.5661406694283961E-2</v>
      </c>
      <c r="AA2587" s="201">
        <v>2.5646361909359428E-2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57299</v>
      </c>
      <c r="Y2588" s="198">
        <f>_xll.qlInterestRateIndexValueDate(IborIndex,X2588,Trigger)</f>
        <v>57301</v>
      </c>
      <c r="Z2588" s="199">
        <v>2.5658201075700909E-2</v>
      </c>
      <c r="AA2588" s="201">
        <v>2.5640858980526815E-2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57306</v>
      </c>
      <c r="Y2589" s="198">
        <f>_xll.qlInterestRateIndexValueDate(IborIndex,X2589,Trigger)</f>
        <v>57308</v>
      </c>
      <c r="Z2589" s="199">
        <v>2.5652718881309482E-2</v>
      </c>
      <c r="AA2589" s="201">
        <v>2.5634452365048688E-2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57313</v>
      </c>
      <c r="Y2590" s="198">
        <f>_xll.qlInterestRateIndexValueDate(IborIndex,X2590,Trigger)</f>
        <v>57315</v>
      </c>
      <c r="Z2590" s="199">
        <v>2.5645878856107029E-2</v>
      </c>
      <c r="AA2590" s="201">
        <v>2.5628060253488627E-2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57320</v>
      </c>
      <c r="Y2591" s="198">
        <f>_xll.qlInterestRateIndexValueDate(IborIndex,X2591,Trigger)</f>
        <v>57322</v>
      </c>
      <c r="Z2591" s="199">
        <v>2.5639052278224213E-2</v>
      </c>
      <c r="AA2591" s="201">
        <v>2.5621682646326249E-2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57327</v>
      </c>
      <c r="Y2592" s="198">
        <f>_xll.qlInterestRateIndexValueDate(IborIndex,X2592,Trigger)</f>
        <v>57329</v>
      </c>
      <c r="Z2592" s="199">
        <v>2.563315777849573E-2</v>
      </c>
      <c r="AA2592" s="201">
        <v>2.5615319542922066E-2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57334</v>
      </c>
      <c r="Y2593" s="198">
        <f>_xll.qlInterestRateIndexValueDate(IborIndex,X2593,Trigger)</f>
        <v>57336</v>
      </c>
      <c r="Z2593" s="199">
        <v>2.5626359105502278E-2</v>
      </c>
      <c r="AA2593" s="201">
        <v>2.5607159722422779E-2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57341</v>
      </c>
      <c r="Y2594" s="198">
        <f>_xll.qlInterestRateIndexValueDate(IborIndex,X2594,Trigger)</f>
        <v>57343</v>
      </c>
      <c r="Z2594" s="199">
        <v>2.5620955469585611E-2</v>
      </c>
      <c r="AA2594" s="201">
        <v>2.5601733162021745E-2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57348</v>
      </c>
      <c r="Y2595" s="198">
        <f>_xll.qlInterestRateIndexValueDate(IborIndex,X2595,Trigger)</f>
        <v>57350</v>
      </c>
      <c r="Z2595" s="199">
        <v>2.561372408636552E-2</v>
      </c>
      <c r="AA2595" s="201">
        <v>2.5596317257896573E-2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57355</v>
      </c>
      <c r="Y2596" s="198">
        <f>_xll.qlInterestRateIndexValueDate(IborIndex,X2596,Trigger)</f>
        <v>57357</v>
      </c>
      <c r="Z2596" s="199">
        <v>2.5607428384333563E-2</v>
      </c>
      <c r="AA2596" s="201">
        <v>2.5590012170804144E-2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57362</v>
      </c>
      <c r="Y2597" s="198">
        <f>_xll.qlInterestRateIndexValueDate(IborIndex,X2597,Trigger)</f>
        <v>57364</v>
      </c>
      <c r="Z2597" s="199">
        <v>2.5601609526419988E-2</v>
      </c>
      <c r="AA2597" s="201">
        <v>2.5583721588189334E-2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57369</v>
      </c>
      <c r="Y2598" s="198">
        <f>_xll.qlInterestRateIndexValueDate(IborIndex,X2598,Trigger)</f>
        <v>57371</v>
      </c>
      <c r="Z2598" s="199">
        <v>2.5594880595226452E-2</v>
      </c>
      <c r="AA2598" s="201">
        <v>2.5577445509412655E-2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57376</v>
      </c>
      <c r="Y2599" s="198">
        <f>_xll.qlInterestRateIndexValueDate(IborIndex,X2599,Trigger)</f>
        <v>57378</v>
      </c>
      <c r="Z2599" s="199">
        <v>2.5587238498863445E-2</v>
      </c>
      <c r="AA2599" s="201">
        <v>2.5571183934873787E-2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57383</v>
      </c>
      <c r="Y2600" s="198">
        <f>_xll.qlInterestRateIndexValueDate(IborIndex,X2600,Trigger)</f>
        <v>57385</v>
      </c>
      <c r="Z2600" s="199">
        <v>2.5580999163706344E-2</v>
      </c>
      <c r="AA2600" s="201">
        <v>2.5564936864252985E-2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57390</v>
      </c>
      <c r="Y2601" s="198">
        <f>_xll.qlInterestRateIndexValueDate(IborIndex,X2601,Trigger)</f>
        <v>57392</v>
      </c>
      <c r="Z2601" s="199">
        <v>2.5574774363374013E-2</v>
      </c>
      <c r="AA2601" s="201">
        <v>2.5558704297869994E-2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57397</v>
      </c>
      <c r="Y2602" s="198">
        <f>_xll.qlInterestRateIndexValueDate(IborIndex,X2602,Trigger)</f>
        <v>57399</v>
      </c>
      <c r="Z2602" s="199">
        <v>2.5568564097835048E-2</v>
      </c>
      <c r="AA2602" s="201">
        <v>2.5552486235485006E-2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57404</v>
      </c>
      <c r="Y2603" s="198">
        <f>_xll.qlInterestRateIndexValueDate(IborIndex,X2603,Trigger)</f>
        <v>57406</v>
      </c>
      <c r="Z2603" s="199">
        <v>2.556376554192611E-2</v>
      </c>
      <c r="AA2603" s="201">
        <v>2.5546282677177956E-2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57411</v>
      </c>
      <c r="Y2604" s="198">
        <f>_xll.qlInterestRateIndexValueDate(IborIndex,X2604,Trigger)</f>
        <v>57413</v>
      </c>
      <c r="Z2604" s="199">
        <v>2.5557586145847411E-2</v>
      </c>
      <c r="AA2604" s="201">
        <v>2.5540093622948845E-2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57418</v>
      </c>
      <c r="Y2605" s="198">
        <f>_xll.qlInterestRateIndexValueDate(IborIndex,X2605,Trigger)</f>
        <v>57420</v>
      </c>
      <c r="Z2605" s="199">
        <v>2.5551421287904563E-2</v>
      </c>
      <c r="AA2605" s="201">
        <v>2.5533919072877609E-2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57425</v>
      </c>
      <c r="Y2606" s="198">
        <f>_xll.qlInterestRateIndexValueDate(IborIndex,X2606,Trigger)</f>
        <v>57427</v>
      </c>
      <c r="Z2606" s="199">
        <v>2.5545738655545214E-2</v>
      </c>
      <c r="AA2606" s="201">
        <v>2.5527759026884311E-2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57432</v>
      </c>
      <c r="Y2607" s="198">
        <f>_xll.qlInterestRateIndexValueDate(IborIndex,X2607,Trigger)</f>
        <v>57434</v>
      </c>
      <c r="Z2607" s="199">
        <v>2.5539135186349083E-2</v>
      </c>
      <c r="AA2607" s="201">
        <v>2.5521613484889016E-2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57439</v>
      </c>
      <c r="Y2608" s="198">
        <f>_xll.qlInterestRateIndexValueDate(IborIndex,X2608,Trigger)</f>
        <v>57441</v>
      </c>
      <c r="Z2608" s="199">
        <v>2.5533482838561439E-2</v>
      </c>
      <c r="AA2608" s="201">
        <v>2.551548244697166E-2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57446</v>
      </c>
      <c r="Y2609" s="198">
        <f>_xll.qlInterestRateIndexValueDate(IborIndex,X2609,Trigger)</f>
        <v>57448</v>
      </c>
      <c r="Z2609" s="199">
        <v>2.5526907237071433E-2</v>
      </c>
      <c r="AA2609" s="201">
        <v>2.5509365913372051E-2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57453</v>
      </c>
      <c r="Y2610" s="198">
        <f>_xll.qlInterestRateIndexValueDate(IborIndex,X2610,Trigger)</f>
        <v>57459</v>
      </c>
      <c r="Z2610" s="199">
        <v>2.5516869982125101E-2</v>
      </c>
      <c r="AA2610" s="201">
        <v>2.5501523110564861E-2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57460</v>
      </c>
      <c r="Y2611" s="198">
        <f>_xll.qlInterestRateIndexValueDate(IborIndex,X2611,Trigger)</f>
        <v>57462</v>
      </c>
      <c r="Z2611" s="199">
        <v>2.5515208156876024E-2</v>
      </c>
      <c r="AA2611" s="201">
        <v>2.5497176357927032E-2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57467</v>
      </c>
      <c r="Y2612" s="198">
        <f>_xll.qlInterestRateIndexValueDate(IborIndex,X2612,Trigger)</f>
        <v>57469</v>
      </c>
      <c r="Z2612" s="199">
        <v>2.5508674348282984E-2</v>
      </c>
      <c r="AA2612" s="201">
        <v>2.5490236945922007E-2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57474</v>
      </c>
      <c r="Y2613" s="198">
        <f>_xll.qlInterestRateIndexValueDate(IborIndex,X2613,Trigger)</f>
        <v>57476</v>
      </c>
      <c r="Z2613" s="199">
        <v>2.5502625794627629E-2</v>
      </c>
      <c r="AA2613" s="201">
        <v>2.5485044818953639E-2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57481</v>
      </c>
      <c r="Y2614" s="198">
        <f>_xll.qlInterestRateIndexValueDate(IborIndex,X2614,Trigger)</f>
        <v>57483</v>
      </c>
      <c r="Z2614" s="199">
        <v>2.5496591778907004E-2</v>
      </c>
      <c r="AA2614" s="201">
        <v>2.5479000805423979E-2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57488</v>
      </c>
      <c r="Y2615" s="198">
        <f>_xll.qlInterestRateIndexValueDate(IborIndex,X2615,Trigger)</f>
        <v>57490</v>
      </c>
      <c r="Z2615" s="199">
        <v>2.5490572301097893E-2</v>
      </c>
      <c r="AA2615" s="201">
        <v>2.5472111121800367E-2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57495</v>
      </c>
      <c r="Y2616" s="198">
        <f>_xll.qlInterestRateIndexValueDate(IborIndex,X2616,Trigger)</f>
        <v>57497</v>
      </c>
      <c r="Z2616" s="199">
        <v>2.548456736117452E-2</v>
      </c>
      <c r="AA2616" s="201">
        <v>2.5466956290998155E-2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57502</v>
      </c>
      <c r="Y2617" s="198">
        <f>_xll.qlInterestRateIndexValueDate(IborIndex,X2617,Trigger)</f>
        <v>57504</v>
      </c>
      <c r="Z2617" s="199">
        <v>2.5478576959118829E-2</v>
      </c>
      <c r="AA2617" s="201">
        <v>2.5460955789942119E-2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57509</v>
      </c>
      <c r="Y2618" s="198">
        <f>_xll.qlInterestRateIndexValueDate(IborIndex,X2618,Trigger)</f>
        <v>57511</v>
      </c>
      <c r="Z2618" s="199">
        <v>2.5472601094905036E-2</v>
      </c>
      <c r="AA2618" s="201">
        <v>2.5454969792724214E-2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57516</v>
      </c>
      <c r="Y2619" s="198">
        <f>_xll.qlInterestRateIndexValueDate(IborIndex,X2619,Trigger)</f>
        <v>57518</v>
      </c>
      <c r="Z2619" s="199">
        <v>2.5466639768512513E-2</v>
      </c>
      <c r="AA2619" s="201">
        <v>2.5448998299744119E-2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57523</v>
      </c>
      <c r="Y2620" s="198">
        <f>_xll.qlInterestRateIndexValueDate(IborIndex,X2620,Trigger)</f>
        <v>57525</v>
      </c>
      <c r="Z2620" s="199">
        <v>2.5461169221152324E-2</v>
      </c>
      <c r="AA2620" s="201">
        <v>2.5443041310762027E-2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57530</v>
      </c>
      <c r="Y2621" s="198">
        <f>_xll.qlInterestRateIndexValueDate(IborIndex,X2621,Trigger)</f>
        <v>57532</v>
      </c>
      <c r="Z2621" s="199">
        <v>2.5454760729101026E-2</v>
      </c>
      <c r="AA2621" s="201">
        <v>2.5437098825857873E-2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57537</v>
      </c>
      <c r="Y2622" s="198">
        <f>_xll.qlInterestRateIndexValueDate(IborIndex,X2622,Trigger)</f>
        <v>57539</v>
      </c>
      <c r="Z2622" s="199">
        <v>2.5448843016033069E-2</v>
      </c>
      <c r="AA2622" s="201">
        <v>2.5431170845031659E-2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57544</v>
      </c>
      <c r="Y2623" s="198">
        <f>_xll.qlInterestRateIndexValueDate(IborIndex,X2623,Trigger)</f>
        <v>57546</v>
      </c>
      <c r="Z2623" s="199">
        <v>2.5442939840701288E-2</v>
      </c>
      <c r="AA2623" s="201">
        <v>2.5425257368363319E-2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57551</v>
      </c>
      <c r="Y2624" s="198">
        <f>_xll.qlInterestRateIndexValueDate(IborIndex,X2624,Trigger)</f>
        <v>57553</v>
      </c>
      <c r="Z2624" s="199">
        <v>2.5437529928771241E-2</v>
      </c>
      <c r="AA2624" s="201">
        <v>2.5419358395692981E-2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57558</v>
      </c>
      <c r="Y2625" s="198">
        <f>_xll.qlInterestRateIndexValueDate(IborIndex,X2625,Trigger)</f>
        <v>57560</v>
      </c>
      <c r="Z2625" s="199">
        <v>2.5431656452755691E-2</v>
      </c>
      <c r="AA2625" s="201">
        <v>2.5413473927020647E-2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57565</v>
      </c>
      <c r="Y2626" s="198">
        <f>_xll.qlInterestRateIndexValueDate(IborIndex,X2626,Trigger)</f>
        <v>57567</v>
      </c>
      <c r="Z2626" s="199">
        <v>2.5425317540872874E-2</v>
      </c>
      <c r="AA2626" s="201">
        <v>2.5407603962586123E-2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57572</v>
      </c>
      <c r="Y2627" s="198">
        <f>_xll.qlInterestRateIndexValueDate(IborIndex,X2627,Trigger)</f>
        <v>57574</v>
      </c>
      <c r="Z2627" s="199">
        <v>2.5419472516248567E-2</v>
      </c>
      <c r="AA2627" s="201">
        <v>2.5401748502149601E-2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57579</v>
      </c>
      <c r="Y2628" s="198">
        <f>_xll.qlInterestRateIndexValueDate(IborIndex,X2628,Trigger)</f>
        <v>57581</v>
      </c>
      <c r="Z2628" s="199">
        <v>2.5413642029239243E-2</v>
      </c>
      <c r="AA2628" s="201">
        <v>2.5395074307272836E-2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57586</v>
      </c>
      <c r="Y2629" s="198">
        <f>_xll.qlInterestRateIndexValueDate(IborIndex,X2629,Trigger)</f>
        <v>57588</v>
      </c>
      <c r="Z2629" s="199">
        <v>2.5406381006035809E-2</v>
      </c>
      <c r="AA2629" s="201">
        <v>2.5390081093270567E-2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57593</v>
      </c>
      <c r="Y2630" s="198">
        <f>_xll.qlInterestRateIndexValueDate(IborIndex,X2630,Trigger)</f>
        <v>57595</v>
      </c>
      <c r="Z2630" s="199">
        <v>2.5402507153985954E-2</v>
      </c>
      <c r="AA2630" s="201">
        <v>2.5384269145067861E-2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57600</v>
      </c>
      <c r="Y2631" s="198">
        <f>_xll.qlInterestRateIndexValueDate(IborIndex,X2631,Trigger)</f>
        <v>57602</v>
      </c>
      <c r="Z2631" s="199">
        <v>2.5396237793741297E-2</v>
      </c>
      <c r="AA2631" s="201">
        <v>2.5378471700863159E-2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57607</v>
      </c>
      <c r="Y2632" s="198">
        <f>_xll.qlInterestRateIndexValueDate(IborIndex,X2632,Trigger)</f>
        <v>57609</v>
      </c>
      <c r="Z2632" s="199">
        <v>2.5390465456998509E-2</v>
      </c>
      <c r="AA2632" s="201">
        <v>2.5372688760576523E-2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57614</v>
      </c>
      <c r="Y2633" s="198">
        <f>_xll.qlInterestRateIndexValueDate(IborIndex,X2633,Trigger)</f>
        <v>57616</v>
      </c>
      <c r="Z2633" s="199">
        <v>2.5385676503334152E-2</v>
      </c>
      <c r="AA2633" s="201">
        <v>2.5366920324527698E-2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57621</v>
      </c>
      <c r="Y2634" s="198">
        <f>_xll.qlInterestRateIndexValueDate(IborIndex,X2634,Trigger)</f>
        <v>57623</v>
      </c>
      <c r="Z2634" s="199">
        <v>2.5378964396045877E-2</v>
      </c>
      <c r="AA2634" s="201">
        <v>2.5361166392636747E-2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57628</v>
      </c>
      <c r="Y2635" s="198">
        <f>_xll.qlInterestRateIndexValueDate(IborIndex,X2635,Trigger)</f>
        <v>57630</v>
      </c>
      <c r="Z2635" s="199">
        <v>2.5373721322037857E-2</v>
      </c>
      <c r="AA2635" s="201">
        <v>2.5355426964583927E-2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57635</v>
      </c>
      <c r="Y2636" s="198">
        <f>_xll.qlInterestRateIndexValueDate(IborIndex,X2636,Trigger)</f>
        <v>57637</v>
      </c>
      <c r="Z2636" s="199">
        <v>2.5367521484972993E-2</v>
      </c>
      <c r="AA2636" s="201">
        <v>2.5349702040609046E-2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57642</v>
      </c>
      <c r="Y2637" s="198">
        <f>_xll.qlInterestRateIndexValueDate(IborIndex,X2637,Trigger)</f>
        <v>57644</v>
      </c>
      <c r="Z2637" s="199">
        <v>2.5361821835583116E-2</v>
      </c>
      <c r="AA2637" s="201">
        <v>2.5343991620871975E-2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57649</v>
      </c>
      <c r="Y2638" s="198">
        <f>_xll.qlInterestRateIndexValueDate(IborIndex,X2638,Trigger)</f>
        <v>57651</v>
      </c>
      <c r="Z2638" s="199">
        <v>2.5356136723607096E-2</v>
      </c>
      <c r="AA2638" s="201">
        <v>2.5338295705212843E-2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57656</v>
      </c>
      <c r="Y2639" s="198">
        <f>_xll.qlInterestRateIndexValueDate(IborIndex,X2639,Trigger)</f>
        <v>57658</v>
      </c>
      <c r="Z2639" s="199">
        <v>2.5350466149008825E-2</v>
      </c>
      <c r="AA2639" s="201">
        <v>2.5332614293391842E-2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57663</v>
      </c>
      <c r="Y2640" s="198">
        <f>_xll.qlInterestRateIndexValueDate(IborIndex,X2640,Trigger)</f>
        <v>57665</v>
      </c>
      <c r="Z2640" s="199">
        <v>2.5344810111775418E-2</v>
      </c>
      <c r="AA2640" s="201">
        <v>2.5326947385728715E-2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57670</v>
      </c>
      <c r="Y2641" s="198">
        <f>_xll.qlInterestRateIndexValueDate(IborIndex,X2641,Trigger)</f>
        <v>57672</v>
      </c>
      <c r="Z2641" s="199">
        <v>2.5339168611881083E-2</v>
      </c>
      <c r="AA2641" s="201">
        <v>2.5321294982143527E-2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57677</v>
      </c>
      <c r="Y2642" s="198">
        <f>_xll.qlInterestRateIndexValueDate(IborIndex,X2642,Trigger)</f>
        <v>57679</v>
      </c>
      <c r="Z2642" s="199">
        <v>2.5333541649315509E-2</v>
      </c>
      <c r="AA2642" s="201">
        <v>2.5315657082636278E-2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57684</v>
      </c>
      <c r="Y2643" s="198">
        <f>_xll.qlInterestRateIndexValueDate(IborIndex,X2643,Trigger)</f>
        <v>57686</v>
      </c>
      <c r="Z2643" s="199">
        <v>2.5327929224042593E-2</v>
      </c>
      <c r="AA2643" s="201">
        <v>2.5310033687047095E-2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57691</v>
      </c>
      <c r="Y2644" s="198">
        <f>_xll.qlInterestRateIndexValueDate(IborIndex,X2644,Trigger)</f>
        <v>57693</v>
      </c>
      <c r="Z2644" s="199">
        <v>2.5322331336049445E-2</v>
      </c>
      <c r="AA2644" s="201">
        <v>2.5304424795695724E-2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57698</v>
      </c>
      <c r="Y2645" s="198">
        <f>_xll.qlInterestRateIndexValueDate(IborIndex,X2645,Trigger)</f>
        <v>57700</v>
      </c>
      <c r="Z2645" s="199">
        <v>2.5317240047472989E-2</v>
      </c>
      <c r="AA2645" s="201">
        <v>2.5297234675996094E-2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57706</v>
      </c>
      <c r="Y2646" s="198">
        <f>_xll.qlInterestRateIndexValueDate(IborIndex,X2646,Trigger)</f>
        <v>57710</v>
      </c>
      <c r="Z2646" s="199">
        <v>2.5308796987633251E-2</v>
      </c>
      <c r="AA2646" s="201">
        <v>2.5291658936605899E-2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57713</v>
      </c>
      <c r="Y2647" s="198">
        <f>_xll.qlInterestRateIndexValueDate(IborIndex,X2647,Trigger)</f>
        <v>57717</v>
      </c>
      <c r="Z2647" s="199">
        <v>2.5303248941579714E-2</v>
      </c>
      <c r="AA2647" s="201">
        <v>2.5286891275619894E-2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57720</v>
      </c>
      <c r="Y2648" s="198">
        <f>_xll.qlInterestRateIndexValueDate(IborIndex,X2648,Trigger)</f>
        <v>57724</v>
      </c>
      <c r="Z2648" s="199">
        <v>2.5297715432718269E-2</v>
      </c>
      <c r="AA2648" s="201">
        <v>2.5281342472363022E-2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57727</v>
      </c>
      <c r="Y2649" s="198">
        <f>_xll.qlInterestRateIndexValueDate(IborIndex,X2649,Trigger)</f>
        <v>57732</v>
      </c>
      <c r="Z2649" s="199">
        <v>2.529140922319208E-2</v>
      </c>
      <c r="AA2649" s="201">
        <v>2.5275018742902944E-2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57734</v>
      </c>
      <c r="Y2650" s="198">
        <f>_xll.qlInterestRateIndexValueDate(IborIndex,X2650,Trigger)</f>
        <v>57738</v>
      </c>
      <c r="Z2650" s="199">
        <v>2.5286692026455629E-2</v>
      </c>
      <c r="AA2650" s="201">
        <v>2.5270288378163031E-2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57741</v>
      </c>
      <c r="Y2651" s="198">
        <f>_xll.qlInterestRateIndexValueDate(IborIndex,X2651,Trigger)</f>
        <v>57745</v>
      </c>
      <c r="Z2651" s="199">
        <v>2.527971391458296E-2</v>
      </c>
      <c r="AA2651" s="201">
        <v>2.5264783087060039E-2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57748</v>
      </c>
      <c r="Y2652" s="198">
        <f>_xll.qlInterestRateIndexValueDate(IborIndex,X2652,Trigger)</f>
        <v>57752</v>
      </c>
      <c r="Z2652" s="199">
        <v>2.527423659190469E-2</v>
      </c>
      <c r="AA2652" s="201">
        <v>2.5259292300034986E-2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57755</v>
      </c>
      <c r="Y2653" s="198">
        <f>_xll.qlInterestRateIndexValueDate(IborIndex,X2653,Trigger)</f>
        <v>57760</v>
      </c>
      <c r="Z2653" s="199">
        <v>2.5267994591022802E-2</v>
      </c>
      <c r="AA2653" s="201">
        <v>2.5253034874817004E-2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57762</v>
      </c>
      <c r="Y2654" s="198">
        <f>_xll.qlInterestRateIndexValueDate(IborIndex,X2654,Trigger)</f>
        <v>57766</v>
      </c>
      <c r="Z2654" s="199">
        <v>2.5263325547864986E-2</v>
      </c>
      <c r="AA2654" s="201">
        <v>2.5248354238058823E-2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57769</v>
      </c>
      <c r="Y2655" s="198">
        <f>_xll.qlInterestRateIndexValueDate(IborIndex,X2655,Trigger)</f>
        <v>57773</v>
      </c>
      <c r="Z2655" s="199">
        <v>2.525938791013289E-2</v>
      </c>
      <c r="AA2655" s="201">
        <v>2.524290696318765E-2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57776</v>
      </c>
      <c r="Y2656" s="198">
        <f>_xll.qlInterestRateIndexValueDate(IborIndex,X2656,Trigger)</f>
        <v>57780</v>
      </c>
      <c r="Z2656" s="199">
        <v>2.5253970698011424E-2</v>
      </c>
      <c r="AA2656" s="201">
        <v>2.5237474192394416E-2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57783</v>
      </c>
      <c r="Y2657" s="198">
        <f>_xll.qlInterestRateIndexValueDate(IborIndex,X2657,Trigger)</f>
        <v>57787</v>
      </c>
      <c r="Z2657" s="199">
        <v>2.5248568022893821E-2</v>
      </c>
      <c r="AA2657" s="201">
        <v>2.523205592567912E-2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57790</v>
      </c>
      <c r="Y2658" s="198">
        <f>_xll.qlInterestRateIndexValueDate(IborIndex,X2658,Trigger)</f>
        <v>57794</v>
      </c>
      <c r="Z2658" s="199">
        <v>2.5243179884759444E-2</v>
      </c>
      <c r="AA2658" s="201">
        <v>2.5226652162881891E-2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57797</v>
      </c>
      <c r="Y2659" s="198">
        <f>_xll.qlInterestRateIndexValueDate(IborIndex,X2659,Trigger)</f>
        <v>57801</v>
      </c>
      <c r="Z2659" s="199">
        <v>2.5237304861818188E-2</v>
      </c>
      <c r="AA2659" s="201">
        <v>2.5221262904322472E-2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57804</v>
      </c>
      <c r="Y2660" s="198">
        <f>_xll.qlInterestRateIndexValueDate(IborIndex,X2660,Trigger)</f>
        <v>57808</v>
      </c>
      <c r="Z2660" s="199">
        <v>2.5231945134542855E-2</v>
      </c>
      <c r="AA2660" s="201">
        <v>2.521588814968112E-2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57811</v>
      </c>
      <c r="Y2661" s="198">
        <f>_xll.qlInterestRateIndexValueDate(IborIndex,X2661,Trigger)</f>
        <v>57817</v>
      </c>
      <c r="Z2661" s="199">
        <v>2.5225075415386655E-2</v>
      </c>
      <c r="AA2661" s="201">
        <v>2.5210000381807873E-2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57818</v>
      </c>
      <c r="Y2662" s="198">
        <f>_xll.qlInterestRateIndexValueDate(IborIndex,X2662,Trigger)</f>
        <v>57822</v>
      </c>
      <c r="Z2662" s="199">
        <v>2.5221269287459158E-2</v>
      </c>
      <c r="AA2662" s="201">
        <v>2.5205182152472361E-2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57825</v>
      </c>
      <c r="Y2663" s="198">
        <f>_xll.qlInterestRateIndexValueDate(IborIndex,X2663,Trigger)</f>
        <v>57829</v>
      </c>
      <c r="Z2663" s="199">
        <v>2.5215953167605498E-2</v>
      </c>
      <c r="AA2663" s="201">
        <v>2.5199850909984889E-2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57832</v>
      </c>
      <c r="Y2664" s="198">
        <f>_xll.qlInterestRateIndexValueDate(IborIndex,X2664,Trigger)</f>
        <v>57837</v>
      </c>
      <c r="Z2664" s="199">
        <v>2.5210400244294221E-2</v>
      </c>
      <c r="AA2664" s="201">
        <v>2.5193775821472641E-2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57839</v>
      </c>
      <c r="Y2665" s="198">
        <f>_xll.qlInterestRateIndexValueDate(IborIndex,X2665,Trigger)</f>
        <v>57843</v>
      </c>
      <c r="Z2665" s="199">
        <v>2.5205869951595822E-2</v>
      </c>
      <c r="AA2665" s="201">
        <v>2.5189231937083889E-2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57846</v>
      </c>
      <c r="Y2666" s="198">
        <f>_xll.qlInterestRateIndexValueDate(IborIndex,X2666,Trigger)</f>
        <v>57850</v>
      </c>
      <c r="Z2666" s="199">
        <v>2.5200598108589812E-2</v>
      </c>
      <c r="AA2666" s="201">
        <v>2.5183944206750297E-2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57853</v>
      </c>
      <c r="Y2667" s="198">
        <f>_xll.qlInterestRateIndexValueDate(IborIndex,X2667,Trigger)</f>
        <v>57858</v>
      </c>
      <c r="Z2667" s="199">
        <v>2.5194590945314614E-2</v>
      </c>
      <c r="AA2667" s="201">
        <v>2.517791884645959E-2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57860</v>
      </c>
      <c r="Y2668" s="198">
        <f>_xll.qlInterestRateIndexValueDate(IborIndex,X2668,Trigger)</f>
        <v>57864</v>
      </c>
      <c r="Z2668" s="199">
        <v>2.5189590604462353E-2</v>
      </c>
      <c r="AA2668" s="201">
        <v>2.5173412258077121E-2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57867</v>
      </c>
      <c r="Y2669" s="198">
        <f>_xll.qlInterestRateIndexValueDate(IborIndex,X2669,Trigger)</f>
        <v>57871</v>
      </c>
      <c r="Z2669" s="199">
        <v>2.5184361698929791E-2</v>
      </c>
      <c r="AA2669" s="201">
        <v>2.5168168039817473E-2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57874</v>
      </c>
      <c r="Y2670" s="198">
        <f>_xll.qlInterestRateIndexValueDate(IborIndex,X2670,Trigger)</f>
        <v>57878</v>
      </c>
      <c r="Z2670" s="199">
        <v>2.5179147329047247E-2</v>
      </c>
      <c r="AA2670" s="201">
        <v>2.5162938325555828E-2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57881</v>
      </c>
      <c r="Y2671" s="198">
        <f>_xll.qlInterestRateIndexValueDate(IborIndex,X2671,Trigger)</f>
        <v>57885</v>
      </c>
      <c r="Z2671" s="199">
        <v>2.5173947494793403E-2</v>
      </c>
      <c r="AA2671" s="201">
        <v>2.5157723115452058E-2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57888</v>
      </c>
      <c r="Y2672" s="198">
        <f>_xll.qlInterestRateIndexValueDate(IborIndex,X2672,Trigger)</f>
        <v>57892</v>
      </c>
      <c r="Z2672" s="199">
        <v>2.5169272322689069E-2</v>
      </c>
      <c r="AA2672" s="201">
        <v>2.515252240934629E-2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57895</v>
      </c>
      <c r="Y2673" s="198">
        <f>_xll.qlInterestRateIndexValueDate(IborIndex,X2673,Trigger)</f>
        <v>57899</v>
      </c>
      <c r="Z2673" s="199">
        <v>2.5164102236884436E-2</v>
      </c>
      <c r="AA2673" s="201">
        <v>2.5147336207078652E-2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57902</v>
      </c>
      <c r="Y2674" s="198">
        <f>_xll.qlInterestRateIndexValueDate(IborIndex,X2674,Trigger)</f>
        <v>57906</v>
      </c>
      <c r="Z2674" s="199">
        <v>2.515894668774071E-2</v>
      </c>
      <c r="AA2674" s="201">
        <v>2.5142164508968889E-2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57909</v>
      </c>
      <c r="Y2675" s="198">
        <f>_xll.qlInterestRateIndexValueDate(IborIndex,X2675,Trigger)</f>
        <v>57913</v>
      </c>
      <c r="Z2675" s="199">
        <v>2.5153805675242415E-2</v>
      </c>
      <c r="AA2675" s="201">
        <v>2.5137007315017001E-2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57916</v>
      </c>
      <c r="Y2676" s="198">
        <f>_xll.qlInterestRateIndexValueDate(IborIndex,X2676,Trigger)</f>
        <v>57920</v>
      </c>
      <c r="Z2676" s="199">
        <v>2.5148679199371509E-2</v>
      </c>
      <c r="AA2676" s="201">
        <v>2.513186462498318E-2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57923</v>
      </c>
      <c r="Y2677" s="198">
        <f>_xll.qlInterestRateIndexValueDate(IborIndex,X2677,Trigger)</f>
        <v>57927</v>
      </c>
      <c r="Z2677" s="199">
        <v>2.5143567260104784E-2</v>
      </c>
      <c r="AA2677" s="201">
        <v>2.5126736439027297E-2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57930</v>
      </c>
      <c r="Y2678" s="198">
        <f>_xll.qlInterestRateIndexValueDate(IborIndex,X2678,Trigger)</f>
        <v>57934</v>
      </c>
      <c r="Z2678" s="199">
        <v>2.5138469857431921E-2</v>
      </c>
      <c r="AA2678" s="201">
        <v>2.5121622757149353E-2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57937</v>
      </c>
      <c r="Y2679" s="198">
        <f>_xll.qlInterestRateIndexValueDate(IborIndex,X2679,Trigger)</f>
        <v>57941</v>
      </c>
      <c r="Z2679" s="199">
        <v>2.5133386991321977E-2</v>
      </c>
      <c r="AA2679" s="201">
        <v>2.5116523579189476E-2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57944</v>
      </c>
      <c r="Y2680" s="198">
        <f>_xll.qlInterestRateIndexValueDate(IborIndex,X2680,Trigger)</f>
        <v>57949</v>
      </c>
      <c r="Z2680" s="199">
        <v>2.51275958013428E-2</v>
      </c>
      <c r="AA2680" s="201">
        <v>2.5110713707325871E-2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57951</v>
      </c>
      <c r="Y2681" s="198">
        <f>_xll.qlInterestRateIndexValueDate(IborIndex,X2681,Trigger)</f>
        <v>57956</v>
      </c>
      <c r="Z2681" s="199">
        <v>2.5122027726167673E-2</v>
      </c>
      <c r="AA2681" s="201">
        <v>2.5105645609464489E-2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57958</v>
      </c>
      <c r="Y2682" s="198">
        <f>_xll.qlInterestRateIndexValueDate(IborIndex,X2682,Trigger)</f>
        <v>57962</v>
      </c>
      <c r="Z2682" s="199">
        <v>2.511770866450469E-2</v>
      </c>
      <c r="AA2682" s="201">
        <v>2.5101313069777476E-2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57965</v>
      </c>
      <c r="Y2683" s="198">
        <f>_xll.qlInterestRateIndexValueDate(IborIndex,X2683,Trigger)</f>
        <v>57969</v>
      </c>
      <c r="Z2683" s="199">
        <v>2.5112683256404367E-2</v>
      </c>
      <c r="AA2683" s="201">
        <v>2.5096271907889545E-2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57972</v>
      </c>
      <c r="Y2684" s="198">
        <f>_xll.qlInterestRateIndexValueDate(IborIndex,X2684,Trigger)</f>
        <v>57976</v>
      </c>
      <c r="Z2684" s="199">
        <v>2.5107672383698265E-2</v>
      </c>
      <c r="AA2684" s="201">
        <v>2.5091245249999616E-2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57979</v>
      </c>
      <c r="Y2685" s="198">
        <f>_xll.qlInterestRateIndexValueDate(IborIndex,X2685,Trigger)</f>
        <v>57983</v>
      </c>
      <c r="Z2685" s="199">
        <v>2.5103195061563114E-2</v>
      </c>
      <c r="AA2685" s="201">
        <v>2.5086233096347499E-2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57986</v>
      </c>
      <c r="Y2686" s="198">
        <f>_xll.qlInterestRateIndexValueDate(IborIndex,X2686,Trigger)</f>
        <v>57990</v>
      </c>
      <c r="Z2686" s="199">
        <v>2.509821395090369E-2</v>
      </c>
      <c r="AA2686" s="201">
        <v>2.5081235446693384E-2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57993</v>
      </c>
      <c r="Y2687" s="198">
        <f>_xll.qlInterestRateIndexValueDate(IborIndex,X2687,Trigger)</f>
        <v>57998</v>
      </c>
      <c r="Z2687" s="199">
        <v>2.5092539052708456E-2</v>
      </c>
      <c r="AA2687" s="201">
        <v>2.5075541607053609E-2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58000</v>
      </c>
      <c r="Y2688" s="198">
        <f>_xll.qlInterestRateIndexValueDate(IborIndex,X2688,Trigger)</f>
        <v>58004</v>
      </c>
      <c r="Z2688" s="199">
        <v>2.5088295338830086E-2</v>
      </c>
      <c r="AA2688" s="201">
        <v>2.5071283659299226E-2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58007</v>
      </c>
      <c r="Y2689" s="198">
        <f>_xll.qlInterestRateIndexValueDate(IborIndex,X2689,Trigger)</f>
        <v>58011</v>
      </c>
      <c r="Z2689" s="199">
        <v>2.5083879714825341E-2</v>
      </c>
      <c r="AA2689" s="201">
        <v>2.5066329521719055E-2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58014</v>
      </c>
      <c r="Y2690" s="198">
        <f>_xll.qlInterestRateIndexValueDate(IborIndex,X2690,Trigger)</f>
        <v>58018</v>
      </c>
      <c r="Z2690" s="199">
        <v>2.5077912389679824E-2</v>
      </c>
      <c r="AA2690" s="201">
        <v>2.5061389888136887E-2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58021</v>
      </c>
      <c r="Y2691" s="198">
        <f>_xll.qlInterestRateIndexValueDate(IborIndex,X2691,Trigger)</f>
        <v>58026</v>
      </c>
      <c r="Z2691" s="199">
        <v>2.5072303147124053E-2</v>
      </c>
      <c r="AA2691" s="201">
        <v>2.5055762352659272E-2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58028</v>
      </c>
      <c r="Y2692" s="198">
        <f>_xll.qlInterestRateIndexValueDate(IborIndex,X2692,Trigger)</f>
        <v>58032</v>
      </c>
      <c r="Z2692" s="199">
        <v>2.5068108673995226E-2</v>
      </c>
      <c r="AA2692" s="201">
        <v>2.5051554132966558E-2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58035</v>
      </c>
      <c r="Y2693" s="198">
        <f>_xll.qlInterestRateIndexValueDate(IborIndex,X2693,Trigger)</f>
        <v>58039</v>
      </c>
      <c r="Z2693" s="199">
        <v>2.5064277861959472E-2</v>
      </c>
      <c r="AA2693" s="201">
        <v>2.504665801153827E-2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58042</v>
      </c>
      <c r="Y2694" s="198">
        <f>_xll.qlInterestRateIndexValueDate(IborIndex,X2694,Trigger)</f>
        <v>58046</v>
      </c>
      <c r="Z2694" s="199">
        <v>2.5058888375153035E-2</v>
      </c>
      <c r="AA2694" s="201">
        <v>2.5041776393948112E-2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58049</v>
      </c>
      <c r="Y2695" s="198">
        <f>_xll.qlInterestRateIndexValueDate(IborIndex,X2695,Trigger)</f>
        <v>58053</v>
      </c>
      <c r="Z2695" s="199">
        <v>2.5054038091589865E-2</v>
      </c>
      <c r="AA2695" s="201">
        <v>2.5036909280435893E-2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58056</v>
      </c>
      <c r="Y2696" s="198">
        <f>_xll.qlInterestRateIndexValueDate(IborIndex,X2696,Trigger)</f>
        <v>58060</v>
      </c>
      <c r="Z2696" s="199">
        <v>2.5049202344280184E-2</v>
      </c>
      <c r="AA2696" s="201">
        <v>2.5032056671161484E-2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58063</v>
      </c>
      <c r="Y2697" s="198">
        <f>_xll.qlInterestRateIndexValueDate(IborIndex,X2697,Trigger)</f>
        <v>58067</v>
      </c>
      <c r="Z2697" s="199">
        <v>2.5044381133211099E-2</v>
      </c>
      <c r="AA2697" s="201">
        <v>2.5026889276755782E-2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58071</v>
      </c>
      <c r="Y2698" s="198">
        <f>_xll.qlInterestRateIndexValueDate(IborIndex,X2698,Trigger)</f>
        <v>58075</v>
      </c>
      <c r="Z2698" s="199">
        <v>2.5038888977144392E-2</v>
      </c>
      <c r="AA2698" s="201">
        <v>2.5022071221600939E-2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58078</v>
      </c>
      <c r="Y2699" s="198">
        <f>_xll.qlInterestRateIndexValueDate(IborIndex,X2699,Trigger)</f>
        <v>58082</v>
      </c>
      <c r="Z2699" s="199">
        <v>2.5034098915086424E-2</v>
      </c>
      <c r="AA2699" s="201">
        <v>2.501690003689383E-2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58085</v>
      </c>
      <c r="Y2700" s="198">
        <f>_xll.qlInterestRateIndexValueDate(IborIndex,X2700,Trigger)</f>
        <v>58089</v>
      </c>
      <c r="Z2700" s="199">
        <v>2.502932338920201E-2</v>
      </c>
      <c r="AA2700" s="201">
        <v>2.501210751555405E-2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58092</v>
      </c>
      <c r="Y2701" s="198">
        <f>_xll.qlInterestRateIndexValueDate(IborIndex,X2701,Trigger)</f>
        <v>58096</v>
      </c>
      <c r="Z2701" s="199">
        <v>2.5024562399480834E-2</v>
      </c>
      <c r="AA2701" s="201">
        <v>2.5007329498292208E-2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58099</v>
      </c>
      <c r="Y2702" s="198">
        <f>_xll.qlInterestRateIndexValueDate(IborIndex,X2702,Trigger)</f>
        <v>58103</v>
      </c>
      <c r="Z2702" s="199">
        <v>2.5019815945904852E-2</v>
      </c>
      <c r="AA2702" s="201">
        <v>2.5002565984948433E-2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58106</v>
      </c>
      <c r="Y2703" s="198">
        <f>_xll.qlInterestRateIndexValueDate(IborIndex,X2703,Trigger)</f>
        <v>58110</v>
      </c>
      <c r="Z2703" s="199">
        <v>2.5013489129942661E-2</v>
      </c>
      <c r="AA2703" s="201">
        <v>2.4997816975682596E-2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58113</v>
      </c>
      <c r="Y2704" s="198">
        <f>_xll.qlInterestRateIndexValueDate(IborIndex,X2704,Trigger)</f>
        <v>58117</v>
      </c>
      <c r="Z2704" s="199">
        <v>2.5008769616534008E-2</v>
      </c>
      <c r="AA2704" s="201">
        <v>2.499308247025489E-2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58120</v>
      </c>
      <c r="Y2705" s="198">
        <f>_xll.qlInterestRateIndexValueDate(IborIndex,X2705,Trigger)</f>
        <v>58124</v>
      </c>
      <c r="Z2705" s="199">
        <v>2.5004064636003114E-2</v>
      </c>
      <c r="AA2705" s="201">
        <v>2.4988362469064995E-2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58127</v>
      </c>
      <c r="Y2706" s="198">
        <f>_xll.qlInterestRateIndexValueDate(IborIndex,X2706,Trigger)</f>
        <v>58131</v>
      </c>
      <c r="Z2706" s="199">
        <v>2.4999374188341417E-2</v>
      </c>
      <c r="AA2706" s="201">
        <v>2.4983656971873103E-2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58134</v>
      </c>
      <c r="Y2707" s="198">
        <f>_xll.qlInterestRateIndexValueDate(IborIndex,X2707,Trigger)</f>
        <v>58138</v>
      </c>
      <c r="Z2707" s="199">
        <v>2.4996301719511737E-2</v>
      </c>
      <c r="AA2707" s="201">
        <v>2.4978965978359469E-2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58141</v>
      </c>
      <c r="Y2708" s="198">
        <f>_xll.qlInterestRateIndexValueDate(IborIndex,X2708,Trigger)</f>
        <v>58145</v>
      </c>
      <c r="Z2708" s="199">
        <v>2.4991642482412375E-2</v>
      </c>
      <c r="AA2708" s="201">
        <v>2.4974289489243517E-2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58148</v>
      </c>
      <c r="Y2709" s="198">
        <f>_xll.qlInterestRateIndexValueDate(IborIndex,X2709,Trigger)</f>
        <v>58152</v>
      </c>
      <c r="Z2709" s="199">
        <v>2.4986997781331854E-2</v>
      </c>
      <c r="AA2709" s="201">
        <v>2.4969627503965697E-2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58155</v>
      </c>
      <c r="Y2710" s="198">
        <f>_xll.qlInterestRateIndexValueDate(IborIndex,X2710,Trigger)</f>
        <v>58159</v>
      </c>
      <c r="Z2710" s="199">
        <v>2.4982367616254702E-2</v>
      </c>
      <c r="AA2710" s="201">
        <v>2.4967117504925085E-2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58166</v>
      </c>
      <c r="Y2711" s="198">
        <f>_xll.qlInterestRateIndexValueDate(IborIndex,X2711,Trigger)</f>
        <v>58168</v>
      </c>
      <c r="Z2711" s="199">
        <v>2.4977511480118834E-2</v>
      </c>
      <c r="AA2711" s="201">
        <v>2.495770614222792E-2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58173</v>
      </c>
      <c r="Y2712" s="198">
        <f>_xll.qlInterestRateIndexValueDate(IborIndex,X2712,Trigger)</f>
        <v>58175</v>
      </c>
      <c r="Z2712" s="199">
        <v>2.4972377426060732E-2</v>
      </c>
      <c r="AA2712" s="201">
        <v>2.4953095956954385E-2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58180</v>
      </c>
      <c r="Y2713" s="198">
        <f>_xll.qlInterestRateIndexValueDate(IborIndex,X2713,Trigger)</f>
        <v>58182</v>
      </c>
      <c r="Z2713" s="199">
        <v>2.4967795742862897E-2</v>
      </c>
      <c r="AA2713" s="201">
        <v>2.4948500275838725E-2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58187</v>
      </c>
      <c r="Y2714" s="198">
        <f>_xll.qlInterestRateIndexValueDate(IborIndex,X2714,Trigger)</f>
        <v>58189</v>
      </c>
      <c r="Z2714" s="199">
        <v>2.4963768593438056E-2</v>
      </c>
      <c r="AA2714" s="201">
        <v>2.4943919098721068E-2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58194</v>
      </c>
      <c r="Y2715" s="198">
        <f>_xll.qlInterestRateIndexValueDate(IborIndex,X2715,Trigger)</f>
        <v>58196</v>
      </c>
      <c r="Z2715" s="199">
        <v>2.4958675987409584E-2</v>
      </c>
      <c r="AA2715" s="201">
        <v>2.493870122762587E-2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58201</v>
      </c>
      <c r="Y2716" s="198">
        <f>_xll.qlInterestRateIndexValueDate(IborIndex,X2716,Trigger)</f>
        <v>58203</v>
      </c>
      <c r="Z2716" s="199">
        <v>2.4954137915131624E-2</v>
      </c>
      <c r="AA2716" s="201">
        <v>2.4934800256479761E-2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58208</v>
      </c>
      <c r="Y2717" s="198">
        <f>_xll.qlInterestRateIndexValueDate(IborIndex,X2717,Trigger)</f>
        <v>58210</v>
      </c>
      <c r="Z2717" s="199">
        <v>2.4949614379787821E-2</v>
      </c>
      <c r="AA2717" s="201">
        <v>2.4930262591196239E-2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58215</v>
      </c>
      <c r="Y2718" s="198">
        <f>_xll.qlInterestRateIndexValueDate(IborIndex,X2718,Trigger)</f>
        <v>58217</v>
      </c>
      <c r="Z2718" s="199">
        <v>2.4945105381360688E-2</v>
      </c>
      <c r="AA2718" s="201">
        <v>2.4925094448322582E-2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58222</v>
      </c>
      <c r="Y2719" s="198">
        <f>_xll.qlInterestRateIndexValueDate(IborIndex,X2719,Trigger)</f>
        <v>58224</v>
      </c>
      <c r="Z2719" s="199">
        <v>2.494061091984523E-2</v>
      </c>
      <c r="AA2719" s="201">
        <v>2.492123077310282E-2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58229</v>
      </c>
      <c r="Y2720" s="198">
        <f>_xll.qlInterestRateIndexValueDate(IborIndex,X2720,Trigger)</f>
        <v>58231</v>
      </c>
      <c r="Z2720" s="199">
        <v>2.493613099521147E-2</v>
      </c>
      <c r="AA2720" s="201">
        <v>2.4916736619973179E-2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58236</v>
      </c>
      <c r="Y2721" s="198">
        <f>_xll.qlInterestRateIndexValueDate(IborIndex,X2721,Trigger)</f>
        <v>58238</v>
      </c>
      <c r="Z2721" s="199">
        <v>2.4931665607446918E-2</v>
      </c>
      <c r="AA2721" s="201">
        <v>2.491225697084154E-2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58243</v>
      </c>
      <c r="Y2722" s="198">
        <f>_xll.qlInterestRateIndexValueDate(IborIndex,X2722,Trigger)</f>
        <v>58245</v>
      </c>
      <c r="Z2722" s="199">
        <v>2.492721475653159E-2</v>
      </c>
      <c r="AA2722" s="201">
        <v>2.4907791825947712E-2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58250</v>
      </c>
      <c r="Y2723" s="198">
        <f>_xll.qlInterestRateIndexValueDate(IborIndex,X2723,Trigger)</f>
        <v>58252</v>
      </c>
      <c r="Z2723" s="199">
        <v>2.4922778442457993E-2</v>
      </c>
      <c r="AA2723" s="201">
        <v>2.4903341184892014E-2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58257</v>
      </c>
      <c r="Y2724" s="198">
        <f>_xll.qlInterestRateIndexValueDate(IborIndex,X2724,Trigger)</f>
        <v>58259</v>
      </c>
      <c r="Z2724" s="199">
        <v>2.4918356665193653E-2</v>
      </c>
      <c r="AA2724" s="201">
        <v>2.4898905047754383E-2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58264</v>
      </c>
      <c r="Y2725" s="198">
        <f>_xll.qlInterestRateIndexValueDate(IborIndex,X2725,Trigger)</f>
        <v>58266</v>
      </c>
      <c r="Z2725" s="199">
        <v>2.4913949424731074E-2</v>
      </c>
      <c r="AA2725" s="201">
        <v>2.4894483414774626E-2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58271</v>
      </c>
      <c r="Y2726" s="198">
        <f>_xll.qlInterestRateIndexValueDate(IborIndex,X2726,Trigger)</f>
        <v>58273</v>
      </c>
      <c r="Z2726" s="199">
        <v>2.4909556721050274E-2</v>
      </c>
      <c r="AA2726" s="201">
        <v>2.4890076285712937E-2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58278</v>
      </c>
      <c r="Y2727" s="198">
        <f>_xll.qlInterestRateIndexValueDate(IborIndex,X2727,Trigger)</f>
        <v>58280</v>
      </c>
      <c r="Z2727" s="199">
        <v>2.490572803408788E-2</v>
      </c>
      <c r="AA2727" s="201">
        <v>2.4885683660569313E-2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58285</v>
      </c>
      <c r="Y2728" s="198">
        <f>_xll.qlInterestRateIndexValueDate(IborIndex,X2728,Trigger)</f>
        <v>58287</v>
      </c>
      <c r="Z2728" s="199">
        <v>2.4899164847246646E-2</v>
      </c>
      <c r="AA2728" s="201">
        <v>2.4881305539663501E-2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58292</v>
      </c>
      <c r="Y2729" s="198">
        <f>_xll.qlInterestRateIndexValueDate(IborIndex,X2729,Trigger)</f>
        <v>58294</v>
      </c>
      <c r="Z2729" s="199">
        <v>2.4896465830543668E-2</v>
      </c>
      <c r="AA2729" s="201">
        <v>2.4876941922675755E-2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58299</v>
      </c>
      <c r="Y2730" s="198">
        <f>_xll.qlInterestRateIndexValueDate(IborIndex,X2730,Trigger)</f>
        <v>58301</v>
      </c>
      <c r="Z2730" s="199">
        <v>2.4892131273825113E-2</v>
      </c>
      <c r="AA2730" s="201">
        <v>2.4872592809526139E-2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58306</v>
      </c>
      <c r="Y2731" s="198">
        <f>_xll.qlInterestRateIndexValueDate(IborIndex,X2731,Trigger)</f>
        <v>58308</v>
      </c>
      <c r="Z2731" s="199">
        <v>2.4887811253808401E-2</v>
      </c>
      <c r="AA2731" s="201">
        <v>2.486764015475984E-2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58313</v>
      </c>
      <c r="Y2732" s="198">
        <f>_xll.qlInterestRateIndexValueDate(IborIndex,X2732,Trigger)</f>
        <v>58315</v>
      </c>
      <c r="Z2732" s="199">
        <v>2.4883505770471048E-2</v>
      </c>
      <c r="AA2732" s="201">
        <v>2.4863938095460725E-2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58320</v>
      </c>
      <c r="Y2733" s="198">
        <f>_xll.qlInterestRateIndexValueDate(IborIndex,X2733,Trigger)</f>
        <v>58322</v>
      </c>
      <c r="Z2733" s="199">
        <v>2.4879214823798068E-2</v>
      </c>
      <c r="AA2733" s="201">
        <v>2.4859632494464989E-2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58327</v>
      </c>
      <c r="Y2734" s="198">
        <f>_xll.qlInterestRateIndexValueDate(IborIndex,X2734,Trigger)</f>
        <v>58329</v>
      </c>
      <c r="Z2734" s="199">
        <v>2.4875493074061342E-2</v>
      </c>
      <c r="AA2734" s="201">
        <v>2.4855341397387321E-2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58334</v>
      </c>
      <c r="Y2735" s="198">
        <f>_xll.qlInterestRateIndexValueDate(IborIndex,X2735,Trigger)</f>
        <v>58336</v>
      </c>
      <c r="Z2735" s="199">
        <v>2.4870676540387771E-2</v>
      </c>
      <c r="AA2735" s="201">
        <v>2.4851064804307654E-2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58341</v>
      </c>
      <c r="Y2736" s="198">
        <f>_xll.qlInterestRateIndexValueDate(IborIndex,X2736,Trigger)</f>
        <v>58343</v>
      </c>
      <c r="Z2736" s="199">
        <v>2.4866429203610485E-2</v>
      </c>
      <c r="AA2736" s="201">
        <v>2.4846802715385863E-2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58348</v>
      </c>
      <c r="Y2737" s="198">
        <f>_xll.qlInterestRateIndexValueDate(IborIndex,X2737,Trigger)</f>
        <v>58350</v>
      </c>
      <c r="Z2737" s="199">
        <v>2.4862196403435122E-2</v>
      </c>
      <c r="AA2737" s="201">
        <v>2.4842555130382138E-2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58355</v>
      </c>
      <c r="Y2738" s="198">
        <f>_xll.qlInterestRateIndexValueDate(IborIndex,X2738,Trigger)</f>
        <v>58357</v>
      </c>
      <c r="Z2738" s="199">
        <v>2.4857978139841697E-2</v>
      </c>
      <c r="AA2738" s="201">
        <v>2.4838322049216544E-2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58362</v>
      </c>
      <c r="Y2739" s="198">
        <f>_xll.qlInterestRateIndexValueDate(IborIndex,X2739,Trigger)</f>
        <v>58364</v>
      </c>
      <c r="Z2739" s="199">
        <v>2.485377441281772E-2</v>
      </c>
      <c r="AA2739" s="201">
        <v>2.483410347228876E-2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58369</v>
      </c>
      <c r="Y2740" s="198">
        <f>_xll.qlInterestRateIndexValueDate(IborIndex,X2740,Trigger)</f>
        <v>58371</v>
      </c>
      <c r="Z2740" s="199">
        <v>2.4849585222335713E-2</v>
      </c>
      <c r="AA2740" s="201">
        <v>2.4829899399279043E-2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58376</v>
      </c>
      <c r="Y2741" s="198">
        <f>_xll.qlInterestRateIndexValueDate(IborIndex,X2741,Trigger)</f>
        <v>58378</v>
      </c>
      <c r="Z2741" s="199">
        <v>2.4843731475720516E-2</v>
      </c>
      <c r="AA2741" s="201">
        <v>2.4825709830267328E-2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58383</v>
      </c>
      <c r="Y2742" s="198">
        <f>_xll.qlInterestRateIndexValueDate(IborIndex,X2742,Trigger)</f>
        <v>58385</v>
      </c>
      <c r="Z2742" s="199">
        <v>2.4841250450970132E-2</v>
      </c>
      <c r="AA2742" s="201">
        <v>2.4821534765173681E-2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58390</v>
      </c>
      <c r="Y2743" s="198">
        <f>_xll.qlInterestRateIndexValueDate(IborIndex,X2743,Trigger)</f>
        <v>58392</v>
      </c>
      <c r="Z2743" s="199">
        <v>2.4837104870046589E-2</v>
      </c>
      <c r="AA2743" s="201">
        <v>2.4817374204157971E-2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58397</v>
      </c>
      <c r="Y2744" s="198">
        <f>_xll.qlInterestRateIndexValueDate(IborIndex,X2744,Trigger)</f>
        <v>58399</v>
      </c>
      <c r="Z2744" s="199">
        <v>2.4832973825607563E-2</v>
      </c>
      <c r="AA2744" s="201">
        <v>2.4813228147140265E-2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58404</v>
      </c>
      <c r="Y2745" s="198">
        <f>_xll.qlInterestRateIndexValueDate(IborIndex,X2745,Trigger)</f>
        <v>58407</v>
      </c>
      <c r="Z2745" s="199">
        <v>2.4828833444589679E-2</v>
      </c>
      <c r="AA2745" s="201">
        <v>2.4808507556182136E-2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58411</v>
      </c>
      <c r="Y2746" s="198">
        <f>_xll.qlInterestRateIndexValueDate(IborIndex,X2746,Trigger)</f>
        <v>58413</v>
      </c>
      <c r="Z2746" s="199">
        <v>2.4824755346125604E-2</v>
      </c>
      <c r="AA2746" s="201">
        <v>2.4804979545018924E-2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58418</v>
      </c>
      <c r="Y2747" s="198">
        <f>_xll.qlInterestRateIndexValueDate(IborIndex,X2747,Trigger)</f>
        <v>58420</v>
      </c>
      <c r="Z2747" s="199">
        <v>2.4820667911050198E-2</v>
      </c>
      <c r="AA2747" s="201">
        <v>2.4800876999915289E-2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58425</v>
      </c>
      <c r="Y2748" s="198">
        <f>_xll.qlInterestRateIndexValueDate(IborIndex,X2748,Trigger)</f>
        <v>58427</v>
      </c>
      <c r="Z2748" s="199">
        <v>2.4817160187918092E-2</v>
      </c>
      <c r="AA2748" s="201">
        <v>2.4796788958889593E-2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58432</v>
      </c>
      <c r="Y2749" s="198">
        <f>_xll.qlInterestRateIndexValueDate(IborIndex,X2749,Trigger)</f>
        <v>58438</v>
      </c>
      <c r="Z2749" s="199">
        <v>2.4809657842378752E-2</v>
      </c>
      <c r="AA2749" s="201">
        <v>2.4792117759622201E-2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58439</v>
      </c>
      <c r="Y2750" s="198">
        <f>_xll.qlInterestRateIndexValueDate(IborIndex,X2750,Trigger)</f>
        <v>58442</v>
      </c>
      <c r="Z2750" s="199">
        <v>2.4807349616938291E-2</v>
      </c>
      <c r="AA2750" s="201">
        <v>2.4788077710846679E-2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58446</v>
      </c>
      <c r="Y2751" s="198">
        <f>_xll.qlInterestRateIndexValueDate(IborIndex,X2751,Trigger)</f>
        <v>58448</v>
      </c>
      <c r="Z2751" s="199">
        <v>2.4804463534809362E-2</v>
      </c>
      <c r="AA2751" s="201">
        <v>2.4784611859640648E-2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58453</v>
      </c>
      <c r="Y2752" s="198">
        <f>_xll.qlInterestRateIndexValueDate(IborIndex,X2752,Trigger)</f>
        <v>58455</v>
      </c>
      <c r="Z2752" s="199">
        <v>2.4801016999265586E-2</v>
      </c>
      <c r="AA2752" s="201">
        <v>2.4780581834447091E-2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58460</v>
      </c>
      <c r="Y2753" s="198">
        <f>_xll.qlInterestRateIndexValueDate(IborIndex,X2753,Trigger)</f>
        <v>58462</v>
      </c>
      <c r="Z2753" s="199">
        <v>2.479644856490909E-2</v>
      </c>
      <c r="AA2753" s="201">
        <v>2.4776566313331472E-2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58467</v>
      </c>
      <c r="Y2754" s="198">
        <f>_xll.qlInterestRateIndexValueDate(IborIndex,X2754,Trigger)</f>
        <v>58469</v>
      </c>
      <c r="Z2754" s="199">
        <v>2.4790754243930121E-2</v>
      </c>
      <c r="AA2754" s="201">
        <v>2.4772565296213855E-2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58474</v>
      </c>
      <c r="Y2755" s="198">
        <f>_xll.qlInterestRateIndexValueDate(IborIndex,X2755,Trigger)</f>
        <v>58476</v>
      </c>
      <c r="Z2755" s="199">
        <v>2.4786780804939873E-2</v>
      </c>
      <c r="AA2755" s="201">
        <v>2.4768578783174178E-2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58481</v>
      </c>
      <c r="Y2756" s="198">
        <f>_xll.qlInterestRateIndexValueDate(IborIndex,X2756,Trigger)</f>
        <v>58483</v>
      </c>
      <c r="Z2756" s="199">
        <v>2.4782821899124289E-2</v>
      </c>
      <c r="AA2756" s="201">
        <v>2.4764606774052567E-2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58488</v>
      </c>
      <c r="Y2757" s="198">
        <f>_xll.qlInterestRateIndexValueDate(IborIndex,X2757,Trigger)</f>
        <v>58490</v>
      </c>
      <c r="Z2757" s="199">
        <v>2.4778877526464071E-2</v>
      </c>
      <c r="AA2757" s="201">
        <v>2.4760649268849022E-2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58495</v>
      </c>
      <c r="Y2758" s="198">
        <f>_xll.qlInterestRateIndexValueDate(IborIndex,X2758,Trigger)</f>
        <v>58497</v>
      </c>
      <c r="Z2758" s="199">
        <v>2.4774947686948198E-2</v>
      </c>
      <c r="AA2758" s="201">
        <v>2.4756706267723416E-2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58502</v>
      </c>
      <c r="Y2759" s="198">
        <f>_xll.qlInterestRateIndexValueDate(IborIndex,X2759,Trigger)</f>
        <v>58504</v>
      </c>
      <c r="Z2759" s="199">
        <v>2.4772752526595054E-2</v>
      </c>
      <c r="AA2759" s="201">
        <v>2.4752777770595813E-2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58509</v>
      </c>
      <c r="Y2760" s="198">
        <f>_xll.qlInterestRateIndexValueDate(IborIndex,X2760,Trigger)</f>
        <v>58511</v>
      </c>
      <c r="Z2760" s="199">
        <v>2.4768854063797474E-2</v>
      </c>
      <c r="AA2760" s="201">
        <v>2.4748863777226404E-2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58516</v>
      </c>
      <c r="Y2761" s="198">
        <f>_xll.qlInterestRateIndexValueDate(IborIndex,X2761,Trigger)</f>
        <v>58518</v>
      </c>
      <c r="Z2761" s="199">
        <v>2.4765545260429664E-2</v>
      </c>
      <c r="AA2761" s="201">
        <v>2.4744964288094806E-2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58523</v>
      </c>
      <c r="Y2762" s="198">
        <f>_xll.qlInterestRateIndexValueDate(IborIndex,X2762,Trigger)</f>
        <v>58525</v>
      </c>
      <c r="Z2762" s="199">
        <v>2.4761100746841513E-2</v>
      </c>
      <c r="AA2762" s="201">
        <v>2.4741079302961211E-2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58530</v>
      </c>
      <c r="Y2763" s="198">
        <f>_xll.qlInterestRateIndexValueDate(IborIndex,X2763,Trigger)</f>
        <v>58532</v>
      </c>
      <c r="Z2763" s="199">
        <v>2.4757822561910201E-2</v>
      </c>
      <c r="AA2763" s="201">
        <v>2.4737208821825618E-2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58537</v>
      </c>
      <c r="Y2764" s="198">
        <f>_xll.qlInterestRateIndexValueDate(IborIndex,X2764,Trigger)</f>
        <v>58539</v>
      </c>
      <c r="Z2764" s="199">
        <v>2.475340557465705E-2</v>
      </c>
      <c r="AA2764" s="201">
        <v>2.473335284444822E-2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58544</v>
      </c>
      <c r="Y2765" s="198">
        <f>_xll.qlInterestRateIndexValueDate(IborIndex,X2765,Trigger)</f>
        <v>58546</v>
      </c>
      <c r="Z2765" s="199">
        <v>2.4749579792815724E-2</v>
      </c>
      <c r="AA2765" s="201">
        <v>2.4728416471457848E-2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58551</v>
      </c>
      <c r="Y2766" s="198">
        <f>_xll.qlInterestRateIndexValueDate(IborIndex,X2766,Trigger)</f>
        <v>58553</v>
      </c>
      <c r="Z2766" s="199">
        <v>2.4745768547119185E-2</v>
      </c>
      <c r="AA2766" s="201">
        <v>2.4725684402007175E-2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58558</v>
      </c>
      <c r="Y2767" s="198">
        <f>_xll.qlInterestRateIndexValueDate(IborIndex,X2767,Trigger)</f>
        <v>58560</v>
      </c>
      <c r="Z2767" s="199">
        <v>2.4740233120485396E-2</v>
      </c>
      <c r="AA2767" s="201">
        <v>2.4721328482781857E-2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58565</v>
      </c>
      <c r="Y2768" s="198">
        <f>_xll.qlInterestRateIndexValueDate(IborIndex,X2768,Trigger)</f>
        <v>58567</v>
      </c>
      <c r="Z2768" s="199">
        <v>2.4738189664115506E-2</v>
      </c>
      <c r="AA2768" s="201">
        <v>2.4718073975318333E-2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58572</v>
      </c>
      <c r="Y2769" s="198">
        <f>_xll.qlInterestRateIndexValueDate(IborIndex,X2769,Trigger)</f>
        <v>58574</v>
      </c>
      <c r="Z2769" s="199">
        <v>2.4734422026770897E-2</v>
      </c>
      <c r="AA2769" s="201">
        <v>2.4714290518170756E-2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58579</v>
      </c>
      <c r="Y2770" s="198">
        <f>_xll.qlInterestRateIndexValueDate(IborIndex,X2770,Trigger)</f>
        <v>58581</v>
      </c>
      <c r="Z2770" s="199">
        <v>2.4730668925518617E-2</v>
      </c>
      <c r="AA2770" s="201">
        <v>2.4710521564781374E-2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58586</v>
      </c>
      <c r="Y2771" s="198">
        <f>_xll.qlInterestRateIndexValueDate(IborIndex,X2771,Trigger)</f>
        <v>58588</v>
      </c>
      <c r="Z2771" s="199">
        <v>2.4726930360338684E-2</v>
      </c>
      <c r="AA2771" s="201">
        <v>2.4706231949478408E-2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58593</v>
      </c>
      <c r="Y2772" s="198">
        <f>_xll.qlInterestRateIndexValueDate(IborIndex,X2772,Trigger)</f>
        <v>58595</v>
      </c>
      <c r="Z2772" s="199">
        <v>2.4723790008964745E-2</v>
      </c>
      <c r="AA2772" s="201">
        <v>2.4703027170156489E-2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58600</v>
      </c>
      <c r="Y2773" s="198">
        <f>_xll.qlInterestRateIndexValueDate(IborIndex,X2773,Trigger)</f>
        <v>58602</v>
      </c>
      <c r="Z2773" s="199">
        <v>2.4719496838140897E-2</v>
      </c>
      <c r="AA2773" s="201">
        <v>2.4699301728681178E-2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58607</v>
      </c>
      <c r="Y2774" s="198">
        <f>_xll.qlInterestRateIndexValueDate(IborIndex,X2774,Trigger)</f>
        <v>58609</v>
      </c>
      <c r="Z2774" s="199">
        <v>2.4715801881103061E-2</v>
      </c>
      <c r="AA2774" s="201">
        <v>2.469559079120387E-2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58614</v>
      </c>
      <c r="Y2775" s="198">
        <f>_xll.qlInterestRateIndexValueDate(IborIndex,X2775,Trigger)</f>
        <v>58616</v>
      </c>
      <c r="Z2775" s="199">
        <v>2.4712121460072622E-2</v>
      </c>
      <c r="AA2775" s="201">
        <v>2.46918943578045E-2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58621</v>
      </c>
      <c r="Y2776" s="198">
        <f>_xll.qlInterestRateIndexValueDate(IborIndex,X2776,Trigger)</f>
        <v>58623</v>
      </c>
      <c r="Z2776" s="199">
        <v>2.4708455575047084E-2</v>
      </c>
      <c r="AA2776" s="201">
        <v>2.468821242848307E-2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58628</v>
      </c>
      <c r="Y2777" s="198">
        <f>_xll.qlInterestRateIndexValueDate(IborIndex,X2777,Trigger)</f>
        <v>58630</v>
      </c>
      <c r="Z2777" s="199">
        <v>2.4704804226011456E-2</v>
      </c>
      <c r="AA2777" s="201">
        <v>2.4684545002999769E-2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58635</v>
      </c>
      <c r="Y2778" s="198">
        <f>_xll.qlInterestRateIndexValueDate(IborIndex,X2778,Trigger)</f>
        <v>58637</v>
      </c>
      <c r="Z2778" s="199">
        <v>2.4701167412948255E-2</v>
      </c>
      <c r="AA2778" s="201">
        <v>2.46808920813546E-2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58642</v>
      </c>
      <c r="Y2779" s="198">
        <f>_xll.qlInterestRateIndexValueDate(IborIndex,X2779,Trigger)</f>
        <v>58644</v>
      </c>
      <c r="Z2779" s="199">
        <v>2.4697545135847487E-2</v>
      </c>
      <c r="AA2779" s="201">
        <v>2.4677253663947241E-2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58649</v>
      </c>
      <c r="Y2780" s="198">
        <f>_xll.qlInterestRateIndexValueDate(IborIndex,X2780,Trigger)</f>
        <v>58651</v>
      </c>
      <c r="Z2780" s="199">
        <v>2.4694527372565875E-2</v>
      </c>
      <c r="AA2780" s="201">
        <v>2.4673629750537884E-2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58656</v>
      </c>
      <c r="Y2781" s="198">
        <f>_xll.qlInterestRateIndexValueDate(IborIndex,X2781,Trigger)</f>
        <v>58658</v>
      </c>
      <c r="Z2781" s="199">
        <v>2.4690934959500671E-2</v>
      </c>
      <c r="AA2781" s="201">
        <v>2.4670020340886722E-2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58663</v>
      </c>
      <c r="Y2782" s="198">
        <f>_xll.qlInterestRateIndexValueDate(IborIndex,X2782,Trigger)</f>
        <v>58665</v>
      </c>
      <c r="Z2782" s="199">
        <v>2.4686765520157417E-2</v>
      </c>
      <c r="AA2782" s="201">
        <v>2.4666425435313499E-2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58670</v>
      </c>
      <c r="Y2783" s="198">
        <f>_xll.qlInterestRateIndexValueDate(IborIndex,X2783,Trigger)</f>
        <v>58672</v>
      </c>
      <c r="Z2783" s="199">
        <v>2.4683201386754006E-2</v>
      </c>
      <c r="AA2783" s="201">
        <v>2.4662845033738279E-2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58677</v>
      </c>
      <c r="Y2784" s="198">
        <f>_xll.qlInterestRateIndexValueDate(IborIndex,X2784,Trigger)</f>
        <v>58679</v>
      </c>
      <c r="Z2784" s="199">
        <v>2.4679651789243084E-2</v>
      </c>
      <c r="AA2784" s="201">
        <v>2.4658770906222927E-2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58684</v>
      </c>
      <c r="Y2785" s="198">
        <f>_xll.qlInterestRateIndexValueDate(IborIndex,X2785,Trigger)</f>
        <v>58686</v>
      </c>
      <c r="Z2785" s="199">
        <v>2.4676116727609665E-2</v>
      </c>
      <c r="AA2785" s="201">
        <v>2.4655727742581846E-2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58691</v>
      </c>
      <c r="Y2786" s="198">
        <f>_xll.qlInterestRateIndexValueDate(IborIndex,X2786,Trigger)</f>
        <v>58693</v>
      </c>
      <c r="Z2786" s="199">
        <v>2.4673190948118033E-2</v>
      </c>
      <c r="AA2786" s="201">
        <v>2.4652190852840761E-2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58698</v>
      </c>
      <c r="Y2787" s="198">
        <f>_xll.qlInterestRateIndexValueDate(IborIndex,X2787,Trigger)</f>
        <v>58700</v>
      </c>
      <c r="Z2787" s="199">
        <v>2.4669090211910383E-2</v>
      </c>
      <c r="AA2787" s="201">
        <v>2.4648668467177615E-2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58705</v>
      </c>
      <c r="Y2788" s="198">
        <f>_xll.qlInterestRateIndexValueDate(IborIndex,X2788,Trigger)</f>
        <v>58707</v>
      </c>
      <c r="Z2788" s="199">
        <v>2.4665598757827034E-2</v>
      </c>
      <c r="AA2788" s="201">
        <v>2.4645160585432535E-2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58712</v>
      </c>
      <c r="Y2789" s="198">
        <f>_xll.qlInterestRateIndexValueDate(IborIndex,X2789,Trigger)</f>
        <v>58714</v>
      </c>
      <c r="Z2789" s="199">
        <v>2.4660331027871345E-2</v>
      </c>
      <c r="AA2789" s="201">
        <v>2.4641667207685458E-2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58719</v>
      </c>
      <c r="Y2790" s="198">
        <f>_xll.qlInterestRateIndexValueDate(IborIndex,X2790,Trigger)</f>
        <v>58721</v>
      </c>
      <c r="Z2790" s="199">
        <v>2.4658659457105492E-2</v>
      </c>
      <c r="AA2790" s="201">
        <v>2.4638188333936384E-2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58726</v>
      </c>
      <c r="Y2791" s="198">
        <f>_xll.qlInterestRateIndexValueDate(IborIndex,X2791,Trigger)</f>
        <v>58728</v>
      </c>
      <c r="Z2791" s="199">
        <v>2.4655211610444816E-2</v>
      </c>
      <c r="AA2791" s="201">
        <v>2.4634723964265248E-2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58733</v>
      </c>
      <c r="Y2792" s="198">
        <f>_xll.qlInterestRateIndexValueDate(IborIndex,X2792,Trigger)</f>
        <v>58735</v>
      </c>
      <c r="Z2792" s="199">
        <v>2.465177829956422E-2</v>
      </c>
      <c r="AA2792" s="201">
        <v>2.4631274098352307E-2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58740</v>
      </c>
      <c r="Y2793" s="198">
        <f>_xll.qlInterestRateIndexValueDate(IborIndex,X2793,Trigger)</f>
        <v>58742</v>
      </c>
      <c r="Z2793" s="199">
        <v>2.4648359524458707E-2</v>
      </c>
      <c r="AA2793" s="201">
        <v>2.4627838736517305E-2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58747</v>
      </c>
      <c r="Y2794" s="198">
        <f>_xll.qlInterestRateIndexValueDate(IborIndex,X2794,Trigger)</f>
        <v>58749</v>
      </c>
      <c r="Z2794" s="199">
        <v>2.46449552851008E-2</v>
      </c>
      <c r="AA2794" s="201">
        <v>2.4624417878680305E-2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58754</v>
      </c>
      <c r="Y2795" s="198">
        <f>_xll.qlInterestRateIndexValueDate(IborIndex,X2795,Trigger)</f>
        <v>58757</v>
      </c>
      <c r="Z2795" s="199">
        <v>2.4640480545507906E-2</v>
      </c>
      <c r="AA2795" s="201">
        <v>2.4620526086831518E-2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58761</v>
      </c>
      <c r="Y2796" s="198">
        <f>_xll.qlInterestRateIndexValueDate(IborIndex,X2796,Trigger)</f>
        <v>58763</v>
      </c>
      <c r="Z2796" s="199">
        <v>2.4638190413610317E-2</v>
      </c>
      <c r="AA2796" s="201">
        <v>2.4617619674920377E-2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58768</v>
      </c>
      <c r="Y2797" s="198">
        <f>_xll.qlInterestRateIndexValueDate(IborIndex,X2797,Trigger)</f>
        <v>58771</v>
      </c>
      <c r="Z2797" s="199">
        <v>2.4634954577778988E-2</v>
      </c>
      <c r="AA2797" s="201">
        <v>2.461376103495283E-2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58775</v>
      </c>
      <c r="Y2798" s="198">
        <f>_xll.qlInterestRateIndexValueDate(IborIndex,X2798,Trigger)</f>
        <v>58777</v>
      </c>
      <c r="Z2798" s="199">
        <v>2.4632088079060598E-2</v>
      </c>
      <c r="AA2798" s="201">
        <v>2.4610879486992587E-2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58782</v>
      </c>
      <c r="Y2799" s="198">
        <f>_xll.qlInterestRateIndexValueDate(IborIndex,X2799,Trigger)</f>
        <v>58784</v>
      </c>
      <c r="Z2799" s="199">
        <v>2.4628152124213099E-2</v>
      </c>
      <c r="AA2799" s="201">
        <v>2.4607531148985728E-2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58789</v>
      </c>
      <c r="Y2800" s="198">
        <f>_xll.qlInterestRateIndexValueDate(IborIndex,X2800,Trigger)</f>
        <v>58791</v>
      </c>
      <c r="Z2800" s="199">
        <v>2.4625441115511331E-2</v>
      </c>
      <c r="AA2800" s="201">
        <v>2.4604197314976872E-2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58796</v>
      </c>
      <c r="Y2801" s="198">
        <f>_xll.qlInterestRateIndexValueDate(IborIndex,X2801,Trigger)</f>
        <v>58798</v>
      </c>
      <c r="Z2801" s="199">
        <v>2.4621532609689079E-2</v>
      </c>
      <c r="AA2801" s="201">
        <v>2.459993226890056E-2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58804</v>
      </c>
      <c r="Y2802" s="198">
        <f>_xll.qlInterestRateIndexValueDate(IborIndex,X2802,Trigger)</f>
        <v>58810</v>
      </c>
      <c r="Z2802" s="199">
        <v>2.4615296897610529E-2</v>
      </c>
      <c r="AA2802" s="201">
        <v>2.45961612447676E-2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58811</v>
      </c>
      <c r="Y2803" s="198">
        <f>_xll.qlInterestRateIndexValueDate(IborIndex,X2803,Trigger)</f>
        <v>58813</v>
      </c>
      <c r="Z2803" s="199">
        <v>2.4613896324626489E-2</v>
      </c>
      <c r="AA2803" s="201">
        <v>2.4593813974629342E-2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58818</v>
      </c>
      <c r="Y2804" s="198">
        <f>_xll.qlInterestRateIndexValueDate(IborIndex,X2804,Trigger)</f>
        <v>58820</v>
      </c>
      <c r="Z2804" s="199">
        <v>2.4610638702861887E-2</v>
      </c>
      <c r="AA2804" s="201">
        <v>2.4590540228475177E-2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58825</v>
      </c>
      <c r="Y2805" s="198">
        <f>_xll.qlInterestRateIndexValueDate(IborIndex,X2805,Trigger)</f>
        <v>58827</v>
      </c>
      <c r="Z2805" s="199">
        <v>2.4608005716820758E-2</v>
      </c>
      <c r="AA2805" s="201">
        <v>2.458728098623908E-2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58832</v>
      </c>
      <c r="Y2806" s="198">
        <f>_xll.qlInterestRateIndexValueDate(IborIndex,X2806,Trigger)</f>
        <v>58834</v>
      </c>
      <c r="Z2806" s="199">
        <v>2.4604167063093294E-2</v>
      </c>
      <c r="AA2806" s="201">
        <v>2.458403624808092E-2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58839</v>
      </c>
      <c r="Y2807" s="198">
        <f>_xll.qlInterestRateIndexValueDate(IborIndex,X2807,Trigger)</f>
        <v>58841</v>
      </c>
      <c r="Z2807" s="199">
        <v>2.4599118467288746E-2</v>
      </c>
      <c r="AA2807" s="201">
        <v>2.4580806013680956E-2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58846</v>
      </c>
      <c r="Y2808" s="198">
        <f>_xll.qlInterestRateIndexValueDate(IborIndex,X2808,Trigger)</f>
        <v>58848</v>
      </c>
      <c r="Z2808" s="199">
        <v>2.4595916525037405E-2</v>
      </c>
      <c r="AA2808" s="201">
        <v>2.4577590283278994E-2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58853</v>
      </c>
      <c r="Y2809" s="198">
        <f>_xll.qlInterestRateIndexValueDate(IborIndex,X2809,Trigger)</f>
        <v>58855</v>
      </c>
      <c r="Z2809" s="199">
        <v>2.4592729114279215E-2</v>
      </c>
      <c r="AA2809" s="201">
        <v>2.4574389057114843E-2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58860</v>
      </c>
      <c r="Y2810" s="198">
        <f>_xll.qlInterestRateIndexValueDate(IborIndex,X2810,Trigger)</f>
        <v>58862</v>
      </c>
      <c r="Z2810" s="199">
        <v>2.4589556234991341E-2</v>
      </c>
      <c r="AA2810" s="201">
        <v>2.4571202334868758E-2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58867</v>
      </c>
      <c r="Y2811" s="198">
        <f>_xll.qlInterestRateIndexValueDate(IborIndex,X2811,Trigger)</f>
        <v>58869</v>
      </c>
      <c r="Z2811" s="199">
        <v>2.4588242318378136E-2</v>
      </c>
      <c r="AA2811" s="201">
        <v>2.4568030116380868E-2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58874</v>
      </c>
      <c r="Y2812" s="198">
        <f>_xll.qlInterestRateIndexValueDate(IborIndex,X2812,Trigger)</f>
        <v>58876</v>
      </c>
      <c r="Z2812" s="199">
        <v>2.4585716820244852E-2</v>
      </c>
      <c r="AA2812" s="201">
        <v>2.456487240189098E-2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58881</v>
      </c>
      <c r="Y2813" s="198">
        <f>_xll.qlInterestRateIndexValueDate(IborIndex,X2813,Trigger)</f>
        <v>58883</v>
      </c>
      <c r="Z2813" s="199">
        <v>2.4581974162131183E-2</v>
      </c>
      <c r="AA2813" s="201">
        <v>2.4561729191479031E-2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58888</v>
      </c>
      <c r="Y2814" s="198">
        <f>_xll.qlInterestRateIndexValueDate(IborIndex,X2814,Trigger)</f>
        <v>58890</v>
      </c>
      <c r="Z2814" s="199">
        <v>2.4578861885735874E-2</v>
      </c>
      <c r="AA2814" s="201">
        <v>2.4558600484985149E-2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58895</v>
      </c>
      <c r="Y2815" s="198">
        <f>_xll.qlInterestRateIndexValueDate(IborIndex,X2815,Trigger)</f>
        <v>58897</v>
      </c>
      <c r="Z2815" s="199">
        <v>2.4576382468935454E-2</v>
      </c>
      <c r="AA2815" s="201">
        <v>2.4555486282329397E-2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58902</v>
      </c>
      <c r="Y2816" s="198">
        <f>_xll.qlInterestRateIndexValueDate(IborIndex,X2816,Trigger)</f>
        <v>58908</v>
      </c>
      <c r="Z2816" s="199">
        <v>2.4570306109660045E-2</v>
      </c>
      <c r="AA2816" s="201">
        <v>2.455150361964975E-2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58909</v>
      </c>
      <c r="Y2817" s="198">
        <f>_xll.qlInterestRateIndexValueDate(IborIndex,X2817,Trigger)</f>
        <v>58911</v>
      </c>
      <c r="Z2817" s="199">
        <v>2.4569612263341409E-2</v>
      </c>
      <c r="AA2817" s="201">
        <v>2.4549301389331646E-2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58916</v>
      </c>
      <c r="Y2818" s="198">
        <f>_xll.qlInterestRateIndexValueDate(IborIndex,X2818,Trigger)</f>
        <v>58918</v>
      </c>
      <c r="Z2818" s="199">
        <v>2.4566558124768396E-2</v>
      </c>
      <c r="AA2818" s="201">
        <v>2.4546230698669902E-2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58923</v>
      </c>
      <c r="Y2819" s="198">
        <f>_xll.qlInterestRateIndexValueDate(IborIndex,X2819,Trigger)</f>
        <v>58925</v>
      </c>
      <c r="Z2819" s="199">
        <v>2.4564140163828296E-2</v>
      </c>
      <c r="AA2819" s="201">
        <v>2.4542739097901389E-2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58930</v>
      </c>
      <c r="Y2820" s="198">
        <f>_xll.qlInterestRateIndexValueDate(IborIndex,X2820,Trigger)</f>
        <v>58932</v>
      </c>
      <c r="Z2820" s="199">
        <v>2.4560493450885307E-2</v>
      </c>
      <c r="AA2820" s="201">
        <v>2.4540132829260486E-2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58937</v>
      </c>
      <c r="Y2821" s="198">
        <f>_xll.qlInterestRateIndexValueDate(IborIndex,X2821,Trigger)</f>
        <v>58939</v>
      </c>
      <c r="Z2821" s="199">
        <v>2.4557482915552025E-2</v>
      </c>
      <c r="AA2821" s="201">
        <v>2.453710565059275E-2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58944</v>
      </c>
      <c r="Y2822" s="198">
        <f>_xll.qlInterestRateIndexValueDate(IborIndex,X2822,Trigger)</f>
        <v>58946</v>
      </c>
      <c r="Z2822" s="199">
        <v>2.4554486914613073E-2</v>
      </c>
      <c r="AA2822" s="201">
        <v>2.4534092975683208E-2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58951</v>
      </c>
      <c r="Y2823" s="198">
        <f>_xll.qlInterestRateIndexValueDate(IborIndex,X2823,Trigger)</f>
        <v>58953</v>
      </c>
      <c r="Z2823" s="199">
        <v>2.4551505448055566E-2</v>
      </c>
      <c r="AA2823" s="201">
        <v>2.4530667678757112E-2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58958</v>
      </c>
      <c r="Y2824" s="198">
        <f>_xll.qlInterestRateIndexValueDate(IborIndex,X2824,Trigger)</f>
        <v>58960</v>
      </c>
      <c r="Z2824" s="199">
        <v>2.4549164329528139E-2</v>
      </c>
      <c r="AA2824" s="201">
        <v>2.4528111137938069E-2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58965</v>
      </c>
      <c r="Y2825" s="198">
        <f>_xll.qlInterestRateIndexValueDate(IborIndex,X2825,Trigger)</f>
        <v>58967</v>
      </c>
      <c r="Z2825" s="199">
        <v>2.4545586118035874E-2</v>
      </c>
      <c r="AA2825" s="201">
        <v>2.4525141975022535E-2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58972</v>
      </c>
      <c r="Y2826" s="198">
        <f>_xll.qlInterestRateIndexValueDate(IborIndex,X2826,Trigger)</f>
        <v>58974</v>
      </c>
      <c r="Z2826" s="199">
        <v>2.4542648254555641E-2</v>
      </c>
      <c r="AA2826" s="201">
        <v>2.4522187316105004E-2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58979</v>
      </c>
      <c r="Y2827" s="198">
        <f>_xll.qlInterestRateIndexValueDate(IborIndex,X2827,Trigger)</f>
        <v>58981</v>
      </c>
      <c r="Z2827" s="199">
        <v>2.4539724925407857E-2</v>
      </c>
      <c r="AA2827" s="201">
        <v>2.451924716110554E-2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58986</v>
      </c>
      <c r="Y2828" s="198">
        <f>_xll.qlInterestRateIndexValueDate(IborIndex,X2828,Trigger)</f>
        <v>58988</v>
      </c>
      <c r="Z2828" s="199">
        <v>2.453681613058736E-2</v>
      </c>
      <c r="AA2828" s="201">
        <v>2.4516321510184014E-2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58993</v>
      </c>
      <c r="Y2829" s="198">
        <f>_xll.qlInterestRateIndexValueDate(IborIndex,X2829,Trigger)</f>
        <v>58995</v>
      </c>
      <c r="Z2829" s="199">
        <v>2.4533921870083842E-2</v>
      </c>
      <c r="AA2829" s="201">
        <v>2.4513410363100618E-2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59000</v>
      </c>
      <c r="Y2830" s="198">
        <f>_xll.qlInterestRateIndexValueDate(IborIndex,X2830,Trigger)</f>
        <v>59002</v>
      </c>
      <c r="Z2830" s="199">
        <v>2.4531042143879248E-2</v>
      </c>
      <c r="AA2830" s="201">
        <v>2.4510513719855354E-2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59007</v>
      </c>
      <c r="Y2831" s="198">
        <f>_xll.qlInterestRateIndexValueDate(IborIndex,X2831,Trigger)</f>
        <v>59009</v>
      </c>
      <c r="Z2831" s="199">
        <v>2.4528176951968423E-2</v>
      </c>
      <c r="AA2831" s="201">
        <v>2.4507631580767963E-2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59014</v>
      </c>
      <c r="Y2832" s="198">
        <f>_xll.qlInterestRateIndexValueDate(IborIndex,X2832,Trigger)</f>
        <v>59016</v>
      </c>
      <c r="Z2832" s="199">
        <v>2.452659148173356E-2</v>
      </c>
      <c r="AA2832" s="201">
        <v>2.4504763945678576E-2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59021</v>
      </c>
      <c r="Y2833" s="198">
        <f>_xll.qlInterestRateIndexValueDate(IborIndex,X2833,Trigger)</f>
        <v>59023</v>
      </c>
      <c r="Z2833" s="199">
        <v>2.452312355529368E-2</v>
      </c>
      <c r="AA2833" s="201">
        <v>2.4501910814347383E-2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59028</v>
      </c>
      <c r="Y2834" s="198">
        <f>_xll.qlInterestRateIndexValueDate(IborIndex,X2834,Trigger)</f>
        <v>59030</v>
      </c>
      <c r="Z2834" s="199">
        <v>2.4519668581895419E-2</v>
      </c>
      <c r="AA2834" s="201">
        <v>2.4499072187014193E-2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59035</v>
      </c>
      <c r="Y2835" s="198">
        <f>_xll.qlInterestRateIndexValueDate(IborIndex,X2835,Trigger)</f>
        <v>59037</v>
      </c>
      <c r="Z2835" s="199">
        <v>2.4516861527048787E-2</v>
      </c>
      <c r="AA2835" s="201">
        <v>2.4496248063758941E-2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59042</v>
      </c>
      <c r="Y2836" s="198">
        <f>_xll.qlInterestRateIndexValueDate(IborIndex,X2836,Trigger)</f>
        <v>59044</v>
      </c>
      <c r="Z2836" s="199">
        <v>2.4514069006441777E-2</v>
      </c>
      <c r="AA2836" s="201">
        <v>2.4493038254140842E-2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59049</v>
      </c>
      <c r="Y2837" s="198">
        <f>_xll.qlInterestRateIndexValueDate(IborIndex,X2837,Trigger)</f>
        <v>59051</v>
      </c>
      <c r="Z2837" s="199">
        <v>2.4511291020066647E-2</v>
      </c>
      <c r="AA2837" s="201">
        <v>2.4490643329002637E-2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59056</v>
      </c>
      <c r="Y2838" s="198">
        <f>_xll.qlInterestRateIndexValueDate(IborIndex,X2838,Trigger)</f>
        <v>59058</v>
      </c>
      <c r="Z2838" s="199">
        <v>2.4509165193512261E-2</v>
      </c>
      <c r="AA2838" s="201">
        <v>2.4487862717501585E-2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59063</v>
      </c>
      <c r="Y2839" s="198">
        <f>_xll.qlInterestRateIndexValueDate(IborIndex,X2839,Trigger)</f>
        <v>59065</v>
      </c>
      <c r="Z2839" s="199">
        <v>2.4505778649963044E-2</v>
      </c>
      <c r="AA2839" s="201">
        <v>2.4485096609998536E-2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59070</v>
      </c>
      <c r="Y2840" s="198">
        <f>_xll.qlInterestRateIndexValueDate(IborIndex,X2840,Trigger)</f>
        <v>59072</v>
      </c>
      <c r="Z2840" s="199">
        <v>2.4503044266213941E-2</v>
      </c>
      <c r="AA2840" s="201">
        <v>2.4482345006493489E-2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59077</v>
      </c>
      <c r="Y2841" s="198">
        <f>_xll.qlInterestRateIndexValueDate(IborIndex,X2841,Trigger)</f>
        <v>59079</v>
      </c>
      <c r="Z2841" s="199">
        <v>2.4500324416655464E-2</v>
      </c>
      <c r="AA2841" s="201">
        <v>2.4479607906826573E-2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59084</v>
      </c>
      <c r="Y2842" s="198">
        <f>_xll.qlInterestRateIndexValueDate(IborIndex,X2842,Trigger)</f>
        <v>59086</v>
      </c>
      <c r="Z2842" s="199">
        <v>2.4497619101266983E-2</v>
      </c>
      <c r="AA2842" s="201">
        <v>2.4476885311237595E-2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59091</v>
      </c>
      <c r="Y2843" s="198">
        <f>_xll.qlInterestRateIndexValueDate(IborIndex,X2843,Trigger)</f>
        <v>59093</v>
      </c>
      <c r="Z2843" s="199">
        <v>2.4494928320053653E-2</v>
      </c>
      <c r="AA2843" s="201">
        <v>2.4474177219566684E-2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59098</v>
      </c>
      <c r="Y2844" s="198">
        <f>_xll.qlInterestRateIndexValueDate(IborIndex,X2844,Trigger)</f>
        <v>59100</v>
      </c>
      <c r="Z2844" s="199">
        <v>2.4492252072994852E-2</v>
      </c>
      <c r="AA2844" s="201">
        <v>2.447148363181384E-2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59105</v>
      </c>
      <c r="Y2845" s="198">
        <f>_xll.qlInterestRateIndexValueDate(IborIndex,X2845,Trigger)</f>
        <v>59107</v>
      </c>
      <c r="Z2845" s="199">
        <v>2.4489590360085418E-2</v>
      </c>
      <c r="AA2845" s="201">
        <v>2.4468804548058998E-2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59112</v>
      </c>
      <c r="Y2846" s="198">
        <f>_xll.qlInterestRateIndexValueDate(IborIndex,X2846,Trigger)</f>
        <v>59114</v>
      </c>
      <c r="Z2846" s="199">
        <v>2.4486943181312459E-2</v>
      </c>
      <c r="AA2846" s="201">
        <v>2.4466139968302159E-2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59119</v>
      </c>
      <c r="Y2847" s="198">
        <f>_xll.qlInterestRateIndexValueDate(IborIndex,X2847,Trigger)</f>
        <v>59124</v>
      </c>
      <c r="Z2847" s="199">
        <v>2.4482541128798552E-2</v>
      </c>
      <c r="AA2847" s="201">
        <v>2.4463112494110817E-2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59126</v>
      </c>
      <c r="Y2848" s="198">
        <f>_xll.qlInterestRateIndexValueDate(IborIndex,X2848,Trigger)</f>
        <v>59128</v>
      </c>
      <c r="Z2848" s="199">
        <v>2.4481692426137285E-2</v>
      </c>
      <c r="AA2848" s="201">
        <v>2.4460854320462744E-2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59133</v>
      </c>
      <c r="Y2849" s="198">
        <f>_xll.qlInterestRateIndexValueDate(IborIndex,X2849,Trigger)</f>
        <v>59135</v>
      </c>
      <c r="Z2849" s="199">
        <v>2.4480383051516827E-2</v>
      </c>
      <c r="AA2849" s="201">
        <v>2.445823325254004E-2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59140</v>
      </c>
      <c r="Y2850" s="198">
        <f>_xll.qlInterestRateIndexValueDate(IborIndex,X2850,Trigger)</f>
        <v>59142</v>
      </c>
      <c r="Z2850" s="199">
        <v>2.4477147714923875E-2</v>
      </c>
      <c r="AA2850" s="201">
        <v>2.4455626688535403E-2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59147</v>
      </c>
      <c r="Y2851" s="198">
        <f>_xll.qlInterestRateIndexValueDate(IborIndex,X2851,Trigger)</f>
        <v>59149</v>
      </c>
      <c r="Z2851" s="199">
        <v>2.4473925299167306E-2</v>
      </c>
      <c r="AA2851" s="201">
        <v>2.4453034628528769E-2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59154</v>
      </c>
      <c r="Y2852" s="198">
        <f>_xll.qlInterestRateIndexValueDate(IborIndex,X2852,Trigger)</f>
        <v>59156</v>
      </c>
      <c r="Z2852" s="199">
        <v>2.4472014960275068E-2</v>
      </c>
      <c r="AA2852" s="201">
        <v>2.4450457072360265E-2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59161</v>
      </c>
      <c r="Y2853" s="198">
        <f>_xll.qlInterestRateIndexValueDate(IborIndex,X2853,Trigger)</f>
        <v>59163</v>
      </c>
      <c r="Z2853" s="199">
        <v>2.4468819884928838E-2</v>
      </c>
      <c r="AA2853" s="201">
        <v>2.4447164383678555E-2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59168</v>
      </c>
      <c r="Y2854" s="198">
        <f>_xll.qlInterestRateIndexValueDate(IborIndex,X2854,Trigger)</f>
        <v>59170</v>
      </c>
      <c r="Z2854" s="199">
        <v>2.446694034592134E-2</v>
      </c>
      <c r="AA2854" s="201">
        <v>2.4444982577742635E-2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59175</v>
      </c>
      <c r="Y2855" s="198">
        <f>_xll.qlInterestRateIndexValueDate(IborIndex,X2855,Trigger)</f>
        <v>59177</v>
      </c>
      <c r="Z2855" s="199">
        <v>2.4463772606934574E-2</v>
      </c>
      <c r="AA2855" s="201">
        <v>2.4442811427762834E-2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59182</v>
      </c>
      <c r="Y2856" s="198">
        <f>_xll.qlInterestRateIndexValueDate(IborIndex,X2856,Trigger)</f>
        <v>59184</v>
      </c>
      <c r="Z2856" s="199">
        <v>2.4461270769002914E-2</v>
      </c>
      <c r="AA2856" s="201">
        <v>2.4440291887426469E-2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59189</v>
      </c>
      <c r="Y2857" s="198">
        <f>_xll.qlInterestRateIndexValueDate(IborIndex,X2857,Trigger)</f>
        <v>59191</v>
      </c>
      <c r="Z2857" s="199">
        <v>2.4459437437271969E-2</v>
      </c>
      <c r="AA2857" s="201">
        <v>2.4437786851088106E-2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59196</v>
      </c>
      <c r="Y2858" s="198">
        <f>_xll.qlInterestRateIndexValueDate(IborIndex,X2858,Trigger)</f>
        <v>59198</v>
      </c>
      <c r="Z2858" s="199">
        <v>2.4456310695221535E-2</v>
      </c>
      <c r="AA2858" s="201">
        <v>2.443529631866781E-2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59203</v>
      </c>
      <c r="Y2859" s="198">
        <f>_xll.qlInterestRateIndexValueDate(IborIndex,X2859,Trigger)</f>
        <v>59205</v>
      </c>
      <c r="Z2859" s="199">
        <v>2.4451885993984148E-2</v>
      </c>
      <c r="AA2859" s="201">
        <v>2.4432820290325452E-2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59210</v>
      </c>
      <c r="Y2860" s="198">
        <f>_xll.qlInterestRateIndexValueDate(IborIndex,X2860,Trigger)</f>
        <v>59212</v>
      </c>
      <c r="Z2860" s="199">
        <v>2.4449439675727609E-2</v>
      </c>
      <c r="AA2860" s="201">
        <v>2.4430358765821225E-2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59217</v>
      </c>
      <c r="Y2861" s="198">
        <f>_xll.qlInterestRateIndexValueDate(IborIndex,X2861,Trigger)</f>
        <v>59219</v>
      </c>
      <c r="Z2861" s="199">
        <v>2.4447007888450348E-2</v>
      </c>
      <c r="AA2861" s="201">
        <v>2.4427911745235065E-2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59224</v>
      </c>
      <c r="Y2862" s="198">
        <f>_xll.qlInterestRateIndexValueDate(IborIndex,X2862,Trigger)</f>
        <v>59226</v>
      </c>
      <c r="Z2862" s="199">
        <v>2.4447223289900955E-2</v>
      </c>
      <c r="AA2862" s="201">
        <v>2.4425479228566971E-2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59231</v>
      </c>
      <c r="Y2863" s="198">
        <f>_xll.qlInterestRateIndexValueDate(IborIndex,X2863,Trigger)</f>
        <v>59233</v>
      </c>
      <c r="Z2863" s="199">
        <v>2.4444164855836965E-2</v>
      </c>
      <c r="AA2863" s="201">
        <v>2.4423061215976816E-2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59238</v>
      </c>
      <c r="Y2864" s="198">
        <f>_xll.qlInterestRateIndexValueDate(IborIndex,X2864,Trigger)</f>
        <v>59240</v>
      </c>
      <c r="Z2864" s="199">
        <v>2.4441779289893467E-2</v>
      </c>
      <c r="AA2864" s="201">
        <v>2.4420657707384663E-2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59245</v>
      </c>
      <c r="Y2865" s="198">
        <f>_xll.qlInterestRateIndexValueDate(IborIndex,X2865,Trigger)</f>
        <v>59247</v>
      </c>
      <c r="Z2865" s="199">
        <v>2.4439408257916261E-2</v>
      </c>
      <c r="AA2865" s="201">
        <v>2.4418268702550705E-2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59252</v>
      </c>
      <c r="Y2866" s="198">
        <f>_xll.qlInterestRateIndexValueDate(IborIndex,X2866,Trigger)</f>
        <v>59258</v>
      </c>
      <c r="Z2866" s="199">
        <v>2.4435711715027699E-2</v>
      </c>
      <c r="AA2866" s="201">
        <v>2.4415218436910635E-2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59259</v>
      </c>
      <c r="Y2867" s="198">
        <f>_xll.qlInterestRateIndexValueDate(IborIndex,X2867,Trigger)</f>
        <v>59261</v>
      </c>
      <c r="Z2867" s="199">
        <v>2.4432722315123216E-2</v>
      </c>
      <c r="AA2867" s="201">
        <v>2.4413534204796861E-2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59266</v>
      </c>
      <c r="Y2868" s="198">
        <f>_xll.qlInterestRateIndexValueDate(IborIndex,X2868,Trigger)</f>
        <v>59268</v>
      </c>
      <c r="Z2868" s="199">
        <v>2.4432382365635393E-2</v>
      </c>
      <c r="AA2868" s="201">
        <v>2.441118871195691E-2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59273</v>
      </c>
      <c r="Y2869" s="198">
        <f>_xll.qlInterestRateIndexValueDate(IborIndex,X2869,Trigger)</f>
        <v>59275</v>
      </c>
      <c r="Z2869" s="199">
        <v>2.4430069469404726E-2</v>
      </c>
      <c r="AA2869" s="201">
        <v>2.4408857722955091E-2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59280</v>
      </c>
      <c r="Y2870" s="198">
        <f>_xll.qlInterestRateIndexValueDate(IborIndex,X2870,Trigger)</f>
        <v>59282</v>
      </c>
      <c r="Z2870" s="199">
        <v>2.4427771107083617E-2</v>
      </c>
      <c r="AA2870" s="201">
        <v>2.4406541237951274E-2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59287</v>
      </c>
      <c r="Y2871" s="198">
        <f>_xll.qlInterestRateIndexValueDate(IborIndex,X2871,Trigger)</f>
        <v>59289</v>
      </c>
      <c r="Z2871" s="199">
        <v>2.4426819890625916E-2</v>
      </c>
      <c r="AA2871" s="201">
        <v>2.4403911586334814E-2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59294</v>
      </c>
      <c r="Y2872" s="198">
        <f>_xll.qlInterestRateIndexValueDate(IborIndex,X2872,Trigger)</f>
        <v>59296</v>
      </c>
      <c r="Z2872" s="199">
        <v>2.4423217984154609E-2</v>
      </c>
      <c r="AA2872" s="201">
        <v>2.4401951779777775E-2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59301</v>
      </c>
      <c r="Y2873" s="198">
        <f>_xll.qlInterestRateIndexValueDate(IborIndex,X2873,Trigger)</f>
        <v>59303</v>
      </c>
      <c r="Z2873" s="199">
        <v>2.4420963223528661E-2</v>
      </c>
      <c r="AA2873" s="201">
        <v>2.4399678806448222E-2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59308</v>
      </c>
      <c r="Y2874" s="198">
        <f>_xll.qlInterestRateIndexValueDate(IborIndex,X2874,Trigger)</f>
        <v>59310</v>
      </c>
      <c r="Z2874" s="199">
        <v>2.4418722996778747E-2</v>
      </c>
      <c r="AA2874" s="201">
        <v>2.4397420337196607E-2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59315</v>
      </c>
      <c r="Y2875" s="198">
        <f>_xll.qlInterestRateIndexValueDate(IborIndex,X2875,Trigger)</f>
        <v>59317</v>
      </c>
      <c r="Z2875" s="199">
        <v>2.4416497303907454E-2</v>
      </c>
      <c r="AA2875" s="201">
        <v>2.43948569895025E-2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59322</v>
      </c>
      <c r="Y2876" s="198">
        <f>_xll.qlInterestRateIndexValueDate(IborIndex,X2876,Trigger)</f>
        <v>59324</v>
      </c>
      <c r="Z2876" s="199">
        <v>2.4414286144896723E-2</v>
      </c>
      <c r="AA2876" s="201">
        <v>2.4392946910607449E-2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59329</v>
      </c>
      <c r="Y2877" s="198">
        <f>_xll.qlInterestRateIndexValueDate(IborIndex,X2877,Trigger)</f>
        <v>59331</v>
      </c>
      <c r="Z2877" s="199">
        <v>2.4412089519741404E-2</v>
      </c>
      <c r="AA2877" s="201">
        <v>2.4390731953269906E-2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59336</v>
      </c>
      <c r="Y2878" s="198">
        <f>_xll.qlInterestRateIndexValueDate(IborIndex,X2878,Trigger)</f>
        <v>59338</v>
      </c>
      <c r="Z2878" s="199">
        <v>2.4409907428433759E-2</v>
      </c>
      <c r="AA2878" s="201">
        <v>2.4388531499770494E-2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59343</v>
      </c>
      <c r="Y2879" s="198">
        <f>_xll.qlInterestRateIndexValueDate(IborIndex,X2879,Trigger)</f>
        <v>59345</v>
      </c>
      <c r="Z2879" s="199">
        <v>2.440773987096605E-2</v>
      </c>
      <c r="AA2879" s="201">
        <v>2.4386345550269084E-2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59350</v>
      </c>
      <c r="Y2880" s="198">
        <f>_xll.qlInterestRateIndexValueDate(IborIndex,X2880,Trigger)</f>
        <v>59352</v>
      </c>
      <c r="Z2880" s="199">
        <v>2.440558684732539E-2</v>
      </c>
      <c r="AA2880" s="201">
        <v>2.4384174104765677E-2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59357</v>
      </c>
      <c r="Y2881" s="198">
        <f>_xll.qlInterestRateIndexValueDate(IborIndex,X2881,Trigger)</f>
        <v>59359</v>
      </c>
      <c r="Z2881" s="199">
        <v>2.4403448357514353E-2</v>
      </c>
      <c r="AA2881" s="201">
        <v>2.4382017163020464E-2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59364</v>
      </c>
      <c r="Y2882" s="198">
        <f>_xll.qlInterestRateIndexValueDate(IborIndex,X2882,Trigger)</f>
        <v>59366</v>
      </c>
      <c r="Z2882" s="199">
        <v>2.4401324401512308E-2</v>
      </c>
      <c r="AA2882" s="201">
        <v>2.4379874725513062E-2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59371</v>
      </c>
      <c r="Y2883" s="198">
        <f>_xll.qlInterestRateIndexValueDate(IborIndex,X2883,Trigger)</f>
        <v>59373</v>
      </c>
      <c r="Z2883" s="199">
        <v>2.439921497931926E-2</v>
      </c>
      <c r="AA2883" s="201">
        <v>2.4377746791683919E-2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59378</v>
      </c>
      <c r="Y2884" s="198">
        <f>_xll.qlInterestRateIndexValueDate(IborIndex,X2884,Trigger)</f>
        <v>59380</v>
      </c>
      <c r="Z2884" s="199">
        <v>2.4397797914753327E-2</v>
      </c>
      <c r="AA2884" s="201">
        <v>2.4375633361772842E-2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59385</v>
      </c>
      <c r="Y2885" s="198">
        <f>_xll.qlInterestRateIndexValueDate(IborIndex,X2885,Trigger)</f>
        <v>59387</v>
      </c>
      <c r="Z2885" s="199">
        <v>2.4395718457514426E-2</v>
      </c>
      <c r="AA2885" s="201">
        <v>2.4373534436019639E-2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59392</v>
      </c>
      <c r="Y2886" s="198">
        <f>_xll.qlInterestRateIndexValueDate(IborIndex,X2886,Trigger)</f>
        <v>59394</v>
      </c>
      <c r="Z2886" s="199">
        <v>2.4392973915503834E-2</v>
      </c>
      <c r="AA2886" s="201">
        <v>2.4371450014104568E-2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59399</v>
      </c>
      <c r="Y2887" s="198">
        <f>_xll.qlInterestRateIndexValueDate(IborIndex,X2887,Trigger)</f>
        <v>59401</v>
      </c>
      <c r="Z2887" s="199">
        <v>2.4390922628459093E-2</v>
      </c>
      <c r="AA2887" s="201">
        <v>2.4369380096107562E-2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59406</v>
      </c>
      <c r="Y2888" s="198">
        <f>_xll.qlInterestRateIndexValueDate(IborIndex,X2888,Trigger)</f>
        <v>59408</v>
      </c>
      <c r="Z2888" s="199">
        <v>2.438888587518467E-2</v>
      </c>
      <c r="AA2888" s="201">
        <v>2.4367032235481645E-2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59413</v>
      </c>
      <c r="Y2889" s="198">
        <f>_xll.qlInterestRateIndexValueDate(IborIndex,X2889,Trigger)</f>
        <v>59415</v>
      </c>
      <c r="Z2889" s="199">
        <v>2.4386863655667668E-2</v>
      </c>
      <c r="AA2889" s="201">
        <v>2.4365283771947688E-2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59420</v>
      </c>
      <c r="Y2890" s="198">
        <f>_xll.qlInterestRateIndexValueDate(IborIndex,X2890,Trigger)</f>
        <v>59422</v>
      </c>
      <c r="Z2890" s="199">
        <v>2.4385539192828265E-2</v>
      </c>
      <c r="AA2890" s="201">
        <v>2.4363257365864754E-2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59427</v>
      </c>
      <c r="Y2891" s="198">
        <f>_xll.qlInterestRateIndexValueDate(IborIndex,X2891,Trigger)</f>
        <v>59429</v>
      </c>
      <c r="Z2891" s="199">
        <v>2.4382862817887888E-2</v>
      </c>
      <c r="AA2891" s="201">
        <v>2.4361245463619952E-2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59434</v>
      </c>
      <c r="Y2892" s="198">
        <f>_xll.qlInterestRateIndexValueDate(IborIndex,X2892,Trigger)</f>
        <v>59436</v>
      </c>
      <c r="Z2892" s="199">
        <v>2.4380884199607055E-2</v>
      </c>
      <c r="AA2892" s="201">
        <v>2.4359248065373151E-2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59441</v>
      </c>
      <c r="Y2893" s="198">
        <f>_xll.qlInterestRateIndexValueDate(IborIndex,X2893,Trigger)</f>
        <v>59443</v>
      </c>
      <c r="Z2893" s="199">
        <v>2.437960605095546E-2</v>
      </c>
      <c r="AA2893" s="201">
        <v>2.4357265170964482E-2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59448</v>
      </c>
      <c r="Y2894" s="198">
        <f>_xll.qlInterestRateIndexValueDate(IborIndex,X2894,Trigger)</f>
        <v>59450</v>
      </c>
      <c r="Z2894" s="199">
        <v>2.4376970564235149E-2</v>
      </c>
      <c r="AA2894" s="201">
        <v>2.4355296780713687E-2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59455</v>
      </c>
      <c r="Y2895" s="198">
        <f>_xll.qlInterestRateIndexValueDate(IborIndex,X2895,Trigger)</f>
        <v>59457</v>
      </c>
      <c r="Z2895" s="199">
        <v>2.4375035547123447E-2</v>
      </c>
      <c r="AA2895" s="201">
        <v>2.435334289414115E-2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59462</v>
      </c>
      <c r="Y2896" s="198">
        <f>_xll.qlInterestRateIndexValueDate(IborIndex,X2896,Trigger)</f>
        <v>59464</v>
      </c>
      <c r="Z2896" s="199">
        <v>2.4373115063720172E-2</v>
      </c>
      <c r="AA2896" s="201">
        <v>2.4351403511646552E-2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59469</v>
      </c>
      <c r="Y2897" s="198">
        <f>_xll.qlInterestRateIndexValueDate(IborIndex,X2897,Trigger)</f>
        <v>59471</v>
      </c>
      <c r="Z2897" s="199">
        <v>2.437120911402017E-2</v>
      </c>
      <c r="AA2897" s="201">
        <v>2.4349478633070021E-2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59476</v>
      </c>
      <c r="Y2898" s="198">
        <f>_xll.qlInterestRateIndexValueDate(IborIndex,X2898,Trigger)</f>
        <v>59478</v>
      </c>
      <c r="Z2898" s="199">
        <v>2.4369317698015709E-2</v>
      </c>
      <c r="AA2898" s="201">
        <v>2.4347568258411556E-2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59483</v>
      </c>
      <c r="Y2899" s="198">
        <f>_xll.qlInterestRateIndexValueDate(IborIndex,X2899,Trigger)</f>
        <v>59488</v>
      </c>
      <c r="Z2899" s="199">
        <v>2.4365949225264139E-2</v>
      </c>
      <c r="AA2899" s="201">
        <v>2.434540273313246E-2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59490</v>
      </c>
      <c r="Y2900" s="198">
        <f>_xll.qlInterestRateIndexValueDate(IborIndex,X2900,Trigger)</f>
        <v>59492</v>
      </c>
      <c r="Z2900" s="199">
        <v>2.4365578467052135E-2</v>
      </c>
      <c r="AA2900" s="201">
        <v>2.4343791021088634E-2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59497</v>
      </c>
      <c r="Y2901" s="198">
        <f>_xll.qlInterestRateIndexValueDate(IborIndex,X2901,Trigger)</f>
        <v>59499</v>
      </c>
      <c r="Z2901" s="199">
        <v>2.4365117198794844E-2</v>
      </c>
      <c r="AA2901" s="201">
        <v>2.4341924158184369E-2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59504</v>
      </c>
      <c r="Y2902" s="198">
        <f>_xll.qlInterestRateIndexValueDate(IborIndex,X2902,Trigger)</f>
        <v>59506</v>
      </c>
      <c r="Z2902" s="199">
        <v>2.436259149921044E-2</v>
      </c>
      <c r="AA2902" s="201">
        <v>2.4340071799278107E-2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59511</v>
      </c>
      <c r="Y2903" s="198">
        <f>_xll.qlInterestRateIndexValueDate(IborIndex,X2903,Trigger)</f>
        <v>59513</v>
      </c>
      <c r="Z2903" s="199">
        <v>2.4360078623147964E-2</v>
      </c>
      <c r="AA2903" s="201">
        <v>2.4338233944289911E-2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59518</v>
      </c>
      <c r="Y2904" s="198">
        <f>_xll.qlInterestRateIndexValueDate(IborIndex,X2904,Trigger)</f>
        <v>59520</v>
      </c>
      <c r="Z2904" s="199">
        <v>2.4358970369052213E-2</v>
      </c>
      <c r="AA2904" s="201">
        <v>2.433641059345959E-2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59525</v>
      </c>
      <c r="Y2905" s="198">
        <f>_xll.qlInterestRateIndexValueDate(IborIndex,X2905,Trigger)</f>
        <v>59527</v>
      </c>
      <c r="Z2905" s="199">
        <v>2.4356484728812286E-2</v>
      </c>
      <c r="AA2905" s="201">
        <v>2.4334087596704634E-2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59532</v>
      </c>
      <c r="Y2906" s="198">
        <f>_xll.qlInterestRateIndexValueDate(IborIndex,X2906,Trigger)</f>
        <v>59534</v>
      </c>
      <c r="Z2906" s="199">
        <v>2.4356105291792381E-2</v>
      </c>
      <c r="AA2906" s="201">
        <v>2.4332552252372963E-2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59539</v>
      </c>
      <c r="Y2907" s="198">
        <f>_xll.qlInterestRateIndexValueDate(IborIndex,X2907,Trigger)</f>
        <v>59541</v>
      </c>
      <c r="Z2907" s="199">
        <v>2.4352948969034421E-2</v>
      </c>
      <c r="AA2907" s="201">
        <v>2.4331027563917473E-2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59546</v>
      </c>
      <c r="Y2908" s="198">
        <f>_xll.qlInterestRateIndexValueDate(IborIndex,X2908,Trigger)</f>
        <v>59548</v>
      </c>
      <c r="Z2908" s="199">
        <v>2.435120288959081E-2</v>
      </c>
      <c r="AA2908" s="201">
        <v>2.4329262228679482E-2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59553</v>
      </c>
      <c r="Y2909" s="198">
        <f>_xll.qlInterestRateIndexValueDate(IborIndex,X2909,Trigger)</f>
        <v>59555</v>
      </c>
      <c r="Z2909" s="199">
        <v>2.4350171899671647E-2</v>
      </c>
      <c r="AA2909" s="201">
        <v>2.4327511397359558E-2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59560</v>
      </c>
      <c r="Y2910" s="198">
        <f>_xll.qlInterestRateIndexValueDate(IborIndex,X2910,Trigger)</f>
        <v>59562</v>
      </c>
      <c r="Z2910" s="199">
        <v>2.4347754331550387E-2</v>
      </c>
      <c r="AA2910" s="201">
        <v>2.4325775070037636E-2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59567</v>
      </c>
      <c r="Y2911" s="198">
        <f>_xll.qlInterestRateIndexValueDate(IborIndex,X2911,Trigger)</f>
        <v>59569</v>
      </c>
      <c r="Z2911" s="199">
        <v>2.4343945367130297E-2</v>
      </c>
      <c r="AA2911" s="201">
        <v>2.4324053246553845E-2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59574</v>
      </c>
      <c r="Y2912" s="198">
        <f>_xll.qlInterestRateIndexValueDate(IborIndex,X2912,Trigger)</f>
        <v>59576</v>
      </c>
      <c r="Z2912" s="199">
        <v>2.434225465046648E-2</v>
      </c>
      <c r="AA2912" s="201">
        <v>2.4322345927068056E-2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59581</v>
      </c>
      <c r="Y2913" s="198">
        <f>_xll.qlInterestRateIndexValueDate(IborIndex,X2913,Trigger)</f>
        <v>59583</v>
      </c>
      <c r="Z2913" s="199">
        <v>2.4340578464430798E-2</v>
      </c>
      <c r="AA2913" s="201">
        <v>2.4320653111500334E-2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59588</v>
      </c>
      <c r="Y2914" s="198">
        <f>_xll.qlInterestRateIndexValueDate(IborIndex,X2914,Trigger)</f>
        <v>59590</v>
      </c>
      <c r="Z2914" s="199">
        <v>2.4338916809014677E-2</v>
      </c>
      <c r="AA2914" s="201">
        <v>2.4318974799930615E-2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59595</v>
      </c>
      <c r="Y2915" s="198">
        <f>_xll.qlInterestRateIndexValueDate(IborIndex,X2915,Trigger)</f>
        <v>59597</v>
      </c>
      <c r="Z2915" s="199">
        <v>2.4339387274441293E-2</v>
      </c>
      <c r="AA2915" s="201">
        <v>2.431731099211909E-2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59602</v>
      </c>
      <c r="Y2916" s="198">
        <f>_xll.qlInterestRateIndexValueDate(IborIndex,X2916,Trigger)</f>
        <v>59604</v>
      </c>
      <c r="Z2916" s="199">
        <v>2.4337757463772935E-2</v>
      </c>
      <c r="AA2916" s="201">
        <v>2.431566168846544E-2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59609</v>
      </c>
      <c r="Y2917" s="198">
        <f>_xll.qlInterestRateIndexValueDate(IborIndex,X2917,Trigger)</f>
        <v>59611</v>
      </c>
      <c r="Z2917" s="199">
        <v>2.4336850147660127E-2</v>
      </c>
      <c r="AA2917" s="201">
        <v>2.4314026888569984E-2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59616</v>
      </c>
      <c r="Y2918" s="198">
        <f>_xll.qlInterestRateIndexValueDate(IborIndex,X2918,Trigger)</f>
        <v>59618</v>
      </c>
      <c r="Z2918" s="199">
        <v>2.433454144313088E-2</v>
      </c>
      <c r="AA2918" s="201">
        <v>2.4312406592592595E-2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59623</v>
      </c>
      <c r="Y2919" s="198">
        <f>_xll.qlInterestRateIndexValueDate(IborIndex,X2919,Trigger)</f>
        <v>59625</v>
      </c>
      <c r="Z2919" s="199">
        <v>2.4332955233146877E-2</v>
      </c>
      <c r="AA2919" s="201">
        <v>2.431080080077308E-2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59630</v>
      </c>
      <c r="Y2920" s="198">
        <f>_xll.qlInterestRateIndexValueDate(IborIndex,X2920,Trigger)</f>
        <v>59632</v>
      </c>
      <c r="Z2920" s="199">
        <v>2.4332094310923202E-2</v>
      </c>
      <c r="AA2920" s="201">
        <v>2.4309209512631824E-2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59637</v>
      </c>
      <c r="Y2921" s="198">
        <f>_xll.qlInterestRateIndexValueDate(IborIndex,X2921,Trigger)</f>
        <v>59643</v>
      </c>
      <c r="Z2921" s="199">
        <v>2.4328231043366344E-2</v>
      </c>
      <c r="AA2921" s="201">
        <v>2.4307184882887967E-2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59644</v>
      </c>
      <c r="Y2922" s="198">
        <f>_xll.qlInterestRateIndexValueDate(IborIndex,X2922,Trigger)</f>
        <v>59646</v>
      </c>
      <c r="Z2922" s="199">
        <v>2.432828380447331E-2</v>
      </c>
      <c r="AA2922" s="201">
        <v>2.4306070448423256E-2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59651</v>
      </c>
      <c r="Y2923" s="198">
        <f>_xll.qlInterestRateIndexValueDate(IborIndex,X2923,Trigger)</f>
        <v>59653</v>
      </c>
      <c r="Z2923" s="199">
        <v>2.4327469284968484E-2</v>
      </c>
      <c r="AA2923" s="201">
        <v>2.4304522672196072E-2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59658</v>
      </c>
      <c r="Y2924" s="198">
        <f>_xll.qlInterestRateIndexValueDate(IborIndex,X2924,Trigger)</f>
        <v>59660</v>
      </c>
      <c r="Z2924" s="199">
        <v>2.4325242186372699E-2</v>
      </c>
      <c r="AA2924" s="201">
        <v>2.4302771545032797E-2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59665</v>
      </c>
      <c r="Y2925" s="198">
        <f>_xll.qlInterestRateIndexValueDate(IborIndex,X2925,Trigger)</f>
        <v>59667</v>
      </c>
      <c r="Z2925" s="199">
        <v>2.4323743177607843E-2</v>
      </c>
      <c r="AA2925" s="201">
        <v>2.4301470631575839E-2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59672</v>
      </c>
      <c r="Y2926" s="198">
        <f>_xll.qlInterestRateIndexValueDate(IborIndex,X2926,Trigger)</f>
        <v>59674</v>
      </c>
      <c r="Z2926" s="199">
        <v>2.4322258702355444E-2</v>
      </c>
      <c r="AA2926" s="201">
        <v>2.429996636718279E-2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59679</v>
      </c>
      <c r="Y2927" s="198">
        <f>_xll.qlInterestRateIndexValueDate(IborIndex,X2927,Trigger)</f>
        <v>59681</v>
      </c>
      <c r="Z2927" s="199">
        <v>2.4320788760615501E-2</v>
      </c>
      <c r="AA2927" s="201">
        <v>2.4298264967681504E-2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59686</v>
      </c>
      <c r="Y2928" s="198">
        <f>_xll.qlInterestRateIndexValueDate(IborIndex,X2928,Trigger)</f>
        <v>59688</v>
      </c>
      <c r="Z2928" s="199">
        <v>2.4319333352385439E-2</v>
      </c>
      <c r="AA2928" s="201">
        <v>2.4297001349991021E-2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59693</v>
      </c>
      <c r="Y2929" s="198">
        <f>_xll.qlInterestRateIndexValueDate(IborIndex,X2929,Trigger)</f>
        <v>59695</v>
      </c>
      <c r="Z2929" s="199">
        <v>2.4317892477649785E-2</v>
      </c>
      <c r="AA2929" s="201">
        <v>2.4295540597512044E-2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59700</v>
      </c>
      <c r="Y2930" s="198">
        <f>_xll.qlInterestRateIndexValueDate(IborIndex,X2930,Trigger)</f>
        <v>59702</v>
      </c>
      <c r="Z2930" s="199">
        <v>2.4316466136411117E-2</v>
      </c>
      <c r="AA2930" s="201">
        <v>2.4294094348711326E-2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59707</v>
      </c>
      <c r="Y2931" s="198">
        <f>_xll.qlInterestRateIndexValueDate(IborIndex,X2931,Trigger)</f>
        <v>59709</v>
      </c>
      <c r="Z2931" s="199">
        <v>2.431505432865912E-2</v>
      </c>
      <c r="AA2931" s="201">
        <v>2.4292662603988546E-2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59714</v>
      </c>
      <c r="Y2932" s="198">
        <f>_xll.qlInterestRateIndexValueDate(IborIndex,X2932,Trigger)</f>
        <v>59716</v>
      </c>
      <c r="Z2932" s="199">
        <v>2.4314379070301262E-2</v>
      </c>
      <c r="AA2932" s="201">
        <v>2.4291245363103897E-2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59721</v>
      </c>
      <c r="Y2933" s="198">
        <f>_xll.qlInterestRateIndexValueDate(IborIndex,X2933,Trigger)</f>
        <v>59723</v>
      </c>
      <c r="Z2933" s="199">
        <v>2.4312274313602254E-2</v>
      </c>
      <c r="AA2933" s="201">
        <v>2.4289842626297187E-2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59728</v>
      </c>
      <c r="Y2934" s="198">
        <f>_xll.qlInterestRateIndexValueDate(IborIndex,X2934,Trigger)</f>
        <v>59730</v>
      </c>
      <c r="Z2934" s="199">
        <v>2.4310906106289644E-2</v>
      </c>
      <c r="AA2934" s="201">
        <v>2.4288454393408543E-2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59735</v>
      </c>
      <c r="Y2935" s="198">
        <f>_xll.qlInterestRateIndexValueDate(IborIndex,X2935,Trigger)</f>
        <v>59737</v>
      </c>
      <c r="Z2935" s="199">
        <v>2.430955243244308E-2</v>
      </c>
      <c r="AA2935" s="201">
        <v>2.4287080664198157E-2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59742</v>
      </c>
      <c r="Y2936" s="198">
        <f>_xll.qlInterestRateIndexValueDate(IborIndex,X2936,Trigger)</f>
        <v>59744</v>
      </c>
      <c r="Z2936" s="199">
        <v>2.4308939093422299E-2</v>
      </c>
      <c r="AA2936" s="201">
        <v>2.4285721439225583E-2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59749</v>
      </c>
      <c r="Y2937" s="198">
        <f>_xll.qlInterestRateIndexValueDate(IborIndex,X2937,Trigger)</f>
        <v>59751</v>
      </c>
      <c r="Z2937" s="199">
        <v>2.4307615435321672E-2</v>
      </c>
      <c r="AA2937" s="201">
        <v>2.4284376717931266E-2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59756</v>
      </c>
      <c r="Y2938" s="198">
        <f>_xll.qlInterestRateIndexValueDate(IborIndex,X2938,Trigger)</f>
        <v>59758</v>
      </c>
      <c r="Z2938" s="199">
        <v>2.430557861166097E-2</v>
      </c>
      <c r="AA2938" s="201">
        <v>2.4283046500874761E-2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59763</v>
      </c>
      <c r="Y2939" s="198">
        <f>_xll.qlInterestRateIndexValueDate(IborIndex,X2939,Trigger)</f>
        <v>59765</v>
      </c>
      <c r="Z2939" s="199">
        <v>2.4304283071634746E-2</v>
      </c>
      <c r="AA2939" s="201">
        <v>2.4281730787416578E-2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59770</v>
      </c>
      <c r="Y2940" s="198">
        <f>_xll.qlInterestRateIndexValueDate(IborIndex,X2940,Trigger)</f>
        <v>59772</v>
      </c>
      <c r="Z2940" s="199">
        <v>2.4303002065053935E-2</v>
      </c>
      <c r="AA2940" s="201">
        <v>2.4280244874983481E-2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59777</v>
      </c>
      <c r="Y2941" s="198">
        <f>_xll.qlInterestRateIndexValueDate(IborIndex,X2941,Trigger)</f>
        <v>59779</v>
      </c>
      <c r="Z2941" s="199">
        <v>2.4299544667972954E-2</v>
      </c>
      <c r="AA2941" s="201">
        <v>2.4279142872734027E-2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59784</v>
      </c>
      <c r="Y2942" s="198">
        <f>_xll.qlInterestRateIndexValueDate(IborIndex,X2942,Trigger)</f>
        <v>59786</v>
      </c>
      <c r="Z2942" s="199">
        <v>2.430121516129341E-2</v>
      </c>
      <c r="AA2942" s="201">
        <v>2.427787067110998E-2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59791</v>
      </c>
      <c r="Y2943" s="198">
        <f>_xll.qlInterestRateIndexValueDate(IborIndex,X2943,Trigger)</f>
        <v>59793</v>
      </c>
      <c r="Z2943" s="199">
        <v>2.4299246245922102E-2</v>
      </c>
      <c r="AA2943" s="201">
        <v>2.4276612973483935E-2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59798</v>
      </c>
      <c r="Y2944" s="198">
        <f>_xll.qlInterestRateIndexValueDate(IborIndex,X2944,Trigger)</f>
        <v>59800</v>
      </c>
      <c r="Z2944" s="199">
        <v>2.4298023373071381E-2</v>
      </c>
      <c r="AA2944" s="201">
        <v>2.4275369779935829E-2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59805</v>
      </c>
      <c r="Y2945" s="198">
        <f>_xll.qlInterestRateIndexValueDate(IborIndex,X2945,Trigger)</f>
        <v>59807</v>
      </c>
      <c r="Z2945" s="199">
        <v>2.429828391036408E-2</v>
      </c>
      <c r="AA2945" s="201">
        <v>2.4274141090145918E-2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59812</v>
      </c>
      <c r="Y2946" s="198">
        <f>_xll.qlInterestRateIndexValueDate(IborIndex,X2946,Trigger)</f>
        <v>59814</v>
      </c>
      <c r="Z2946" s="199">
        <v>2.4295621227615929E-2</v>
      </c>
      <c r="AA2946" s="201">
        <v>2.4272926904354009E-2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59819</v>
      </c>
      <c r="Y2947" s="198">
        <f>_xll.qlInterestRateIndexValueDate(IborIndex,X2947,Trigger)</f>
        <v>59821</v>
      </c>
      <c r="Z2947" s="199">
        <v>2.4295178247589477E-2</v>
      </c>
      <c r="AA2947" s="201">
        <v>2.4271727222560102E-2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59826</v>
      </c>
      <c r="Y2948" s="198">
        <f>_xll.qlInterestRateIndexValueDate(IborIndex,X2948,Trigger)</f>
        <v>59828</v>
      </c>
      <c r="Z2948" s="199">
        <v>2.4293277215802891E-2</v>
      </c>
      <c r="AA2948" s="201">
        <v>2.4270542044604326E-2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59833</v>
      </c>
      <c r="Y2949" s="198">
        <f>_xll.qlInterestRateIndexValueDate(IborIndex,X2949,Trigger)</f>
        <v>59835</v>
      </c>
      <c r="Z2949" s="199">
        <v>2.4292127010003901E-2</v>
      </c>
      <c r="AA2949" s="201">
        <v>2.4269371370566617E-2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59840</v>
      </c>
      <c r="Y2950" s="198">
        <f>_xll.qlInterestRateIndexValueDate(IborIndex,X2950,Trigger)</f>
        <v>59842</v>
      </c>
      <c r="Z2950" s="199">
        <v>2.4290991337598749E-2</v>
      </c>
      <c r="AA2950" s="201">
        <v>2.4268215200446974E-2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59847</v>
      </c>
      <c r="Y2951" s="198">
        <f>_xll.qlInterestRateIndexValueDate(IborIndex,X2951,Trigger)</f>
        <v>59849</v>
      </c>
      <c r="Z2951" s="199">
        <v>2.4289870198592602E-2</v>
      </c>
      <c r="AA2951" s="201">
        <v>2.426707353440527E-2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59854</v>
      </c>
      <c r="Y2952" s="198">
        <f>_xll.qlInterestRateIndexValueDate(IborIndex,X2952,Trigger)</f>
        <v>59856</v>
      </c>
      <c r="Z2952" s="199">
        <v>2.4288763592972561E-2</v>
      </c>
      <c r="AA2952" s="201">
        <v>2.4265946372121761E-2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59861</v>
      </c>
      <c r="Y2953" s="198">
        <f>_xll.qlInterestRateIndexValueDate(IborIndex,X2953,Trigger)</f>
        <v>59863</v>
      </c>
      <c r="Z2953" s="199">
        <v>2.4287671520736048E-2</v>
      </c>
      <c r="AA2953" s="201">
        <v>2.4264833713836254E-2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59868</v>
      </c>
      <c r="Y2954" s="198">
        <f>_xll.qlInterestRateIndexValueDate(IborIndex,X2954,Trigger)</f>
        <v>59870</v>
      </c>
      <c r="Z2954" s="199">
        <v>2.4286593981883063E-2</v>
      </c>
      <c r="AA2954" s="201">
        <v>2.4263735559548749E-2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59875</v>
      </c>
      <c r="Y2955" s="198">
        <f>_xll.qlInterestRateIndexValueDate(IborIndex,X2955,Trigger)</f>
        <v>59877</v>
      </c>
      <c r="Z2955" s="199">
        <v>2.4285530976411032E-2</v>
      </c>
      <c r="AA2955" s="201">
        <v>2.4262651909179311E-2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59882</v>
      </c>
      <c r="Y2956" s="198">
        <f>_xll.qlInterestRateIndexValueDate(IborIndex,X2956,Trigger)</f>
        <v>59884</v>
      </c>
      <c r="Z2956" s="199">
        <v>2.4284482504307054E-2</v>
      </c>
      <c r="AA2956" s="201">
        <v>2.4261582762488132E-2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59889</v>
      </c>
      <c r="Y2957" s="198">
        <f>_xll.qlInterestRateIndexValueDate(IborIndex,X2957,Trigger)</f>
        <v>59891</v>
      </c>
      <c r="Z2957" s="199">
        <v>2.4284194498881417E-2</v>
      </c>
      <c r="AA2957" s="201">
        <v>2.4260229457579996E-2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59897</v>
      </c>
      <c r="Y2958" s="198">
        <f>_xll.qlInterestRateIndexValueDate(IborIndex,X2958,Trigger)</f>
        <v>59901</v>
      </c>
      <c r="Z2958" s="199">
        <v>2.4281996721176754E-2</v>
      </c>
      <c r="AA2958" s="201">
        <v>2.4259193462849993E-2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59904</v>
      </c>
      <c r="Y2959" s="198">
        <f>_xll.qlInterestRateIndexValueDate(IborIndex,X2959,Trigger)</f>
        <v>59908</v>
      </c>
      <c r="Z2959" s="199">
        <v>2.4280998077750734E-2</v>
      </c>
      <c r="AA2959" s="201">
        <v>2.425831701145853E-2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59911</v>
      </c>
      <c r="Y2960" s="198">
        <f>_xll.qlInterestRateIndexValueDate(IborIndex,X2960,Trigger)</f>
        <v>59915</v>
      </c>
      <c r="Z2960" s="199">
        <v>2.428001396767988E-2</v>
      </c>
      <c r="AA2960" s="201">
        <v>2.4257307952622043E-2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59918</v>
      </c>
      <c r="Y2961" s="198">
        <f>_xll.qlInterestRateIndexValueDate(IborIndex,X2961,Trigger)</f>
        <v>59923</v>
      </c>
      <c r="Z2961" s="199">
        <v>2.4278907066404728E-2</v>
      </c>
      <c r="AA2961" s="201">
        <v>2.4256172502328255E-2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59925</v>
      </c>
      <c r="Y2962" s="198">
        <f>_xll.qlInterestRateIndexValueDate(IborIndex,X2962,Trigger)</f>
        <v>59929</v>
      </c>
      <c r="Z2962" s="199">
        <v>2.4278089347603667E-2</v>
      </c>
      <c r="AA2962" s="201">
        <v>2.4255333346703267E-2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59932</v>
      </c>
      <c r="Y2963" s="198">
        <f>_xll.qlInterestRateIndexValueDate(IborIndex,X2963,Trigger)</f>
        <v>59936</v>
      </c>
      <c r="Z2963" s="199">
        <v>2.4275644852193214E-2</v>
      </c>
      <c r="AA2963" s="201">
        <v>2.4254367799780852E-2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59939</v>
      </c>
      <c r="Y2964" s="198">
        <f>_xll.qlInterestRateIndexValueDate(IborIndex,X2964,Trigger)</f>
        <v>59943</v>
      </c>
      <c r="Z2964" s="199">
        <v>2.427471692434555E-2</v>
      </c>
      <c r="AA2964" s="201">
        <v>2.4253416756696566E-2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59946</v>
      </c>
      <c r="Y2965" s="198">
        <f>_xll.qlInterestRateIndexValueDate(IborIndex,X2965,Trigger)</f>
        <v>59951</v>
      </c>
      <c r="Z2965" s="199">
        <v>2.4273674228909348E-2</v>
      </c>
      <c r="AA2965" s="201">
        <v>2.4252347610245195E-2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59953</v>
      </c>
      <c r="Y2966" s="198">
        <f>_xll.qlInterestRateIndexValueDate(IborIndex,X2966,Trigger)</f>
        <v>59957</v>
      </c>
      <c r="Z2966" s="199">
        <v>2.4272904662782663E-2</v>
      </c>
      <c r="AA2966" s="201">
        <v>2.4251558182282196E-2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59960</v>
      </c>
      <c r="Y2967" s="198">
        <f>_xll.qlInterestRateIndexValueDate(IborIndex,X2967,Trigger)</f>
        <v>59964</v>
      </c>
      <c r="Z2967" s="199">
        <v>2.4273532130873233E-2</v>
      </c>
      <c r="AA2967" s="201">
        <v>2.4250650651032046E-2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59967</v>
      </c>
      <c r="Y2968" s="198">
        <f>_xll.qlInterestRateIndexValueDate(IborIndex,X2968,Trigger)</f>
        <v>59971</v>
      </c>
      <c r="Z2968" s="199">
        <v>2.4272664287527657E-2</v>
      </c>
      <c r="AA2968" s="201">
        <v>2.4249757623540091E-2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59974</v>
      </c>
      <c r="Y2969" s="198">
        <f>_xll.qlInterestRateIndexValueDate(IborIndex,X2969,Trigger)</f>
        <v>59978</v>
      </c>
      <c r="Z2969" s="199">
        <v>2.4271810977501151E-2</v>
      </c>
      <c r="AA2969" s="201">
        <v>2.4248879100126075E-2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59981</v>
      </c>
      <c r="Y2970" s="198">
        <f>_xll.qlInterestRateIndexValueDate(IborIndex,X2970,Trigger)</f>
        <v>59985</v>
      </c>
      <c r="Z2970" s="199">
        <v>2.4270972200804018E-2</v>
      </c>
      <c r="AA2970" s="201">
        <v>2.4248015080630125E-2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59988</v>
      </c>
      <c r="Y2971" s="198">
        <f>_xll.qlInterestRateIndexValueDate(IborIndex,X2971,Trigger)</f>
        <v>59992</v>
      </c>
      <c r="Z2971" s="199">
        <v>2.4269388068710818E-2</v>
      </c>
      <c r="AA2971" s="201">
        <v>2.4247165565052242E-2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59995</v>
      </c>
      <c r="Y2972" s="198">
        <f>_xll.qlInterestRateIndexValueDate(IborIndex,X2972,Trigger)</f>
        <v>60001</v>
      </c>
      <c r="Z2972" s="199">
        <v>2.4268348417617602E-2</v>
      </c>
      <c r="AA2972" s="201">
        <v>2.4247610231542538E-2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60002</v>
      </c>
      <c r="Y2973" s="198">
        <f>_xll.qlInterestRateIndexValueDate(IborIndex,X2973,Trigger)</f>
        <v>60006</v>
      </c>
      <c r="Z2973" s="199">
        <v>2.4267781213917594E-2</v>
      </c>
      <c r="AA2973" s="201">
        <v>2.424551004557074E-2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60009</v>
      </c>
      <c r="Y2974" s="198">
        <f>_xll.qlInterestRateIndexValueDate(IborIndex,X2974,Trigger)</f>
        <v>60013</v>
      </c>
      <c r="Z2974" s="199">
        <v>2.4266999585017324E-2</v>
      </c>
      <c r="AA2974" s="201">
        <v>2.4244704041906928E-2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60016</v>
      </c>
      <c r="Y2975" s="198">
        <f>_xll.qlInterestRateIndexValueDate(IborIndex,X2975,Trigger)</f>
        <v>60020</v>
      </c>
      <c r="Z2975" s="199">
        <v>2.4266232488444395E-2</v>
      </c>
      <c r="AA2975" s="201">
        <v>2.4243912541841439E-2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60023</v>
      </c>
      <c r="Y2976" s="198">
        <f>_xll.qlInterestRateIndexValueDate(IborIndex,X2976,Trigger)</f>
        <v>60028</v>
      </c>
      <c r="Z2976" s="199">
        <v>2.4266138558455705E-2</v>
      </c>
      <c r="AA2976" s="201">
        <v>2.4243025730577017E-2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60030</v>
      </c>
      <c r="Y2977" s="198">
        <f>_xll.qlInterestRateIndexValueDate(IborIndex,X2977,Trigger)</f>
        <v>60034</v>
      </c>
      <c r="Z2977" s="199">
        <v>2.4265507696646461E-2</v>
      </c>
      <c r="AA2977" s="201">
        <v>2.4242373054024213E-2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60037</v>
      </c>
      <c r="Y2978" s="198">
        <f>_xll.qlInterestRateIndexValueDate(IborIndex,X2978,Trigger)</f>
        <v>60041</v>
      </c>
      <c r="Z2978" s="199">
        <v>2.4264785186409017E-2</v>
      </c>
      <c r="AA2978" s="201">
        <v>2.4241625065872796E-2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60044</v>
      </c>
      <c r="Y2979" s="198">
        <f>_xll.qlInterestRateIndexValueDate(IborIndex,X2979,Trigger)</f>
        <v>60049</v>
      </c>
      <c r="Z2979" s="199">
        <v>2.4263977256299106E-2</v>
      </c>
      <c r="AA2979" s="201">
        <v>2.4240787982190426E-2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60051</v>
      </c>
      <c r="Y2980" s="198">
        <f>_xll.qlInterestRateIndexValueDate(IborIndex,X2980,Trigger)</f>
        <v>60055</v>
      </c>
      <c r="Z2980" s="199">
        <v>2.4262614990372633E-2</v>
      </c>
      <c r="AA2980" s="201">
        <v>2.4240172601244225E-2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60058</v>
      </c>
      <c r="Y2981" s="198">
        <f>_xll.qlInterestRateIndexValueDate(IborIndex,X2981,Trigger)</f>
        <v>60062</v>
      </c>
      <c r="Z2981" s="199">
        <v>2.4261935087699804E-2</v>
      </c>
      <c r="AA2981" s="201">
        <v>2.423946812500688E-2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60065</v>
      </c>
      <c r="Y2982" s="198">
        <f>_xll.qlInterestRateIndexValueDate(IborIndex,X2982,Trigger)</f>
        <v>60069</v>
      </c>
      <c r="Z2982" s="199">
        <v>2.426126971733833E-2</v>
      </c>
      <c r="AA2982" s="201">
        <v>2.4238778152687601E-2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60072</v>
      </c>
      <c r="Y2983" s="198">
        <f>_xll.qlInterestRateIndexValueDate(IborIndex,X2983,Trigger)</f>
        <v>60076</v>
      </c>
      <c r="Z2983" s="199">
        <v>2.426061887928288E-2</v>
      </c>
      <c r="AA2983" s="201">
        <v>2.4238102684126517E-2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60079</v>
      </c>
      <c r="Y2984" s="198">
        <f>_xll.qlInterestRateIndexValueDate(IborIndex,X2984,Trigger)</f>
        <v>60083</v>
      </c>
      <c r="Z2984" s="199">
        <v>2.4260755324107094E-2</v>
      </c>
      <c r="AA2984" s="201">
        <v>2.4237441719563435E-2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60086</v>
      </c>
      <c r="Y2985" s="198">
        <f>_xll.qlInterestRateIndexValueDate(IborIndex,X2985,Trigger)</f>
        <v>60090</v>
      </c>
      <c r="Z2985" s="199">
        <v>2.4260134546886497E-2</v>
      </c>
      <c r="AA2985" s="201">
        <v>2.423679525891842E-2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60093</v>
      </c>
      <c r="Y2986" s="198">
        <f>_xll.qlInterestRateIndexValueDate(IborIndex,X2986,Trigger)</f>
        <v>60097</v>
      </c>
      <c r="Z2986" s="199">
        <v>2.4259528302943711E-2</v>
      </c>
      <c r="AA2986" s="201">
        <v>2.4236163302271407E-2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60100</v>
      </c>
      <c r="Y2987" s="198">
        <f>_xll.qlInterestRateIndexValueDate(IborIndex,X2987,Trigger)</f>
        <v>60104</v>
      </c>
      <c r="Z2987" s="199">
        <v>2.4258936592270991E-2</v>
      </c>
      <c r="AA2987" s="201">
        <v>2.4235545849382589E-2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60107</v>
      </c>
      <c r="Y2988" s="198">
        <f>_xll.qlInterestRateIndexValueDate(IborIndex,X2988,Trigger)</f>
        <v>60111</v>
      </c>
      <c r="Z2988" s="199">
        <v>2.4258359414881237E-2</v>
      </c>
      <c r="AA2988" s="201">
        <v>2.4234942900651646E-2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60114</v>
      </c>
      <c r="Y2989" s="198">
        <f>_xll.qlInterestRateIndexValueDate(IborIndex,X2989,Trigger)</f>
        <v>60118</v>
      </c>
      <c r="Z2989" s="199">
        <v>2.4257796770756401E-2</v>
      </c>
      <c r="AA2989" s="201">
        <v>2.4234354455758833E-2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60121</v>
      </c>
      <c r="Y2990" s="198">
        <f>_xll.qlInterestRateIndexValueDate(IborIndex,X2990,Trigger)</f>
        <v>60125</v>
      </c>
      <c r="Z2990" s="199">
        <v>2.4257248659901632E-2</v>
      </c>
      <c r="AA2990" s="201">
        <v>2.4233780514624215E-2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60128</v>
      </c>
      <c r="Y2991" s="198">
        <f>_xll.qlInterestRateIndexValueDate(IborIndex,X2991,Trigger)</f>
        <v>60132</v>
      </c>
      <c r="Z2991" s="199">
        <v>2.4256715082314358E-2</v>
      </c>
      <c r="AA2991" s="201">
        <v>2.4233221077567535E-2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60135</v>
      </c>
      <c r="Y2992" s="198">
        <f>_xll.qlInterestRateIndexValueDate(IborIndex,X2992,Trigger)</f>
        <v>60140</v>
      </c>
      <c r="Z2992" s="199">
        <v>2.4256123075192322E-2</v>
      </c>
      <c r="AA2992" s="201">
        <v>2.4232599480873418E-2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60142</v>
      </c>
      <c r="Y2993" s="198">
        <f>_xll.qlInterestRateIndexValueDate(IborIndex,X2993,Trigger)</f>
        <v>60147</v>
      </c>
      <c r="Z2993" s="199">
        <v>2.4254838744877105E-2</v>
      </c>
      <c r="AA2993" s="201">
        <v>2.4232071123675425E-2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60149</v>
      </c>
      <c r="Y2994" s="198">
        <f>_xll.qlInterestRateIndexValueDate(IborIndex,X2994,Trigger)</f>
        <v>60153</v>
      </c>
      <c r="Z2994" s="199">
        <v>2.4254418792177823E-2</v>
      </c>
      <c r="AA2994" s="201">
        <v>2.4231629789825959E-2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60156</v>
      </c>
      <c r="Y2995" s="198">
        <f>_xll.qlInterestRateIndexValueDate(IborIndex,X2995,Trigger)</f>
        <v>60160</v>
      </c>
      <c r="Z2995" s="199">
        <v>2.4253942341610824E-2</v>
      </c>
      <c r="AA2995" s="201">
        <v>2.4231128368521482E-2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60163</v>
      </c>
      <c r="Y2996" s="198">
        <f>_xll.qlInterestRateIndexValueDate(IborIndex,X2996,Trigger)</f>
        <v>60167</v>
      </c>
      <c r="Z2996" s="199">
        <v>2.4253480423333862E-2</v>
      </c>
      <c r="AA2996" s="201">
        <v>2.4230641451135071E-2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60170</v>
      </c>
      <c r="Y2997" s="198">
        <f>_xll.qlInterestRateIndexValueDate(IborIndex,X2997,Trigger)</f>
        <v>60174</v>
      </c>
      <c r="Z2997" s="199">
        <v>2.4253033037333616E-2</v>
      </c>
      <c r="AA2997" s="201">
        <v>2.4230169037586791E-2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60177</v>
      </c>
      <c r="Y2998" s="198">
        <f>_xll.qlInterestRateIndexValueDate(IborIndex,X2998,Trigger)</f>
        <v>60181</v>
      </c>
      <c r="Z2998" s="199">
        <v>2.4253386970523039E-2</v>
      </c>
      <c r="AA2998" s="201">
        <v>2.4229711127796705E-2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60184</v>
      </c>
      <c r="Y2999" s="198">
        <f>_xll.qlInterestRateIndexValueDate(IborIndex,X2999,Trigger)</f>
        <v>60189</v>
      </c>
      <c r="Z2999" s="199">
        <v>2.4252911229463589E-2</v>
      </c>
      <c r="AA2999" s="201">
        <v>2.4229205562606992E-2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60191</v>
      </c>
      <c r="Y3000" s="198">
        <f>_xll.qlInterestRateIndexValueDate(IborIndex,X3000,Trigger)</f>
        <v>60195</v>
      </c>
      <c r="Z3000" s="199">
        <v>2.4252566880738572E-2</v>
      </c>
      <c r="AA3000" s="201">
        <v>2.4228838820530285E-2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60198</v>
      </c>
      <c r="Y3001" s="198">
        <f>_xll.qlInterestRateIndexValueDate(IborIndex,X3001,Trigger)</f>
        <v>60202</v>
      </c>
      <c r="Z3001" s="199">
        <v>2.4252968587322454E-2</v>
      </c>
      <c r="AA3001" s="201">
        <v>2.4228424422574335E-2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60205</v>
      </c>
      <c r="Y3002" s="198">
        <f>_xll.qlInterestRateIndexValueDate(IborIndex,X3002,Trigger)</f>
        <v>60209</v>
      </c>
      <c r="Z3002" s="199">
        <v>2.425101409142183E-2</v>
      </c>
      <c r="AA3002" s="201">
        <v>2.422802452877626E-2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60212</v>
      </c>
      <c r="Y3003" s="198">
        <f>_xll.qlInterestRateIndexValueDate(IborIndex,X3003,Trigger)</f>
        <v>60216</v>
      </c>
      <c r="Z3003" s="199">
        <v>2.4250653899052566E-2</v>
      </c>
      <c r="AA3003" s="201">
        <v>2.4227639138736379E-2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60219</v>
      </c>
      <c r="Y3004" s="198">
        <f>_xll.qlInterestRateIndexValueDate(IborIndex,X3004,Trigger)</f>
        <v>60223</v>
      </c>
      <c r="Z3004" s="199">
        <v>2.4250308238949358E-2</v>
      </c>
      <c r="AA3004" s="201">
        <v>2.4227268252774437E-2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60226</v>
      </c>
      <c r="Y3005" s="198">
        <f>_xll.qlInterestRateIndexValueDate(IborIndex,X3005,Trigger)</f>
        <v>60230</v>
      </c>
      <c r="Z3005" s="199">
        <v>2.4249977111109544E-2</v>
      </c>
      <c r="AA3005" s="201">
        <v>2.4226911870650625E-2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60233</v>
      </c>
      <c r="Y3006" s="198">
        <f>_xll.qlInterestRateIndexValueDate(IborIndex,X3006,Trigger)</f>
        <v>60237</v>
      </c>
      <c r="Z3006" s="199">
        <v>2.4251250435758931E-2</v>
      </c>
      <c r="AA3006" s="201">
        <v>2.4226569992364944E-2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60240</v>
      </c>
      <c r="Y3007" s="198">
        <f>_xll.qlInterestRateIndexValueDate(IborIndex,X3007,Trigger)</f>
        <v>60244</v>
      </c>
      <c r="Z3007" s="199">
        <v>2.4250154363785911E-2</v>
      </c>
      <c r="AA3007" s="201">
        <v>2.4226242618157201E-2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60247</v>
      </c>
      <c r="Y3008" s="198">
        <f>_xll.qlInterestRateIndexValueDate(IborIndex,X3008,Trigger)</f>
        <v>60251</v>
      </c>
      <c r="Z3008" s="199">
        <v>2.4249867851480415E-2</v>
      </c>
      <c r="AA3008" s="201">
        <v>2.4225929747707653E-2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60254</v>
      </c>
      <c r="Y3009" s="198">
        <f>_xll.qlInterestRateIndexValueDate(IborIndex,X3009,Trigger)</f>
        <v>60258</v>
      </c>
      <c r="Z3009" s="199">
        <v>2.4249595872411472E-2</v>
      </c>
      <c r="AA3009" s="201">
        <v>2.4228809742190549E-2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60265</v>
      </c>
      <c r="Y3010" s="198">
        <f>_xll.qlInterestRateIndexValueDate(IborIndex,X3010,Trigger)</f>
        <v>60267</v>
      </c>
      <c r="Z3010" s="199">
        <v>2.4248468277483504E-2</v>
      </c>
      <c r="AA3010" s="201">
        <v>2.4225153639809704E-2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60272</v>
      </c>
      <c r="Y3011" s="198">
        <f>_xll.qlInterestRateIndexValueDate(IborIndex,X3011,Trigger)</f>
        <v>60274</v>
      </c>
      <c r="Z3011" s="199">
        <v>2.4250629748813909E-2</v>
      </c>
      <c r="AA3011" s="201">
        <v>2.4226597432255303E-2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60279</v>
      </c>
      <c r="Y3012" s="198">
        <f>_xll.qlInterestRateIndexValueDate(IborIndex,X3012,Trigger)</f>
        <v>60281</v>
      </c>
      <c r="Z3012" s="199">
        <v>2.4251209276048881E-2</v>
      </c>
      <c r="AA3012" s="201">
        <v>2.4226348760105765E-2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60286</v>
      </c>
      <c r="Y3013" s="198">
        <f>_xll.qlInterestRateIndexValueDate(IborIndex,X3013,Trigger)</f>
        <v>60288</v>
      </c>
      <c r="Z3013" s="199">
        <v>2.4250199922554477E-2</v>
      </c>
      <c r="AA3013" s="201">
        <v>2.4226114593819403E-2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60293</v>
      </c>
      <c r="Y3014" s="198">
        <f>_xll.qlInterestRateIndexValueDate(IborIndex,X3014,Trigger)</f>
        <v>60295</v>
      </c>
      <c r="Z3014" s="199">
        <v>2.4247596342271471E-2</v>
      </c>
      <c r="AA3014" s="201">
        <v>2.4225894933396219E-2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60300</v>
      </c>
      <c r="Y3015" s="198">
        <f>_xll.qlInterestRateIndexValueDate(IborIndex,X3015,Trigger)</f>
        <v>60302</v>
      </c>
      <c r="Z3015" s="199">
        <v>2.4245806326638988E-2</v>
      </c>
      <c r="AA3015" s="201">
        <v>2.4225689778862858E-2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60307</v>
      </c>
      <c r="Y3016" s="198">
        <f>_xll.qlInterestRateIndexValueDate(IborIndex,X3016,Trigger)</f>
        <v>60309</v>
      </c>
      <c r="Z3016" s="199">
        <v>2.4245637152458612E-2</v>
      </c>
      <c r="AA3016" s="201">
        <v>2.4225499130219319E-2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60314</v>
      </c>
      <c r="Y3017" s="198">
        <f>_xll.qlInterestRateIndexValueDate(IborIndex,X3017,Trigger)</f>
        <v>60316</v>
      </c>
      <c r="Z3017" s="199">
        <v>2.4245482508583764E-2</v>
      </c>
      <c r="AA3017" s="201">
        <v>2.4225322987438958E-2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60321</v>
      </c>
      <c r="Y3018" s="198">
        <f>_xll.qlInterestRateIndexValueDate(IborIndex,X3018,Trigger)</f>
        <v>60323</v>
      </c>
      <c r="Z3018" s="199">
        <v>2.4245342395003026E-2</v>
      </c>
      <c r="AA3018" s="201">
        <v>2.4225161350495128E-2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60328</v>
      </c>
      <c r="Y3019" s="198">
        <f>_xll.qlInterestRateIndexValueDate(IborIndex,X3019,Trigger)</f>
        <v>60330</v>
      </c>
      <c r="Z3019" s="199">
        <v>2.4249259288341533E-2</v>
      </c>
      <c r="AA3019" s="201">
        <v>2.4225014219521057E-2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60335</v>
      </c>
      <c r="Y3020" s="198">
        <f>_xll.qlInterestRateIndexValueDate(IborIndex,X3020,Trigger)</f>
        <v>60337</v>
      </c>
      <c r="Z3020" s="199">
        <v>2.4249153389134553E-2</v>
      </c>
      <c r="AA3020" s="201">
        <v>2.4224881594410164E-2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60342</v>
      </c>
      <c r="Y3021" s="198">
        <f>_xll.qlInterestRateIndexValueDate(IborIndex,X3021,Trigger)</f>
        <v>60344</v>
      </c>
      <c r="Z3021" s="199">
        <v>2.4249062025107904E-2</v>
      </c>
      <c r="AA3021" s="201">
        <v>2.4224763475109157E-2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60349</v>
      </c>
      <c r="Y3022" s="198">
        <f>_xll.qlInterestRateIndexValueDate(IborIndex,X3022,Trigger)</f>
        <v>60351</v>
      </c>
      <c r="Z3022" s="199">
        <v>2.4248985196273703E-2</v>
      </c>
      <c r="AA3022" s="201">
        <v>2.4222989891189428E-2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60357</v>
      </c>
      <c r="Y3023" s="198">
        <f>_xll.qlInterestRateIndexValueDate(IborIndex,X3023,Trigger)</f>
        <v>60359</v>
      </c>
      <c r="Z3023" s="199">
        <v>2.4248915190071656E-2</v>
      </c>
      <c r="AA3023" s="201">
        <v>2.4222917963525603E-2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60364</v>
      </c>
      <c r="Y3024" s="198">
        <f>_xll.qlInterestRateIndexValueDate(IborIndex,X3024,Trigger)</f>
        <v>60366</v>
      </c>
      <c r="Z3024" s="199">
        <v>2.4248055430923232E-2</v>
      </c>
      <c r="AA3024" s="201">
        <v>2.4222847515957824E-2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60371</v>
      </c>
      <c r="Y3025" s="198">
        <f>_xll.qlInterestRateIndexValueDate(IborIndex,X3025,Trigger)</f>
        <v>60373</v>
      </c>
      <c r="Z3025" s="199">
        <v>2.4248023149165965E-2</v>
      </c>
      <c r="AA3025" s="201">
        <v>2.4222791572308111E-2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60378</v>
      </c>
      <c r="Y3026" s="198">
        <f>_xll.qlInterestRateIndexValueDate(IborIndex,X3026,Trigger)</f>
        <v>60380</v>
      </c>
      <c r="Z3026" s="199">
        <v>2.4248819160765933E-2</v>
      </c>
      <c r="AA3026" s="201">
        <v>2.4222750132416593E-2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60385</v>
      </c>
      <c r="Y3027" s="198">
        <f>_xll.qlInterestRateIndexValueDate(IborIndex,X3027,Trigger)</f>
        <v>60387</v>
      </c>
      <c r="Z3027" s="199">
        <v>2.4245545981616601E-2</v>
      </c>
      <c r="AA3027" s="201">
        <v>2.4222720532653952E-2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60392</v>
      </c>
      <c r="Y3028" s="198">
        <f>_xll.qlInterestRateIndexValueDate(IborIndex,X3028,Trigger)</f>
        <v>60394</v>
      </c>
      <c r="Z3028" s="199">
        <v>2.4247989765902311E-2</v>
      </c>
      <c r="AA3028" s="201">
        <v>2.4222710764627564E-2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60399</v>
      </c>
      <c r="Y3029" s="198">
        <f>_xll.qlInterestRateIndexValueDate(IborIndex,X3029,Trigger)</f>
        <v>60401</v>
      </c>
      <c r="Z3029" s="199">
        <v>2.4247989236013678E-2</v>
      </c>
      <c r="AA3029" s="201">
        <v>2.4222709827297351E-2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60406</v>
      </c>
      <c r="Y3030" s="198">
        <f>_xll.qlInterestRateIndexValueDate(IborIndex,X3030,Trigger)</f>
        <v>60408</v>
      </c>
      <c r="Z3030" s="199">
        <v>2.4247989236016176E-2</v>
      </c>
      <c r="AA3030" s="201">
        <v>2.4222709827297351E-2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60413</v>
      </c>
      <c r="Y3031" s="198">
        <f>_xll.qlInterestRateIndexValueDate(IborIndex,X3031,Trigger)</f>
        <v>60415</v>
      </c>
      <c r="Z3031" s="199">
        <v>2.424798923601118E-2</v>
      </c>
      <c r="AA3031" s="201">
        <v>2.4222709827377287E-2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60420</v>
      </c>
      <c r="Y3032" s="198">
        <f>_xll.qlInterestRateIndexValueDate(IborIndex,X3032,Trigger)</f>
        <v>60422</v>
      </c>
      <c r="Z3032" s="199">
        <v>2.424798923601118E-2</v>
      </c>
      <c r="AA3032" s="201">
        <v>2.4222709827377287E-2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60427</v>
      </c>
      <c r="Y3033" s="198">
        <f>_xll.qlInterestRateIndexValueDate(IborIndex,X3033,Trigger)</f>
        <v>60429</v>
      </c>
      <c r="Z3033" s="199">
        <v>2.4247989236016176E-2</v>
      </c>
      <c r="AA3033" s="201">
        <v>2.4222709827297351E-2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60434</v>
      </c>
      <c r="Y3034" s="198">
        <f>_xll.qlInterestRateIndexValueDate(IborIndex,X3034,Trigger)</f>
        <v>60436</v>
      </c>
      <c r="Z3034" s="199">
        <v>2.4247989236013678E-2</v>
      </c>
      <c r="AA3034" s="201">
        <v>2.4222709827217415E-2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60441</v>
      </c>
      <c r="Y3035" s="198">
        <f>_xll.qlInterestRateIndexValueDate(IborIndex,X3035,Trigger)</f>
        <v>60443</v>
      </c>
      <c r="Z3035" s="199">
        <v>2.424798923601118E-2</v>
      </c>
      <c r="AA3035" s="201">
        <v>2.4222709827377287E-2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60448</v>
      </c>
      <c r="Y3036" s="198">
        <f>_xll.qlInterestRateIndexValueDate(IborIndex,X3036,Trigger)</f>
        <v>60450</v>
      </c>
      <c r="Z3036" s="199">
        <v>2.424798923601118E-2</v>
      </c>
      <c r="AA3036" s="201">
        <v>2.4222709827377287E-2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60455</v>
      </c>
      <c r="Y3037" s="198">
        <f>_xll.qlInterestRateIndexValueDate(IborIndex,X3037,Trigger)</f>
        <v>60457</v>
      </c>
      <c r="Z3037" s="199">
        <v>2.4247989236013678E-2</v>
      </c>
      <c r="AA3037" s="201">
        <v>2.4222709827217415E-2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60462</v>
      </c>
      <c r="Y3038" s="198">
        <f>_xll.qlInterestRateIndexValueDate(IborIndex,X3038,Trigger)</f>
        <v>60464</v>
      </c>
      <c r="Z3038" s="199">
        <v>2.4247989236013678E-2</v>
      </c>
      <c r="AA3038" s="201">
        <v>2.4222709827297351E-2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60469</v>
      </c>
      <c r="Y3039" s="198">
        <f>_xll.qlInterestRateIndexValueDate(IborIndex,X3039,Trigger)</f>
        <v>60471</v>
      </c>
      <c r="Z3039" s="199">
        <v>2.424798923601118E-2</v>
      </c>
      <c r="AA3039" s="201">
        <v>2.4222709827297351E-2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60476</v>
      </c>
      <c r="Y3040" s="198">
        <f>_xll.qlInterestRateIndexValueDate(IborIndex,X3040,Trigger)</f>
        <v>60478</v>
      </c>
      <c r="Z3040" s="199">
        <v>2.4245541304883118E-2</v>
      </c>
      <c r="AA3040" s="201">
        <v>2.4222709827377287E-2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60483</v>
      </c>
      <c r="Y3041" s="198">
        <f>_xll.qlInterestRateIndexValueDate(IborIndex,X3041,Trigger)</f>
        <v>60485</v>
      </c>
      <c r="Z3041" s="199">
        <v>2.4248805286274076E-2</v>
      </c>
      <c r="AA3041" s="201">
        <v>2.4222709827297351E-2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60490</v>
      </c>
      <c r="Y3042" s="198">
        <f>_xll.qlInterestRateIndexValueDate(IborIndex,X3042,Trigger)</f>
        <v>60492</v>
      </c>
      <c r="Z3042" s="199">
        <v>2.4247989236013678E-2</v>
      </c>
      <c r="AA3042" s="201">
        <v>2.4222709827217415E-2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60497</v>
      </c>
      <c r="Y3043" s="198">
        <f>_xll.qlInterestRateIndexValueDate(IborIndex,X3043,Trigger)</f>
        <v>60499</v>
      </c>
      <c r="Z3043" s="199">
        <v>2.424798923601118E-2</v>
      </c>
      <c r="AA3043" s="201">
        <v>2.4222709827377287E-2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60504</v>
      </c>
      <c r="Y3044" s="198">
        <f>_xll.qlInterestRateIndexValueDate(IborIndex,X3044,Trigger)</f>
        <v>60506</v>
      </c>
      <c r="Z3044" s="199">
        <v>2.4247989236013678E-2</v>
      </c>
      <c r="AA3044" s="201">
        <v>2.4222709827377287E-2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60511</v>
      </c>
      <c r="Y3045" s="198">
        <f>_xll.qlInterestRateIndexValueDate(IborIndex,X3045,Trigger)</f>
        <v>60513</v>
      </c>
      <c r="Z3045" s="199">
        <v>2.4247989236013678E-2</v>
      </c>
      <c r="AA3045" s="201">
        <v>2.4222709827297351E-2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60518</v>
      </c>
      <c r="Y3046" s="198">
        <f>_xll.qlInterestRateIndexValueDate(IborIndex,X3046,Trigger)</f>
        <v>60520</v>
      </c>
      <c r="Z3046" s="199">
        <v>2.4248805286271654E-2</v>
      </c>
      <c r="AA3046" s="201">
        <v>2.4222709827377287E-2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60525</v>
      </c>
      <c r="Y3047" s="198">
        <f>_xll.qlInterestRateIndexValueDate(IborIndex,X3047,Trigger)</f>
        <v>60527</v>
      </c>
      <c r="Z3047" s="199">
        <v>2.424798923601118E-2</v>
      </c>
      <c r="AA3047" s="201">
        <v>2.4222709827297351E-2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60532</v>
      </c>
      <c r="Y3048" s="198">
        <f>_xll.qlInterestRateIndexValueDate(IborIndex,X3048,Trigger)</f>
        <v>60534</v>
      </c>
      <c r="Z3048" s="199">
        <v>2.4247989236016176E-2</v>
      </c>
      <c r="AA3048" s="201">
        <v>2.4222709827297351E-2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60539</v>
      </c>
      <c r="Y3049" s="198">
        <f>_xll.qlInterestRateIndexValueDate(IborIndex,X3049,Trigger)</f>
        <v>60541</v>
      </c>
      <c r="Z3049" s="199">
        <v>2.4247989236013678E-2</v>
      </c>
      <c r="AA3049" s="201">
        <v>2.4222709827297351E-2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60546</v>
      </c>
      <c r="Y3050" s="198">
        <f>_xll.qlInterestRateIndexValueDate(IborIndex,X3050,Trigger)</f>
        <v>60548</v>
      </c>
      <c r="Z3050" s="199">
        <v>2.4247989236013678E-2</v>
      </c>
      <c r="AA3050" s="201">
        <v>2.4222709827297351E-2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60553</v>
      </c>
      <c r="Y3051" s="198">
        <f>_xll.qlInterestRateIndexValueDate(IborIndex,X3051,Trigger)</f>
        <v>60555</v>
      </c>
      <c r="Z3051" s="199">
        <v>2.4247989236016176E-2</v>
      </c>
      <c r="AA3051" s="201">
        <v>2.4222709827377287E-2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60560</v>
      </c>
      <c r="Y3052" s="198">
        <f>_xll.qlInterestRateIndexValueDate(IborIndex,X3052,Trigger)</f>
        <v>60562</v>
      </c>
      <c r="Z3052" s="199">
        <v>2.424798923601118E-2</v>
      </c>
      <c r="AA3052" s="201">
        <v>2.4222709827217415E-2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60567</v>
      </c>
      <c r="Y3053" s="198">
        <f>_xll.qlInterestRateIndexValueDate(IborIndex,X3053,Trigger)</f>
        <v>60569</v>
      </c>
      <c r="Z3053" s="199">
        <v>2.424798923601118E-2</v>
      </c>
      <c r="AA3053" s="201">
        <v>2.4222709827377287E-2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60574</v>
      </c>
      <c r="Y3054" s="198">
        <f>_xll.qlInterestRateIndexValueDate(IborIndex,X3054,Trigger)</f>
        <v>60576</v>
      </c>
      <c r="Z3054" s="199">
        <v>2.4247989236013678E-2</v>
      </c>
      <c r="AA3054" s="201">
        <v>2.4222709827297351E-2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60581</v>
      </c>
      <c r="Y3055" s="198">
        <f>_xll.qlInterestRateIndexValueDate(IborIndex,X3055,Trigger)</f>
        <v>60583</v>
      </c>
      <c r="Z3055" s="199">
        <v>2.4247989236013678E-2</v>
      </c>
      <c r="AA3055" s="201">
        <v>2.4222709827217415E-2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60588</v>
      </c>
      <c r="Y3056" s="198">
        <f>_xll.qlInterestRateIndexValueDate(IborIndex,X3056,Trigger)</f>
        <v>60590</v>
      </c>
      <c r="Z3056" s="199">
        <v>2.424798923601118E-2</v>
      </c>
      <c r="AA3056" s="201">
        <v>2.4222709827297351E-2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60595</v>
      </c>
      <c r="Y3057" s="198">
        <f>_xll.qlInterestRateIndexValueDate(IborIndex,X3057,Trigger)</f>
        <v>60598</v>
      </c>
      <c r="Z3057" s="199">
        <v>2.4247989236013678E-2</v>
      </c>
      <c r="AA3057" s="201">
        <v>2.4222709827217415E-2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60602</v>
      </c>
      <c r="Y3058" s="198">
        <f>_xll.qlInterestRateIndexValueDate(IborIndex,X3058,Trigger)</f>
        <v>60604</v>
      </c>
      <c r="Z3058" s="199">
        <v>2.4247989236013678E-2</v>
      </c>
      <c r="AA3058" s="201">
        <v>2.4222709827297351E-2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60609</v>
      </c>
      <c r="Y3059" s="198">
        <f>_xll.qlInterestRateIndexValueDate(IborIndex,X3059,Trigger)</f>
        <v>60611</v>
      </c>
      <c r="Z3059" s="199">
        <v>2.4247989236013678E-2</v>
      </c>
      <c r="AA3059" s="201">
        <v>2.4222709827297351E-2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60616</v>
      </c>
      <c r="Y3060" s="198">
        <f>_xll.qlInterestRateIndexValueDate(IborIndex,X3060,Trigger)</f>
        <v>60618</v>
      </c>
      <c r="Z3060" s="199">
        <v>2.4248805286271654E-2</v>
      </c>
      <c r="AA3060" s="201">
        <v>2.4222709827377287E-2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60623</v>
      </c>
      <c r="Y3061" s="198">
        <f>_xll.qlInterestRateIndexValueDate(IborIndex,X3061,Trigger)</f>
        <v>60625</v>
      </c>
      <c r="Z3061" s="199">
        <v>2.424798923601118E-2</v>
      </c>
      <c r="AA3061" s="201">
        <v>2.4222709827377287E-2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60630</v>
      </c>
      <c r="Y3062" s="198">
        <f>_xll.qlInterestRateIndexValueDate(IborIndex,X3062,Trigger)</f>
        <v>60632</v>
      </c>
      <c r="Z3062" s="199">
        <v>2.4245541304885876E-2</v>
      </c>
      <c r="AA3062" s="201">
        <v>2.4222709827377287E-2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60637</v>
      </c>
      <c r="Y3063" s="198">
        <f>_xll.qlInterestRateIndexValueDate(IborIndex,X3063,Trigger)</f>
        <v>60639</v>
      </c>
      <c r="Z3063" s="199">
        <v>2.424798923601118E-2</v>
      </c>
      <c r="AA3063" s="201">
        <v>2.4222709827297351E-2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60644</v>
      </c>
      <c r="Y3064" s="198">
        <f>_xll.qlInterestRateIndexValueDate(IborIndex,X3064,Trigger)</f>
        <v>60646</v>
      </c>
      <c r="Z3064" s="199">
        <v>2.4248805286274076E-2</v>
      </c>
      <c r="AA3064" s="201">
        <v>2.4222709827297351E-2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60651</v>
      </c>
      <c r="Y3065" s="198">
        <f>_xll.qlInterestRateIndexValueDate(IborIndex,X3065,Trigger)</f>
        <v>60653</v>
      </c>
      <c r="Z3065" s="199">
        <v>2.424798923601118E-2</v>
      </c>
      <c r="AA3065" s="201">
        <v>2.4222709827297351E-2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60658</v>
      </c>
      <c r="Y3066" s="198">
        <f>_xll.qlInterestRateIndexValueDate(IborIndex,X3066,Trigger)</f>
        <v>60660</v>
      </c>
      <c r="Z3066" s="199">
        <v>2.4245541304883118E-2</v>
      </c>
      <c r="AA3066" s="201">
        <v>2.4222709827297351E-2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60665</v>
      </c>
      <c r="Y3067" s="198">
        <f>_xll.qlInterestRateIndexValueDate(IborIndex,X3067,Trigger)</f>
        <v>60667</v>
      </c>
      <c r="Z3067" s="199">
        <v>2.4244725401052807E-2</v>
      </c>
      <c r="AA3067" s="201">
        <v>2.4222709827377287E-2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60672</v>
      </c>
      <c r="Y3068" s="198">
        <f>_xll.qlInterestRateIndexValueDate(IborIndex,X3068,Trigger)</f>
        <v>60674</v>
      </c>
      <c r="Z3068" s="199">
        <v>2.4244725401049952E-2</v>
      </c>
      <c r="AA3068" s="201">
        <v>2.4222709827297351E-2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60679</v>
      </c>
      <c r="Y3069" s="198">
        <f>_xll.qlInterestRateIndexValueDate(IborIndex,X3069,Trigger)</f>
        <v>60681</v>
      </c>
      <c r="Z3069" s="199">
        <v>2.4244725401049952E-2</v>
      </c>
      <c r="AA3069" s="201">
        <v>2.4222709827377287E-2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60686</v>
      </c>
      <c r="Y3070" s="198">
        <f>_xll.qlInterestRateIndexValueDate(IborIndex,X3070,Trigger)</f>
        <v>60688</v>
      </c>
      <c r="Z3070" s="199">
        <v>2.4244725401049952E-2</v>
      </c>
      <c r="AA3070" s="201">
        <v>2.4222709827297351E-2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60693</v>
      </c>
      <c r="Y3071" s="198">
        <f>_xll.qlInterestRateIndexValueDate(IborIndex,X3071,Trigger)</f>
        <v>60695</v>
      </c>
      <c r="Z3071" s="199">
        <v>2.424798923601118E-2</v>
      </c>
      <c r="AA3071" s="201">
        <v>2.4222709827297351E-2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60700</v>
      </c>
      <c r="Y3072" s="198">
        <f>_xll.qlInterestRateIndexValueDate(IborIndex,X3072,Trigger)</f>
        <v>60702</v>
      </c>
      <c r="Z3072" s="199">
        <v>2.4248805286274076E-2</v>
      </c>
      <c r="AA3072" s="201">
        <v>2.4222709827377287E-2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60707</v>
      </c>
      <c r="Y3073" s="198">
        <f>_xll.qlInterestRateIndexValueDate(IborIndex,X3073,Trigger)</f>
        <v>60709</v>
      </c>
      <c r="Z3073" s="199">
        <v>2.4247989236013678E-2</v>
      </c>
      <c r="AA3073" s="201">
        <v>2.4222709827297351E-2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60714</v>
      </c>
      <c r="Y3074" s="198">
        <f>_xll.qlInterestRateIndexValueDate(IborIndex,X3074,Trigger)</f>
        <v>60716</v>
      </c>
      <c r="Z3074" s="199">
        <v>2.4247989236013678E-2</v>
      </c>
      <c r="AA3074" s="201">
        <v>2.4222709827217415E-2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60721</v>
      </c>
      <c r="Y3075" s="198">
        <f>_xll.qlInterestRateIndexValueDate(IborIndex,X3075,Trigger)</f>
        <v>60723</v>
      </c>
      <c r="Z3075" s="199">
        <v>2.4248805286271654E-2</v>
      </c>
      <c r="AA3075" s="201">
        <v>2.4222709827377287E-2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60728</v>
      </c>
      <c r="Y3076" s="198">
        <f>_xll.qlInterestRateIndexValueDate(IborIndex,X3076,Trigger)</f>
        <v>60730</v>
      </c>
      <c r="Z3076" s="199">
        <v>2.424798923601118E-2</v>
      </c>
      <c r="AA3076" s="201">
        <v>2.4222709827297351E-2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60735</v>
      </c>
      <c r="Y3077" s="198">
        <f>_xll.qlInterestRateIndexValueDate(IborIndex,X3077,Trigger)</f>
        <v>60737</v>
      </c>
      <c r="Z3077" s="199">
        <v>2.4247989236013678E-2</v>
      </c>
      <c r="AA3077" s="201">
        <v>2.4222709827297351E-2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60742</v>
      </c>
      <c r="Y3078" s="198">
        <f>_xll.qlInterestRateIndexValueDate(IborIndex,X3078,Trigger)</f>
        <v>60744</v>
      </c>
      <c r="Z3078" s="199">
        <v>2.424798923601118E-2</v>
      </c>
      <c r="AA3078" s="201">
        <v>2.4222709827297351E-2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60749</v>
      </c>
      <c r="Y3079" s="198">
        <f>_xll.qlInterestRateIndexValueDate(IborIndex,X3079,Trigger)</f>
        <v>60751</v>
      </c>
      <c r="Z3079" s="199">
        <v>2.4245541304880363E-2</v>
      </c>
      <c r="AA3079" s="201">
        <v>2.4222709827297351E-2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60756</v>
      </c>
      <c r="Y3080" s="198">
        <f>_xll.qlInterestRateIndexValueDate(IborIndex,X3080,Trigger)</f>
        <v>60758</v>
      </c>
      <c r="Z3080" s="199">
        <v>2.4247989236013678E-2</v>
      </c>
      <c r="AA3080" s="201">
        <v>2.4222709827377287E-2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60763</v>
      </c>
      <c r="Y3081" s="198">
        <f>_xll.qlInterestRateIndexValueDate(IborIndex,X3081,Trigger)</f>
        <v>60765</v>
      </c>
      <c r="Z3081" s="199">
        <v>2.4247989236013678E-2</v>
      </c>
      <c r="AA3081" s="201">
        <v>2.4222709827297351E-2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60770</v>
      </c>
      <c r="Y3082" s="198">
        <f>_xll.qlInterestRateIndexValueDate(IborIndex,X3082,Trigger)</f>
        <v>60772</v>
      </c>
      <c r="Z3082" s="199">
        <v>2.424798923601118E-2</v>
      </c>
      <c r="AA3082" s="201">
        <v>2.4222709827297351E-2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60777</v>
      </c>
      <c r="Y3083" s="198">
        <f>_xll.qlInterestRateIndexValueDate(IborIndex,X3083,Trigger)</f>
        <v>60779</v>
      </c>
      <c r="Z3083" s="199">
        <v>2.424798923601118E-2</v>
      </c>
      <c r="AA3083" s="201">
        <v>2.4222709827297351E-2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60784</v>
      </c>
      <c r="Y3084" s="198">
        <f>_xll.qlInterestRateIndexValueDate(IborIndex,X3084,Trigger)</f>
        <v>60786</v>
      </c>
      <c r="Z3084" s="199">
        <v>2.4248805286274076E-2</v>
      </c>
      <c r="AA3084" s="201">
        <v>2.4222709827297351E-2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60791</v>
      </c>
      <c r="Y3085" s="198">
        <f>_xll.qlInterestRateIndexValueDate(IborIndex,X3085,Trigger)</f>
        <v>60793</v>
      </c>
      <c r="Z3085" s="199">
        <v>2.4247989236013678E-2</v>
      </c>
      <c r="AA3085" s="201">
        <v>2.4222709827297351E-2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60798</v>
      </c>
      <c r="Y3086" s="198">
        <f>_xll.qlInterestRateIndexValueDate(IborIndex,X3086,Trigger)</f>
        <v>60800</v>
      </c>
      <c r="Z3086" s="199">
        <v>2.4247989236013678E-2</v>
      </c>
      <c r="AA3086" s="201">
        <v>2.4222709827377287E-2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60805</v>
      </c>
      <c r="Y3087" s="198">
        <f>_xll.qlInterestRateIndexValueDate(IborIndex,X3087,Trigger)</f>
        <v>60807</v>
      </c>
      <c r="Z3087" s="199">
        <v>2.4247989236013678E-2</v>
      </c>
      <c r="AA3087" s="201">
        <v>2.4222709827377287E-2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60812</v>
      </c>
      <c r="Y3088" s="198">
        <f>_xll.qlInterestRateIndexValueDate(IborIndex,X3088,Trigger)</f>
        <v>60814</v>
      </c>
      <c r="Z3088" s="199">
        <v>2.4247989236013678E-2</v>
      </c>
      <c r="AA3088" s="201">
        <v>2.4222709827297351E-2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60819</v>
      </c>
      <c r="Y3089" s="198">
        <f>_xll.qlInterestRateIndexValueDate(IborIndex,X3089,Trigger)</f>
        <v>60821</v>
      </c>
      <c r="Z3089" s="199">
        <v>2.424798923601118E-2</v>
      </c>
      <c r="AA3089" s="201">
        <v>2.4222709827297351E-2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60826</v>
      </c>
      <c r="Y3090" s="198">
        <f>_xll.qlInterestRateIndexValueDate(IborIndex,X3090,Trigger)</f>
        <v>60828</v>
      </c>
      <c r="Z3090" s="199">
        <v>2.424798923601118E-2</v>
      </c>
      <c r="AA3090" s="201">
        <v>2.4222709827377287E-2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60833</v>
      </c>
      <c r="Y3091" s="198">
        <f>_xll.qlInterestRateIndexValueDate(IborIndex,X3091,Trigger)</f>
        <v>60835</v>
      </c>
      <c r="Z3091" s="199">
        <v>2.4247989236013678E-2</v>
      </c>
      <c r="AA3091" s="201">
        <v>2.4222709827217415E-2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60840</v>
      </c>
      <c r="Y3092" s="198">
        <f>_xll.qlInterestRateIndexValueDate(IborIndex,X3092,Trigger)</f>
        <v>60842</v>
      </c>
      <c r="Z3092" s="199">
        <v>2.4248805286276497E-2</v>
      </c>
      <c r="AA3092" s="201">
        <v>2.4222709827217415E-2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60847</v>
      </c>
      <c r="Y3093" s="198">
        <f>_xll.qlInterestRateIndexValueDate(IborIndex,X3093,Trigger)</f>
        <v>60849</v>
      </c>
      <c r="Z3093" s="199">
        <v>2.4248805286271654E-2</v>
      </c>
      <c r="AA3093" s="201">
        <v>2.4222709827377287E-2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60854</v>
      </c>
      <c r="Y3094" s="198">
        <f>_xll.qlInterestRateIndexValueDate(IborIndex,X3094,Trigger)</f>
        <v>60856</v>
      </c>
      <c r="Z3094" s="199">
        <v>2.4247989236013678E-2</v>
      </c>
      <c r="AA3094" s="201">
        <v>2.4222709827297351E-2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60861</v>
      </c>
      <c r="Y3095" s="198">
        <f>_xll.qlInterestRateIndexValueDate(IborIndex,X3095,Trigger)</f>
        <v>60863</v>
      </c>
      <c r="Z3095" s="199">
        <v>2.424798923601118E-2</v>
      </c>
      <c r="AA3095" s="201">
        <v>2.4222709827297351E-2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60868</v>
      </c>
      <c r="Y3096" s="198">
        <f>_xll.qlInterestRateIndexValueDate(IborIndex,X3096,Trigger)</f>
        <v>60870</v>
      </c>
      <c r="Z3096" s="199">
        <v>2.4247989236013678E-2</v>
      </c>
      <c r="AA3096" s="201">
        <v>2.4222709827217415E-2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60875</v>
      </c>
      <c r="Y3097" s="198">
        <f>_xll.qlInterestRateIndexValueDate(IborIndex,X3097,Trigger)</f>
        <v>60877</v>
      </c>
      <c r="Z3097" s="199">
        <v>2.424798923601118E-2</v>
      </c>
      <c r="AA3097" s="201">
        <v>2.4222709827377287E-2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60882</v>
      </c>
      <c r="Y3098" s="198">
        <f>_xll.qlInterestRateIndexValueDate(IborIndex,X3098,Trigger)</f>
        <v>60884</v>
      </c>
      <c r="Z3098" s="199">
        <v>2.4248805286274076E-2</v>
      </c>
      <c r="AA3098" s="201">
        <v>2.4222709827297351E-2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60889</v>
      </c>
      <c r="Y3099" s="198">
        <f>_xll.qlInterestRateIndexValueDate(IborIndex,X3099,Trigger)</f>
        <v>60891</v>
      </c>
      <c r="Z3099" s="199">
        <v>2.4247989236013678E-2</v>
      </c>
      <c r="AA3099" s="201">
        <v>2.4222709827217415E-2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60896</v>
      </c>
      <c r="Y3100" s="198">
        <f>_xll.qlInterestRateIndexValueDate(IborIndex,X3100,Trigger)</f>
        <v>60898</v>
      </c>
      <c r="Z3100" s="199">
        <v>2.4247989236013678E-2</v>
      </c>
      <c r="AA3100" s="201">
        <v>2.4222709827377287E-2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60903</v>
      </c>
      <c r="Y3101" s="198">
        <f>_xll.qlInterestRateIndexValueDate(IborIndex,X3101,Trigger)</f>
        <v>60905</v>
      </c>
      <c r="Z3101" s="199">
        <v>2.4245541304883118E-2</v>
      </c>
      <c r="AA3101" s="201">
        <v>2.4222709827377287E-2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60910</v>
      </c>
      <c r="Y3102" s="198">
        <f>_xll.qlInterestRateIndexValueDate(IborIndex,X3102,Trigger)</f>
        <v>60912</v>
      </c>
      <c r="Z3102" s="199">
        <v>2.4247989236013678E-2</v>
      </c>
      <c r="AA3102" s="201">
        <v>2.4222709827297351E-2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60917</v>
      </c>
      <c r="Y3103" s="198">
        <f>_xll.qlInterestRateIndexValueDate(IborIndex,X3103,Trigger)</f>
        <v>60919</v>
      </c>
      <c r="Z3103" s="199">
        <v>2.4247989236013678E-2</v>
      </c>
      <c r="AA3103" s="201">
        <v>2.4222709827297351E-2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60924</v>
      </c>
      <c r="Y3104" s="198">
        <f>_xll.qlInterestRateIndexValueDate(IborIndex,X3104,Trigger)</f>
        <v>60926</v>
      </c>
      <c r="Z3104" s="199">
        <v>2.424798923601118E-2</v>
      </c>
      <c r="AA3104" s="201">
        <v>2.4222709827297351E-2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60931</v>
      </c>
      <c r="Y3105" s="198">
        <f>_xll.qlInterestRateIndexValueDate(IborIndex,X3105,Trigger)</f>
        <v>60933</v>
      </c>
      <c r="Z3105" s="199">
        <v>2.4247989236013678E-2</v>
      </c>
      <c r="AA3105" s="201">
        <v>2.4222709827297351E-2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60938</v>
      </c>
      <c r="Y3106" s="198">
        <f>_xll.qlInterestRateIndexValueDate(IborIndex,X3106,Trigger)</f>
        <v>60940</v>
      </c>
      <c r="Z3106" s="199">
        <v>2.4247989236013678E-2</v>
      </c>
      <c r="AA3106" s="201">
        <v>2.4222709827297351E-2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60945</v>
      </c>
      <c r="Y3107" s="198">
        <f>_xll.qlInterestRateIndexValueDate(IborIndex,X3107,Trigger)</f>
        <v>60948</v>
      </c>
      <c r="Z3107" s="199">
        <v>2.4247173222361869E-2</v>
      </c>
      <c r="AA3107" s="201">
        <v>2.4222709827297351E-2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60952</v>
      </c>
      <c r="Y3108" s="198">
        <f>_xll.qlInterestRateIndexValueDate(IborIndex,X3108,Trigger)</f>
        <v>60954</v>
      </c>
      <c r="Z3108" s="199">
        <v>2.424798923601118E-2</v>
      </c>
      <c r="AA3108" s="201">
        <v>2.4222709827377287E-2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60959</v>
      </c>
      <c r="Y3109" s="198">
        <f>_xll.qlInterestRateIndexValueDate(IborIndex,X3109,Trigger)</f>
        <v>60962</v>
      </c>
      <c r="Z3109" s="199">
        <v>2.4248805286274076E-2</v>
      </c>
      <c r="AA3109" s="201">
        <v>2.4222709827297351E-2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60966</v>
      </c>
      <c r="Y3110" s="198">
        <f>_xll.qlInterestRateIndexValueDate(IborIndex,X3110,Trigger)</f>
        <v>60968</v>
      </c>
      <c r="Z3110" s="199">
        <v>2.4248805286274076E-2</v>
      </c>
      <c r="AA3110" s="201">
        <v>2.4222709827297351E-2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60973</v>
      </c>
      <c r="Y3111" s="198">
        <f>_xll.qlInterestRateIndexValueDate(IborIndex,X3111,Trigger)</f>
        <v>60975</v>
      </c>
      <c r="Z3111" s="199">
        <v>2.424798923601118E-2</v>
      </c>
      <c r="AA3111" s="201">
        <v>2.4222709827297351E-2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60980</v>
      </c>
      <c r="Y3112" s="198">
        <f>_xll.qlInterestRateIndexValueDate(IborIndex,X3112,Trigger)</f>
        <v>60982</v>
      </c>
      <c r="Z3112" s="199">
        <v>2.4248805286271654E-2</v>
      </c>
      <c r="AA3112" s="201">
        <v>2.4222709827377287E-2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60987</v>
      </c>
      <c r="Y3113" s="198">
        <f>_xll.qlInterestRateIndexValueDate(IborIndex,X3113,Trigger)</f>
        <v>60989</v>
      </c>
      <c r="Z3113" s="199">
        <v>2.4247989236013678E-2</v>
      </c>
      <c r="AA3113" s="201">
        <v>2.4222709827297351E-2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60995</v>
      </c>
      <c r="Y3114" s="198">
        <f>_xll.qlInterestRateIndexValueDate(IborIndex,X3114,Trigger)</f>
        <v>61001</v>
      </c>
      <c r="Z3114" s="199">
        <v>2.4247173222359288E-2</v>
      </c>
      <c r="AA3114" s="201">
        <v>2.4222709827217415E-2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61002</v>
      </c>
      <c r="Y3115" s="198">
        <f>_xll.qlInterestRateIndexValueDate(IborIndex,X3115,Trigger)</f>
        <v>61004</v>
      </c>
      <c r="Z3115" s="199">
        <v>2.4247173222361869E-2</v>
      </c>
      <c r="AA3115" s="201">
        <v>2.4222709827217415E-2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61009</v>
      </c>
      <c r="Y3116" s="198">
        <f>_xll.qlInterestRateIndexValueDate(IborIndex,X3116,Trigger)</f>
        <v>61011</v>
      </c>
      <c r="Z3116" s="199">
        <v>2.4247173222361869E-2</v>
      </c>
      <c r="AA3116" s="201">
        <v>2.4222709827377287E-2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61016</v>
      </c>
      <c r="Y3117" s="198">
        <f>_xll.qlInterestRateIndexValueDate(IborIndex,X3117,Trigger)</f>
        <v>61018</v>
      </c>
      <c r="Z3117" s="199">
        <v>2.424798923601118E-2</v>
      </c>
      <c r="AA3117" s="201">
        <v>2.4222709827377287E-2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61023</v>
      </c>
      <c r="Y3118" s="198">
        <f>_xll.qlInterestRateIndexValueDate(IborIndex,X3118,Trigger)</f>
        <v>61025</v>
      </c>
      <c r="Z3118" s="199">
        <v>2.4247173222361869E-2</v>
      </c>
      <c r="AA3118" s="201">
        <v>2.4222709827217415E-2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61030</v>
      </c>
      <c r="Y3119" s="198">
        <f>_xll.qlInterestRateIndexValueDate(IborIndex,X3119,Trigger)</f>
        <v>61032</v>
      </c>
      <c r="Z3119" s="199">
        <v>2.4244725401052807E-2</v>
      </c>
      <c r="AA3119" s="201">
        <v>2.4222709827297351E-2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61037</v>
      </c>
      <c r="Y3120" s="198">
        <f>_xll.qlInterestRateIndexValueDate(IborIndex,X3120,Trigger)</f>
        <v>61039</v>
      </c>
      <c r="Z3120" s="199">
        <v>2.4244725401049952E-2</v>
      </c>
      <c r="AA3120" s="201">
        <v>2.4222709827377287E-2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61044</v>
      </c>
      <c r="Y3121" s="198">
        <f>_xll.qlInterestRateIndexValueDate(IborIndex,X3121,Trigger)</f>
        <v>61046</v>
      </c>
      <c r="Z3121" s="199">
        <v>2.4244725401049952E-2</v>
      </c>
      <c r="AA3121" s="201">
        <v>2.4222709827377287E-2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61051</v>
      </c>
      <c r="Y3122" s="198">
        <f>_xll.qlInterestRateIndexValueDate(IborIndex,X3122,Trigger)</f>
        <v>61053</v>
      </c>
      <c r="Z3122" s="199">
        <v>2.4244725401049952E-2</v>
      </c>
      <c r="AA3122" s="201">
        <v>2.4222709827297351E-2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61058</v>
      </c>
      <c r="Y3123" s="198">
        <f>_xll.qlInterestRateIndexValueDate(IborIndex,X3123,Trigger)</f>
        <v>61060</v>
      </c>
      <c r="Z3123" s="199">
        <v>2.424798923601118E-2</v>
      </c>
      <c r="AA3123" s="201">
        <v>2.4222709827377287E-2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61065</v>
      </c>
      <c r="Y3124" s="198">
        <f>_xll.qlInterestRateIndexValueDate(IborIndex,X3124,Trigger)</f>
        <v>61067</v>
      </c>
      <c r="Z3124" s="199">
        <v>2.4247173222361869E-2</v>
      </c>
      <c r="AA3124" s="201">
        <v>2.4222709827297351E-2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61072</v>
      </c>
      <c r="Y3125" s="198">
        <f>_xll.qlInterestRateIndexValueDate(IborIndex,X3125,Trigger)</f>
        <v>61074</v>
      </c>
      <c r="Z3125" s="199">
        <v>2.4247173222361869E-2</v>
      </c>
      <c r="AA3125" s="201">
        <v>2.4222709827297351E-2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61079</v>
      </c>
      <c r="Y3126" s="198">
        <f>_xll.qlInterestRateIndexValueDate(IborIndex,X3126,Trigger)</f>
        <v>61081</v>
      </c>
      <c r="Z3126" s="199">
        <v>2.4247173222361869E-2</v>
      </c>
      <c r="AA3126" s="201">
        <v>2.4222709827217415E-2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61086</v>
      </c>
      <c r="Y3127" s="198">
        <f>_xll.qlInterestRateIndexValueDate(IborIndex,X3127,Trigger)</f>
        <v>61092</v>
      </c>
      <c r="Z3127" s="199">
        <v>2.4246357245318428E-2</v>
      </c>
      <c r="AA3127" s="201">
        <v>2.4222709827297351E-2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61093</v>
      </c>
      <c r="Y3128" s="198">
        <f>_xll.qlInterestRateIndexValueDate(IborIndex,X3128,Trigger)</f>
        <v>61095</v>
      </c>
      <c r="Z3128" s="199">
        <v>2.4247173222361869E-2</v>
      </c>
      <c r="AA3128" s="201">
        <v>2.4222709827297351E-2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61100</v>
      </c>
      <c r="Y3129" s="198">
        <f>_xll.qlInterestRateIndexValueDate(IborIndex,X3129,Trigger)</f>
        <v>61102</v>
      </c>
      <c r="Z3129" s="199">
        <v>2.4247173222361869E-2</v>
      </c>
      <c r="AA3129" s="201">
        <v>2.4222709827297351E-2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61107</v>
      </c>
      <c r="Y3130" s="198">
        <f>_xll.qlInterestRateIndexValueDate(IborIndex,X3130,Trigger)</f>
        <v>61109</v>
      </c>
      <c r="Z3130" s="199">
        <v>2.4247173222359288E-2</v>
      </c>
      <c r="AA3130" s="201">
        <v>2.4222709827297351E-2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61114</v>
      </c>
      <c r="Y3131" s="198">
        <f>_xll.qlInterestRateIndexValueDate(IborIndex,X3131,Trigger)</f>
        <v>61116</v>
      </c>
      <c r="Z3131" s="199">
        <v>2.424798923601118E-2</v>
      </c>
      <c r="AA3131" s="201">
        <v>2.4222709827297351E-2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61121</v>
      </c>
      <c r="Y3132" s="198">
        <f>_xll.qlInterestRateIndexValueDate(IborIndex,X3132,Trigger)</f>
        <v>61123</v>
      </c>
      <c r="Z3132" s="199">
        <v>2.4247173222359288E-2</v>
      </c>
      <c r="AA3132" s="201">
        <v>2.4222709827377287E-2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61128</v>
      </c>
      <c r="Y3133" s="198">
        <f>_xll.qlInterestRateIndexValueDate(IborIndex,X3133,Trigger)</f>
        <v>61130</v>
      </c>
      <c r="Z3133" s="199">
        <v>2.4247173222361869E-2</v>
      </c>
      <c r="AA3133" s="201">
        <v>2.4222709827297351E-2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61135</v>
      </c>
      <c r="Y3134" s="198">
        <f>_xll.qlInterestRateIndexValueDate(IborIndex,X3134,Trigger)</f>
        <v>61137</v>
      </c>
      <c r="Z3134" s="199">
        <v>2.4247173222361869E-2</v>
      </c>
      <c r="AA3134" s="201">
        <v>2.4222709827377287E-2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61142</v>
      </c>
      <c r="Y3135" s="198">
        <f>_xll.qlInterestRateIndexValueDate(IborIndex,X3135,Trigger)</f>
        <v>61144</v>
      </c>
      <c r="Z3135" s="199">
        <v>2.4247173222359288E-2</v>
      </c>
      <c r="AA3135" s="201">
        <v>2.4222709827377287E-2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61149</v>
      </c>
      <c r="Y3136" s="198">
        <f>_xll.qlInterestRateIndexValueDate(IborIndex,X3136,Trigger)</f>
        <v>61151</v>
      </c>
      <c r="Z3136" s="199">
        <v>2.4247989236013678E-2</v>
      </c>
      <c r="AA3136" s="201">
        <v>2.4222709827297351E-2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61156</v>
      </c>
      <c r="Y3137" s="198">
        <f>_xll.qlInterestRateIndexValueDate(IborIndex,X3137,Trigger)</f>
        <v>61158</v>
      </c>
      <c r="Z3137" s="199">
        <v>2.4247173222361869E-2</v>
      </c>
      <c r="AA3137" s="201">
        <v>2.4222709827297351E-2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61163</v>
      </c>
      <c r="Y3138" s="198">
        <f>_xll.qlInterestRateIndexValueDate(IborIndex,X3138,Trigger)</f>
        <v>61165</v>
      </c>
      <c r="Z3138" s="199">
        <v>2.4247173222364447E-2</v>
      </c>
      <c r="AA3138" s="201">
        <v>2.4222709827297351E-2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61170</v>
      </c>
      <c r="Y3139" s="198">
        <f>_xll.qlInterestRateIndexValueDate(IborIndex,X3139,Trigger)</f>
        <v>61172</v>
      </c>
      <c r="Z3139" s="199">
        <v>2.4247173222361869E-2</v>
      </c>
      <c r="AA3139" s="201">
        <v>2.4222709827377287E-2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61177</v>
      </c>
      <c r="Y3140" s="198">
        <f>_xll.qlInterestRateIndexValueDate(IborIndex,X3140,Trigger)</f>
        <v>61179</v>
      </c>
      <c r="Z3140" s="199">
        <v>2.4247173222361869E-2</v>
      </c>
      <c r="AA3140" s="201">
        <v>2.4222709827217415E-2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61184</v>
      </c>
      <c r="Y3141" s="198">
        <f>_xll.qlInterestRateIndexValueDate(IborIndex,X3141,Trigger)</f>
        <v>61186</v>
      </c>
      <c r="Z3141" s="199">
        <v>2.4247173222359288E-2</v>
      </c>
      <c r="AA3141" s="201">
        <v>2.4222709827297351E-2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61191</v>
      </c>
      <c r="Y3142" s="198">
        <f>_xll.qlInterestRateIndexValueDate(IborIndex,X3142,Trigger)</f>
        <v>61193</v>
      </c>
      <c r="Z3142" s="199">
        <v>2.4247173222361869E-2</v>
      </c>
      <c r="AA3142" s="201">
        <v>2.4222709827297351E-2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61198</v>
      </c>
      <c r="Y3143" s="198">
        <f>_xll.qlInterestRateIndexValueDate(IborIndex,X3143,Trigger)</f>
        <v>61200</v>
      </c>
      <c r="Z3143" s="199">
        <v>2.4247173222361869E-2</v>
      </c>
      <c r="AA3143" s="201">
        <v>2.4222709827217415E-2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61205</v>
      </c>
      <c r="Y3144" s="198">
        <f>_xll.qlInterestRateIndexValueDate(IborIndex,X3144,Trigger)</f>
        <v>61207</v>
      </c>
      <c r="Z3144" s="199">
        <v>2.4248805286274076E-2</v>
      </c>
      <c r="AA3144" s="201">
        <v>2.4222709827297351E-2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61212</v>
      </c>
      <c r="Y3145" s="198">
        <f>_xll.qlInterestRateIndexValueDate(IborIndex,X3145,Trigger)</f>
        <v>61214</v>
      </c>
      <c r="Z3145" s="199">
        <v>2.424798923601118E-2</v>
      </c>
      <c r="AA3145" s="201">
        <v>2.4222709827297351E-2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61219</v>
      </c>
      <c r="Y3146" s="198">
        <f>_xll.qlInterestRateIndexValueDate(IborIndex,X3146,Trigger)</f>
        <v>61221</v>
      </c>
      <c r="Z3146" s="199">
        <v>2.4247173222361869E-2</v>
      </c>
      <c r="AA3146" s="201">
        <v>2.4222709827297351E-2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61226</v>
      </c>
      <c r="Y3147" s="198">
        <f>_xll.qlInterestRateIndexValueDate(IborIndex,X3147,Trigger)</f>
        <v>61228</v>
      </c>
      <c r="Z3147" s="199">
        <v>2.4247173222361869E-2</v>
      </c>
      <c r="AA3147" s="201">
        <v>2.4222709827297351E-2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61233</v>
      </c>
      <c r="Y3148" s="198">
        <f>_xll.qlInterestRateIndexValueDate(IborIndex,X3148,Trigger)</f>
        <v>61235</v>
      </c>
      <c r="Z3148" s="199">
        <v>2.4247173222361869E-2</v>
      </c>
      <c r="AA3148" s="201">
        <v>2.4222709827297351E-2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61240</v>
      </c>
      <c r="Y3149" s="198">
        <f>_xll.qlInterestRateIndexValueDate(IborIndex,X3149,Trigger)</f>
        <v>61242</v>
      </c>
      <c r="Z3149" s="199">
        <v>2.4247173222361869E-2</v>
      </c>
      <c r="AA3149" s="201">
        <v>2.4222709827297351E-2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61247</v>
      </c>
      <c r="Y3150" s="198">
        <f>_xll.qlInterestRateIndexValueDate(IborIndex,X3150,Trigger)</f>
        <v>61249</v>
      </c>
      <c r="Z3150" s="199">
        <v>2.4247989236013678E-2</v>
      </c>
      <c r="AA3150" s="201">
        <v>2.4222709827297351E-2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61254</v>
      </c>
      <c r="Y3151" s="198">
        <f>_xll.qlInterestRateIndexValueDate(IborIndex,X3151,Trigger)</f>
        <v>61256</v>
      </c>
      <c r="Z3151" s="199">
        <v>2.4247173222361869E-2</v>
      </c>
      <c r="AA3151" s="201">
        <v>2.4222709827217415E-2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61261</v>
      </c>
      <c r="Y3152" s="198">
        <f>_xll.qlInterestRateIndexValueDate(IborIndex,X3152,Trigger)</f>
        <v>61263</v>
      </c>
      <c r="Z3152" s="199">
        <v>2.4247173222361869E-2</v>
      </c>
      <c r="AA3152" s="201">
        <v>2.4222709827377287E-2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61268</v>
      </c>
      <c r="Y3153" s="198">
        <f>_xll.qlInterestRateIndexValueDate(IborIndex,X3153,Trigger)</f>
        <v>61270</v>
      </c>
      <c r="Z3153" s="199">
        <v>2.4247173222361869E-2</v>
      </c>
      <c r="AA3153" s="201">
        <v>2.4222709827377287E-2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61275</v>
      </c>
      <c r="Y3154" s="198">
        <f>_xll.qlInterestRateIndexValueDate(IborIndex,X3154,Trigger)</f>
        <v>61277</v>
      </c>
      <c r="Z3154" s="199">
        <v>2.4247173222361869E-2</v>
      </c>
      <c r="AA3154" s="201">
        <v>2.4222709827297351E-2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61282</v>
      </c>
      <c r="Y3155" s="198">
        <f>_xll.qlInterestRateIndexValueDate(IborIndex,X3155,Trigger)</f>
        <v>61284</v>
      </c>
      <c r="Z3155" s="199">
        <v>2.4247173222359288E-2</v>
      </c>
      <c r="AA3155" s="201">
        <v>2.4222709827297351E-2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61289</v>
      </c>
      <c r="Y3156" s="198">
        <f>_xll.qlInterestRateIndexValueDate(IborIndex,X3156,Trigger)</f>
        <v>61291</v>
      </c>
      <c r="Z3156" s="199">
        <v>2.4247173222361869E-2</v>
      </c>
      <c r="AA3156" s="201">
        <v>2.4222709827377287E-2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61296</v>
      </c>
      <c r="Y3157" s="198">
        <f>_xll.qlInterestRateIndexValueDate(IborIndex,X3157,Trigger)</f>
        <v>61298</v>
      </c>
      <c r="Z3157" s="199">
        <v>2.4247173222361869E-2</v>
      </c>
      <c r="AA3157" s="201">
        <v>2.4222709827297351E-2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61303</v>
      </c>
      <c r="Y3158" s="198">
        <f>_xll.qlInterestRateIndexValueDate(IborIndex,X3158,Trigger)</f>
        <v>61305</v>
      </c>
      <c r="Z3158" s="199">
        <v>2.4247173222361869E-2</v>
      </c>
      <c r="AA3158" s="201">
        <v>2.4222709827297351E-2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61310</v>
      </c>
      <c r="Y3159" s="198">
        <f>_xll.qlInterestRateIndexValueDate(IborIndex,X3159,Trigger)</f>
        <v>61315</v>
      </c>
      <c r="Z3159" s="199">
        <v>2.4246357245321093E-2</v>
      </c>
      <c r="AA3159" s="201">
        <v>2.4222709827217415E-2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61317</v>
      </c>
      <c r="Y3160" s="198">
        <f>_xll.qlInterestRateIndexValueDate(IborIndex,X3160,Trigger)</f>
        <v>61319</v>
      </c>
      <c r="Z3160" s="199">
        <v>2.4247173222361869E-2</v>
      </c>
      <c r="AA3160" s="201">
        <v>2.4222709827377287E-2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61324</v>
      </c>
      <c r="Y3161" s="198">
        <f>_xll.qlInterestRateIndexValueDate(IborIndex,X3161,Trigger)</f>
        <v>61326</v>
      </c>
      <c r="Z3161" s="199">
        <v>2.4248805286271654E-2</v>
      </c>
      <c r="AA3161" s="201">
        <v>2.4222709827217415E-2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61331</v>
      </c>
      <c r="Y3162" s="198">
        <f>_xll.qlInterestRateIndexValueDate(IborIndex,X3162,Trigger)</f>
        <v>61333</v>
      </c>
      <c r="Z3162" s="199">
        <v>2.4247989236013678E-2</v>
      </c>
      <c r="AA3162" s="201">
        <v>2.4222709827297351E-2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61338</v>
      </c>
      <c r="Y3163" s="198">
        <f>_xll.qlInterestRateIndexValueDate(IborIndex,X3163,Trigger)</f>
        <v>61340</v>
      </c>
      <c r="Z3163" s="199">
        <v>2.4247173222361869E-2</v>
      </c>
      <c r="AA3163" s="201">
        <v>2.4222709827297351E-2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61345</v>
      </c>
      <c r="Y3164" s="198">
        <f>_xll.qlInterestRateIndexValueDate(IborIndex,X3164,Trigger)</f>
        <v>61347</v>
      </c>
      <c r="Z3164" s="199">
        <v>2.4247989236013678E-2</v>
      </c>
      <c r="AA3164" s="201">
        <v>2.4222709827377287E-2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61352</v>
      </c>
      <c r="Y3165" s="198">
        <f>_xll.qlInterestRateIndexValueDate(IborIndex,X3165,Trigger)</f>
        <v>61354</v>
      </c>
      <c r="Z3165" s="199">
        <v>2.4247173222361869E-2</v>
      </c>
      <c r="AA3165" s="201">
        <v>2.4222709827297351E-2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61359</v>
      </c>
      <c r="Y3166" s="198">
        <f>_xll.qlInterestRateIndexValueDate(IborIndex,X3166,Trigger)</f>
        <v>61361</v>
      </c>
      <c r="Z3166" s="199">
        <v>2.4247989236013678E-2</v>
      </c>
      <c r="AA3166" s="201">
        <v>2.4222709827217415E-2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61366</v>
      </c>
      <c r="Y3167" s="198">
        <f>_xll.qlInterestRateIndexValueDate(IborIndex,X3167,Trigger)</f>
        <v>61368</v>
      </c>
      <c r="Z3167" s="199">
        <v>2.4247173222361869E-2</v>
      </c>
      <c r="AA3167" s="201">
        <v>2.4222709827377287E-2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61373</v>
      </c>
      <c r="Y3168" s="198">
        <f>_xll.qlInterestRateIndexValueDate(IborIndex,X3168,Trigger)</f>
        <v>61375</v>
      </c>
      <c r="Z3168" s="199">
        <v>2.4247173222361869E-2</v>
      </c>
      <c r="AA3168" s="201">
        <v>2.4222709827297351E-2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61380</v>
      </c>
      <c r="Y3169" s="198">
        <f>_xll.qlInterestRateIndexValueDate(IborIndex,X3169,Trigger)</f>
        <v>61382</v>
      </c>
      <c r="Z3169" s="199">
        <v>2.4247989236013678E-2</v>
      </c>
      <c r="AA3169" s="201">
        <v>2.4222709827297351E-2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61387</v>
      </c>
      <c r="Y3170" s="198">
        <f>_xll.qlInterestRateIndexValueDate(IborIndex,X3170,Trigger)</f>
        <v>61389</v>
      </c>
      <c r="Z3170" s="199">
        <v>2.4247173222361869E-2</v>
      </c>
      <c r="AA3170" s="201">
        <v>2.4222709827377287E-2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61394</v>
      </c>
      <c r="Y3171" s="198">
        <f>_xll.qlInterestRateIndexValueDate(IborIndex,X3171,Trigger)</f>
        <v>61396</v>
      </c>
      <c r="Z3171" s="199">
        <v>2.4247173222361869E-2</v>
      </c>
      <c r="AA3171" s="201">
        <v>2.4222709827377287E-2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61401</v>
      </c>
      <c r="Y3172" s="198">
        <f>_xll.qlInterestRateIndexValueDate(IborIndex,X3172,Trigger)</f>
        <v>61403</v>
      </c>
      <c r="Z3172" s="199">
        <v>2.4247173222361869E-2</v>
      </c>
      <c r="AA3172" s="201">
        <v>2.4222709827297351E-2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61408</v>
      </c>
      <c r="Y3173" s="198">
        <f>_xll.qlInterestRateIndexValueDate(IborIndex,X3173,Trigger)</f>
        <v>61410</v>
      </c>
      <c r="Z3173" s="199">
        <v>2.4247173222361869E-2</v>
      </c>
      <c r="AA3173" s="201">
        <v>2.4222709827217415E-2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61415</v>
      </c>
      <c r="Y3174" s="198">
        <f>_xll.qlInterestRateIndexValueDate(IborIndex,X3174,Trigger)</f>
        <v>61417</v>
      </c>
      <c r="Z3174" s="199">
        <v>2.4247173222361869E-2</v>
      </c>
      <c r="AA3174" s="201">
        <v>2.4222709827377287E-2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61422</v>
      </c>
      <c r="Y3175" s="198">
        <f>_xll.qlInterestRateIndexValueDate(IborIndex,X3175,Trigger)</f>
        <v>61424</v>
      </c>
      <c r="Z3175" s="199">
        <v>2.4247173222359288E-2</v>
      </c>
      <c r="AA3175" s="201">
        <v>2.4222709827297351E-2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61429</v>
      </c>
      <c r="Y3176" s="198">
        <f>_xll.qlInterestRateIndexValueDate(IborIndex,X3176,Trigger)</f>
        <v>61431</v>
      </c>
      <c r="Z3176" s="199">
        <v>2.4247173222359288E-2</v>
      </c>
      <c r="AA3176" s="201">
        <v>2.4222709827297351E-2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61436</v>
      </c>
      <c r="Y3177" s="198">
        <f>_xll.qlInterestRateIndexValueDate(IborIndex,X3177,Trigger)</f>
        <v>61438</v>
      </c>
      <c r="Z3177" s="199">
        <v>2.4247173222361869E-2</v>
      </c>
      <c r="AA3177" s="201">
        <v>2.4222709827297351E-2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61443</v>
      </c>
      <c r="Y3178" s="198">
        <f>_xll.qlInterestRateIndexValueDate(IborIndex,X3178,Trigger)</f>
        <v>61445</v>
      </c>
      <c r="Z3178" s="199">
        <v>2.424798923601118E-2</v>
      </c>
      <c r="AA3178" s="201">
        <v>2.4222709827377287E-2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61450</v>
      </c>
      <c r="Y3179" s="198">
        <f>_xll.qlInterestRateIndexValueDate(IborIndex,X3179,Trigger)</f>
        <v>61452</v>
      </c>
      <c r="Z3179" s="199">
        <v>2.4247173222361869E-2</v>
      </c>
      <c r="AA3179" s="201">
        <v>2.4222709827297351E-2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61457</v>
      </c>
      <c r="Y3180" s="198">
        <f>_xll.qlInterestRateIndexValueDate(IborIndex,X3180,Trigger)</f>
        <v>61459</v>
      </c>
      <c r="Z3180" s="199">
        <v>2.4247989236013678E-2</v>
      </c>
      <c r="AA3180" s="201">
        <v>2.4222709827217415E-2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61464</v>
      </c>
      <c r="Y3181" s="198">
        <f>_xll.qlInterestRateIndexValueDate(IborIndex,X3181,Trigger)</f>
        <v>61466</v>
      </c>
      <c r="Z3181" s="199">
        <v>2.4247173222361869E-2</v>
      </c>
      <c r="AA3181" s="201">
        <v>2.4222709827297351E-2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61471</v>
      </c>
      <c r="Y3182" s="198">
        <f>_xll.qlInterestRateIndexValueDate(IborIndex,X3182,Trigger)</f>
        <v>61477</v>
      </c>
      <c r="Z3182" s="199">
        <v>2.4246357245321093E-2</v>
      </c>
      <c r="AA3182" s="201">
        <v>2.4222709827217415E-2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61478</v>
      </c>
      <c r="Y3183" s="198">
        <f>_xll.qlInterestRateIndexValueDate(IborIndex,X3183,Trigger)</f>
        <v>61480</v>
      </c>
      <c r="Z3183" s="199">
        <v>2.4247989236013678E-2</v>
      </c>
      <c r="AA3183" s="201">
        <v>2.4222709827217415E-2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61485</v>
      </c>
      <c r="Y3184" s="198">
        <f>_xll.qlInterestRateIndexValueDate(IborIndex,X3184,Trigger)</f>
        <v>61487</v>
      </c>
      <c r="Z3184" s="199">
        <v>2.4247173222361869E-2</v>
      </c>
      <c r="AA3184" s="201">
        <v>2.4222709827377287E-2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61492</v>
      </c>
      <c r="Y3185" s="198">
        <f>_xll.qlInterestRateIndexValueDate(IborIndex,X3185,Trigger)</f>
        <v>61494</v>
      </c>
      <c r="Z3185" s="199">
        <v>2.4247173222361869E-2</v>
      </c>
      <c r="AA3185" s="201">
        <v>2.4222709827297351E-2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61499</v>
      </c>
      <c r="Y3186" s="198">
        <f>_xll.qlInterestRateIndexValueDate(IborIndex,X3186,Trigger)</f>
        <v>61501</v>
      </c>
      <c r="Z3186" s="199">
        <v>2.4247173222361869E-2</v>
      </c>
      <c r="AA3186" s="201">
        <v>2.4222709827377287E-2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61506</v>
      </c>
      <c r="Y3187" s="198">
        <f>_xll.qlInterestRateIndexValueDate(IborIndex,X3187,Trigger)</f>
        <v>61508</v>
      </c>
      <c r="Z3187" s="199">
        <v>2.4247173222361869E-2</v>
      </c>
      <c r="AA3187" s="201">
        <v>2.4222709827297351E-2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61513</v>
      </c>
      <c r="Y3188" s="198">
        <f>_xll.qlInterestRateIndexValueDate(IborIndex,X3188,Trigger)</f>
        <v>61515</v>
      </c>
      <c r="Z3188" s="199">
        <v>2.4247173222359288E-2</v>
      </c>
      <c r="AA3188" s="201">
        <v>2.4222709827377287E-2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61520</v>
      </c>
      <c r="Y3189" s="198">
        <f>_xll.qlInterestRateIndexValueDate(IborIndex,X3189,Trigger)</f>
        <v>61522</v>
      </c>
      <c r="Z3189" s="199">
        <v>2.4247173222361869E-2</v>
      </c>
      <c r="AA3189" s="201">
        <v>2.4222709827377287E-2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61527</v>
      </c>
      <c r="Y3190" s="198">
        <f>_xll.qlInterestRateIndexValueDate(IborIndex,X3190,Trigger)</f>
        <v>61529</v>
      </c>
      <c r="Z3190" s="199">
        <v>2.4247173222361869E-2</v>
      </c>
      <c r="AA3190" s="201">
        <v>2.4222709827217415E-2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61534</v>
      </c>
      <c r="Y3191" s="198">
        <f>_xll.qlInterestRateIndexValueDate(IborIndex,X3191,Trigger)</f>
        <v>61536</v>
      </c>
      <c r="Z3191" s="199">
        <v>2.4247173222361869E-2</v>
      </c>
      <c r="AA3191" s="201">
        <v>2.4222709827297351E-2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61541</v>
      </c>
      <c r="Y3192" s="198">
        <f>_xll.qlInterestRateIndexValueDate(IborIndex,X3192,Trigger)</f>
        <v>61543</v>
      </c>
      <c r="Z3192" s="199">
        <v>2.424798923601118E-2</v>
      </c>
      <c r="AA3192" s="201">
        <v>2.4222709827297351E-2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61548</v>
      </c>
      <c r="Y3193" s="198">
        <f>_xll.qlInterestRateIndexValueDate(IborIndex,X3193,Trigger)</f>
        <v>61550</v>
      </c>
      <c r="Z3193" s="199">
        <v>2.4247173222361869E-2</v>
      </c>
      <c r="AA3193" s="201">
        <v>2.4222709827297351E-2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61555</v>
      </c>
      <c r="Y3194" s="198">
        <f>_xll.qlInterestRateIndexValueDate(IborIndex,X3194,Trigger)</f>
        <v>61557</v>
      </c>
      <c r="Z3194" s="199">
        <v>2.4247173222361869E-2</v>
      </c>
      <c r="AA3194" s="201">
        <v>2.4222709827217415E-2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61562</v>
      </c>
      <c r="Y3195" s="198">
        <f>_xll.qlInterestRateIndexValueDate(IborIndex,X3195,Trigger)</f>
        <v>61564</v>
      </c>
      <c r="Z3195" s="199">
        <v>2.4247173222361869E-2</v>
      </c>
      <c r="AA3195" s="201">
        <v>2.4222709827377287E-2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61569</v>
      </c>
      <c r="Y3196" s="198">
        <f>_xll.qlInterestRateIndexValueDate(IborIndex,X3196,Trigger)</f>
        <v>61571</v>
      </c>
      <c r="Z3196" s="199">
        <v>2.424798923601118E-2</v>
      </c>
      <c r="AA3196" s="201">
        <v>2.4222709827377287E-2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61576</v>
      </c>
      <c r="Y3197" s="198">
        <f>_xll.qlInterestRateIndexValueDate(IborIndex,X3197,Trigger)</f>
        <v>61578</v>
      </c>
      <c r="Z3197" s="199">
        <v>2.4247989236013678E-2</v>
      </c>
      <c r="AA3197" s="201">
        <v>2.4222709827377287E-2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61583</v>
      </c>
      <c r="Y3198" s="198">
        <f>_xll.qlInterestRateIndexValueDate(IborIndex,X3198,Trigger)</f>
        <v>61585</v>
      </c>
      <c r="Z3198" s="199">
        <v>2.4247173222364447E-2</v>
      </c>
      <c r="AA3198" s="201">
        <v>2.4222709827217415E-2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61590</v>
      </c>
      <c r="Y3199" s="198">
        <f>_xll.qlInterestRateIndexValueDate(IborIndex,X3199,Trigger)</f>
        <v>61592</v>
      </c>
      <c r="Z3199" s="199">
        <v>2.4247173222361869E-2</v>
      </c>
      <c r="AA3199" s="201">
        <v>2.4222709827297351E-2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61597</v>
      </c>
      <c r="Y3200" s="198">
        <f>_xll.qlInterestRateIndexValueDate(IborIndex,X3200,Trigger)</f>
        <v>61599</v>
      </c>
      <c r="Z3200" s="199">
        <v>2.4247173222359288E-2</v>
      </c>
      <c r="AA3200" s="201">
        <v>2.4222709827377287E-2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61604</v>
      </c>
      <c r="Y3201" s="198">
        <f>_xll.qlInterestRateIndexValueDate(IborIndex,X3201,Trigger)</f>
        <v>61606</v>
      </c>
      <c r="Z3201" s="199">
        <v>2.4244725401049952E-2</v>
      </c>
      <c r="AA3201" s="201">
        <v>2.4222709827217415E-2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61611</v>
      </c>
      <c r="Y3202" s="198">
        <f>_xll.qlInterestRateIndexValueDate(IborIndex,X3202,Trigger)</f>
        <v>61613</v>
      </c>
      <c r="Z3202" s="199">
        <v>2.4247989236013678E-2</v>
      </c>
      <c r="AA3202" s="201">
        <v>2.4222709827217415E-2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61618</v>
      </c>
      <c r="Y3203" s="198">
        <f>_xll.qlInterestRateIndexValueDate(IborIndex,X3203,Trigger)</f>
        <v>61620</v>
      </c>
      <c r="Z3203" s="199">
        <v>2.4247173222361869E-2</v>
      </c>
      <c r="AA3203" s="201">
        <v>2.4222709827377287E-2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61625</v>
      </c>
      <c r="Y3204" s="198">
        <f>_xll.qlInterestRateIndexValueDate(IborIndex,X3204,Trigger)</f>
        <v>61627</v>
      </c>
      <c r="Z3204" s="199">
        <v>2.4247173222361869E-2</v>
      </c>
      <c r="AA3204" s="201">
        <v>2.4222709827377287E-2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61632</v>
      </c>
      <c r="Y3205" s="198">
        <f>_xll.qlInterestRateIndexValueDate(IborIndex,X3205,Trigger)</f>
        <v>61634</v>
      </c>
      <c r="Z3205" s="199">
        <v>2.4248805286274076E-2</v>
      </c>
      <c r="AA3205" s="201">
        <v>2.4222709827297351E-2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61639</v>
      </c>
      <c r="Y3206" s="198">
        <f>_xll.qlInterestRateIndexValueDate(IborIndex,X3206,Trigger)</f>
        <v>61641</v>
      </c>
      <c r="Z3206" s="199">
        <v>2.4247173222359288E-2</v>
      </c>
      <c r="AA3206" s="201">
        <v>2.4222709827377287E-2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61646</v>
      </c>
      <c r="Y3207" s="198">
        <f>_xll.qlInterestRateIndexValueDate(IborIndex,X3207,Trigger)</f>
        <v>61648</v>
      </c>
      <c r="Z3207" s="199">
        <v>2.424798923601118E-2</v>
      </c>
      <c r="AA3207" s="201">
        <v>2.4222709827377287E-2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61653</v>
      </c>
      <c r="Y3208" s="198">
        <f>_xll.qlInterestRateIndexValueDate(IborIndex,X3208,Trigger)</f>
        <v>61655</v>
      </c>
      <c r="Z3208" s="199">
        <v>2.4247173222361869E-2</v>
      </c>
      <c r="AA3208" s="201">
        <v>2.4222709827297351E-2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61660</v>
      </c>
      <c r="Y3209" s="198">
        <f>_xll.qlInterestRateIndexValueDate(IborIndex,X3209,Trigger)</f>
        <v>61662</v>
      </c>
      <c r="Z3209" s="199">
        <v>2.4247173222361869E-2</v>
      </c>
      <c r="AA3209" s="201">
        <v>2.4222709827297351E-2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61667</v>
      </c>
      <c r="Y3210" s="198">
        <f>_xll.qlInterestRateIndexValueDate(IborIndex,X3210,Trigger)</f>
        <v>61669</v>
      </c>
      <c r="Z3210" s="199">
        <v>2.4247173222361869E-2</v>
      </c>
      <c r="AA3210" s="201">
        <v>2.4222709827377287E-2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61674</v>
      </c>
      <c r="Y3211" s="198">
        <f>_xll.qlInterestRateIndexValueDate(IborIndex,X3211,Trigger)</f>
        <v>61676</v>
      </c>
      <c r="Z3211" s="199">
        <v>2.4247173222361869E-2</v>
      </c>
      <c r="AA3211" s="201">
        <v>2.4222709827297351E-2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61681</v>
      </c>
      <c r="Y3212" s="198">
        <f>_xll.qlInterestRateIndexValueDate(IborIndex,X3212,Trigger)</f>
        <v>61683</v>
      </c>
      <c r="Z3212" s="199">
        <v>2.4247173222361869E-2</v>
      </c>
      <c r="AA3212" s="201">
        <v>2.4222709827297351E-2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61688</v>
      </c>
      <c r="Y3213" s="198">
        <f>_xll.qlInterestRateIndexValueDate(IborIndex,X3213,Trigger)</f>
        <v>61690</v>
      </c>
      <c r="Z3213" s="199">
        <v>2.4247173222361869E-2</v>
      </c>
      <c r="AA3213" s="201">
        <v>2.4222709827297351E-2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61695</v>
      </c>
      <c r="Y3214" s="198">
        <f>_xll.qlInterestRateIndexValueDate(IborIndex,X3214,Trigger)</f>
        <v>61697</v>
      </c>
      <c r="Z3214" s="199">
        <v>2.4247173222361869E-2</v>
      </c>
      <c r="AA3214" s="201">
        <v>2.4222709827297351E-2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61702</v>
      </c>
      <c r="Y3215" s="198">
        <f>_xll.qlInterestRateIndexValueDate(IborIndex,X3215,Trigger)</f>
        <v>61704</v>
      </c>
      <c r="Z3215" s="199">
        <v>2.4247173222361869E-2</v>
      </c>
      <c r="AA3215" s="201">
        <v>2.4222709827297351E-2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61709</v>
      </c>
      <c r="Y3216" s="198">
        <f>_xll.qlInterestRateIndexValueDate(IborIndex,X3216,Trigger)</f>
        <v>61711</v>
      </c>
      <c r="Z3216" s="199">
        <v>2.4247173222361869E-2</v>
      </c>
      <c r="AA3216" s="201">
        <v>2.4222709827217415E-2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61716</v>
      </c>
      <c r="Y3217" s="198">
        <f>_xll.qlInterestRateIndexValueDate(IborIndex,X3217,Trigger)</f>
        <v>61718</v>
      </c>
      <c r="Z3217" s="199">
        <v>2.424798923601118E-2</v>
      </c>
      <c r="AA3217" s="201">
        <v>2.4222709827377287E-2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61724</v>
      </c>
      <c r="Y3218" s="198">
        <f>_xll.qlInterestRateIndexValueDate(IborIndex,X3218,Trigger)</f>
        <v>61728</v>
      </c>
      <c r="Z3218" s="199">
        <v>2.4247173222361869E-2</v>
      </c>
      <c r="AA3218" s="201">
        <v>2.4222709827297351E-2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61731</v>
      </c>
      <c r="Y3219" s="198">
        <f>_xll.qlInterestRateIndexValueDate(IborIndex,X3219,Trigger)</f>
        <v>61735</v>
      </c>
      <c r="Z3219" s="199">
        <v>2.4247173222361869E-2</v>
      </c>
      <c r="AA3219" s="201">
        <v>2.4222709827377287E-2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61738</v>
      </c>
      <c r="Y3220" s="198">
        <f>_xll.qlInterestRateIndexValueDate(IborIndex,X3220,Trigger)</f>
        <v>61742</v>
      </c>
      <c r="Z3220" s="199">
        <v>2.4247173222361869E-2</v>
      </c>
      <c r="AA3220" s="201">
        <v>2.4222709827377287E-2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61745</v>
      </c>
      <c r="Y3221" s="198">
        <f>_xll.qlInterestRateIndexValueDate(IborIndex,X3221,Trigger)</f>
        <v>61750</v>
      </c>
      <c r="Z3221" s="199">
        <v>2.4247173222364447E-2</v>
      </c>
      <c r="AA3221" s="201">
        <v>2.4222709827377287E-2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61752</v>
      </c>
      <c r="Y3222" s="198">
        <f>_xll.qlInterestRateIndexValueDate(IborIndex,X3222,Trigger)</f>
        <v>61756</v>
      </c>
      <c r="Z3222" s="199">
        <v>2.4247173222361869E-2</v>
      </c>
      <c r="AA3222" s="201">
        <v>2.4222709827377287E-2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61759</v>
      </c>
      <c r="Y3223" s="198">
        <f>_xll.qlInterestRateIndexValueDate(IborIndex,X3223,Trigger)</f>
        <v>61763</v>
      </c>
      <c r="Z3223" s="199">
        <v>2.4244725401049952E-2</v>
      </c>
      <c r="AA3223" s="201">
        <v>2.4222709827297351E-2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61766</v>
      </c>
      <c r="Y3224" s="198">
        <f>_xll.qlInterestRateIndexValueDate(IborIndex,X3224,Trigger)</f>
        <v>61770</v>
      </c>
      <c r="Z3224" s="199">
        <v>2.4244725401049952E-2</v>
      </c>
      <c r="AA3224" s="201">
        <v>2.4222709827297351E-2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61773</v>
      </c>
      <c r="Y3225" s="198">
        <f>_xll.qlInterestRateIndexValueDate(IborIndex,X3225,Trigger)</f>
        <v>61778</v>
      </c>
      <c r="Z3225" s="199">
        <v>2.4244725401052807E-2</v>
      </c>
      <c r="AA3225" s="201">
        <v>2.4222709827377287E-2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61780</v>
      </c>
      <c r="Y3226" s="198">
        <f>_xll.qlInterestRateIndexValueDate(IborIndex,X3226,Trigger)</f>
        <v>61784</v>
      </c>
      <c r="Z3226" s="199">
        <v>2.4244725401049952E-2</v>
      </c>
      <c r="AA3226" s="201">
        <v>2.4222709827297351E-2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61787</v>
      </c>
      <c r="Y3227" s="198">
        <f>_xll.qlInterestRateIndexValueDate(IborIndex,X3227,Trigger)</f>
        <v>61791</v>
      </c>
      <c r="Z3227" s="199">
        <v>2.4247173222361869E-2</v>
      </c>
      <c r="AA3227" s="201">
        <v>2.4222709827297351E-2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61794</v>
      </c>
      <c r="Y3228" s="198">
        <f>_xll.qlInterestRateIndexValueDate(IborIndex,X3228,Trigger)</f>
        <v>61798</v>
      </c>
      <c r="Z3228" s="199">
        <v>2.4247173222359288E-2</v>
      </c>
      <c r="AA3228" s="201">
        <v>2.4222709827217415E-2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61801</v>
      </c>
      <c r="Y3229" s="198">
        <f>_xll.qlInterestRateIndexValueDate(IborIndex,X3229,Trigger)</f>
        <v>61805</v>
      </c>
      <c r="Z3229" s="199">
        <v>2.4247173222361869E-2</v>
      </c>
      <c r="AA3229" s="201">
        <v>2.4222709827297351E-2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61808</v>
      </c>
      <c r="Y3230" s="198">
        <f>_xll.qlInterestRateIndexValueDate(IborIndex,X3230,Trigger)</f>
        <v>61812</v>
      </c>
      <c r="Z3230" s="199">
        <v>2.4247173222361869E-2</v>
      </c>
      <c r="AA3230" s="201">
        <v>2.4222709827377287E-2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61815</v>
      </c>
      <c r="Y3231" s="198">
        <f>_xll.qlInterestRateIndexValueDate(IborIndex,X3231,Trigger)</f>
        <v>61819</v>
      </c>
      <c r="Z3231" s="199">
        <v>2.4246357245321093E-2</v>
      </c>
      <c r="AA3231" s="201">
        <v>2.4222709827217415E-2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61822</v>
      </c>
      <c r="Y3232" s="198">
        <f>_xll.qlInterestRateIndexValueDate(IborIndex,X3232,Trigger)</f>
        <v>61826</v>
      </c>
      <c r="Z3232" s="199">
        <v>2.4246357245318428E-2</v>
      </c>
      <c r="AA3232" s="201">
        <v>2.4222709827217415E-2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61829</v>
      </c>
      <c r="Y3233" s="198">
        <f>_xll.qlInterestRateIndexValueDate(IborIndex,X3233,Trigger)</f>
        <v>61835</v>
      </c>
      <c r="Z3233" s="199">
        <v>2.4246357245315764E-2</v>
      </c>
      <c r="AA3233" s="201">
        <v>2.4224339696283792E-2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61836</v>
      </c>
      <c r="Y3234" s="198">
        <f>_xll.qlInterestRateIndexValueDate(IborIndex,X3234,Trigger)</f>
        <v>61840</v>
      </c>
      <c r="Z3234" s="199">
        <v>2.4246357245315764E-2</v>
      </c>
      <c r="AA3234" s="201">
        <v>2.4222709827377287E-2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61843</v>
      </c>
      <c r="Y3235" s="198">
        <f>_xll.qlInterestRateIndexValueDate(IborIndex,X3235,Trigger)</f>
        <v>61847</v>
      </c>
      <c r="Z3235" s="199">
        <v>2.4246357245321093E-2</v>
      </c>
      <c r="AA3235" s="201">
        <v>2.4222709827297351E-2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61850</v>
      </c>
      <c r="Y3236" s="198">
        <f>_xll.qlInterestRateIndexValueDate(IborIndex,X3236,Trigger)</f>
        <v>61855</v>
      </c>
      <c r="Z3236" s="199">
        <v>2.4247173222361869E-2</v>
      </c>
      <c r="AA3236" s="201">
        <v>2.4222709827377287E-2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61857</v>
      </c>
      <c r="Y3237" s="198">
        <f>_xll.qlInterestRateIndexValueDate(IborIndex,X3237,Trigger)</f>
        <v>61861</v>
      </c>
      <c r="Z3237" s="199">
        <v>2.4247173222361869E-2</v>
      </c>
      <c r="AA3237" s="201">
        <v>2.4222709827297351E-2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61864</v>
      </c>
      <c r="Y3238" s="198">
        <f>_xll.qlInterestRateIndexValueDate(IborIndex,X3238,Trigger)</f>
        <v>61868</v>
      </c>
      <c r="Z3238" s="199">
        <v>2.4247173222361869E-2</v>
      </c>
      <c r="AA3238" s="201">
        <v>2.4222709827377287E-2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61871</v>
      </c>
      <c r="Y3239" s="198">
        <f>_xll.qlInterestRateIndexValueDate(IborIndex,X3239,Trigger)</f>
        <v>61876</v>
      </c>
      <c r="Z3239" s="199">
        <v>2.4247173222361869E-2</v>
      </c>
      <c r="AA3239" s="201">
        <v>2.4222709827377287E-2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61878</v>
      </c>
      <c r="Y3240" s="198">
        <f>_xll.qlInterestRateIndexValueDate(IborIndex,X3240,Trigger)</f>
        <v>61882</v>
      </c>
      <c r="Z3240" s="199">
        <v>2.4246357245318428E-2</v>
      </c>
      <c r="AA3240" s="201">
        <v>2.4222709827377287E-2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61885</v>
      </c>
      <c r="Y3241" s="198">
        <f>_xll.qlInterestRateIndexValueDate(IborIndex,X3241,Trigger)</f>
        <v>61889</v>
      </c>
      <c r="Z3241" s="199">
        <v>2.4246357245318428E-2</v>
      </c>
      <c r="AA3241" s="201">
        <v>2.4222709827377287E-2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61892</v>
      </c>
      <c r="Y3242" s="198">
        <f>_xll.qlInterestRateIndexValueDate(IborIndex,X3242,Trigger)</f>
        <v>61896</v>
      </c>
      <c r="Z3242" s="199">
        <v>2.4246357245321093E-2</v>
      </c>
      <c r="AA3242" s="201">
        <v>2.4222709827297351E-2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61899</v>
      </c>
      <c r="Y3243" s="198">
        <f>_xll.qlInterestRateIndexValueDate(IborIndex,X3243,Trigger)</f>
        <v>61903</v>
      </c>
      <c r="Z3243" s="199">
        <v>2.4246357245318428E-2</v>
      </c>
      <c r="AA3243" s="201">
        <v>2.4222709827297351E-2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61906</v>
      </c>
      <c r="Y3244" s="198">
        <f>_xll.qlInterestRateIndexValueDate(IborIndex,X3244,Trigger)</f>
        <v>61910</v>
      </c>
      <c r="Z3244" s="199">
        <v>2.4247173222361869E-2</v>
      </c>
      <c r="AA3244" s="201">
        <v>2.4222709827297351E-2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61913</v>
      </c>
      <c r="Y3245" s="198">
        <f>_xll.qlInterestRateIndexValueDate(IborIndex,X3245,Trigger)</f>
        <v>61917</v>
      </c>
      <c r="Z3245" s="199">
        <v>2.4247173222361869E-2</v>
      </c>
      <c r="AA3245" s="201">
        <v>2.4222709827377287E-2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61920</v>
      </c>
      <c r="Y3246" s="198">
        <f>_xll.qlInterestRateIndexValueDate(IborIndex,X3246,Trigger)</f>
        <v>61924</v>
      </c>
      <c r="Z3246" s="199">
        <v>2.4247173222361869E-2</v>
      </c>
      <c r="AA3246" s="201">
        <v>2.4222709827297351E-2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61927</v>
      </c>
      <c r="Y3247" s="198">
        <f>_xll.qlInterestRateIndexValueDate(IborIndex,X3247,Trigger)</f>
        <v>61931</v>
      </c>
      <c r="Z3247" s="199">
        <v>2.4247173222364447E-2</v>
      </c>
      <c r="AA3247" s="201">
        <v>2.4222709827297351E-2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61934</v>
      </c>
      <c r="Y3248" s="198">
        <f>_xll.qlInterestRateIndexValueDate(IborIndex,X3248,Trigger)</f>
        <v>61938</v>
      </c>
      <c r="Z3248" s="199">
        <v>2.4247173222359288E-2</v>
      </c>
      <c r="AA3248" s="201">
        <v>2.4222709827377287E-2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61941</v>
      </c>
      <c r="Y3249" s="198">
        <f>_xll.qlInterestRateIndexValueDate(IborIndex,X3249,Trigger)</f>
        <v>61945</v>
      </c>
      <c r="Z3249" s="199">
        <v>2.4247173222361869E-2</v>
      </c>
      <c r="AA3249" s="201">
        <v>2.4222709827297351E-2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61948</v>
      </c>
      <c r="Y3250" s="198">
        <f>_xll.qlInterestRateIndexValueDate(IborIndex,X3250,Trigger)</f>
        <v>61952</v>
      </c>
      <c r="Z3250" s="199">
        <v>2.4247173222361869E-2</v>
      </c>
      <c r="AA3250" s="201">
        <v>2.4222709827297351E-2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61955</v>
      </c>
      <c r="Y3251" s="198">
        <f>_xll.qlInterestRateIndexValueDate(IborIndex,X3251,Trigger)</f>
        <v>61959</v>
      </c>
      <c r="Z3251" s="199">
        <v>2.4247173222361869E-2</v>
      </c>
      <c r="AA3251" s="201">
        <v>2.4222709827377287E-2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61962</v>
      </c>
      <c r="Y3252" s="198">
        <f>_xll.qlInterestRateIndexValueDate(IborIndex,X3252,Trigger)</f>
        <v>61967</v>
      </c>
      <c r="Z3252" s="199">
        <v>2.4247173222361869E-2</v>
      </c>
      <c r="AA3252" s="201">
        <v>2.4222709827377287E-2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61969</v>
      </c>
      <c r="Y3253" s="198">
        <f>_xll.qlInterestRateIndexValueDate(IborIndex,X3253,Trigger)</f>
        <v>61974</v>
      </c>
      <c r="Z3253" s="199">
        <v>2.4246357245318428E-2</v>
      </c>
      <c r="AA3253" s="201">
        <v>2.4222709827297351E-2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61976</v>
      </c>
      <c r="Y3254" s="198">
        <f>_xll.qlInterestRateIndexValueDate(IborIndex,X3254,Trigger)</f>
        <v>61980</v>
      </c>
      <c r="Z3254" s="199">
        <v>2.4246357245318428E-2</v>
      </c>
      <c r="AA3254" s="201">
        <v>2.4222709827297351E-2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61983</v>
      </c>
      <c r="Y3255" s="198">
        <f>_xll.qlInterestRateIndexValueDate(IborIndex,X3255,Trigger)</f>
        <v>61987</v>
      </c>
      <c r="Z3255" s="199">
        <v>2.4246357245318428E-2</v>
      </c>
      <c r="AA3255" s="201">
        <v>2.4222709827377287E-2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61990</v>
      </c>
      <c r="Y3256" s="198">
        <f>_xll.qlInterestRateIndexValueDate(IborIndex,X3256,Trigger)</f>
        <v>61994</v>
      </c>
      <c r="Z3256" s="199">
        <v>2.4246357245321093E-2</v>
      </c>
      <c r="AA3256" s="201">
        <v>2.4222709827377287E-2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61997</v>
      </c>
      <c r="Y3257" s="198">
        <f>_xll.qlInterestRateIndexValueDate(IborIndex,X3257,Trigger)</f>
        <v>62001</v>
      </c>
      <c r="Z3257" s="199">
        <v>2.4247173222361869E-2</v>
      </c>
      <c r="AA3257" s="201">
        <v>2.4222709827297351E-2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62004</v>
      </c>
      <c r="Y3258" s="198">
        <f>_xll.qlInterestRateIndexValueDate(IborIndex,X3258,Trigger)</f>
        <v>62008</v>
      </c>
      <c r="Z3258" s="199">
        <v>2.4247173222359288E-2</v>
      </c>
      <c r="AA3258" s="201">
        <v>2.4222709827297351E-2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62011</v>
      </c>
      <c r="Y3259" s="198">
        <f>_xll.qlInterestRateIndexValueDate(IborIndex,X3259,Trigger)</f>
        <v>62016</v>
      </c>
      <c r="Z3259" s="199">
        <v>2.4247173222361869E-2</v>
      </c>
      <c r="AA3259" s="201">
        <v>2.4222709827217415E-2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62018</v>
      </c>
      <c r="Y3260" s="198">
        <f>_xll.qlInterestRateIndexValueDate(IborIndex,X3260,Trigger)</f>
        <v>62022</v>
      </c>
      <c r="Z3260" s="199">
        <v>2.4247173222361869E-2</v>
      </c>
      <c r="AA3260" s="201">
        <v>2.4222709827297351E-2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62025</v>
      </c>
      <c r="Y3261" s="198">
        <f>_xll.qlInterestRateIndexValueDate(IborIndex,X3261,Trigger)</f>
        <v>62029</v>
      </c>
      <c r="Z3261" s="199">
        <v>2.424798923601118E-2</v>
      </c>
      <c r="AA3261" s="201">
        <v>2.4222709827217415E-2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62032</v>
      </c>
      <c r="Y3262" s="198">
        <f>_xll.qlInterestRateIndexValueDate(IborIndex,X3262,Trigger)</f>
        <v>62036</v>
      </c>
      <c r="Z3262" s="199">
        <v>2.4246357245318428E-2</v>
      </c>
      <c r="AA3262" s="201">
        <v>2.4222709827297351E-2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62039</v>
      </c>
      <c r="Y3263" s="198">
        <f>_xll.qlInterestRateIndexValueDate(IborIndex,X3263,Trigger)</f>
        <v>62044</v>
      </c>
      <c r="Z3263" s="199">
        <v>2.4246357245318428E-2</v>
      </c>
      <c r="AA3263" s="201">
        <v>2.4222709827297351E-2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62046</v>
      </c>
      <c r="Y3264" s="198">
        <f>_xll.qlInterestRateIndexValueDate(IborIndex,X3264,Trigger)</f>
        <v>62050</v>
      </c>
      <c r="Z3264" s="199">
        <v>2.4246357245321093E-2</v>
      </c>
      <c r="AA3264" s="201">
        <v>2.4222709827297351E-2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62053</v>
      </c>
      <c r="Y3265" s="198">
        <f>_xll.qlInterestRateIndexValueDate(IborIndex,X3265,Trigger)</f>
        <v>62057</v>
      </c>
      <c r="Z3265" s="199">
        <v>2.424798923601118E-2</v>
      </c>
      <c r="AA3265" s="201">
        <v>2.4222709827297351E-2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62060</v>
      </c>
      <c r="Y3266" s="198">
        <f>_xll.qlInterestRateIndexValueDate(IborIndex,X3266,Trigger)</f>
        <v>62064</v>
      </c>
      <c r="Z3266" s="199">
        <v>2.4247173222361869E-2</v>
      </c>
      <c r="AA3266" s="201">
        <v>2.4222709827297351E-2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62067</v>
      </c>
      <c r="Y3267" s="198">
        <f>_xll.qlInterestRateIndexValueDate(IborIndex,X3267,Trigger)</f>
        <v>62071</v>
      </c>
      <c r="Z3267" s="199">
        <v>2.4247173222359288E-2</v>
      </c>
      <c r="AA3267" s="201">
        <v>2.4222709827377287E-2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62074</v>
      </c>
      <c r="Y3268" s="198">
        <f>_xll.qlInterestRateIndexValueDate(IborIndex,X3268,Trigger)</f>
        <v>62078</v>
      </c>
      <c r="Z3268" s="199">
        <v>2.4247173222359288E-2</v>
      </c>
      <c r="AA3268" s="201">
        <v>2.4222709827297351E-2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62081</v>
      </c>
      <c r="Y3269" s="198">
        <f>_xll.qlInterestRateIndexValueDate(IborIndex,X3269,Trigger)</f>
        <v>62085</v>
      </c>
      <c r="Z3269" s="199">
        <v>2.4247173222361869E-2</v>
      </c>
      <c r="AA3269" s="201">
        <v>2.4224339696283792E-2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62089</v>
      </c>
      <c r="Y3270" s="198">
        <f>_xll.qlInterestRateIndexValueDate(IborIndex,X3270,Trigger)</f>
        <v>62093</v>
      </c>
      <c r="Z3270" s="199">
        <v>2.4247173222364447E-2</v>
      </c>
      <c r="AA3270" s="201">
        <v>2.4224339696283792E-2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62096</v>
      </c>
      <c r="Y3271" s="198">
        <f>_xll.qlInterestRateIndexValueDate(IborIndex,X3271,Trigger)</f>
        <v>62100</v>
      </c>
      <c r="Z3271" s="199">
        <v>2.4247173222361869E-2</v>
      </c>
      <c r="AA3271" s="201">
        <v>2.4222709827377287E-2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62103</v>
      </c>
      <c r="Y3272" s="198">
        <f>_xll.qlInterestRateIndexValueDate(IborIndex,X3272,Trigger)</f>
        <v>62107</v>
      </c>
      <c r="Z3272" s="199">
        <v>2.4247173222361869E-2</v>
      </c>
      <c r="AA3272" s="201">
        <v>2.4222709827377287E-2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62110</v>
      </c>
      <c r="Y3273" s="198">
        <f>_xll.qlInterestRateIndexValueDate(IborIndex,X3273,Trigger)</f>
        <v>62114</v>
      </c>
      <c r="Z3273" s="199">
        <v>2.4247173222361869E-2</v>
      </c>
      <c r="AA3273" s="201">
        <v>2.4222709827217415E-2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62117</v>
      </c>
      <c r="Y3274" s="198">
        <f>_xll.qlInterestRateIndexValueDate(IborIndex,X3274,Trigger)</f>
        <v>62121</v>
      </c>
      <c r="Z3274" s="199">
        <v>2.4247173222361869E-2</v>
      </c>
      <c r="AA3274" s="201">
        <v>2.4222709827377287E-2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62124</v>
      </c>
      <c r="Y3275" s="198">
        <f>_xll.qlInterestRateIndexValueDate(IborIndex,X3275,Trigger)</f>
        <v>62128</v>
      </c>
      <c r="Z3275" s="199">
        <v>2.4244725401049952E-2</v>
      </c>
      <c r="AA3275" s="201">
        <v>2.4222709827377287E-2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62131</v>
      </c>
      <c r="Y3276" s="198">
        <f>_xll.qlInterestRateIndexValueDate(IborIndex,X3276,Trigger)</f>
        <v>62135</v>
      </c>
      <c r="Z3276" s="199">
        <v>2.4244725401049952E-2</v>
      </c>
      <c r="AA3276" s="201">
        <v>2.4222709827297351E-2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62138</v>
      </c>
      <c r="Y3277" s="198">
        <f>_xll.qlInterestRateIndexValueDate(IborIndex,X3277,Trigger)</f>
        <v>62142</v>
      </c>
      <c r="Z3277" s="199">
        <v>2.4244725401049952E-2</v>
      </c>
      <c r="AA3277" s="201">
        <v>2.4222709827297351E-2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62145</v>
      </c>
      <c r="Y3278" s="198">
        <f>_xll.qlInterestRateIndexValueDate(IborIndex,X3278,Trigger)</f>
        <v>62149</v>
      </c>
      <c r="Z3278" s="199">
        <v>2.4244725401052807E-2</v>
      </c>
      <c r="AA3278" s="201">
        <v>2.4222709827377287E-2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62152</v>
      </c>
      <c r="Y3279" s="198">
        <f>_xll.qlInterestRateIndexValueDate(IborIndex,X3279,Trigger)</f>
        <v>62156</v>
      </c>
      <c r="Z3279" s="199">
        <v>2.4247173222361869E-2</v>
      </c>
      <c r="AA3279" s="201">
        <v>2.4222709827297351E-2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62159</v>
      </c>
      <c r="Y3280" s="198">
        <f>_xll.qlInterestRateIndexValueDate(IborIndex,X3280,Trigger)</f>
        <v>62163</v>
      </c>
      <c r="Z3280" s="199">
        <v>2.4247173222361869E-2</v>
      </c>
      <c r="AA3280" s="201">
        <v>2.4222709827297351E-2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62166</v>
      </c>
      <c r="Y3281" s="198">
        <f>_xll.qlInterestRateIndexValueDate(IborIndex,X3281,Trigger)</f>
        <v>62170</v>
      </c>
      <c r="Z3281" s="199">
        <v>2.4247173222361869E-2</v>
      </c>
      <c r="AA3281" s="201">
        <v>2.4222709827377287E-2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62173</v>
      </c>
      <c r="Y3282" s="198">
        <f>_xll.qlInterestRateIndexValueDate(IborIndex,X3282,Trigger)</f>
        <v>62177</v>
      </c>
      <c r="Z3282" s="199">
        <v>2.4247173222361869E-2</v>
      </c>
      <c r="AA3282" s="201">
        <v>2.4225969711483941E-2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62184</v>
      </c>
      <c r="Y3283" s="198">
        <f>_xll.qlInterestRateIndexValueDate(IborIndex,X3283,Trigger)</f>
        <v>62186</v>
      </c>
      <c r="Z3283" s="199">
        <v>2.4248805286271654E-2</v>
      </c>
      <c r="AA3283" s="201">
        <v>2.4222709827377287E-2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62191</v>
      </c>
      <c r="Y3284" s="198">
        <f>_xll.qlInterestRateIndexValueDate(IborIndex,X3284,Trigger)</f>
        <v>62193</v>
      </c>
      <c r="Z3284" s="199">
        <v>2.4247989236013678E-2</v>
      </c>
      <c r="AA3284" s="201">
        <v>2.4222709827297351E-2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62198</v>
      </c>
      <c r="Y3285" s="198">
        <f>_xll.qlInterestRateIndexValueDate(IborIndex,X3285,Trigger)</f>
        <v>62200</v>
      </c>
      <c r="Z3285" s="199">
        <v>2.4247989236013678E-2</v>
      </c>
      <c r="AA3285" s="201">
        <v>2.4222709827217415E-2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62205</v>
      </c>
      <c r="Y3286" s="198">
        <f>_xll.qlInterestRateIndexValueDate(IborIndex,X3286,Trigger)</f>
        <v>62207</v>
      </c>
      <c r="Z3286" s="199">
        <v>2.4248805286274076E-2</v>
      </c>
      <c r="AA3286" s="201">
        <v>2.4222709827297351E-2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62212</v>
      </c>
      <c r="Y3287" s="198">
        <f>_xll.qlInterestRateIndexValueDate(IborIndex,X3287,Trigger)</f>
        <v>62214</v>
      </c>
      <c r="Z3287" s="199">
        <v>2.424798923601118E-2</v>
      </c>
      <c r="AA3287" s="201">
        <v>2.4222709827297351E-2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62219</v>
      </c>
      <c r="Y3288" s="198">
        <f>_xll.qlInterestRateIndexValueDate(IborIndex,X3288,Trigger)</f>
        <v>62221</v>
      </c>
      <c r="Z3288" s="199">
        <v>2.424798923601118E-2</v>
      </c>
      <c r="AA3288" s="201">
        <v>2.4222709827377287E-2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62226</v>
      </c>
      <c r="Y3289" s="198">
        <f>_xll.qlInterestRateIndexValueDate(IborIndex,X3289,Trigger)</f>
        <v>62228</v>
      </c>
      <c r="Z3289" s="199">
        <v>2.4247989236013678E-2</v>
      </c>
      <c r="AA3289" s="201">
        <v>2.4222709827297351E-2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62233</v>
      </c>
      <c r="Y3290" s="198">
        <f>_xll.qlInterestRateIndexValueDate(IborIndex,X3290,Trigger)</f>
        <v>62235</v>
      </c>
      <c r="Z3290" s="199">
        <v>2.424798923601118E-2</v>
      </c>
      <c r="AA3290" s="201">
        <v>2.4222709827297351E-2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62240</v>
      </c>
      <c r="Y3291" s="198">
        <f>_xll.qlInterestRateIndexValueDate(IborIndex,X3291,Trigger)</f>
        <v>62242</v>
      </c>
      <c r="Z3291" s="199">
        <v>2.424798923601118E-2</v>
      </c>
      <c r="AA3291" s="201">
        <v>2.4222709827297351E-2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62247</v>
      </c>
      <c r="Y3292" s="198">
        <f>_xll.qlInterestRateIndexValueDate(IborIndex,X3292,Trigger)</f>
        <v>62249</v>
      </c>
      <c r="Z3292" s="199">
        <v>2.4247989236013678E-2</v>
      </c>
      <c r="AA3292" s="201">
        <v>2.4222709827377287E-2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62254</v>
      </c>
      <c r="Y3293" s="198">
        <f>_xll.qlInterestRateIndexValueDate(IborIndex,X3293,Trigger)</f>
        <v>62256</v>
      </c>
      <c r="Z3293" s="199">
        <v>2.4247989236013678E-2</v>
      </c>
      <c r="AA3293" s="201">
        <v>2.4222709827297351E-2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62261</v>
      </c>
      <c r="Y3294" s="198">
        <f>_xll.qlInterestRateIndexValueDate(IborIndex,X3294,Trigger)</f>
        <v>62263</v>
      </c>
      <c r="Z3294" s="199">
        <v>2.424798923601118E-2</v>
      </c>
      <c r="AA3294" s="201">
        <v>2.4222709827297351E-2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62268</v>
      </c>
      <c r="Y3295" s="198">
        <f>_xll.qlInterestRateIndexValueDate(IborIndex,X3295,Trigger)</f>
        <v>62270</v>
      </c>
      <c r="Z3295" s="199">
        <v>2.424798923601118E-2</v>
      </c>
      <c r="AA3295" s="201">
        <v>2.4222709827297351E-2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62275</v>
      </c>
      <c r="Y3296" s="198">
        <f>_xll.qlInterestRateIndexValueDate(IborIndex,X3296,Trigger)</f>
        <v>62277</v>
      </c>
      <c r="Z3296" s="199">
        <v>2.424798923601118E-2</v>
      </c>
      <c r="AA3296" s="201">
        <v>2.4222709827297351E-2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62282</v>
      </c>
      <c r="Y3297" s="198">
        <f>_xll.qlInterestRateIndexValueDate(IborIndex,X3297,Trigger)</f>
        <v>62284</v>
      </c>
      <c r="Z3297" s="199">
        <v>2.4247989236013678E-2</v>
      </c>
      <c r="AA3297" s="201">
        <v>2.4222709827297351E-2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62289</v>
      </c>
      <c r="Y3298" s="198">
        <f>_xll.qlInterestRateIndexValueDate(IborIndex,X3298,Trigger)</f>
        <v>62291</v>
      </c>
      <c r="Z3298" s="199">
        <v>2.424798923601118E-2</v>
      </c>
      <c r="AA3298" s="201">
        <v>2.4222709827377287E-2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62296</v>
      </c>
      <c r="Y3299" s="198">
        <f>_xll.qlInterestRateIndexValueDate(IborIndex,X3299,Trigger)</f>
        <v>62298</v>
      </c>
      <c r="Z3299" s="199">
        <v>2.4248805286271654E-2</v>
      </c>
      <c r="AA3299" s="201">
        <v>2.4222709827377287E-2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62303</v>
      </c>
      <c r="Y3300" s="198">
        <f>_xll.qlInterestRateIndexValueDate(IborIndex,X3300,Trigger)</f>
        <v>62305</v>
      </c>
      <c r="Z3300" s="199">
        <v>2.4245541304883118E-2</v>
      </c>
      <c r="AA3300" s="201">
        <v>2.4222709827297351E-2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62310</v>
      </c>
      <c r="Y3301" s="198">
        <f>_xll.qlInterestRateIndexValueDate(IborIndex,X3301,Trigger)</f>
        <v>62312</v>
      </c>
      <c r="Z3301" s="199">
        <v>2.4247989236013678E-2</v>
      </c>
      <c r="AA3301" s="201">
        <v>2.4222709827297351E-2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62317</v>
      </c>
      <c r="Y3302" s="198">
        <f>_xll.qlInterestRateIndexValueDate(IborIndex,X3302,Trigger)</f>
        <v>62319</v>
      </c>
      <c r="Z3302" s="199">
        <v>2.424798923601118E-2</v>
      </c>
      <c r="AA3302" s="201">
        <v>2.4222709827297351E-2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62324</v>
      </c>
      <c r="Y3303" s="198">
        <f>_xll.qlInterestRateIndexValueDate(IborIndex,X3303,Trigger)</f>
        <v>62326</v>
      </c>
      <c r="Z3303" s="199">
        <v>2.4247989236013678E-2</v>
      </c>
      <c r="AA3303" s="201">
        <v>2.4222709827377287E-2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62331</v>
      </c>
      <c r="Y3304" s="198">
        <f>_xll.qlInterestRateIndexValueDate(IborIndex,X3304,Trigger)</f>
        <v>62333</v>
      </c>
      <c r="Z3304" s="199">
        <v>2.4247989236013678E-2</v>
      </c>
      <c r="AA3304" s="201">
        <v>2.4222709827297351E-2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62338</v>
      </c>
      <c r="Y3305" s="198">
        <f>_xll.qlInterestRateIndexValueDate(IborIndex,X3305,Trigger)</f>
        <v>62340</v>
      </c>
      <c r="Z3305" s="199">
        <v>2.424798923601118E-2</v>
      </c>
      <c r="AA3305" s="201">
        <v>2.4222709827297351E-2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62345</v>
      </c>
      <c r="Y3306" s="198">
        <f>_xll.qlInterestRateIndexValueDate(IborIndex,X3306,Trigger)</f>
        <v>62347</v>
      </c>
      <c r="Z3306" s="199">
        <v>2.4248805286274076E-2</v>
      </c>
      <c r="AA3306" s="201">
        <v>2.4222709827377287E-2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62352</v>
      </c>
      <c r="Y3307" s="198">
        <f>_xll.qlInterestRateIndexValueDate(IborIndex,X3307,Trigger)</f>
        <v>62354</v>
      </c>
      <c r="Z3307" s="199">
        <v>2.4247989236013678E-2</v>
      </c>
      <c r="AA3307" s="201">
        <v>2.4222709827297351E-2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62359</v>
      </c>
      <c r="Y3308" s="198">
        <f>_xll.qlInterestRateIndexValueDate(IborIndex,X3308,Trigger)</f>
        <v>62361</v>
      </c>
      <c r="Z3308" s="199">
        <v>2.4247989236013678E-2</v>
      </c>
      <c r="AA3308" s="201">
        <v>2.4222709827217415E-2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62366</v>
      </c>
      <c r="Y3309" s="198">
        <f>_xll.qlInterestRateIndexValueDate(IborIndex,X3309,Trigger)</f>
        <v>62368</v>
      </c>
      <c r="Z3309" s="199">
        <v>2.424798923601118E-2</v>
      </c>
      <c r="AA3309" s="201">
        <v>2.4222709827297351E-2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62373</v>
      </c>
      <c r="Y3310" s="198">
        <f>_xll.qlInterestRateIndexValueDate(IborIndex,X3310,Trigger)</f>
        <v>62375</v>
      </c>
      <c r="Z3310" s="199">
        <v>2.4247989236013678E-2</v>
      </c>
      <c r="AA3310" s="201">
        <v>2.4222709827377287E-2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62380</v>
      </c>
      <c r="Y3311" s="198">
        <f>_xll.qlInterestRateIndexValueDate(IborIndex,X3311,Trigger)</f>
        <v>62382</v>
      </c>
      <c r="Z3311" s="199">
        <v>2.4247989236013678E-2</v>
      </c>
      <c r="AA3311" s="201">
        <v>2.4222709827297351E-2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62387</v>
      </c>
      <c r="Y3312" s="198">
        <f>_xll.qlInterestRateIndexValueDate(IborIndex,X3312,Trigger)</f>
        <v>62389</v>
      </c>
      <c r="Z3312" s="199">
        <v>2.424798923601118E-2</v>
      </c>
      <c r="AA3312" s="201">
        <v>2.4222709827297351E-2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62394</v>
      </c>
      <c r="Y3313" s="198">
        <f>_xll.qlInterestRateIndexValueDate(IborIndex,X3313,Trigger)</f>
        <v>62396</v>
      </c>
      <c r="Z3313" s="199">
        <v>2.4245541304883118E-2</v>
      </c>
      <c r="AA3313" s="201">
        <v>2.4222709827377287E-2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62401</v>
      </c>
      <c r="Y3314" s="198">
        <f>_xll.qlInterestRateIndexValueDate(IborIndex,X3314,Trigger)</f>
        <v>62403</v>
      </c>
      <c r="Z3314" s="199">
        <v>2.4247989236013678E-2</v>
      </c>
      <c r="AA3314" s="201">
        <v>2.4222709827297351E-2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62408</v>
      </c>
      <c r="Y3315" s="198">
        <f>_xll.qlInterestRateIndexValueDate(IborIndex,X3315,Trigger)</f>
        <v>62410</v>
      </c>
      <c r="Z3315" s="199">
        <v>2.4247989236016176E-2</v>
      </c>
      <c r="AA3315" s="201">
        <v>2.4222709827297351E-2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62415</v>
      </c>
      <c r="Y3316" s="198">
        <f>_xll.qlInterestRateIndexValueDate(IborIndex,X3316,Trigger)</f>
        <v>62417</v>
      </c>
      <c r="Z3316" s="199">
        <v>2.424798923601118E-2</v>
      </c>
      <c r="AA3316" s="201">
        <v>2.4222709827297351E-2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62422</v>
      </c>
      <c r="Y3317" s="198">
        <f>_xll.qlInterestRateIndexValueDate(IborIndex,X3317,Trigger)</f>
        <v>62425</v>
      </c>
      <c r="Z3317" s="199">
        <v>2.4248805286274076E-2</v>
      </c>
      <c r="AA3317" s="201">
        <v>2.4222709827377287E-2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62429</v>
      </c>
      <c r="Y3318" s="198">
        <f>_xll.qlInterestRateIndexValueDate(IborIndex,X3318,Trigger)</f>
        <v>62431</v>
      </c>
      <c r="Z3318" s="199">
        <v>2.4247989236013678E-2</v>
      </c>
      <c r="AA3318" s="201">
        <v>2.4222709827297351E-2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62436</v>
      </c>
      <c r="Y3319" s="198">
        <f>_xll.qlInterestRateIndexValueDate(IborIndex,X3319,Trigger)</f>
        <v>62438</v>
      </c>
      <c r="Z3319" s="199">
        <v>2.4247989236013678E-2</v>
      </c>
      <c r="AA3319" s="201">
        <v>2.4222709827297351E-2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62443</v>
      </c>
      <c r="Y3320" s="198">
        <f>_xll.qlInterestRateIndexValueDate(IborIndex,X3320,Trigger)</f>
        <v>62445</v>
      </c>
      <c r="Z3320" s="199">
        <v>2.4248805286271654E-2</v>
      </c>
      <c r="AA3320" s="201">
        <v>2.4222709827377287E-2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62450</v>
      </c>
      <c r="Y3321" s="198">
        <f>_xll.qlInterestRateIndexValueDate(IborIndex,X3321,Trigger)</f>
        <v>62456</v>
      </c>
      <c r="Z3321" s="199">
        <v>2.4247173222361869E-2</v>
      </c>
      <c r="AA3321" s="201">
        <v>2.4223524743511859E-2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62457</v>
      </c>
      <c r="Y3322" s="198">
        <f>_xll.qlInterestRateIndexValueDate(IborIndex,X3322,Trigger)</f>
        <v>62460</v>
      </c>
      <c r="Z3322" s="199">
        <v>2.4247173222364447E-2</v>
      </c>
      <c r="AA3322" s="201">
        <v>2.4222709827377287E-2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62464</v>
      </c>
      <c r="Y3323" s="198">
        <f>_xll.qlInterestRateIndexValueDate(IborIndex,X3323,Trigger)</f>
        <v>62466</v>
      </c>
      <c r="Z3323" s="199">
        <v>2.424798923601118E-2</v>
      </c>
      <c r="AA3323" s="201">
        <v>2.4222709827297351E-2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62471</v>
      </c>
      <c r="Y3324" s="198">
        <f>_xll.qlInterestRateIndexValueDate(IborIndex,X3324,Trigger)</f>
        <v>62473</v>
      </c>
      <c r="Z3324" s="199">
        <v>2.4248805286271654E-2</v>
      </c>
      <c r="AA3324" s="201">
        <v>2.4222709827297351E-2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62478</v>
      </c>
      <c r="Y3325" s="198">
        <f>_xll.qlInterestRateIndexValueDate(IborIndex,X3325,Trigger)</f>
        <v>62480</v>
      </c>
      <c r="Z3325" s="199">
        <v>2.4247989236013678E-2</v>
      </c>
      <c r="AA3325" s="201">
        <v>2.4222709827217415E-2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62485</v>
      </c>
      <c r="Y3326" s="198">
        <f>_xll.qlInterestRateIndexValueDate(IborIndex,X3326,Trigger)</f>
        <v>62487</v>
      </c>
      <c r="Z3326" s="199">
        <v>2.4245541304883118E-2</v>
      </c>
      <c r="AA3326" s="201">
        <v>2.4222709827217415E-2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62492</v>
      </c>
      <c r="Y3327" s="198">
        <f>_xll.qlInterestRateIndexValueDate(IborIndex,X3327,Trigger)</f>
        <v>62494</v>
      </c>
      <c r="Z3327" s="199">
        <v>2.4244725401049952E-2</v>
      </c>
      <c r="AA3327" s="201">
        <v>2.4222709827377287E-2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62499</v>
      </c>
      <c r="Y3328" s="198">
        <f>_xll.qlInterestRateIndexValueDate(IborIndex,X3328,Trigger)</f>
        <v>62501</v>
      </c>
      <c r="Z3328" s="199">
        <v>2.4244725401049952E-2</v>
      </c>
      <c r="AA3328" s="201">
        <v>2.4222709827297351E-2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62506</v>
      </c>
      <c r="Y3329" s="198">
        <f>_xll.qlInterestRateIndexValueDate(IborIndex,X3329,Trigger)</f>
        <v>62508</v>
      </c>
      <c r="Z3329" s="199">
        <v>2.4244725401049952E-2</v>
      </c>
      <c r="AA3329" s="201">
        <v>2.4222709827297351E-2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62513</v>
      </c>
      <c r="Y3330" s="198">
        <f>_xll.qlInterestRateIndexValueDate(IborIndex,X3330,Trigger)</f>
        <v>62515</v>
      </c>
      <c r="Z3330" s="199">
        <v>2.4244725401049952E-2</v>
      </c>
      <c r="AA3330" s="201">
        <v>2.4222709827377287E-2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62520</v>
      </c>
      <c r="Y3331" s="198">
        <f>_xll.qlInterestRateIndexValueDate(IborIndex,X3331,Trigger)</f>
        <v>62522</v>
      </c>
      <c r="Z3331" s="199">
        <v>2.424798923601118E-2</v>
      </c>
      <c r="AA3331" s="201">
        <v>2.4222709827297351E-2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62527</v>
      </c>
      <c r="Y3332" s="198">
        <f>_xll.qlInterestRateIndexValueDate(IborIndex,X3332,Trigger)</f>
        <v>62529</v>
      </c>
      <c r="Z3332" s="199">
        <v>2.424798923601118E-2</v>
      </c>
      <c r="AA3332" s="201">
        <v>2.4222709827297351E-2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62534</v>
      </c>
      <c r="Y3333" s="198">
        <f>_xll.qlInterestRateIndexValueDate(IborIndex,X3333,Trigger)</f>
        <v>62536</v>
      </c>
      <c r="Z3333" s="199">
        <v>2.4248805286276497E-2</v>
      </c>
      <c r="AA3333" s="201">
        <v>2.4222709827297351E-2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62541</v>
      </c>
      <c r="Y3334" s="198">
        <f>_xll.qlInterestRateIndexValueDate(IborIndex,X3334,Trigger)</f>
        <v>62543</v>
      </c>
      <c r="Z3334" s="199">
        <v>2.424798923601118E-2</v>
      </c>
      <c r="AA3334" s="201">
        <v>2.4222709827377287E-2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62548</v>
      </c>
      <c r="Y3335" s="198">
        <f>_xll.qlInterestRateIndexValueDate(IborIndex,X3335,Trigger)</f>
        <v>62550</v>
      </c>
      <c r="Z3335" s="199">
        <v>2.4248805286274076E-2</v>
      </c>
      <c r="AA3335" s="201">
        <v>2.4222709827297351E-2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62555</v>
      </c>
      <c r="Y3336" s="198">
        <f>_xll.qlInterestRateIndexValueDate(IborIndex,X3336,Trigger)</f>
        <v>62557</v>
      </c>
      <c r="Z3336" s="199">
        <v>2.424798923601118E-2</v>
      </c>
      <c r="AA3336" s="201">
        <v>2.4222709827217415E-2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62562</v>
      </c>
      <c r="Y3337" s="198">
        <f>_xll.qlInterestRateIndexValueDate(IborIndex,X3337,Trigger)</f>
        <v>62564</v>
      </c>
      <c r="Z3337" s="199">
        <v>2.4247989236013678E-2</v>
      </c>
      <c r="AA3337" s="201">
        <v>2.4222709827377287E-2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62569</v>
      </c>
      <c r="Y3338" s="198">
        <f>_xll.qlInterestRateIndexValueDate(IborIndex,X3338,Trigger)</f>
        <v>62571</v>
      </c>
      <c r="Z3338" s="199">
        <v>2.4248805286271654E-2</v>
      </c>
      <c r="AA3338" s="201">
        <v>2.4222709827297351E-2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62576</v>
      </c>
      <c r="Y3339" s="198">
        <f>_xll.qlInterestRateIndexValueDate(IborIndex,X3339,Trigger)</f>
        <v>62578</v>
      </c>
      <c r="Z3339" s="199">
        <v>2.4245541304883118E-2</v>
      </c>
      <c r="AA3339" s="201">
        <v>2.4222709827297351E-2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62583</v>
      </c>
      <c r="Y3340" s="198">
        <f>_xll.qlInterestRateIndexValueDate(IborIndex,X3340,Trigger)</f>
        <v>62585</v>
      </c>
      <c r="Z3340" s="199">
        <v>2.4247989236013678E-2</v>
      </c>
      <c r="AA3340" s="201">
        <v>2.4222709827297351E-2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62590</v>
      </c>
      <c r="Y3341" s="198">
        <f>_xll.qlInterestRateIndexValueDate(IborIndex,X3341,Trigger)</f>
        <v>62592</v>
      </c>
      <c r="Z3341" s="199">
        <v>2.424798923601118E-2</v>
      </c>
      <c r="AA3341" s="201">
        <v>2.4222709827377287E-2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62597</v>
      </c>
      <c r="Y3342" s="198">
        <f>_xll.qlInterestRateIndexValueDate(IborIndex,X3342,Trigger)</f>
        <v>62599</v>
      </c>
      <c r="Z3342" s="199">
        <v>2.424798923601118E-2</v>
      </c>
      <c r="AA3342" s="201">
        <v>2.4222709827297351E-2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62604</v>
      </c>
      <c r="Y3343" s="198">
        <f>_xll.qlInterestRateIndexValueDate(IborIndex,X3343,Trigger)</f>
        <v>62606</v>
      </c>
      <c r="Z3343" s="199">
        <v>2.4247989236013678E-2</v>
      </c>
      <c r="AA3343" s="201">
        <v>2.4222709827217415E-2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62611</v>
      </c>
      <c r="Y3344" s="198">
        <f>_xll.qlInterestRateIndexValueDate(IborIndex,X3344,Trigger)</f>
        <v>62613</v>
      </c>
      <c r="Z3344" s="199">
        <v>2.4247989236013678E-2</v>
      </c>
      <c r="AA3344" s="201">
        <v>2.4222709827297351E-2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62618</v>
      </c>
      <c r="Y3345" s="198">
        <f>_xll.qlInterestRateIndexValueDate(IborIndex,X3345,Trigger)</f>
        <v>62620</v>
      </c>
      <c r="Z3345" s="199">
        <v>2.424798923601118E-2</v>
      </c>
      <c r="AA3345" s="201">
        <v>2.4222709827377287E-2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62625</v>
      </c>
      <c r="Y3346" s="198">
        <f>_xll.qlInterestRateIndexValueDate(IborIndex,X3346,Trigger)</f>
        <v>62627</v>
      </c>
      <c r="Z3346" s="199">
        <v>2.424798923601118E-2</v>
      </c>
      <c r="AA3346" s="201">
        <v>2.4222709827377287E-2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62632</v>
      </c>
      <c r="Y3347" s="198">
        <f>_xll.qlInterestRateIndexValueDate(IborIndex,X3347,Trigger)</f>
        <v>62634</v>
      </c>
      <c r="Z3347" s="199">
        <v>2.4247989236013678E-2</v>
      </c>
      <c r="AA3347" s="201">
        <v>2.4222709827217415E-2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62639</v>
      </c>
      <c r="Y3348" s="198">
        <f>_xll.qlInterestRateIndexValueDate(IborIndex,X3348,Trigger)</f>
        <v>62641</v>
      </c>
      <c r="Z3348" s="199">
        <v>2.4247989236013678E-2</v>
      </c>
      <c r="AA3348" s="201">
        <v>2.4222709827297351E-2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62646</v>
      </c>
      <c r="Y3349" s="198">
        <f>_xll.qlInterestRateIndexValueDate(IborIndex,X3349,Trigger)</f>
        <v>62648</v>
      </c>
      <c r="Z3349" s="199">
        <v>2.424798923601118E-2</v>
      </c>
      <c r="AA3349" s="201">
        <v>2.4222709827377287E-2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62653</v>
      </c>
      <c r="Y3350" s="198">
        <f>_xll.qlInterestRateIndexValueDate(IborIndex,X3350,Trigger)</f>
        <v>62655</v>
      </c>
      <c r="Z3350" s="199">
        <v>2.4247989236013678E-2</v>
      </c>
      <c r="AA3350" s="201">
        <v>2.4222709827377287E-2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62660</v>
      </c>
      <c r="Y3351" s="198">
        <f>_xll.qlInterestRateIndexValueDate(IborIndex,X3351,Trigger)</f>
        <v>62662</v>
      </c>
      <c r="Z3351" s="199">
        <v>2.4247989236013678E-2</v>
      </c>
      <c r="AA3351" s="201">
        <v>2.4222709827297351E-2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62667</v>
      </c>
      <c r="Y3352" s="198">
        <f>_xll.qlInterestRateIndexValueDate(IborIndex,X3352,Trigger)</f>
        <v>62669</v>
      </c>
      <c r="Z3352" s="199">
        <v>2.4245541304880363E-2</v>
      </c>
      <c r="AA3352" s="201">
        <v>2.4222709827297351E-2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62674</v>
      </c>
      <c r="Y3353" s="198">
        <f>_xll.qlInterestRateIndexValueDate(IborIndex,X3353,Trigger)</f>
        <v>62676</v>
      </c>
      <c r="Z3353" s="199">
        <v>2.4248805286271654E-2</v>
      </c>
      <c r="AA3353" s="201">
        <v>2.4222709827297351E-2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62681</v>
      </c>
      <c r="Y3354" s="198">
        <f>_xll.qlInterestRateIndexValueDate(IborIndex,X3354,Trigger)</f>
        <v>62683</v>
      </c>
      <c r="Z3354" s="199">
        <v>2.4247989236013678E-2</v>
      </c>
      <c r="AA3354" s="201">
        <v>2.4222709827297351E-2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62688</v>
      </c>
      <c r="Y3355" s="198">
        <f>_xll.qlInterestRateIndexValueDate(IborIndex,X3355,Trigger)</f>
        <v>62690</v>
      </c>
      <c r="Z3355" s="199">
        <v>2.4247989236013678E-2</v>
      </c>
      <c r="AA3355" s="201">
        <v>2.4222709827297351E-2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62695</v>
      </c>
      <c r="Y3356" s="198">
        <f>_xll.qlInterestRateIndexValueDate(IborIndex,X3356,Trigger)</f>
        <v>62697</v>
      </c>
      <c r="Z3356" s="199">
        <v>2.4247989236013678E-2</v>
      </c>
      <c r="AA3356" s="201">
        <v>2.4222709827297351E-2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62702</v>
      </c>
      <c r="Y3357" s="198">
        <f>_xll.qlInterestRateIndexValueDate(IborIndex,X3357,Trigger)</f>
        <v>62704</v>
      </c>
      <c r="Z3357" s="199">
        <v>2.424798923601118E-2</v>
      </c>
      <c r="AA3357" s="201">
        <v>2.4222709827377287E-2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62709</v>
      </c>
      <c r="Y3358" s="198">
        <f>_xll.qlInterestRateIndexValueDate(IborIndex,X3358,Trigger)</f>
        <v>62711</v>
      </c>
      <c r="Z3358" s="199">
        <v>2.4248805286271654E-2</v>
      </c>
      <c r="AA3358" s="201">
        <v>2.4222709827297351E-2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62716</v>
      </c>
      <c r="Y3359" s="198">
        <f>_xll.qlInterestRateIndexValueDate(IborIndex,X3359,Trigger)</f>
        <v>62718</v>
      </c>
      <c r="Z3359" s="199">
        <v>2.424798923601118E-2</v>
      </c>
      <c r="AA3359" s="201">
        <v>2.4222709827377287E-2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62723</v>
      </c>
      <c r="Y3360" s="198">
        <f>_xll.qlInterestRateIndexValueDate(IborIndex,X3360,Trigger)</f>
        <v>62725</v>
      </c>
      <c r="Z3360" s="199">
        <v>2.4247989236013678E-2</v>
      </c>
      <c r="AA3360" s="201">
        <v>2.4222709827297351E-2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62730</v>
      </c>
      <c r="Y3361" s="198">
        <f>_xll.qlInterestRateIndexValueDate(IborIndex,X3361,Trigger)</f>
        <v>62732</v>
      </c>
      <c r="Z3361" s="199">
        <v>2.4247989236013678E-2</v>
      </c>
      <c r="AA3361" s="201">
        <v>2.4222709827297351E-2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62737</v>
      </c>
      <c r="Y3362" s="198">
        <f>_xll.qlInterestRateIndexValueDate(IborIndex,X3362,Trigger)</f>
        <v>62739</v>
      </c>
      <c r="Z3362" s="199">
        <v>2.4247989236013678E-2</v>
      </c>
      <c r="AA3362" s="201">
        <v>2.4222709827297351E-2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62744</v>
      </c>
      <c r="Y3363" s="198">
        <f>_xll.qlInterestRateIndexValueDate(IborIndex,X3363,Trigger)</f>
        <v>62746</v>
      </c>
      <c r="Z3363" s="199">
        <v>2.4247989236013678E-2</v>
      </c>
      <c r="AA3363" s="201">
        <v>2.4222709827297351E-2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62751</v>
      </c>
      <c r="Y3364" s="198">
        <f>_xll.qlInterestRateIndexValueDate(IborIndex,X3364,Trigger)</f>
        <v>62753</v>
      </c>
      <c r="Z3364" s="199">
        <v>2.424798923601118E-2</v>
      </c>
      <c r="AA3364" s="201">
        <v>2.4222709827297351E-2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62758</v>
      </c>
      <c r="Y3365" s="198">
        <f>_xll.qlInterestRateIndexValueDate(IborIndex,X3365,Trigger)</f>
        <v>62760</v>
      </c>
      <c r="Z3365" s="199">
        <v>2.4247989236013678E-2</v>
      </c>
      <c r="AA3365" s="201">
        <v>2.4222709827217415E-2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62765</v>
      </c>
      <c r="Y3366" s="198">
        <f>_xll.qlInterestRateIndexValueDate(IborIndex,X3366,Trigger)</f>
        <v>62767</v>
      </c>
      <c r="Z3366" s="199">
        <v>2.4247989236013678E-2</v>
      </c>
      <c r="AA3366" s="201">
        <v>2.4222709827297351E-2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62772</v>
      </c>
      <c r="Y3367" s="198">
        <f>_xll.qlInterestRateIndexValueDate(IborIndex,X3367,Trigger)</f>
        <v>62774</v>
      </c>
      <c r="Z3367" s="199">
        <v>2.424798923601118E-2</v>
      </c>
      <c r="AA3367" s="201">
        <v>2.4222709827377287E-2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62779</v>
      </c>
      <c r="Y3368" s="198">
        <f>_xll.qlInterestRateIndexValueDate(IborIndex,X3368,Trigger)</f>
        <v>62781</v>
      </c>
      <c r="Z3368" s="199">
        <v>2.4247989236013678E-2</v>
      </c>
      <c r="AA3368" s="201">
        <v>2.4222709827377287E-2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62786</v>
      </c>
      <c r="Y3369" s="198">
        <f>_xll.qlInterestRateIndexValueDate(IborIndex,X3369,Trigger)</f>
        <v>62789</v>
      </c>
      <c r="Z3369" s="199">
        <v>2.424798923601118E-2</v>
      </c>
      <c r="AA3369" s="201">
        <v>2.4222709827297351E-2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62793</v>
      </c>
      <c r="Y3370" s="198">
        <f>_xll.qlInterestRateIndexValueDate(IborIndex,X3370,Trigger)</f>
        <v>62795</v>
      </c>
      <c r="Z3370" s="199">
        <v>2.424798923601118E-2</v>
      </c>
      <c r="AA3370" s="201">
        <v>2.4222709827377287E-2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62800</v>
      </c>
      <c r="Y3371" s="198">
        <f>_xll.qlInterestRateIndexValueDate(IborIndex,X3371,Trigger)</f>
        <v>62802</v>
      </c>
      <c r="Z3371" s="199">
        <v>2.424798923601118E-2</v>
      </c>
      <c r="AA3371" s="201">
        <v>2.4222709827377287E-2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62807</v>
      </c>
      <c r="Y3372" s="198">
        <f>_xll.qlInterestRateIndexValueDate(IborIndex,X3372,Trigger)</f>
        <v>62809</v>
      </c>
      <c r="Z3372" s="199">
        <v>2.4248805286274076E-2</v>
      </c>
      <c r="AA3372" s="201">
        <v>2.4222709827297351E-2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62814</v>
      </c>
      <c r="Y3373" s="198">
        <f>_xll.qlInterestRateIndexValueDate(IborIndex,X3373,Trigger)</f>
        <v>62816</v>
      </c>
      <c r="Z3373" s="199">
        <v>2.4247989236013678E-2</v>
      </c>
      <c r="AA3373" s="201">
        <v>2.4222709827297351E-2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62821</v>
      </c>
      <c r="Y3374" s="198">
        <f>_xll.qlInterestRateIndexValueDate(IborIndex,X3374,Trigger)</f>
        <v>62823</v>
      </c>
      <c r="Z3374" s="199">
        <v>2.4245541304880363E-2</v>
      </c>
      <c r="AA3374" s="201">
        <v>2.4222709827297351E-2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62828</v>
      </c>
      <c r="Y3375" s="198">
        <f>_xll.qlInterestRateIndexValueDate(IborIndex,X3375,Trigger)</f>
        <v>62830</v>
      </c>
      <c r="Z3375" s="199">
        <v>2.4247989236013678E-2</v>
      </c>
      <c r="AA3375" s="201">
        <v>2.4222709827377287E-2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62835</v>
      </c>
      <c r="Y3376" s="198">
        <f>_xll.qlInterestRateIndexValueDate(IborIndex,X3376,Trigger)</f>
        <v>62837</v>
      </c>
      <c r="Z3376" s="199">
        <v>2.4248805286274076E-2</v>
      </c>
      <c r="AA3376" s="201">
        <v>2.4222709827217415E-2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62842</v>
      </c>
      <c r="Y3377" s="198">
        <f>_xll.qlInterestRateIndexValueDate(IborIndex,X3377,Trigger)</f>
        <v>62844</v>
      </c>
      <c r="Z3377" s="199">
        <v>2.424798923601118E-2</v>
      </c>
      <c r="AA3377" s="201">
        <v>2.4222709827297351E-2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62849</v>
      </c>
      <c r="Y3378" s="198">
        <f>_xll.qlInterestRateIndexValueDate(IborIndex,X3378,Trigger)</f>
        <v>62851</v>
      </c>
      <c r="Z3378" s="199">
        <v>2.424798923601118E-2</v>
      </c>
      <c r="AA3378" s="201">
        <v>2.4222709827377287E-2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62856</v>
      </c>
      <c r="Y3379" s="198">
        <f>_xll.qlInterestRateIndexValueDate(IborIndex,X3379,Trigger)</f>
        <v>62858</v>
      </c>
      <c r="Z3379" s="199">
        <v>2.4245541304883118E-2</v>
      </c>
      <c r="AA3379" s="201">
        <v>2.4222709827217415E-2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62863</v>
      </c>
      <c r="Y3380" s="198">
        <f>_xll.qlInterestRateIndexValueDate(IborIndex,X3380,Trigger)</f>
        <v>62865</v>
      </c>
      <c r="Z3380" s="199">
        <v>2.4245541304883118E-2</v>
      </c>
      <c r="AA3380" s="201">
        <v>2.4222709827297351E-2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62870</v>
      </c>
      <c r="Y3381" s="198">
        <f>_xll.qlInterestRateIndexValueDate(IborIndex,X3381,Trigger)</f>
        <v>62872</v>
      </c>
      <c r="Z3381" s="199">
        <v>2.4245541304880363E-2</v>
      </c>
      <c r="AA3381" s="201">
        <v>2.4222709827297351E-2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62877</v>
      </c>
      <c r="Y3382" s="198">
        <f>_xll.qlInterestRateIndexValueDate(IborIndex,X3382,Trigger)</f>
        <v>62879</v>
      </c>
      <c r="Z3382" s="199">
        <v>2.4245541304883118E-2</v>
      </c>
      <c r="AA3382" s="201">
        <v>2.4222709827377287E-2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62884</v>
      </c>
      <c r="Y3383" s="198">
        <f>_xll.qlInterestRateIndexValueDate(IborIndex,X3383,Trigger)</f>
        <v>62886</v>
      </c>
      <c r="Z3383" s="199">
        <v>2.4247989236013678E-2</v>
      </c>
      <c r="AA3383" s="201">
        <v>2.4222709827297351E-2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62891</v>
      </c>
      <c r="Y3384" s="198">
        <f>_xll.qlInterestRateIndexValueDate(IborIndex,X3384,Trigger)</f>
        <v>62893</v>
      </c>
      <c r="Z3384" s="199">
        <v>2.4248805286276497E-2</v>
      </c>
      <c r="AA3384" s="201">
        <v>2.4222709827377287E-2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62898</v>
      </c>
      <c r="Y3385" s="198">
        <f>_xll.qlInterestRateIndexValueDate(IborIndex,X3385,Trigger)</f>
        <v>62900</v>
      </c>
      <c r="Z3385" s="199">
        <v>2.424798923601118E-2</v>
      </c>
      <c r="AA3385" s="201">
        <v>2.4222709827377287E-2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62905</v>
      </c>
      <c r="Y3386" s="198">
        <f>_xll.qlInterestRateIndexValueDate(IborIndex,X3386,Trigger)</f>
        <v>62907</v>
      </c>
      <c r="Z3386" s="199">
        <v>2.4247989236013678E-2</v>
      </c>
      <c r="AA3386" s="201">
        <v>2.4222709827377287E-2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62912</v>
      </c>
      <c r="Y3387" s="198">
        <f>_xll.qlInterestRateIndexValueDate(IborIndex,X3387,Trigger)</f>
        <v>62914</v>
      </c>
      <c r="Z3387" s="199">
        <v>2.4245541304883118E-2</v>
      </c>
      <c r="AA3387" s="201">
        <v>2.4222709827297351E-2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62919</v>
      </c>
      <c r="Y3388" s="198">
        <f>_xll.qlInterestRateIndexValueDate(IborIndex,X3388,Trigger)</f>
        <v>62921</v>
      </c>
      <c r="Z3388" s="199">
        <v>2.424798923601118E-2</v>
      </c>
      <c r="AA3388" s="201">
        <v>2.4222709827377287E-2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62926</v>
      </c>
      <c r="Y3389" s="198">
        <f>_xll.qlInterestRateIndexValueDate(IborIndex,X3389,Trigger)</f>
        <v>62928</v>
      </c>
      <c r="Z3389" s="199">
        <v>2.424798923601118E-2</v>
      </c>
      <c r="AA3389" s="201">
        <v>2.4222709827377287E-2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62933</v>
      </c>
      <c r="Y3390" s="198">
        <f>_xll.qlInterestRateIndexValueDate(IborIndex,X3390,Trigger)</f>
        <v>62935</v>
      </c>
      <c r="Z3390" s="199">
        <v>2.424798923601118E-2</v>
      </c>
      <c r="AA3390" s="201">
        <v>2.4222709827297351E-2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62940</v>
      </c>
      <c r="Y3391" s="198">
        <f>_xll.qlInterestRateIndexValueDate(IborIndex,X3391,Trigger)</f>
        <v>62942</v>
      </c>
      <c r="Z3391" s="199">
        <v>2.4248805286276497E-2</v>
      </c>
      <c r="AA3391" s="201">
        <v>2.4222709827297351E-2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62947</v>
      </c>
      <c r="Y3392" s="198">
        <f>_xll.qlInterestRateIndexValueDate(IborIndex,X3392,Trigger)</f>
        <v>62949</v>
      </c>
      <c r="Z3392" s="199">
        <v>2.424798923601118E-2</v>
      </c>
      <c r="AA3392" s="201">
        <v>2.4222709827377287E-2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62954</v>
      </c>
      <c r="Y3393" s="198">
        <f>_xll.qlInterestRateIndexValueDate(IborIndex,X3393,Trigger)</f>
        <v>62956</v>
      </c>
      <c r="Z3393" s="199">
        <v>2.4247989236013678E-2</v>
      </c>
      <c r="AA3393" s="201">
        <v>2.4222709827297351E-2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62961</v>
      </c>
      <c r="Y3394" s="198">
        <f>_xll.qlInterestRateIndexValueDate(IborIndex,X3394,Trigger)</f>
        <v>62963</v>
      </c>
      <c r="Z3394" s="199">
        <v>2.4247989236013678E-2</v>
      </c>
      <c r="AA3394" s="201">
        <v>2.4222709827217415E-2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62968</v>
      </c>
      <c r="Y3395" s="198">
        <f>_xll.qlInterestRateIndexValueDate(IborIndex,X3395,Trigger)</f>
        <v>62970</v>
      </c>
      <c r="Z3395" s="199">
        <v>2.4247989236013678E-2</v>
      </c>
      <c r="AA3395" s="201">
        <v>2.4222709827217415E-2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62975</v>
      </c>
      <c r="Y3396" s="198">
        <f>_xll.qlInterestRateIndexValueDate(IborIndex,X3396,Trigger)</f>
        <v>62977</v>
      </c>
      <c r="Z3396" s="199">
        <v>2.4248805286274076E-2</v>
      </c>
      <c r="AA3396" s="201">
        <v>2.4222709827377287E-2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62982</v>
      </c>
      <c r="Y3397" s="198">
        <f>_xll.qlInterestRateIndexValueDate(IborIndex,X3397,Trigger)</f>
        <v>62984</v>
      </c>
      <c r="Z3397" s="199">
        <v>2.4247989236013678E-2</v>
      </c>
      <c r="AA3397" s="201">
        <v>2.4222709827297351E-2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62989</v>
      </c>
      <c r="Y3398" s="198">
        <f>_xll.qlInterestRateIndexValueDate(IborIndex,X3398,Trigger)</f>
        <v>62991</v>
      </c>
      <c r="Z3398" s="199">
        <v>2.4247989236013678E-2</v>
      </c>
      <c r="AA3398" s="201">
        <v>2.4222709827297351E-2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62996</v>
      </c>
      <c r="Y3399" s="198">
        <f>_xll.qlInterestRateIndexValueDate(IborIndex,X3399,Trigger)</f>
        <v>62998</v>
      </c>
      <c r="Z3399" s="199">
        <v>2.4247989236013678E-2</v>
      </c>
      <c r="AA3399" s="201">
        <v>2.4222709827297351E-2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63003</v>
      </c>
      <c r="Y3400" s="198">
        <f>_xll.qlInterestRateIndexValueDate(IborIndex,X3400,Trigger)</f>
        <v>63005</v>
      </c>
      <c r="Z3400" s="199">
        <v>2.4245541304883118E-2</v>
      </c>
      <c r="AA3400" s="201">
        <v>2.4222709827377287E-2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63010</v>
      </c>
      <c r="Y3401" s="198">
        <f>_xll.qlInterestRateIndexValueDate(IborIndex,X3401,Trigger)</f>
        <v>63012</v>
      </c>
      <c r="Z3401" s="199">
        <v>2.424798923601118E-2</v>
      </c>
      <c r="AA3401" s="201">
        <v>2.4222709827297351E-2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63017</v>
      </c>
      <c r="Y3402" s="198">
        <f>_xll.qlInterestRateIndexValueDate(IborIndex,X3402,Trigger)</f>
        <v>63019</v>
      </c>
      <c r="Z3402" s="199">
        <v>2.4247989236016176E-2</v>
      </c>
      <c r="AA3402" s="201">
        <v>2.4222709827217415E-2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63024</v>
      </c>
      <c r="Y3403" s="198">
        <f>_xll.qlInterestRateIndexValueDate(IborIndex,X3403,Trigger)</f>
        <v>63026</v>
      </c>
      <c r="Z3403" s="199">
        <v>2.4247989236008682E-2</v>
      </c>
      <c r="AA3403" s="201">
        <v>2.4222709827297351E-2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63031</v>
      </c>
      <c r="Y3404" s="198">
        <f>_xll.qlInterestRateIndexValueDate(IborIndex,X3404,Trigger)</f>
        <v>63033</v>
      </c>
      <c r="Z3404" s="199">
        <v>2.4248805286274076E-2</v>
      </c>
      <c r="AA3404" s="201">
        <v>2.4222709827377287E-2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63038</v>
      </c>
      <c r="Y3405" s="198">
        <f>_xll.qlInterestRateIndexValueDate(IborIndex,X3405,Trigger)</f>
        <v>63040</v>
      </c>
      <c r="Z3405" s="199">
        <v>2.4248805286274076E-2</v>
      </c>
      <c r="AA3405" s="201">
        <v>2.4222709827297351E-2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63045</v>
      </c>
      <c r="Y3406" s="198">
        <f>_xll.qlInterestRateIndexValueDate(IborIndex,X3406,Trigger)</f>
        <v>63047</v>
      </c>
      <c r="Z3406" s="199">
        <v>2.424798923601118E-2</v>
      </c>
      <c r="AA3406" s="201">
        <v>2.4222709827297351E-2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63052</v>
      </c>
      <c r="Y3407" s="198">
        <f>_xll.qlInterestRateIndexValueDate(IborIndex,X3407,Trigger)</f>
        <v>63054</v>
      </c>
      <c r="Z3407" s="199">
        <v>2.424798923601118E-2</v>
      </c>
      <c r="AA3407" s="201">
        <v>2.4222709827377287E-2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63059</v>
      </c>
      <c r="Y3408" s="198">
        <f>_xll.qlInterestRateIndexValueDate(IborIndex,X3408,Trigger)</f>
        <v>63061</v>
      </c>
      <c r="Z3408" s="199">
        <v>2.4247989236013678E-2</v>
      </c>
      <c r="AA3408" s="201">
        <v>2.4222709827297351E-2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63066</v>
      </c>
      <c r="Y3409" s="198">
        <f>_xll.qlInterestRateIndexValueDate(IborIndex,X3409,Trigger)</f>
        <v>63068</v>
      </c>
      <c r="Z3409" s="199">
        <v>2.4247989236016176E-2</v>
      </c>
      <c r="AA3409" s="201">
        <v>2.4222709827297351E-2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63073</v>
      </c>
      <c r="Y3410" s="198">
        <f>_xll.qlInterestRateIndexValueDate(IborIndex,X3410,Trigger)</f>
        <v>63075</v>
      </c>
      <c r="Z3410" s="199">
        <v>2.4248805286271654E-2</v>
      </c>
      <c r="AA3410" s="201">
        <v>2.4222709827297351E-2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63080</v>
      </c>
      <c r="Y3411" s="198">
        <f>_xll.qlInterestRateIndexValueDate(IborIndex,X3411,Trigger)</f>
        <v>63082</v>
      </c>
      <c r="Z3411" s="199">
        <v>2.424798923601118E-2</v>
      </c>
      <c r="AA3411" s="201">
        <v>2.4222709827297351E-2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63087</v>
      </c>
      <c r="Y3412" s="198">
        <f>_xll.qlInterestRateIndexValueDate(IborIndex,X3412,Trigger)</f>
        <v>63089</v>
      </c>
      <c r="Z3412" s="199">
        <v>2.424798923601118E-2</v>
      </c>
      <c r="AA3412" s="201">
        <v>2.4222709827297351E-2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63094</v>
      </c>
      <c r="Y3413" s="198">
        <f>_xll.qlInterestRateIndexValueDate(IborIndex,X3413,Trigger)</f>
        <v>63096</v>
      </c>
      <c r="Z3413" s="199">
        <v>2.4247989236013678E-2</v>
      </c>
      <c r="AA3413" s="201">
        <v>2.4222709827297351E-2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63101</v>
      </c>
      <c r="Y3414" s="198">
        <f>_xll.qlInterestRateIndexValueDate(IborIndex,X3414,Trigger)</f>
        <v>63103</v>
      </c>
      <c r="Z3414" s="199">
        <v>2.424798923601118E-2</v>
      </c>
      <c r="AA3414" s="201">
        <v>2.4222709827297351E-2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63108</v>
      </c>
      <c r="Y3415" s="198">
        <f>_xll.qlInterestRateIndexValueDate(IborIndex,X3415,Trigger)</f>
        <v>63110</v>
      </c>
      <c r="Z3415" s="199">
        <v>2.4247989236013678E-2</v>
      </c>
      <c r="AA3415" s="201">
        <v>2.4222709827377287E-2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63115</v>
      </c>
      <c r="Y3416" s="198">
        <f>_xll.qlInterestRateIndexValueDate(IborIndex,X3416,Trigger)</f>
        <v>63117</v>
      </c>
      <c r="Z3416" s="199">
        <v>2.424798923601118E-2</v>
      </c>
      <c r="AA3416" s="201">
        <v>2.4222709827297351E-2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63122</v>
      </c>
      <c r="Y3417" s="198">
        <f>_xll.qlInterestRateIndexValueDate(IborIndex,X3417,Trigger)</f>
        <v>63124</v>
      </c>
      <c r="Z3417" s="199">
        <v>2.424798923601118E-2</v>
      </c>
      <c r="AA3417" s="201">
        <v>2.4222709827297351E-2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63129</v>
      </c>
      <c r="Y3418" s="198">
        <f>_xll.qlInterestRateIndexValueDate(IborIndex,X3418,Trigger)</f>
        <v>63131</v>
      </c>
      <c r="Z3418" s="199">
        <v>2.424798923601118E-2</v>
      </c>
      <c r="AA3418" s="201">
        <v>2.4222709827297351E-2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63136</v>
      </c>
      <c r="Y3419" s="198">
        <f>_xll.qlInterestRateIndexValueDate(IborIndex,X3419,Trigger)</f>
        <v>63138</v>
      </c>
      <c r="Z3419" s="199">
        <v>2.4247989236013678E-2</v>
      </c>
      <c r="AA3419" s="201">
        <v>2.4222709827297351E-2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63143</v>
      </c>
      <c r="Y3420" s="198">
        <f>_xll.qlInterestRateIndexValueDate(IborIndex,X3420,Trigger)</f>
        <v>63145</v>
      </c>
      <c r="Z3420" s="199">
        <v>2.4247989236013678E-2</v>
      </c>
      <c r="AA3420" s="201">
        <v>2.4222709827297351E-2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63150</v>
      </c>
      <c r="Y3421" s="198">
        <f>_xll.qlInterestRateIndexValueDate(IborIndex,X3421,Trigger)</f>
        <v>63153</v>
      </c>
      <c r="Z3421" s="199">
        <v>2.4248805286271654E-2</v>
      </c>
      <c r="AA3421" s="201">
        <v>2.4222709827297351E-2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63157</v>
      </c>
      <c r="Y3422" s="198">
        <f>_xll.qlInterestRateIndexValueDate(IborIndex,X3422,Trigger)</f>
        <v>63159</v>
      </c>
      <c r="Z3422" s="199">
        <v>2.4248805286274076E-2</v>
      </c>
      <c r="AA3422" s="201">
        <v>2.4222709827377287E-2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63164</v>
      </c>
      <c r="Y3423" s="198">
        <f>_xll.qlInterestRateIndexValueDate(IborIndex,X3423,Trigger)</f>
        <v>63166</v>
      </c>
      <c r="Z3423" s="199">
        <v>2.4247989236013678E-2</v>
      </c>
      <c r="AA3423" s="201">
        <v>2.4222709827297351E-2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63171</v>
      </c>
      <c r="Y3424" s="198">
        <f>_xll.qlInterestRateIndexValueDate(IborIndex,X3424,Trigger)</f>
        <v>63173</v>
      </c>
      <c r="Z3424" s="199">
        <v>2.4248805286274076E-2</v>
      </c>
      <c r="AA3424" s="201">
        <v>2.4222709827377287E-2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63178</v>
      </c>
      <c r="Y3425" s="198">
        <f>_xll.qlInterestRateIndexValueDate(IborIndex,X3425,Trigger)</f>
        <v>63180</v>
      </c>
      <c r="Z3425" s="199">
        <v>2.424798923601118E-2</v>
      </c>
      <c r="AA3425" s="201">
        <v>2.4222709827377287E-2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63186</v>
      </c>
      <c r="Y3426" s="198">
        <f>_xll.qlInterestRateIndexValueDate(IborIndex,X3426,Trigger)</f>
        <v>63188</v>
      </c>
      <c r="Z3426" s="199">
        <v>2.424798923601118E-2</v>
      </c>
      <c r="AA3426" s="201">
        <v>2.4222709827297351E-2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63193</v>
      </c>
      <c r="Y3427" s="198">
        <f>_xll.qlInterestRateIndexValueDate(IborIndex,X3427,Trigger)</f>
        <v>63195</v>
      </c>
      <c r="Z3427" s="199">
        <v>2.4247173222361869E-2</v>
      </c>
      <c r="AA3427" s="201">
        <v>2.4222709827377287E-2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63200</v>
      </c>
      <c r="Y3428" s="198">
        <f>_xll.qlInterestRateIndexValueDate(IborIndex,X3428,Trigger)</f>
        <v>63202</v>
      </c>
      <c r="Z3428" s="199">
        <v>2.4247173222359288E-2</v>
      </c>
      <c r="AA3428" s="201">
        <v>2.4222709827297351E-2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63207</v>
      </c>
      <c r="Y3429" s="198">
        <f>_xll.qlInterestRateIndexValueDate(IborIndex,X3429,Trigger)</f>
        <v>63209</v>
      </c>
      <c r="Z3429" s="199">
        <v>2.424798923601118E-2</v>
      </c>
      <c r="AA3429" s="201">
        <v>2.4222709827377287E-2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63214</v>
      </c>
      <c r="Y3430" s="198">
        <f>_xll.qlInterestRateIndexValueDate(IborIndex,X3430,Trigger)</f>
        <v>63216</v>
      </c>
      <c r="Z3430" s="199">
        <v>2.4247173222361869E-2</v>
      </c>
      <c r="AA3430" s="201">
        <v>2.4222709827377287E-2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63221</v>
      </c>
      <c r="Y3431" s="198">
        <f>_xll.qlInterestRateIndexValueDate(IborIndex,X3431,Trigger)</f>
        <v>63223</v>
      </c>
      <c r="Z3431" s="199">
        <v>2.4244725401049952E-2</v>
      </c>
      <c r="AA3431" s="201">
        <v>2.4222709827297351E-2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63228</v>
      </c>
      <c r="Y3432" s="198">
        <f>_xll.qlInterestRateIndexValueDate(IborIndex,X3432,Trigger)</f>
        <v>63230</v>
      </c>
      <c r="Z3432" s="199">
        <v>2.4244725401052807E-2</v>
      </c>
      <c r="AA3432" s="201">
        <v>2.4222709827297351E-2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63235</v>
      </c>
      <c r="Y3433" s="198">
        <f>_xll.qlInterestRateIndexValueDate(IborIndex,X3433,Trigger)</f>
        <v>63237</v>
      </c>
      <c r="Z3433" s="199">
        <v>2.4244725401049952E-2</v>
      </c>
      <c r="AA3433" s="201">
        <v>2.4222709827377287E-2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63242</v>
      </c>
      <c r="Y3434" s="198">
        <f>_xll.qlInterestRateIndexValueDate(IborIndex,X3434,Trigger)</f>
        <v>63244</v>
      </c>
      <c r="Z3434" s="199">
        <v>2.4247989236008682E-2</v>
      </c>
      <c r="AA3434" s="201">
        <v>2.4222709827377287E-2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63249</v>
      </c>
      <c r="Y3435" s="198">
        <f>_xll.qlInterestRateIndexValueDate(IborIndex,X3435,Trigger)</f>
        <v>63251</v>
      </c>
      <c r="Z3435" s="199">
        <v>2.4247173222361869E-2</v>
      </c>
      <c r="AA3435" s="201">
        <v>2.4222709827297351E-2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63256</v>
      </c>
      <c r="Y3436" s="198">
        <f>_xll.qlInterestRateIndexValueDate(IborIndex,X3436,Trigger)</f>
        <v>63258</v>
      </c>
      <c r="Z3436" s="199">
        <v>2.4247173222361869E-2</v>
      </c>
      <c r="AA3436" s="201">
        <v>2.4222709827377287E-2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63263</v>
      </c>
      <c r="Y3437" s="198">
        <f>_xll.qlInterestRateIndexValueDate(IborIndex,X3437,Trigger)</f>
        <v>63265</v>
      </c>
      <c r="Z3437" s="199">
        <v>2.4247173222364447E-2</v>
      </c>
      <c r="AA3437" s="201">
        <v>2.4222709827377287E-2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63270</v>
      </c>
      <c r="Y3438" s="198">
        <f>_xll.qlInterestRateIndexValueDate(IborIndex,X3438,Trigger)</f>
        <v>63276</v>
      </c>
      <c r="Z3438" s="199">
        <v>2.4247173222361869E-2</v>
      </c>
      <c r="AA3438" s="201">
        <v>2.4222709827297351E-2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63277</v>
      </c>
      <c r="Y3439" s="198">
        <f>_xll.qlInterestRateIndexValueDate(IborIndex,X3439,Trigger)</f>
        <v>63279</v>
      </c>
      <c r="Z3439" s="199">
        <v>2.4244725401049952E-2</v>
      </c>
      <c r="AA3439" s="201">
        <v>2.4222709827297351E-2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63284</v>
      </c>
      <c r="Y3440" s="198">
        <f>_xll.qlInterestRateIndexValueDate(IborIndex,X3440,Trigger)</f>
        <v>63286</v>
      </c>
      <c r="Z3440" s="199">
        <v>2.4247173222359288E-2</v>
      </c>
      <c r="AA3440" s="201">
        <v>2.4222709827377287E-2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63291</v>
      </c>
      <c r="Y3441" s="198">
        <f>_xll.qlInterestRateIndexValueDate(IborIndex,X3441,Trigger)</f>
        <v>63293</v>
      </c>
      <c r="Z3441" s="199">
        <v>2.4247173222361869E-2</v>
      </c>
      <c r="AA3441" s="201">
        <v>2.4222709827297351E-2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63298</v>
      </c>
      <c r="Y3442" s="198">
        <f>_xll.qlInterestRateIndexValueDate(IborIndex,X3442,Trigger)</f>
        <v>63300</v>
      </c>
      <c r="Z3442" s="199">
        <v>2.4247173222361869E-2</v>
      </c>
      <c r="AA3442" s="201">
        <v>2.4222709827297351E-2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63305</v>
      </c>
      <c r="Y3443" s="198">
        <f>_xll.qlInterestRateIndexValueDate(IborIndex,X3443,Trigger)</f>
        <v>63307</v>
      </c>
      <c r="Z3443" s="199">
        <v>2.4248805286276497E-2</v>
      </c>
      <c r="AA3443" s="201">
        <v>2.4222709827377287E-2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63312</v>
      </c>
      <c r="Y3444" s="198">
        <f>_xll.qlInterestRateIndexValueDate(IborIndex,X3444,Trigger)</f>
        <v>63314</v>
      </c>
      <c r="Z3444" s="199">
        <v>2.4247173222361869E-2</v>
      </c>
      <c r="AA3444" s="201">
        <v>2.4222709827297351E-2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63319</v>
      </c>
      <c r="Y3445" s="198">
        <f>_xll.qlInterestRateIndexValueDate(IborIndex,X3445,Trigger)</f>
        <v>63321</v>
      </c>
      <c r="Z3445" s="199">
        <v>2.4247173222361869E-2</v>
      </c>
      <c r="AA3445" s="201">
        <v>2.4222709827377287E-2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63326</v>
      </c>
      <c r="Y3446" s="198">
        <f>_xll.qlInterestRateIndexValueDate(IborIndex,X3446,Trigger)</f>
        <v>63328</v>
      </c>
      <c r="Z3446" s="199">
        <v>2.4247173222364447E-2</v>
      </c>
      <c r="AA3446" s="201">
        <v>2.4222709827297351E-2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63333</v>
      </c>
      <c r="Y3447" s="198">
        <f>_xll.qlInterestRateIndexValueDate(IborIndex,X3447,Trigger)</f>
        <v>63335</v>
      </c>
      <c r="Z3447" s="199">
        <v>2.4247173222361869E-2</v>
      </c>
      <c r="AA3447" s="201">
        <v>2.4222709827217415E-2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63340</v>
      </c>
      <c r="Y3448" s="198">
        <f>_xll.qlInterestRateIndexValueDate(IborIndex,X3448,Trigger)</f>
        <v>63342</v>
      </c>
      <c r="Z3448" s="199">
        <v>2.4247173222359288E-2</v>
      </c>
      <c r="AA3448" s="201">
        <v>2.4222709827297351E-2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63347</v>
      </c>
      <c r="Y3449" s="198">
        <f>_xll.qlInterestRateIndexValueDate(IborIndex,X3449,Trigger)</f>
        <v>63349</v>
      </c>
      <c r="Z3449" s="199">
        <v>2.4247173222361869E-2</v>
      </c>
      <c r="AA3449" s="201">
        <v>2.4222709827297351E-2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63354</v>
      </c>
      <c r="Y3450" s="198">
        <f>_xll.qlInterestRateIndexValueDate(IborIndex,X3450,Trigger)</f>
        <v>63356</v>
      </c>
      <c r="Z3450" s="199">
        <v>2.4247173222361869E-2</v>
      </c>
      <c r="AA3450" s="201">
        <v>2.4222709827297351E-2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63361</v>
      </c>
      <c r="Y3451" s="198">
        <f>_xll.qlInterestRateIndexValueDate(IborIndex,X3451,Trigger)</f>
        <v>63363</v>
      </c>
      <c r="Z3451" s="199">
        <v>2.4247173222361869E-2</v>
      </c>
      <c r="AA3451" s="201">
        <v>2.4222709827297351E-2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63368</v>
      </c>
      <c r="Y3452" s="198">
        <f>_xll.qlInterestRateIndexValueDate(IborIndex,X3452,Trigger)</f>
        <v>63370</v>
      </c>
      <c r="Z3452" s="199">
        <v>2.4247173222361869E-2</v>
      </c>
      <c r="AA3452" s="201">
        <v>2.4222709827297351E-2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63375</v>
      </c>
      <c r="Y3453" s="198">
        <f>_xll.qlInterestRateIndexValueDate(IborIndex,X3453,Trigger)</f>
        <v>63377</v>
      </c>
      <c r="Z3453" s="199">
        <v>2.4247173222361869E-2</v>
      </c>
      <c r="AA3453" s="201">
        <v>2.4222709827297351E-2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63382</v>
      </c>
      <c r="Y3454" s="198">
        <f>_xll.qlInterestRateIndexValueDate(IborIndex,X3454,Trigger)</f>
        <v>63384</v>
      </c>
      <c r="Z3454" s="199">
        <v>2.4247173222361869E-2</v>
      </c>
      <c r="AA3454" s="201">
        <v>2.4222709827217415E-2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63389</v>
      </c>
      <c r="Y3455" s="198">
        <f>_xll.qlInterestRateIndexValueDate(IborIndex,X3455,Trigger)</f>
        <v>63391</v>
      </c>
      <c r="Z3455" s="199">
        <v>2.4247173222361869E-2</v>
      </c>
      <c r="AA3455" s="201">
        <v>2.4222709827297351E-2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63396</v>
      </c>
      <c r="Y3456" s="198">
        <f>_xll.qlInterestRateIndexValueDate(IborIndex,X3456,Trigger)</f>
        <v>63398</v>
      </c>
      <c r="Z3456" s="199">
        <v>2.4247989236013678E-2</v>
      </c>
      <c r="AA3456" s="201">
        <v>2.4222709827377287E-2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63403</v>
      </c>
      <c r="Y3457" s="198">
        <f>_xll.qlInterestRateIndexValueDate(IborIndex,X3457,Trigger)</f>
        <v>63405</v>
      </c>
      <c r="Z3457" s="199">
        <v>2.4247989236013678E-2</v>
      </c>
      <c r="AA3457" s="201">
        <v>2.4222709827217415E-2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63410</v>
      </c>
      <c r="Y3458" s="198">
        <f>_xll.qlInterestRateIndexValueDate(IborIndex,X3458,Trigger)</f>
        <v>63412</v>
      </c>
      <c r="Z3458" s="199">
        <v>2.4247173222359288E-2</v>
      </c>
      <c r="AA3458" s="201">
        <v>2.4222709827377287E-2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63417</v>
      </c>
      <c r="Y3459" s="198">
        <f>_xll.qlInterestRateIndexValueDate(IborIndex,X3459,Trigger)</f>
        <v>63419</v>
      </c>
      <c r="Z3459" s="199">
        <v>2.4247173222361869E-2</v>
      </c>
      <c r="AA3459" s="201">
        <v>2.4222709827377287E-2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63424</v>
      </c>
      <c r="Y3460" s="198">
        <f>_xll.qlInterestRateIndexValueDate(IborIndex,X3460,Trigger)</f>
        <v>63426</v>
      </c>
      <c r="Z3460" s="199">
        <v>2.4247173222361869E-2</v>
      </c>
      <c r="AA3460" s="201">
        <v>2.4222709827377287E-2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63431</v>
      </c>
      <c r="Y3461" s="198">
        <f>_xll.qlInterestRateIndexValueDate(IborIndex,X3461,Trigger)</f>
        <v>63433</v>
      </c>
      <c r="Z3461" s="199">
        <v>2.4247173222361869E-2</v>
      </c>
      <c r="AA3461" s="201">
        <v>2.4222709827297351E-2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63438</v>
      </c>
      <c r="Y3462" s="198">
        <f>_xll.qlInterestRateIndexValueDate(IborIndex,X3462,Trigger)</f>
        <v>63440</v>
      </c>
      <c r="Z3462" s="199">
        <v>2.424798923601118E-2</v>
      </c>
      <c r="AA3462" s="201">
        <v>2.4222709827297351E-2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63445</v>
      </c>
      <c r="Y3463" s="198">
        <f>_xll.qlInterestRateIndexValueDate(IborIndex,X3463,Trigger)</f>
        <v>63447</v>
      </c>
      <c r="Z3463" s="199">
        <v>2.4247173222361869E-2</v>
      </c>
      <c r="AA3463" s="201">
        <v>2.4222709827297351E-2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63452</v>
      </c>
      <c r="Y3464" s="198">
        <f>_xll.qlInterestRateIndexValueDate(IborIndex,X3464,Trigger)</f>
        <v>63454</v>
      </c>
      <c r="Z3464" s="199">
        <v>2.4247173222359288E-2</v>
      </c>
      <c r="AA3464" s="201">
        <v>2.4222709827217415E-2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63459</v>
      </c>
      <c r="Y3465" s="198">
        <f>_xll.qlInterestRateIndexValueDate(IborIndex,X3465,Trigger)</f>
        <v>63461</v>
      </c>
      <c r="Z3465" s="199">
        <v>2.4247989236013678E-2</v>
      </c>
      <c r="AA3465" s="201">
        <v>2.4222709827377287E-2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63466</v>
      </c>
      <c r="Y3466" s="198">
        <f>_xll.qlInterestRateIndexValueDate(IborIndex,X3466,Trigger)</f>
        <v>63468</v>
      </c>
      <c r="Z3466" s="199">
        <v>2.4247173222364447E-2</v>
      </c>
      <c r="AA3466" s="201">
        <v>2.4222709827377287E-2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63473</v>
      </c>
      <c r="Y3467" s="198">
        <f>_xll.qlInterestRateIndexValueDate(IborIndex,X3467,Trigger)</f>
        <v>63475</v>
      </c>
      <c r="Z3467" s="199">
        <v>2.4247173222361869E-2</v>
      </c>
      <c r="AA3467" s="201">
        <v>2.4222709827377287E-2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63480</v>
      </c>
      <c r="Y3468" s="198">
        <f>_xll.qlInterestRateIndexValueDate(IborIndex,X3468,Trigger)</f>
        <v>63482</v>
      </c>
      <c r="Z3468" s="199">
        <v>2.4247173222361869E-2</v>
      </c>
      <c r="AA3468" s="201">
        <v>2.4222709827297351E-2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63487</v>
      </c>
      <c r="Y3469" s="198">
        <f>_xll.qlInterestRateIndexValueDate(IborIndex,X3469,Trigger)</f>
        <v>63489</v>
      </c>
      <c r="Z3469" s="199">
        <v>2.4247173222361869E-2</v>
      </c>
      <c r="AA3469" s="201">
        <v>2.4222709827297351E-2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63494</v>
      </c>
      <c r="Y3470" s="198">
        <f>_xll.qlInterestRateIndexValueDate(IborIndex,X3470,Trigger)</f>
        <v>63496</v>
      </c>
      <c r="Z3470" s="199">
        <v>2.4247173222361869E-2</v>
      </c>
      <c r="AA3470" s="201">
        <v>2.4222709827297351E-2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63501</v>
      </c>
      <c r="Y3471" s="198">
        <f>_xll.qlInterestRateIndexValueDate(IborIndex,X3471,Trigger)</f>
        <v>63506</v>
      </c>
      <c r="Z3471" s="199">
        <v>2.4246357245318428E-2</v>
      </c>
      <c r="AA3471" s="201">
        <v>2.4222709827297351E-2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63508</v>
      </c>
      <c r="Y3472" s="198">
        <f>_xll.qlInterestRateIndexValueDate(IborIndex,X3472,Trigger)</f>
        <v>63510</v>
      </c>
      <c r="Z3472" s="199">
        <v>2.4247173222359288E-2</v>
      </c>
      <c r="AA3472" s="201">
        <v>2.4222709827217415E-2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63515</v>
      </c>
      <c r="Y3473" s="198">
        <f>_xll.qlInterestRateIndexValueDate(IborIndex,X3473,Trigger)</f>
        <v>63517</v>
      </c>
      <c r="Z3473" s="199">
        <v>2.4248805286274076E-2</v>
      </c>
      <c r="AA3473" s="201">
        <v>2.4222709827377287E-2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63522</v>
      </c>
      <c r="Y3474" s="198">
        <f>_xll.qlInterestRateIndexValueDate(IborIndex,X3474,Trigger)</f>
        <v>63524</v>
      </c>
      <c r="Z3474" s="199">
        <v>2.424798923601118E-2</v>
      </c>
      <c r="AA3474" s="201">
        <v>2.4222709827297351E-2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63529</v>
      </c>
      <c r="Y3475" s="198">
        <f>_xll.qlInterestRateIndexValueDate(IborIndex,X3475,Trigger)</f>
        <v>63531</v>
      </c>
      <c r="Z3475" s="199">
        <v>2.4247173222359288E-2</v>
      </c>
      <c r="AA3475" s="201">
        <v>2.4222709827297351E-2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63536</v>
      </c>
      <c r="Y3476" s="198">
        <f>_xll.qlInterestRateIndexValueDate(IborIndex,X3476,Trigger)</f>
        <v>63538</v>
      </c>
      <c r="Z3476" s="199">
        <v>2.4247989236013678E-2</v>
      </c>
      <c r="AA3476" s="201">
        <v>2.4222709827377287E-2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63543</v>
      </c>
      <c r="Y3477" s="198">
        <f>_xll.qlInterestRateIndexValueDate(IborIndex,X3477,Trigger)</f>
        <v>63545</v>
      </c>
      <c r="Z3477" s="199">
        <v>2.4247173222361869E-2</v>
      </c>
      <c r="AA3477" s="201">
        <v>2.4222709827377287E-2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63550</v>
      </c>
      <c r="Y3478" s="198">
        <f>_xll.qlInterestRateIndexValueDate(IborIndex,X3478,Trigger)</f>
        <v>63552</v>
      </c>
      <c r="Z3478" s="199">
        <v>2.4248805286271654E-2</v>
      </c>
      <c r="AA3478" s="201">
        <v>2.4222709827297351E-2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63557</v>
      </c>
      <c r="Y3479" s="198">
        <f>_xll.qlInterestRateIndexValueDate(IborIndex,X3479,Trigger)</f>
        <v>63559</v>
      </c>
      <c r="Z3479" s="199">
        <v>2.4247173222364447E-2</v>
      </c>
      <c r="AA3479" s="201">
        <v>2.4222709827297351E-2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63564</v>
      </c>
      <c r="Y3480" s="198">
        <f>_xll.qlInterestRateIndexValueDate(IborIndex,X3480,Trigger)</f>
        <v>63566</v>
      </c>
      <c r="Z3480" s="199">
        <v>2.4247173222361869E-2</v>
      </c>
      <c r="AA3480" s="201">
        <v>2.4222709827297351E-2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63571</v>
      </c>
      <c r="Y3481" s="198">
        <f>_xll.qlInterestRateIndexValueDate(IborIndex,X3481,Trigger)</f>
        <v>63573</v>
      </c>
      <c r="Z3481" s="199">
        <v>2.424798923601118E-2</v>
      </c>
      <c r="AA3481" s="201">
        <v>2.4222709827377287E-2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63578</v>
      </c>
      <c r="Y3482" s="198">
        <f>_xll.qlInterestRateIndexValueDate(IborIndex,X3482,Trigger)</f>
        <v>63580</v>
      </c>
      <c r="Z3482" s="199">
        <v>2.4247173222361869E-2</v>
      </c>
      <c r="AA3482" s="201">
        <v>2.4222709827217415E-2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63585</v>
      </c>
      <c r="Y3483" s="198">
        <f>_xll.qlInterestRateIndexValueDate(IborIndex,X3483,Trigger)</f>
        <v>63587</v>
      </c>
      <c r="Z3483" s="199">
        <v>2.4244725401055663E-2</v>
      </c>
      <c r="AA3483" s="201">
        <v>2.4222709827377287E-2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63592</v>
      </c>
      <c r="Y3484" s="198">
        <f>_xll.qlInterestRateIndexValueDate(IborIndex,X3484,Trigger)</f>
        <v>63594</v>
      </c>
      <c r="Z3484" s="199">
        <v>2.4244725401049952E-2</v>
      </c>
      <c r="AA3484" s="201">
        <v>2.4222709827377287E-2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63599</v>
      </c>
      <c r="Y3485" s="198">
        <f>_xll.qlInterestRateIndexValueDate(IborIndex,X3485,Trigger)</f>
        <v>63601</v>
      </c>
      <c r="Z3485" s="199">
        <v>2.4244725401049952E-2</v>
      </c>
      <c r="AA3485" s="201">
        <v>2.4222709827297351E-2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63606</v>
      </c>
      <c r="Y3486" s="198">
        <f>_xll.qlInterestRateIndexValueDate(IborIndex,X3486,Trigger)</f>
        <v>63608</v>
      </c>
      <c r="Z3486" s="199">
        <v>2.4244725401049952E-2</v>
      </c>
      <c r="AA3486" s="201">
        <v>2.4222709827297351E-2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63613</v>
      </c>
      <c r="Y3487" s="198">
        <f>_xll.qlInterestRateIndexValueDate(IborIndex,X3487,Trigger)</f>
        <v>63615</v>
      </c>
      <c r="Z3487" s="199">
        <v>2.4247173222361869E-2</v>
      </c>
      <c r="AA3487" s="201">
        <v>2.4222709827297351E-2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63620</v>
      </c>
      <c r="Y3488" s="198">
        <f>_xll.qlInterestRateIndexValueDate(IborIndex,X3488,Trigger)</f>
        <v>63622</v>
      </c>
      <c r="Z3488" s="199">
        <v>2.4247173222361869E-2</v>
      </c>
      <c r="AA3488" s="201">
        <v>2.4222709827377287E-2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63627</v>
      </c>
      <c r="Y3489" s="198">
        <f>_xll.qlInterestRateIndexValueDate(IborIndex,X3489,Trigger)</f>
        <v>63629</v>
      </c>
      <c r="Z3489" s="199">
        <v>2.4247989236013678E-2</v>
      </c>
      <c r="AA3489" s="201">
        <v>2.4222709827297351E-2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63634</v>
      </c>
      <c r="Y3490" s="198">
        <f>_xll.qlInterestRateIndexValueDate(IborIndex,X3490,Trigger)</f>
        <v>63636</v>
      </c>
      <c r="Z3490" s="199">
        <v>2.4247173222359288E-2</v>
      </c>
      <c r="AA3490" s="201">
        <v>2.4222709827297351E-2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63641</v>
      </c>
      <c r="Y3491" s="198">
        <f>_xll.qlInterestRateIndexValueDate(IborIndex,X3491,Trigger)</f>
        <v>63643</v>
      </c>
      <c r="Z3491" s="199">
        <v>2.4247173222359288E-2</v>
      </c>
      <c r="AA3491" s="201">
        <v>2.4222709827297351E-2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63648</v>
      </c>
      <c r="Y3492" s="198">
        <f>_xll.qlInterestRateIndexValueDate(IborIndex,X3492,Trigger)</f>
        <v>63650</v>
      </c>
      <c r="Z3492" s="199">
        <v>2.424798923601118E-2</v>
      </c>
      <c r="AA3492" s="201">
        <v>2.4222709827297351E-2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63655</v>
      </c>
      <c r="Y3493" s="198">
        <f>_xll.qlInterestRateIndexValueDate(IborIndex,X3493,Trigger)</f>
        <v>63661</v>
      </c>
      <c r="Z3493" s="199">
        <v>2.4246357245318428E-2</v>
      </c>
      <c r="AA3493" s="201">
        <v>2.4222709827297351E-2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63662</v>
      </c>
      <c r="Y3494" s="198">
        <f>_xll.qlInterestRateIndexValueDate(IborIndex,X3494,Trigger)</f>
        <v>63664</v>
      </c>
      <c r="Z3494" s="199">
        <v>2.4247173222359288E-2</v>
      </c>
      <c r="AA3494" s="201">
        <v>2.4222709827377287E-2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63669</v>
      </c>
      <c r="Y3495" s="198">
        <f>_xll.qlInterestRateIndexValueDate(IborIndex,X3495,Trigger)</f>
        <v>63671</v>
      </c>
      <c r="Z3495" s="199">
        <v>2.4247989236008682E-2</v>
      </c>
      <c r="AA3495" s="201">
        <v>2.4222709827297351E-2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63676</v>
      </c>
      <c r="Y3496" s="198">
        <f>_xll.qlInterestRateIndexValueDate(IborIndex,X3496,Trigger)</f>
        <v>63678</v>
      </c>
      <c r="Z3496" s="199">
        <v>2.4247173222361869E-2</v>
      </c>
      <c r="AA3496" s="201">
        <v>2.4222709827297351E-2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63683</v>
      </c>
      <c r="Y3497" s="198">
        <f>_xll.qlInterestRateIndexValueDate(IborIndex,X3497,Trigger)</f>
        <v>63685</v>
      </c>
      <c r="Z3497" s="199">
        <v>2.4247173222361869E-2</v>
      </c>
      <c r="AA3497" s="201">
        <v>2.4222709827297351E-2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63690</v>
      </c>
      <c r="Y3498" s="198">
        <f>_xll.qlInterestRateIndexValueDate(IborIndex,X3498,Trigger)</f>
        <v>63692</v>
      </c>
      <c r="Z3498" s="199">
        <v>2.4247173222359288E-2</v>
      </c>
      <c r="AA3498" s="201">
        <v>2.4222709827297351E-2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63697</v>
      </c>
      <c r="Y3499" s="198">
        <f>_xll.qlInterestRateIndexValueDate(IborIndex,X3499,Trigger)</f>
        <v>63699</v>
      </c>
      <c r="Z3499" s="199">
        <v>2.4247173222361869E-2</v>
      </c>
      <c r="AA3499" s="201">
        <v>2.4222709827297351E-2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63704</v>
      </c>
      <c r="Y3500" s="198">
        <f>_xll.qlInterestRateIndexValueDate(IborIndex,X3500,Trigger)</f>
        <v>63706</v>
      </c>
      <c r="Z3500" s="199">
        <v>2.4247173222361869E-2</v>
      </c>
      <c r="AA3500" s="201">
        <v>2.4222709827377287E-2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63711</v>
      </c>
      <c r="Y3501" s="198">
        <f>_xll.qlInterestRateIndexValueDate(IborIndex,X3501,Trigger)</f>
        <v>63713</v>
      </c>
      <c r="Z3501" s="199">
        <v>2.4247173222361869E-2</v>
      </c>
      <c r="AA3501" s="201">
        <v>2.4222709827217415E-2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63718</v>
      </c>
      <c r="Y3502" s="198">
        <f>_xll.qlInterestRateIndexValueDate(IborIndex,X3502,Trigger)</f>
        <v>63720</v>
      </c>
      <c r="Z3502" s="199">
        <v>2.4247173222361869E-2</v>
      </c>
      <c r="AA3502" s="201">
        <v>2.4222709827297351E-2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63725</v>
      </c>
      <c r="Y3503" s="198">
        <f>_xll.qlInterestRateIndexValueDate(IborIndex,X3503,Trigger)</f>
        <v>63727</v>
      </c>
      <c r="Z3503" s="199">
        <v>2.4247173222361869E-2</v>
      </c>
      <c r="AA3503" s="201">
        <v>2.4222709827297351E-2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63732</v>
      </c>
      <c r="Y3504" s="198">
        <f>_xll.qlInterestRateIndexValueDate(IborIndex,X3504,Trigger)</f>
        <v>63734</v>
      </c>
      <c r="Z3504" s="199">
        <v>2.4247989236013678E-2</v>
      </c>
      <c r="AA3504" s="201">
        <v>2.4222709827297351E-2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63739</v>
      </c>
      <c r="Y3505" s="198">
        <f>_xll.qlInterestRateIndexValueDate(IborIndex,X3505,Trigger)</f>
        <v>63741</v>
      </c>
      <c r="Z3505" s="199">
        <v>2.4247173222361869E-2</v>
      </c>
      <c r="AA3505" s="201">
        <v>2.4222709827377287E-2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63746</v>
      </c>
      <c r="Y3506" s="198">
        <f>_xll.qlInterestRateIndexValueDate(IborIndex,X3506,Trigger)</f>
        <v>63748</v>
      </c>
      <c r="Z3506" s="199">
        <v>2.4247173222361869E-2</v>
      </c>
      <c r="AA3506" s="201">
        <v>2.4222709827377287E-2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63753</v>
      </c>
      <c r="Y3507" s="198">
        <f>_xll.qlInterestRateIndexValueDate(IborIndex,X3507,Trigger)</f>
        <v>63755</v>
      </c>
      <c r="Z3507" s="199">
        <v>2.4247173222361869E-2</v>
      </c>
      <c r="AA3507" s="201">
        <v>2.4222709827217415E-2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63760</v>
      </c>
      <c r="Y3508" s="198">
        <f>_xll.qlInterestRateIndexValueDate(IborIndex,X3508,Trigger)</f>
        <v>63762</v>
      </c>
      <c r="Z3508" s="199">
        <v>2.4247989236013678E-2</v>
      </c>
      <c r="AA3508" s="201">
        <v>2.4222709827297351E-2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63767</v>
      </c>
      <c r="Y3509" s="198">
        <f>_xll.qlInterestRateIndexValueDate(IborIndex,X3509,Trigger)</f>
        <v>63769</v>
      </c>
      <c r="Z3509" s="199">
        <v>2.424798923601118E-2</v>
      </c>
      <c r="AA3509" s="201">
        <v>2.4222709827377287E-2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63774</v>
      </c>
      <c r="Y3510" s="198">
        <f>_xll.qlInterestRateIndexValueDate(IborIndex,X3510,Trigger)</f>
        <v>63776</v>
      </c>
      <c r="Z3510" s="199">
        <v>2.4247173222361869E-2</v>
      </c>
      <c r="AA3510" s="201">
        <v>2.4222709827377287E-2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63781</v>
      </c>
      <c r="Y3511" s="198">
        <f>_xll.qlInterestRateIndexValueDate(IborIndex,X3511,Trigger)</f>
        <v>63783</v>
      </c>
      <c r="Z3511" s="199">
        <v>2.4247173222361869E-2</v>
      </c>
      <c r="AA3511" s="201">
        <v>2.4222709827297351E-2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63788</v>
      </c>
      <c r="Y3512" s="198">
        <f>_xll.qlInterestRateIndexValueDate(IborIndex,X3512,Trigger)</f>
        <v>63790</v>
      </c>
      <c r="Z3512" s="199">
        <v>2.4247173222361869E-2</v>
      </c>
      <c r="AA3512" s="201">
        <v>2.4222709827297351E-2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63795</v>
      </c>
      <c r="Y3513" s="198">
        <f>_xll.qlInterestRateIndexValueDate(IborIndex,X3513,Trigger)</f>
        <v>63797</v>
      </c>
      <c r="Z3513" s="199">
        <v>2.4244725401052807E-2</v>
      </c>
      <c r="AA3513" s="201">
        <v>2.4222709827297351E-2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63802</v>
      </c>
      <c r="Y3514" s="198">
        <f>_xll.qlInterestRateIndexValueDate(IborIndex,X3514,Trigger)</f>
        <v>63804</v>
      </c>
      <c r="Z3514" s="199">
        <v>2.4247989236013678E-2</v>
      </c>
      <c r="AA3514" s="201">
        <v>2.4222709827297351E-2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63809</v>
      </c>
      <c r="Y3515" s="198">
        <f>_xll.qlInterestRateIndexValueDate(IborIndex,X3515,Trigger)</f>
        <v>63811</v>
      </c>
      <c r="Z3515" s="199">
        <v>2.4247173222361869E-2</v>
      </c>
      <c r="AA3515" s="201">
        <v>2.4222709827297351E-2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63816</v>
      </c>
      <c r="Y3516" s="198">
        <f>_xll.qlInterestRateIndexValueDate(IborIndex,X3516,Trigger)</f>
        <v>63818</v>
      </c>
      <c r="Z3516" s="199">
        <v>2.4247173222361869E-2</v>
      </c>
      <c r="AA3516" s="201">
        <v>2.4222709827297351E-2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63823</v>
      </c>
      <c r="Y3517" s="198">
        <f>_xll.qlInterestRateIndexValueDate(IborIndex,X3517,Trigger)</f>
        <v>63825</v>
      </c>
      <c r="Z3517" s="199">
        <v>2.4248805286274076E-2</v>
      </c>
      <c r="AA3517" s="201">
        <v>2.4222709827297351E-2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63830</v>
      </c>
      <c r="Y3518" s="198">
        <f>_xll.qlInterestRateIndexValueDate(IborIndex,X3518,Trigger)</f>
        <v>63832</v>
      </c>
      <c r="Z3518" s="199">
        <v>2.4247173222359288E-2</v>
      </c>
      <c r="AA3518" s="201">
        <v>2.4222709827297351E-2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63837</v>
      </c>
      <c r="Y3519" s="198">
        <f>_xll.qlInterestRateIndexValueDate(IborIndex,X3519,Trigger)</f>
        <v>63839</v>
      </c>
      <c r="Z3519" s="199">
        <v>2.4247989236013678E-2</v>
      </c>
      <c r="AA3519" s="201">
        <v>2.4222709827297351E-2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63844</v>
      </c>
      <c r="Y3520" s="198">
        <f>_xll.qlInterestRateIndexValueDate(IborIndex,X3520,Trigger)</f>
        <v>63846</v>
      </c>
      <c r="Z3520" s="199">
        <v>2.4247173222361869E-2</v>
      </c>
      <c r="AA3520" s="201">
        <v>2.4222709827297351E-2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63851</v>
      </c>
      <c r="Y3521" s="198">
        <f>_xll.qlInterestRateIndexValueDate(IborIndex,X3521,Trigger)</f>
        <v>63853</v>
      </c>
      <c r="Z3521" s="199">
        <v>2.4247173222361869E-2</v>
      </c>
      <c r="AA3521" s="201">
        <v>2.4222709827377287E-2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63858</v>
      </c>
      <c r="Y3522" s="198">
        <f>_xll.qlInterestRateIndexValueDate(IborIndex,X3522,Trigger)</f>
        <v>63860</v>
      </c>
      <c r="Z3522" s="199">
        <v>2.4247173222361869E-2</v>
      </c>
      <c r="AA3522" s="201">
        <v>2.4222709827297351E-2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63865</v>
      </c>
      <c r="Y3523" s="198">
        <f>_xll.qlInterestRateIndexValueDate(IborIndex,X3523,Trigger)</f>
        <v>63867</v>
      </c>
      <c r="Z3523" s="199">
        <v>2.4247173222359288E-2</v>
      </c>
      <c r="AA3523" s="201">
        <v>2.4222709827297351E-2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63872</v>
      </c>
      <c r="Y3524" s="198">
        <f>_xll.qlInterestRateIndexValueDate(IborIndex,X3524,Trigger)</f>
        <v>63874</v>
      </c>
      <c r="Z3524" s="199">
        <v>2.4247173222361869E-2</v>
      </c>
      <c r="AA3524" s="201">
        <v>2.4222709827297351E-2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63879</v>
      </c>
      <c r="Y3525" s="198">
        <f>_xll.qlInterestRateIndexValueDate(IborIndex,X3525,Trigger)</f>
        <v>63881</v>
      </c>
      <c r="Z3525" s="199">
        <v>2.4247173222361869E-2</v>
      </c>
      <c r="AA3525" s="201">
        <v>2.4222709827297351E-2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63886</v>
      </c>
      <c r="Y3526" s="198">
        <f>_xll.qlInterestRateIndexValueDate(IborIndex,X3526,Trigger)</f>
        <v>63888</v>
      </c>
      <c r="Z3526" s="199">
        <v>2.4247173222361869E-2</v>
      </c>
      <c r="AA3526" s="201">
        <v>2.4222709827297351E-2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63893</v>
      </c>
      <c r="Y3527" s="198">
        <f>_xll.qlInterestRateIndexValueDate(IborIndex,X3527,Trigger)</f>
        <v>63895</v>
      </c>
      <c r="Z3527" s="199">
        <v>2.4247173222361869E-2</v>
      </c>
      <c r="AA3527" s="201">
        <v>2.4222709827297351E-2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63900</v>
      </c>
      <c r="Y3528" s="198">
        <f>_xll.qlInterestRateIndexValueDate(IborIndex,X3528,Trigger)</f>
        <v>63902</v>
      </c>
      <c r="Z3528" s="199">
        <v>2.4247173222361869E-2</v>
      </c>
      <c r="AA3528" s="201">
        <v>2.4222709827297351E-2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63907</v>
      </c>
      <c r="Y3529" s="198">
        <f>_xll.qlInterestRateIndexValueDate(IborIndex,X3529,Trigger)</f>
        <v>63909</v>
      </c>
      <c r="Z3529" s="199">
        <v>2.4247989236013678E-2</v>
      </c>
      <c r="AA3529" s="201">
        <v>2.4222709827297351E-2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63915</v>
      </c>
      <c r="Y3530" s="198">
        <f>_xll.qlInterestRateIndexValueDate(IborIndex,X3530,Trigger)</f>
        <v>63919</v>
      </c>
      <c r="Z3530" s="199">
        <v>2.4247173222361869E-2</v>
      </c>
      <c r="AA3530" s="201">
        <v>2.4222709827297351E-2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63922</v>
      </c>
      <c r="Y3531" s="198">
        <f>_xll.qlInterestRateIndexValueDate(IborIndex,X3531,Trigger)</f>
        <v>63926</v>
      </c>
      <c r="Z3531" s="199">
        <v>2.4247173222361869E-2</v>
      </c>
      <c r="AA3531" s="201">
        <v>2.4222709827297351E-2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63929</v>
      </c>
      <c r="Y3532" s="198">
        <f>_xll.qlInterestRateIndexValueDate(IborIndex,X3532,Trigger)</f>
        <v>63933</v>
      </c>
      <c r="Z3532" s="199">
        <v>2.4247173222361869E-2</v>
      </c>
      <c r="AA3532" s="201">
        <v>2.4222709827377287E-2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63936</v>
      </c>
      <c r="Y3533" s="198">
        <f>_xll.qlInterestRateIndexValueDate(IborIndex,X3533,Trigger)</f>
        <v>63941</v>
      </c>
      <c r="Z3533" s="199">
        <v>2.4247173222359288E-2</v>
      </c>
      <c r="AA3533" s="201">
        <v>2.4222709827377287E-2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63943</v>
      </c>
      <c r="Y3534" s="198">
        <f>_xll.qlInterestRateIndexValueDate(IborIndex,X3534,Trigger)</f>
        <v>63947</v>
      </c>
      <c r="Z3534" s="199">
        <v>2.4247173222361869E-2</v>
      </c>
      <c r="AA3534" s="201">
        <v>2.4222709827297351E-2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63950</v>
      </c>
      <c r="Y3535" s="198">
        <f>_xll.qlInterestRateIndexValueDate(IborIndex,X3535,Trigger)</f>
        <v>63954</v>
      </c>
      <c r="Z3535" s="199">
        <v>2.4244725401049952E-2</v>
      </c>
      <c r="AA3535" s="201">
        <v>2.4222709827377287E-2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63957</v>
      </c>
      <c r="Y3536" s="198">
        <f>_xll.qlInterestRateIndexValueDate(IborIndex,X3536,Trigger)</f>
        <v>63961</v>
      </c>
      <c r="Z3536" s="199">
        <v>2.4244725401049952E-2</v>
      </c>
      <c r="AA3536" s="201">
        <v>2.4222709827377287E-2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63964</v>
      </c>
      <c r="Y3537" s="198">
        <f>_xll.qlInterestRateIndexValueDate(IborIndex,X3537,Trigger)</f>
        <v>63969</v>
      </c>
      <c r="Z3537" s="199">
        <v>2.4244725401049952E-2</v>
      </c>
      <c r="AA3537" s="201">
        <v>2.4222709827297351E-2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63971</v>
      </c>
      <c r="Y3538" s="198">
        <f>_xll.qlInterestRateIndexValueDate(IborIndex,X3538,Trigger)</f>
        <v>63975</v>
      </c>
      <c r="Z3538" s="199">
        <v>2.4244725401052807E-2</v>
      </c>
      <c r="AA3538" s="201">
        <v>2.4222709827297351E-2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63978</v>
      </c>
      <c r="Y3539" s="198">
        <f>_xll.qlInterestRateIndexValueDate(IborIndex,X3539,Trigger)</f>
        <v>63982</v>
      </c>
      <c r="Z3539" s="199">
        <v>2.4247173222361869E-2</v>
      </c>
      <c r="AA3539" s="201">
        <v>2.4222709827297351E-2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63985</v>
      </c>
      <c r="Y3540" s="198">
        <f>_xll.qlInterestRateIndexValueDate(IborIndex,X3540,Trigger)</f>
        <v>63989</v>
      </c>
      <c r="Z3540" s="199">
        <v>2.4247173222361869E-2</v>
      </c>
      <c r="AA3540" s="201">
        <v>2.4222709827297351E-2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63992</v>
      </c>
      <c r="Y3541" s="198">
        <f>_xll.qlInterestRateIndexValueDate(IborIndex,X3541,Trigger)</f>
        <v>63996</v>
      </c>
      <c r="Z3541" s="199">
        <v>2.4247173222361869E-2</v>
      </c>
      <c r="AA3541" s="201">
        <v>2.4222709827297351E-2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63999</v>
      </c>
      <c r="Y3542" s="198">
        <f>_xll.qlInterestRateIndexValueDate(IborIndex,X3542,Trigger)</f>
        <v>64003</v>
      </c>
      <c r="Z3542" s="199">
        <v>2.4247173222359288E-2</v>
      </c>
      <c r="AA3542" s="201">
        <v>2.4222709827297351E-2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64006</v>
      </c>
      <c r="Y3543" s="198">
        <f>_xll.qlInterestRateIndexValueDate(IborIndex,X3543,Trigger)</f>
        <v>64010</v>
      </c>
      <c r="Z3543" s="199">
        <v>2.4246357245318428E-2</v>
      </c>
      <c r="AA3543" s="201">
        <v>2.4222709827297351E-2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64013</v>
      </c>
      <c r="Y3544" s="198">
        <f>_xll.qlInterestRateIndexValueDate(IborIndex,X3544,Trigger)</f>
        <v>64019</v>
      </c>
      <c r="Z3544" s="199">
        <v>2.4246357245318428E-2</v>
      </c>
      <c r="AA3544" s="201">
        <v>2.4224339696257147E-2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64020</v>
      </c>
      <c r="Y3545" s="198">
        <f>_xll.qlInterestRateIndexValueDate(IborIndex,X3545,Trigger)</f>
        <v>64024</v>
      </c>
      <c r="Z3545" s="199">
        <v>2.4246357245321093E-2</v>
      </c>
      <c r="AA3545" s="201">
        <v>2.4222709827297351E-2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64027</v>
      </c>
      <c r="Y3546" s="198">
        <f>_xll.qlInterestRateIndexValueDate(IborIndex,X3546,Trigger)</f>
        <v>64031</v>
      </c>
      <c r="Z3546" s="199">
        <v>2.4246357245318428E-2</v>
      </c>
      <c r="AA3546" s="201">
        <v>2.4222709827297351E-2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64034</v>
      </c>
      <c r="Y3547" s="198">
        <f>_xll.qlInterestRateIndexValueDate(IborIndex,X3547,Trigger)</f>
        <v>64038</v>
      </c>
      <c r="Z3547" s="199">
        <v>2.4246357245318428E-2</v>
      </c>
      <c r="AA3547" s="201">
        <v>2.4222709827377287E-2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64041</v>
      </c>
      <c r="Y3548" s="198">
        <f>_xll.qlInterestRateIndexValueDate(IborIndex,X3548,Trigger)</f>
        <v>64046</v>
      </c>
      <c r="Z3548" s="199">
        <v>2.4247173222359288E-2</v>
      </c>
      <c r="AA3548" s="201">
        <v>2.4222709827297351E-2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64048</v>
      </c>
      <c r="Y3549" s="198">
        <f>_xll.qlInterestRateIndexValueDate(IborIndex,X3549,Trigger)</f>
        <v>64052</v>
      </c>
      <c r="Z3549" s="199">
        <v>2.4247173222359288E-2</v>
      </c>
      <c r="AA3549" s="201">
        <v>2.4222709827297351E-2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64055</v>
      </c>
      <c r="Y3550" s="198">
        <f>_xll.qlInterestRateIndexValueDate(IborIndex,X3550,Trigger)</f>
        <v>64059</v>
      </c>
      <c r="Z3550" s="199">
        <v>2.4247173222359288E-2</v>
      </c>
      <c r="AA3550" s="201">
        <v>2.4222709827377287E-2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64062</v>
      </c>
      <c r="Y3551" s="198">
        <f>_xll.qlInterestRateIndexValueDate(IborIndex,X3551,Trigger)</f>
        <v>64067</v>
      </c>
      <c r="Z3551" s="199">
        <v>2.4247173222361869E-2</v>
      </c>
      <c r="AA3551" s="201">
        <v>2.4222709827297351E-2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64069</v>
      </c>
      <c r="Y3552" s="198">
        <f>_xll.qlInterestRateIndexValueDate(IborIndex,X3552,Trigger)</f>
        <v>64073</v>
      </c>
      <c r="Z3552" s="200">
        <v>2.4246357245321093E-2</v>
      </c>
      <c r="AA3552" s="202">
        <v>2.4222709827217415E-2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2014-01-14T15:19:46Z</dcterms:created>
  <dcterms:modified xsi:type="dcterms:W3CDTF">2015-05-12T07:38:56Z</dcterms:modified>
</cp:coreProperties>
</file>
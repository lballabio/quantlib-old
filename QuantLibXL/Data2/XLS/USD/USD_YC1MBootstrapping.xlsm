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135" windowHeight="1189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SwapsFromBasis!$P$9:$R$13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M23" i="6"/>
  <c r="D18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L3" i="11"/>
  <c r="L37" i="11"/>
  <c r="L33" i="11"/>
  <c r="L24" i="11"/>
  <c r="L12" i="11"/>
  <c r="L30" i="11"/>
  <c r="L39" i="11"/>
  <c r="L19" i="11"/>
  <c r="L15" i="11"/>
  <c r="L10" i="11"/>
  <c r="L13" i="11"/>
  <c r="L7" i="11"/>
  <c r="L16" i="11"/>
  <c r="L25" i="11"/>
  <c r="L18" i="11"/>
  <c r="L29" i="11"/>
  <c r="L26" i="11"/>
  <c r="L23" i="11"/>
  <c r="L32" i="11"/>
  <c r="L41" i="11"/>
  <c r="L34" i="11"/>
  <c r="L22" i="11"/>
  <c r="L31" i="11"/>
  <c r="L40" i="11"/>
  <c r="L20" i="11"/>
  <c r="L38" i="11"/>
  <c r="L27" i="11"/>
  <c r="L21" i="11"/>
  <c r="L5" i="11"/>
  <c r="L28" i="11"/>
  <c r="L35" i="11"/>
  <c r="L14" i="11"/>
  <c r="L9" i="11"/>
  <c r="L11" i="11"/>
  <c r="L36" i="11"/>
  <c r="L6" i="11"/>
  <c r="L8" i="11"/>
  <c r="L17" i="11"/>
  <c r="E22" i="6" l="1"/>
  <c r="D22" i="6"/>
  <c r="M15" i="6"/>
  <c r="M14" i="6"/>
  <c r="C3" i="7"/>
  <c r="C4" i="7"/>
  <c r="J1" i="11" l="1"/>
  <c r="K1" i="11" s="1"/>
  <c r="E5" i="11"/>
  <c r="E6" i="11" s="1"/>
  <c r="F5" i="11"/>
  <c r="J5" i="11" s="1"/>
  <c r="C6" i="11"/>
  <c r="C7" i="1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J1" i="9"/>
  <c r="K1" i="9" s="1"/>
  <c r="I5" i="9"/>
  <c r="K5" i="9"/>
  <c r="I6" i="9"/>
  <c r="K6" i="9"/>
  <c r="I7" i="9"/>
  <c r="K7" i="9"/>
  <c r="I8" i="9"/>
  <c r="K8" i="9"/>
  <c r="I9" i="9"/>
  <c r="K9" i="9"/>
  <c r="I10" i="9"/>
  <c r="K10" i="9"/>
  <c r="I11" i="9"/>
  <c r="K11" i="9"/>
  <c r="I12" i="9"/>
  <c r="K12" i="9"/>
  <c r="I13" i="9"/>
  <c r="K13" i="9"/>
  <c r="I14" i="9"/>
  <c r="K14" i="9"/>
  <c r="I15" i="9"/>
  <c r="K15" i="9"/>
  <c r="D1" i="7"/>
  <c r="E1" i="7" s="1"/>
  <c r="D3" i="7"/>
  <c r="D4" i="7"/>
  <c r="I5" i="11" l="1"/>
  <c r="K6" i="11"/>
  <c r="F6" i="11"/>
  <c r="E7" i="11"/>
  <c r="I6" i="11"/>
  <c r="K5" i="11"/>
  <c r="F7" i="11" l="1"/>
  <c r="J6" i="11"/>
  <c r="E8" i="11"/>
  <c r="K7" i="11"/>
  <c r="I7" i="11"/>
  <c r="B15" i="4" l="1"/>
  <c r="B16" i="4"/>
  <c r="F8" i="11"/>
  <c r="J7" i="11"/>
  <c r="E9" i="11"/>
  <c r="I8" i="11"/>
  <c r="K8" i="11"/>
  <c r="B17" i="4" l="1"/>
  <c r="F9" i="11"/>
  <c r="J8" i="11"/>
  <c r="K9" i="11"/>
  <c r="I9" i="11"/>
  <c r="E10" i="11"/>
  <c r="B18" i="4" l="1"/>
  <c r="F10" i="11"/>
  <c r="J9" i="11"/>
  <c r="E11" i="11"/>
  <c r="I10" i="11"/>
  <c r="K10" i="11"/>
  <c r="C3" i="12"/>
  <c r="C18" i="4"/>
  <c r="M3" i="11"/>
  <c r="C16" i="4"/>
  <c r="M5" i="11"/>
  <c r="M8" i="11"/>
  <c r="M7" i="11"/>
  <c r="L3" i="9"/>
  <c r="L13" i="9"/>
  <c r="C5" i="12"/>
  <c r="C4" i="12"/>
  <c r="L12" i="9"/>
  <c r="C17" i="4"/>
  <c r="X19" i="12"/>
  <c r="L11" i="9"/>
  <c r="E4" i="7"/>
  <c r="E3" i="7"/>
  <c r="M3" i="9"/>
  <c r="L10" i="9"/>
  <c r="M6" i="11"/>
  <c r="C15" i="4"/>
  <c r="L15" i="9"/>
  <c r="L9" i="9"/>
  <c r="L6" i="9"/>
  <c r="L5" i="9"/>
  <c r="L14" i="9"/>
  <c r="L8" i="9"/>
  <c r="L7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F11" i="11"/>
  <c r="J10" i="11"/>
  <c r="E12" i="11"/>
  <c r="I11" i="11"/>
  <c r="K11" i="11"/>
  <c r="D14" i="4"/>
  <c r="M12" i="9"/>
  <c r="C11" i="4"/>
  <c r="C3" i="4"/>
  <c r="X20" i="12"/>
  <c r="C10" i="4"/>
  <c r="M15" i="9"/>
  <c r="C12" i="4"/>
  <c r="M10" i="9"/>
  <c r="M8" i="9"/>
  <c r="M13" i="9"/>
  <c r="C13" i="4"/>
  <c r="F4" i="7"/>
  <c r="C4" i="4"/>
  <c r="M14" i="9"/>
  <c r="C19" i="4"/>
  <c r="M5" i="9"/>
  <c r="C8" i="4"/>
  <c r="F3" i="7"/>
  <c r="C2" i="4"/>
  <c r="C6" i="4"/>
  <c r="M9" i="11"/>
  <c r="C14" i="4"/>
  <c r="M9" i="9"/>
  <c r="M6" i="9"/>
  <c r="M7" i="9"/>
  <c r="C9" i="4"/>
  <c r="C5" i="4"/>
  <c r="C7" i="4"/>
  <c r="M11" i="9"/>
  <c r="F14" i="4" l="1"/>
  <c r="F15" i="4" s="1"/>
  <c r="C13" i="12"/>
  <c r="B20" i="4"/>
  <c r="J11" i="11"/>
  <c r="F12" i="11"/>
  <c r="E13" i="11"/>
  <c r="I12" i="11"/>
  <c r="K12" i="11"/>
  <c r="X21" i="12"/>
  <c r="B21" i="4" l="1"/>
  <c r="F13" i="11"/>
  <c r="J12" i="11"/>
  <c r="K13" i="11"/>
  <c r="I13" i="11"/>
  <c r="E14" i="11"/>
  <c r="C7" i="12"/>
  <c r="C20" i="4"/>
  <c r="M11" i="11"/>
  <c r="X22" i="12"/>
  <c r="M10" i="11"/>
  <c r="C21" i="4"/>
  <c r="C14" i="12" l="1"/>
  <c r="C8" i="12"/>
  <c r="C15" i="12"/>
  <c r="C9" i="12"/>
  <c r="C16" i="12" s="1"/>
  <c r="B22" i="4"/>
  <c r="J13" i="11"/>
  <c r="F14" i="11"/>
  <c r="E15" i="11"/>
  <c r="I14" i="11"/>
  <c r="K14" i="11"/>
  <c r="C22" i="4"/>
  <c r="M12" i="11"/>
  <c r="X23" i="12"/>
  <c r="B23" i="4" l="1"/>
  <c r="J14" i="11"/>
  <c r="F15" i="11"/>
  <c r="K15" i="11"/>
  <c r="E16" i="11"/>
  <c r="I15" i="11"/>
  <c r="X24" i="12"/>
  <c r="M13" i="11"/>
  <c r="C23" i="4"/>
  <c r="B24" i="4" l="1"/>
  <c r="F16" i="11"/>
  <c r="J15" i="11"/>
  <c r="K16" i="11"/>
  <c r="I16" i="11"/>
  <c r="E17" i="11"/>
  <c r="X25" i="12"/>
  <c r="M14" i="11"/>
  <c r="C24" i="4"/>
  <c r="B25" i="4" l="1"/>
  <c r="J16" i="11"/>
  <c r="F17" i="11"/>
  <c r="K17" i="11"/>
  <c r="E18" i="11"/>
  <c r="I17" i="11"/>
  <c r="X26" i="12"/>
  <c r="C25" i="4"/>
  <c r="M15" i="11"/>
  <c r="B26" i="4" l="1"/>
  <c r="J17" i="11"/>
  <c r="F18" i="11"/>
  <c r="E19" i="11"/>
  <c r="I18" i="11"/>
  <c r="K18" i="11"/>
  <c r="M16" i="11"/>
  <c r="C26" i="4"/>
  <c r="X27" i="12"/>
  <c r="B27" i="4" l="1"/>
  <c r="F19" i="11"/>
  <c r="J18" i="11"/>
  <c r="I19" i="11"/>
  <c r="E20" i="11"/>
  <c r="K19" i="11"/>
  <c r="M17" i="11"/>
  <c r="C27" i="4"/>
  <c r="X28" i="12"/>
  <c r="B28" i="4" l="1"/>
  <c r="F20" i="11"/>
  <c r="J19" i="11"/>
  <c r="I20" i="11"/>
  <c r="E21" i="11"/>
  <c r="K20" i="11"/>
  <c r="M18" i="11"/>
  <c r="X29" i="12"/>
  <c r="C28" i="4"/>
  <c r="B29" i="4" l="1"/>
  <c r="J20" i="11"/>
  <c r="F21" i="11"/>
  <c r="K21" i="11"/>
  <c r="E22" i="11"/>
  <c r="I21" i="11"/>
  <c r="X30" i="12"/>
  <c r="C29" i="4"/>
  <c r="M19" i="11"/>
  <c r="B30" i="4" l="1"/>
  <c r="J21" i="11"/>
  <c r="F22" i="11"/>
  <c r="E23" i="11"/>
  <c r="I22" i="11"/>
  <c r="K22" i="11"/>
  <c r="M20" i="11"/>
  <c r="C30" i="4"/>
  <c r="X31" i="12"/>
  <c r="B31" i="4" l="1"/>
  <c r="F23" i="11"/>
  <c r="J22" i="11"/>
  <c r="E24" i="11"/>
  <c r="K23" i="11"/>
  <c r="I23" i="11"/>
  <c r="M21" i="11"/>
  <c r="C31" i="4"/>
  <c r="X32" i="12"/>
  <c r="B32" i="4" l="1"/>
  <c r="F24" i="11"/>
  <c r="J23" i="11"/>
  <c r="K24" i="11"/>
  <c r="I24" i="11"/>
  <c r="E25" i="11"/>
  <c r="C32" i="4"/>
  <c r="M22" i="11"/>
  <c r="X33" i="12"/>
  <c r="B33" i="4" l="1"/>
  <c r="F25" i="11"/>
  <c r="J24" i="11"/>
  <c r="K25" i="11"/>
  <c r="E26" i="11"/>
  <c r="I25" i="11"/>
  <c r="C33" i="4"/>
  <c r="X34" i="12"/>
  <c r="M23" i="11"/>
  <c r="B34" i="4" l="1"/>
  <c r="J25" i="11"/>
  <c r="F26" i="11"/>
  <c r="E27" i="11"/>
  <c r="I26" i="11"/>
  <c r="K26" i="11"/>
  <c r="M24" i="11"/>
  <c r="C34" i="4"/>
  <c r="X35" i="12"/>
  <c r="B35" i="4" l="1"/>
  <c r="F27" i="11"/>
  <c r="J26" i="11"/>
  <c r="I27" i="11"/>
  <c r="K27" i="11"/>
  <c r="E28" i="11"/>
  <c r="X36" i="12"/>
  <c r="C35" i="4"/>
  <c r="M25" i="11"/>
  <c r="B36" i="4" l="1"/>
  <c r="J27" i="11"/>
  <c r="F28" i="11"/>
  <c r="E29" i="11"/>
  <c r="I28" i="11"/>
  <c r="K28" i="11"/>
  <c r="X37" i="12"/>
  <c r="M26" i="11"/>
  <c r="C36" i="4"/>
  <c r="B37" i="4" l="1"/>
  <c r="J28" i="11"/>
  <c r="F29" i="11"/>
  <c r="K29" i="11"/>
  <c r="I29" i="11"/>
  <c r="E30" i="11"/>
  <c r="M27" i="11"/>
  <c r="X38" i="12"/>
  <c r="C37" i="4"/>
  <c r="B38" i="4" l="1"/>
  <c r="J29" i="11"/>
  <c r="F30" i="11"/>
  <c r="E31" i="11"/>
  <c r="I30" i="11"/>
  <c r="K30" i="11"/>
  <c r="X39" i="12"/>
  <c r="M28" i="11"/>
  <c r="C38" i="4"/>
  <c r="B39" i="4" l="1"/>
  <c r="F31" i="11"/>
  <c r="J30" i="11"/>
  <c r="K31" i="11"/>
  <c r="E32" i="11"/>
  <c r="I31" i="11"/>
  <c r="X40" i="12"/>
  <c r="C39" i="4"/>
  <c r="M29" i="11"/>
  <c r="B40" i="4" l="1"/>
  <c r="J31" i="11"/>
  <c r="F32" i="11"/>
  <c r="K32" i="11"/>
  <c r="I32" i="11"/>
  <c r="E33" i="11"/>
  <c r="X41" i="12"/>
  <c r="M30" i="11"/>
  <c r="C40" i="4"/>
  <c r="B41" i="4" l="1"/>
  <c r="F33" i="11"/>
  <c r="J32" i="11"/>
  <c r="K33" i="11"/>
  <c r="E34" i="11"/>
  <c r="I33" i="11"/>
  <c r="X42" i="12"/>
  <c r="C41" i="4"/>
  <c r="M31" i="11"/>
  <c r="B42" i="4" l="1"/>
  <c r="J33" i="11"/>
  <c r="F34" i="11"/>
  <c r="E35" i="11"/>
  <c r="I34" i="11"/>
  <c r="K34" i="11"/>
  <c r="X43" i="12"/>
  <c r="M32" i="11"/>
  <c r="C42" i="4"/>
  <c r="B43" i="4" l="1"/>
  <c r="F35" i="11"/>
  <c r="J34" i="11"/>
  <c r="E36" i="11"/>
  <c r="I35" i="11"/>
  <c r="K35" i="11"/>
  <c r="C43" i="4"/>
  <c r="M33" i="11"/>
  <c r="X44" i="12"/>
  <c r="B44" i="4" l="1"/>
  <c r="F36" i="11"/>
  <c r="J35" i="11"/>
  <c r="E37" i="11"/>
  <c r="I36" i="11"/>
  <c r="K36" i="11"/>
  <c r="X45" i="12"/>
  <c r="C44" i="4"/>
  <c r="M34" i="11"/>
  <c r="B45" i="4" l="1"/>
  <c r="F37" i="11"/>
  <c r="J36" i="11"/>
  <c r="K37" i="11"/>
  <c r="I37" i="11"/>
  <c r="E38" i="11"/>
  <c r="X46" i="12"/>
  <c r="C45" i="4"/>
  <c r="M35" i="11"/>
  <c r="B46" i="4" l="1"/>
  <c r="J37" i="11"/>
  <c r="F38" i="11"/>
  <c r="E39" i="11"/>
  <c r="I38" i="11"/>
  <c r="K38" i="11"/>
  <c r="X47" i="12"/>
  <c r="C46" i="4"/>
  <c r="M36" i="11"/>
  <c r="B47" i="4" l="1"/>
  <c r="F39" i="11"/>
  <c r="J38" i="11"/>
  <c r="E40" i="11"/>
  <c r="I39" i="11"/>
  <c r="K39" i="11"/>
  <c r="X48" i="12"/>
  <c r="M37" i="11"/>
  <c r="C47" i="4"/>
  <c r="B48" i="4" l="1"/>
  <c r="F40" i="11"/>
  <c r="J39" i="11"/>
  <c r="I40" i="11"/>
  <c r="E41" i="11"/>
  <c r="K40" i="11"/>
  <c r="X49" i="12"/>
  <c r="C48" i="4"/>
  <c r="M38" i="11"/>
  <c r="B49" i="4" l="1"/>
  <c r="F41" i="11"/>
  <c r="J41" i="11" s="1"/>
  <c r="J40" i="11"/>
  <c r="I41" i="11"/>
  <c r="K41" i="11"/>
  <c r="E2" i="7"/>
  <c r="L2" i="9"/>
  <c r="C49" i="4"/>
  <c r="X50" i="12"/>
  <c r="M39" i="11"/>
  <c r="B50" i="4" l="1"/>
  <c r="D7" i="6"/>
  <c r="D8" i="6"/>
  <c r="L2" i="11"/>
  <c r="D6" i="6"/>
  <c r="X51" i="12"/>
  <c r="B1" i="6"/>
  <c r="C50" i="4"/>
  <c r="F2" i="7"/>
  <c r="M2" i="9"/>
  <c r="M40" i="11"/>
  <c r="B51" i="4" l="1"/>
  <c r="D9" i="6"/>
  <c r="D16" i="6"/>
  <c r="D20" i="6"/>
  <c r="E20" i="6"/>
  <c r="M41" i="11"/>
  <c r="X52" i="12"/>
  <c r="D21" i="6"/>
  <c r="C51" i="4"/>
  <c r="M2" i="11"/>
  <c r="E21" i="6" l="1"/>
  <c r="I30" i="4"/>
  <c r="D26" i="4"/>
  <c r="I19" i="4"/>
  <c r="X53" i="12"/>
  <c r="E25" i="4"/>
  <c r="D17" i="4"/>
  <c r="J48" i="4"/>
  <c r="J32" i="4"/>
  <c r="E46" i="4"/>
  <c r="E37" i="4"/>
  <c r="I11" i="4"/>
  <c r="E22" i="4"/>
  <c r="E23" i="4"/>
  <c r="J10" i="4"/>
  <c r="J50" i="4"/>
  <c r="E47" i="4"/>
  <c r="D50" i="4"/>
  <c r="E19" i="4"/>
  <c r="I38" i="4"/>
  <c r="J26" i="4"/>
  <c r="D9" i="4"/>
  <c r="D5" i="4"/>
  <c r="D48" i="4"/>
  <c r="E7" i="4"/>
  <c r="X54" i="12"/>
  <c r="D8" i="4"/>
  <c r="J6" i="4"/>
  <c r="D49" i="4"/>
  <c r="I20" i="4"/>
  <c r="D12" i="4"/>
  <c r="D35" i="4"/>
  <c r="E34" i="4"/>
  <c r="I28" i="4"/>
  <c r="J36" i="4"/>
  <c r="I49" i="4"/>
  <c r="E40" i="4"/>
  <c r="D15" i="4"/>
  <c r="I44" i="4"/>
  <c r="I5" i="4"/>
  <c r="J40" i="4"/>
  <c r="I3" i="4"/>
  <c r="D2" i="4"/>
  <c r="J18" i="4"/>
  <c r="I18" i="4"/>
  <c r="I29" i="4"/>
  <c r="E5" i="4"/>
  <c r="E16" i="4"/>
  <c r="E15" i="4"/>
  <c r="J37" i="4"/>
  <c r="I14" i="4"/>
  <c r="E6" i="4"/>
  <c r="J13" i="4"/>
  <c r="J12" i="4"/>
  <c r="J34" i="4"/>
  <c r="D33" i="4"/>
  <c r="D11" i="4"/>
  <c r="I45" i="4"/>
  <c r="I34" i="4"/>
  <c r="E39" i="4"/>
  <c r="J11" i="4"/>
  <c r="J42" i="4"/>
  <c r="I42" i="4"/>
  <c r="D24" i="4"/>
  <c r="J5" i="4"/>
  <c r="D41" i="4"/>
  <c r="J24" i="4"/>
  <c r="I4" i="4"/>
  <c r="E20" i="4"/>
  <c r="D37" i="4"/>
  <c r="E13" i="4"/>
  <c r="J41" i="4"/>
  <c r="D22" i="4"/>
  <c r="D27" i="4"/>
  <c r="J51" i="4"/>
  <c r="D20" i="4"/>
  <c r="J4" i="4"/>
  <c r="D18" i="4"/>
  <c r="E27" i="4"/>
  <c r="J39" i="4"/>
  <c r="I33" i="4"/>
  <c r="J33" i="4"/>
  <c r="I35" i="4"/>
  <c r="I9" i="4"/>
  <c r="I50" i="4"/>
  <c r="I41" i="4"/>
  <c r="I6" i="4"/>
  <c r="E42" i="4"/>
  <c r="D28" i="4"/>
  <c r="D3" i="4"/>
  <c r="J17" i="4"/>
  <c r="I27" i="4"/>
  <c r="I26" i="4"/>
  <c r="D36" i="4"/>
  <c r="I46" i="4"/>
  <c r="J15" i="4"/>
  <c r="I12" i="4"/>
  <c r="I23" i="4"/>
  <c r="D30" i="4"/>
  <c r="I10" i="4"/>
  <c r="I8" i="4"/>
  <c r="D19" i="4"/>
  <c r="J43" i="4"/>
  <c r="D13" i="4"/>
  <c r="D46" i="4"/>
  <c r="I17" i="4"/>
  <c r="E32" i="4"/>
  <c r="J7" i="4"/>
  <c r="E18" i="4"/>
  <c r="D39" i="4"/>
  <c r="J3" i="4"/>
  <c r="D47" i="4"/>
  <c r="J44" i="4"/>
  <c r="I16" i="4"/>
  <c r="E43" i="4"/>
  <c r="I15" i="4"/>
  <c r="J25" i="4"/>
  <c r="E35" i="4"/>
  <c r="X55" i="12"/>
  <c r="X56" i="12" s="1"/>
  <c r="X57" i="12" s="1"/>
  <c r="X58" i="12" s="1"/>
  <c r="I48" i="4"/>
  <c r="I31" i="4"/>
  <c r="D42" i="4"/>
  <c r="D44" i="4"/>
  <c r="J21" i="4"/>
  <c r="E41" i="4"/>
  <c r="J45" i="4"/>
  <c r="I43" i="4"/>
  <c r="E36" i="4"/>
  <c r="J9" i="4"/>
  <c r="I40" i="4"/>
  <c r="I13" i="4"/>
  <c r="E51" i="4"/>
  <c r="D25" i="4"/>
  <c r="E17" i="4"/>
  <c r="J28" i="4"/>
  <c r="J19" i="4"/>
  <c r="E9" i="4"/>
  <c r="I51" i="4"/>
  <c r="E11" i="4"/>
  <c r="D21" i="4"/>
  <c r="J49" i="4"/>
  <c r="E49" i="4"/>
  <c r="J31" i="4"/>
  <c r="E38" i="4"/>
  <c r="D51" i="4"/>
  <c r="I39" i="4"/>
  <c r="D43" i="4"/>
  <c r="E28" i="4"/>
  <c r="D6" i="4"/>
  <c r="E10" i="4"/>
  <c r="J22" i="4"/>
  <c r="J46" i="4"/>
  <c r="J14" i="4"/>
  <c r="E8" i="4"/>
  <c r="J29" i="4"/>
  <c r="J30" i="4"/>
  <c r="I25" i="4"/>
  <c r="D16" i="4"/>
  <c r="J8" i="4"/>
  <c r="J2" i="4"/>
  <c r="D32" i="4"/>
  <c r="J16" i="4"/>
  <c r="D7" i="4"/>
  <c r="E12" i="4"/>
  <c r="I21" i="4"/>
  <c r="E4" i="4"/>
  <c r="E50" i="4"/>
  <c r="I7" i="4"/>
  <c r="J38" i="4"/>
  <c r="D23" i="4"/>
  <c r="I32" i="4"/>
  <c r="E21" i="4"/>
  <c r="E31" i="4"/>
  <c r="E24" i="4"/>
  <c r="I2" i="4"/>
  <c r="I22" i="4"/>
  <c r="J23" i="4"/>
  <c r="D4" i="4"/>
  <c r="I37" i="4"/>
  <c r="E30" i="4"/>
  <c r="I36" i="4"/>
  <c r="D31" i="4"/>
  <c r="E29" i="4"/>
  <c r="I24" i="4"/>
  <c r="E26" i="4"/>
  <c r="J27" i="4"/>
  <c r="J47" i="4"/>
  <c r="E14" i="4"/>
  <c r="D45" i="4"/>
  <c r="E45" i="4"/>
  <c r="E44" i="4"/>
  <c r="D38" i="4"/>
  <c r="E33" i="4"/>
  <c r="D34" i="4"/>
  <c r="D10" i="4"/>
  <c r="E48" i="4"/>
  <c r="J20" i="4"/>
  <c r="D29" i="4"/>
  <c r="J35" i="4"/>
  <c r="D40" i="4"/>
  <c r="I47" i="4"/>
  <c r="F3" i="4" l="1"/>
  <c r="F2" i="4"/>
  <c r="F50" i="4"/>
  <c r="F49" i="4"/>
  <c r="X59" i="12"/>
  <c r="M19" i="12" a="1"/>
  <c r="D2" i="5" a="1"/>
  <c r="X60" i="12"/>
  <c r="X61" i="12"/>
  <c r="D34" i="5" l="1"/>
  <c r="D103" i="5"/>
  <c r="D7" i="5"/>
  <c r="D65" i="5"/>
  <c r="D126" i="5"/>
  <c r="D95" i="5"/>
  <c r="D60" i="5"/>
  <c r="D45" i="5"/>
  <c r="D28" i="5"/>
  <c r="D78" i="5"/>
  <c r="D83" i="5"/>
  <c r="D57" i="5"/>
  <c r="D64" i="5"/>
  <c r="D21" i="5"/>
  <c r="D92" i="5"/>
  <c r="D55" i="5"/>
  <c r="D61" i="5"/>
  <c r="D22" i="5"/>
  <c r="D123" i="5"/>
  <c r="D49" i="5"/>
  <c r="D48" i="5"/>
  <c r="D119" i="5"/>
  <c r="D99" i="5"/>
  <c r="D70" i="5"/>
  <c r="D89" i="5"/>
  <c r="D58" i="5"/>
  <c r="D39" i="5"/>
  <c r="D69" i="5"/>
  <c r="D31" i="5"/>
  <c r="D24" i="5"/>
  <c r="D4" i="5"/>
  <c r="D80" i="5"/>
  <c r="D13" i="5"/>
  <c r="D124" i="5"/>
  <c r="D113" i="5"/>
  <c r="D72" i="5"/>
  <c r="D87" i="5"/>
  <c r="D94" i="5"/>
  <c r="D109" i="5"/>
  <c r="D38" i="5"/>
  <c r="D100" i="5"/>
  <c r="D54" i="5"/>
  <c r="D110" i="5"/>
  <c r="D90" i="5"/>
  <c r="D118" i="5"/>
  <c r="D35" i="5"/>
  <c r="D116" i="5"/>
  <c r="D62" i="5"/>
  <c r="D36" i="5"/>
  <c r="D50" i="5"/>
  <c r="D117" i="5"/>
  <c r="D17" i="5"/>
  <c r="D37" i="5"/>
  <c r="D122" i="5"/>
  <c r="D102" i="5"/>
  <c r="D96" i="5"/>
  <c r="D77" i="5"/>
  <c r="D44" i="5"/>
  <c r="D32" i="5"/>
  <c r="D79" i="5"/>
  <c r="D53" i="5"/>
  <c r="D51" i="5"/>
  <c r="D3" i="5"/>
  <c r="D111" i="5"/>
  <c r="D16" i="5"/>
  <c r="D85" i="5"/>
  <c r="D63" i="5"/>
  <c r="D25" i="5"/>
  <c r="D41" i="5"/>
  <c r="D5" i="5"/>
  <c r="D9" i="5"/>
  <c r="D10" i="5"/>
  <c r="D76" i="5"/>
  <c r="D2" i="5"/>
  <c r="D11" i="5"/>
  <c r="D26" i="5"/>
  <c r="D115" i="5"/>
  <c r="D105" i="5"/>
  <c r="D40" i="5"/>
  <c r="D97" i="5"/>
  <c r="D101" i="5"/>
  <c r="D86" i="5"/>
  <c r="D91" i="5"/>
  <c r="D18" i="5"/>
  <c r="D73" i="5"/>
  <c r="D71" i="5"/>
  <c r="D98" i="5"/>
  <c r="D114" i="5"/>
  <c r="D47" i="5"/>
  <c r="D75" i="5"/>
  <c r="D46" i="5"/>
  <c r="D15" i="5"/>
  <c r="D8" i="5"/>
  <c r="D106" i="5"/>
  <c r="D88" i="5"/>
  <c r="D112" i="5"/>
  <c r="D107" i="5"/>
  <c r="D6" i="5"/>
  <c r="D74" i="5"/>
  <c r="D121" i="5"/>
  <c r="D23" i="5"/>
  <c r="D82" i="5"/>
  <c r="D43" i="5"/>
  <c r="D12" i="5"/>
  <c r="D104" i="5"/>
  <c r="D33" i="5"/>
  <c r="D81" i="5"/>
  <c r="D20" i="5"/>
  <c r="D14" i="5"/>
  <c r="D19" i="5"/>
  <c r="D125" i="5"/>
  <c r="D66" i="5"/>
  <c r="D30" i="5"/>
  <c r="D29" i="5"/>
  <c r="D59" i="5"/>
  <c r="D84" i="5"/>
  <c r="D27" i="5"/>
  <c r="D93" i="5"/>
  <c r="D67" i="5"/>
  <c r="D108" i="5"/>
  <c r="D42" i="5"/>
  <c r="D52" i="5"/>
  <c r="D56" i="5"/>
  <c r="D68" i="5"/>
  <c r="D120" i="5"/>
  <c r="M24" i="12"/>
  <c r="M26" i="12"/>
  <c r="M29" i="12"/>
  <c r="M28" i="12"/>
  <c r="M19" i="12"/>
  <c r="M23" i="12"/>
  <c r="M30" i="12"/>
  <c r="M22" i="12"/>
  <c r="M20" i="12"/>
  <c r="M21" i="12"/>
  <c r="M25" i="12"/>
  <c r="M27" i="12"/>
  <c r="X62" i="12"/>
  <c r="F28" i="5"/>
  <c r="E61" i="5"/>
  <c r="F13" i="5"/>
  <c r="E36" i="5"/>
  <c r="E77" i="5"/>
  <c r="H76" i="5"/>
  <c r="G101" i="5"/>
  <c r="I107" i="5"/>
  <c r="F30" i="5"/>
  <c r="F42" i="5"/>
  <c r="G103" i="5"/>
  <c r="G22" i="5"/>
  <c r="H58" i="5"/>
  <c r="I54" i="5"/>
  <c r="I50" i="5"/>
  <c r="I85" i="5"/>
  <c r="F2" i="5"/>
  <c r="G75" i="5"/>
  <c r="F33" i="5"/>
  <c r="G29" i="5"/>
  <c r="O22" i="12"/>
  <c r="E83" i="5"/>
  <c r="G39" i="5"/>
  <c r="H113" i="5"/>
  <c r="G117" i="5"/>
  <c r="F32" i="5"/>
  <c r="I11" i="5"/>
  <c r="G46" i="5"/>
  <c r="E74" i="5"/>
  <c r="F59" i="5"/>
  <c r="E56" i="5"/>
  <c r="E65" i="5"/>
  <c r="G49" i="5"/>
  <c r="G72" i="5"/>
  <c r="G90" i="5"/>
  <c r="G79" i="5"/>
  <c r="I25" i="5"/>
  <c r="E18" i="5"/>
  <c r="F121" i="5"/>
  <c r="G20" i="5"/>
  <c r="F68" i="5"/>
  <c r="I126" i="5"/>
  <c r="H48" i="5"/>
  <c r="G31" i="5"/>
  <c r="H118" i="5"/>
  <c r="H37" i="5"/>
  <c r="F41" i="5"/>
  <c r="G73" i="5"/>
  <c r="H8" i="5"/>
  <c r="F14" i="5"/>
  <c r="F27" i="5"/>
  <c r="H21" i="5"/>
  <c r="H24" i="5"/>
  <c r="G94" i="5"/>
  <c r="G122" i="5"/>
  <c r="F51" i="5"/>
  <c r="I105" i="5"/>
  <c r="E106" i="5"/>
  <c r="F82" i="5"/>
  <c r="G93" i="5"/>
  <c r="H60" i="5"/>
  <c r="E92" i="5"/>
  <c r="H4" i="5"/>
  <c r="F109" i="5"/>
  <c r="E102" i="5"/>
  <c r="H9" i="5"/>
  <c r="I40" i="5"/>
  <c r="H88" i="5"/>
  <c r="G43" i="5"/>
  <c r="H67" i="5"/>
  <c r="I45" i="5"/>
  <c r="H55" i="5"/>
  <c r="H80" i="5"/>
  <c r="I62" i="5"/>
  <c r="F96" i="5"/>
  <c r="G10" i="5"/>
  <c r="H97" i="5"/>
  <c r="I112" i="5"/>
  <c r="H66" i="5"/>
  <c r="I108" i="5"/>
  <c r="H28" i="5"/>
  <c r="E89" i="5"/>
  <c r="E13" i="5"/>
  <c r="F36" i="5"/>
  <c r="F77" i="5"/>
  <c r="E76" i="5"/>
  <c r="G47" i="5"/>
  <c r="E107" i="5"/>
  <c r="I30" i="5"/>
  <c r="G42" i="5"/>
  <c r="E103" i="5"/>
  <c r="F22" i="5"/>
  <c r="I58" i="5"/>
  <c r="H54" i="5"/>
  <c r="I44" i="5"/>
  <c r="E85" i="5"/>
  <c r="F86" i="5"/>
  <c r="H75" i="5"/>
  <c r="E33" i="5"/>
  <c r="E29" i="5"/>
  <c r="F7" i="5"/>
  <c r="F83" i="5"/>
  <c r="E39" i="5"/>
  <c r="F113" i="5"/>
  <c r="E117" i="5"/>
  <c r="G63" i="5"/>
  <c r="G11" i="5"/>
  <c r="I46" i="5"/>
  <c r="E59" i="5"/>
  <c r="O24" i="12"/>
  <c r="I57" i="5"/>
  <c r="F49" i="5"/>
  <c r="F72" i="5"/>
  <c r="H90" i="5"/>
  <c r="E79" i="5"/>
  <c r="E26" i="5"/>
  <c r="G18" i="5"/>
  <c r="H121" i="5"/>
  <c r="E20" i="5"/>
  <c r="H68" i="5"/>
  <c r="F126" i="5"/>
  <c r="G48" i="5"/>
  <c r="F31" i="5"/>
  <c r="I118" i="5"/>
  <c r="F53" i="5"/>
  <c r="I74" i="5"/>
  <c r="G34" i="5"/>
  <c r="F61" i="5"/>
  <c r="I13" i="5"/>
  <c r="I36" i="5"/>
  <c r="I16" i="5"/>
  <c r="H101" i="5"/>
  <c r="F107" i="5"/>
  <c r="H30" i="5"/>
  <c r="H103" i="5"/>
  <c r="I22" i="5"/>
  <c r="F124" i="5"/>
  <c r="E50" i="5"/>
  <c r="F85" i="5"/>
  <c r="G86" i="5"/>
  <c r="H6" i="5"/>
  <c r="H52" i="5"/>
  <c r="E7" i="5"/>
  <c r="E123" i="5"/>
  <c r="I110" i="5"/>
  <c r="E32" i="5"/>
  <c r="H11" i="5"/>
  <c r="E46" i="5"/>
  <c r="H81" i="5"/>
  <c r="G56" i="5"/>
  <c r="E57" i="5"/>
  <c r="G69" i="5"/>
  <c r="I90" i="5"/>
  <c r="F79" i="5"/>
  <c r="H26" i="5"/>
  <c r="F15" i="5"/>
  <c r="G84" i="5"/>
  <c r="N29" i="12"/>
  <c r="F64" i="5"/>
  <c r="I87" i="5"/>
  <c r="E37" i="5"/>
  <c r="E41" i="5"/>
  <c r="H115" i="5"/>
  <c r="E8" i="5"/>
  <c r="E14" i="5"/>
  <c r="E120" i="5"/>
  <c r="H95" i="5"/>
  <c r="H119" i="5"/>
  <c r="F94" i="5"/>
  <c r="F122" i="5"/>
  <c r="E5" i="5"/>
  <c r="H105" i="5"/>
  <c r="I106" i="5"/>
  <c r="H19" i="5"/>
  <c r="O28" i="12"/>
  <c r="H92" i="5"/>
  <c r="F4" i="5"/>
  <c r="F116" i="5"/>
  <c r="H102" i="5"/>
  <c r="E9" i="5"/>
  <c r="H98" i="5"/>
  <c r="H43" i="5"/>
  <c r="G67" i="5"/>
  <c r="G45" i="5"/>
  <c r="G70" i="5"/>
  <c r="I80" i="5"/>
  <c r="H62" i="5"/>
  <c r="E111" i="5"/>
  <c r="G97" i="5"/>
  <c r="E112" i="5"/>
  <c r="E12" i="5"/>
  <c r="H108" i="5"/>
  <c r="H61" i="5"/>
  <c r="G13" i="5"/>
  <c r="H36" i="5"/>
  <c r="I101" i="5"/>
  <c r="H104" i="5"/>
  <c r="F103" i="5"/>
  <c r="H22" i="5"/>
  <c r="E124" i="5"/>
  <c r="E2" i="5"/>
  <c r="H86" i="5"/>
  <c r="F6" i="5"/>
  <c r="G52" i="5"/>
  <c r="H123" i="5"/>
  <c r="E110" i="5"/>
  <c r="E11" i="5"/>
  <c r="F46" i="5"/>
  <c r="E81" i="5"/>
  <c r="G57" i="5"/>
  <c r="E69" i="5"/>
  <c r="I79" i="5"/>
  <c r="G26" i="5"/>
  <c r="E84" i="5"/>
  <c r="H64" i="5"/>
  <c r="E87" i="5"/>
  <c r="F37" i="5"/>
  <c r="I41" i="5"/>
  <c r="I73" i="5"/>
  <c r="I14" i="5"/>
  <c r="H120" i="5"/>
  <c r="F95" i="5"/>
  <c r="E119" i="5"/>
  <c r="I122" i="5"/>
  <c r="H5" i="5"/>
  <c r="I71" i="5"/>
  <c r="E19" i="5"/>
  <c r="N25" i="12"/>
  <c r="G4" i="5"/>
  <c r="G3" i="5"/>
  <c r="G98" i="5"/>
  <c r="E67" i="5"/>
  <c r="E45" i="5"/>
  <c r="E38" i="5"/>
  <c r="F111" i="5"/>
  <c r="F97" i="5"/>
  <c r="F66" i="5"/>
  <c r="E34" i="5"/>
  <c r="H13" i="5"/>
  <c r="G36" i="5"/>
  <c r="E16" i="5"/>
  <c r="F47" i="5"/>
  <c r="E42" i="5"/>
  <c r="I103" i="5"/>
  <c r="H124" i="5"/>
  <c r="I2" i="5"/>
  <c r="H33" i="5"/>
  <c r="H83" i="5"/>
  <c r="G110" i="5"/>
  <c r="F11" i="5"/>
  <c r="I81" i="5"/>
  <c r="F57" i="5"/>
  <c r="E17" i="5"/>
  <c r="H25" i="5"/>
  <c r="I121" i="5"/>
  <c r="G126" i="5"/>
  <c r="F87" i="5"/>
  <c r="G41" i="5"/>
  <c r="H27" i="5"/>
  <c r="I21" i="5"/>
  <c r="H94" i="5"/>
  <c r="G5" i="5"/>
  <c r="I19" i="5"/>
  <c r="G92" i="5"/>
  <c r="E4" i="5"/>
  <c r="H3" i="5"/>
  <c r="G40" i="5"/>
  <c r="F43" i="5"/>
  <c r="F45" i="5"/>
  <c r="I38" i="5"/>
  <c r="G111" i="5"/>
  <c r="G112" i="5"/>
  <c r="F34" i="5"/>
  <c r="I100" i="5"/>
  <c r="I77" i="5"/>
  <c r="G76" i="5"/>
  <c r="I104" i="5"/>
  <c r="F78" i="5"/>
  <c r="F54" i="5"/>
  <c r="G2" i="5"/>
  <c r="G33" i="5"/>
  <c r="F110" i="5"/>
  <c r="F91" i="5"/>
  <c r="G59" i="5"/>
  <c r="H57" i="5"/>
  <c r="F69" i="5"/>
  <c r="F17" i="5"/>
  <c r="E25" i="5"/>
  <c r="E121" i="5"/>
  <c r="H126" i="5"/>
  <c r="H87" i="5"/>
  <c r="F73" i="5"/>
  <c r="G23" i="5"/>
  <c r="F21" i="5"/>
  <c r="H122" i="5"/>
  <c r="G71" i="5"/>
  <c r="G60" i="5"/>
  <c r="F3" i="5"/>
  <c r="I67" i="5"/>
  <c r="E96" i="5"/>
  <c r="F112" i="5"/>
  <c r="H34" i="5"/>
  <c r="H77" i="5"/>
  <c r="H47" i="5"/>
  <c r="H78" i="5"/>
  <c r="E54" i="5"/>
  <c r="I33" i="5"/>
  <c r="I83" i="5"/>
  <c r="H110" i="5"/>
  <c r="H91" i="5"/>
  <c r="G65" i="5"/>
  <c r="I17" i="5"/>
  <c r="G121" i="5"/>
  <c r="E48" i="5"/>
  <c r="I115" i="5"/>
  <c r="F23" i="5"/>
  <c r="G21" i="5"/>
  <c r="I51" i="5"/>
  <c r="I5" i="5"/>
  <c r="I93" i="5"/>
  <c r="G99" i="5"/>
  <c r="E3" i="5"/>
  <c r="I125" i="5"/>
  <c r="I70" i="5"/>
  <c r="F10" i="5"/>
  <c r="H12" i="5"/>
  <c r="G100" i="5"/>
  <c r="E47" i="5"/>
  <c r="G78" i="5"/>
  <c r="G54" i="5"/>
  <c r="I6" i="5"/>
  <c r="F123" i="5"/>
  <c r="F63" i="5"/>
  <c r="H59" i="5"/>
  <c r="E72" i="5"/>
  <c r="G15" i="5"/>
  <c r="G64" i="5"/>
  <c r="E115" i="5"/>
  <c r="G27" i="5"/>
  <c r="E24" i="5"/>
  <c r="G51" i="5"/>
  <c r="H93" i="5"/>
  <c r="E109" i="5"/>
  <c r="H40" i="5"/>
  <c r="O27" i="12"/>
  <c r="I96" i="5"/>
  <c r="I12" i="5"/>
  <c r="G28" i="5"/>
  <c r="H16" i="5"/>
  <c r="G107" i="5"/>
  <c r="E78" i="5"/>
  <c r="G85" i="5"/>
  <c r="G7" i="5"/>
  <c r="H117" i="5"/>
  <c r="F56" i="5"/>
  <c r="H49" i="5"/>
  <c r="I34" i="5"/>
  <c r="F16" i="5"/>
  <c r="I42" i="5"/>
  <c r="G50" i="5"/>
  <c r="H7" i="5"/>
  <c r="G32" i="5"/>
  <c r="H56" i="5"/>
  <c r="E90" i="5"/>
  <c r="E15" i="5"/>
  <c r="O29" i="12"/>
  <c r="H23" i="5"/>
  <c r="I94" i="5"/>
  <c r="F106" i="5"/>
  <c r="I92" i="5"/>
  <c r="I116" i="5"/>
  <c r="G9" i="5"/>
  <c r="E43" i="5"/>
  <c r="H70" i="5"/>
  <c r="E62" i="5"/>
  <c r="H112" i="5"/>
  <c r="O26" i="12"/>
  <c r="G61" i="5"/>
  <c r="G104" i="5"/>
  <c r="E22" i="5"/>
  <c r="F44" i="5"/>
  <c r="E75" i="5"/>
  <c r="F52" i="5"/>
  <c r="F39" i="5"/>
  <c r="H32" i="5"/>
  <c r="H46" i="5"/>
  <c r="N24" i="12"/>
  <c r="I69" i="5"/>
  <c r="F18" i="5"/>
  <c r="H84" i="5"/>
  <c r="I48" i="5"/>
  <c r="I37" i="5"/>
  <c r="H73" i="5"/>
  <c r="I23" i="5"/>
  <c r="F120" i="5"/>
  <c r="I119" i="5"/>
  <c r="E122" i="5"/>
  <c r="H71" i="5"/>
  <c r="G82" i="5"/>
  <c r="O25" i="12"/>
  <c r="H116" i="5"/>
  <c r="E98" i="5"/>
  <c r="F67" i="5"/>
  <c r="F70" i="5"/>
  <c r="H96" i="5"/>
  <c r="E97" i="5"/>
  <c r="E66" i="5"/>
  <c r="N26" i="12"/>
  <c r="I61" i="5"/>
  <c r="I47" i="5"/>
  <c r="H42" i="5"/>
  <c r="E58" i="5"/>
  <c r="G44" i="5"/>
  <c r="I75" i="5"/>
  <c r="I52" i="5"/>
  <c r="H39" i="5"/>
  <c r="I32" i="5"/>
  <c r="G74" i="5"/>
  <c r="I18" i="5"/>
  <c r="F48" i="5"/>
  <c r="G37" i="5"/>
  <c r="E27" i="5"/>
  <c r="E35" i="5"/>
  <c r="F5" i="5"/>
  <c r="F93" i="5"/>
  <c r="I4" i="5"/>
  <c r="E40" i="5"/>
  <c r="H125" i="5"/>
  <c r="E70" i="5"/>
  <c r="I114" i="5"/>
  <c r="O20" i="12"/>
  <c r="H89" i="5"/>
  <c r="N19" i="12"/>
  <c r="H44" i="5"/>
  <c r="F75" i="5"/>
  <c r="E52" i="5"/>
  <c r="I63" i="5"/>
  <c r="I59" i="5"/>
  <c r="I72" i="5"/>
  <c r="G25" i="5"/>
  <c r="E126" i="5"/>
  <c r="H53" i="5"/>
  <c r="I27" i="5"/>
  <c r="F24" i="5"/>
  <c r="G35" i="5"/>
  <c r="E71" i="5"/>
  <c r="F60" i="5"/>
  <c r="G116" i="5"/>
  <c r="F40" i="5"/>
  <c r="N27" i="12"/>
  <c r="F38" i="5"/>
  <c r="H114" i="5"/>
  <c r="N20" i="12"/>
  <c r="F89" i="5"/>
  <c r="F76" i="5"/>
  <c r="O19" i="12"/>
  <c r="E44" i="5"/>
  <c r="I29" i="5"/>
  <c r="E113" i="5"/>
  <c r="E91" i="5"/>
  <c r="F65" i="5"/>
  <c r="G17" i="5"/>
  <c r="F20" i="5"/>
  <c r="I31" i="5"/>
  <c r="I53" i="5"/>
  <c r="E23" i="5"/>
  <c r="E21" i="5"/>
  <c r="G105" i="5"/>
  <c r="I60" i="5"/>
  <c r="G102" i="5"/>
  <c r="I88" i="5"/>
  <c r="F55" i="5"/>
  <c r="G38" i="5"/>
  <c r="E114" i="5"/>
  <c r="G89" i="5"/>
  <c r="E30" i="5"/>
  <c r="I124" i="5"/>
  <c r="E86" i="5"/>
  <c r="H29" i="5"/>
  <c r="G123" i="5"/>
  <c r="E63" i="5"/>
  <c r="G81" i="5"/>
  <c r="G83" i="5"/>
  <c r="I84" i="5"/>
  <c r="H41" i="5"/>
  <c r="N21" i="12"/>
  <c r="G24" i="5"/>
  <c r="I82" i="5"/>
  <c r="I99" i="5"/>
  <c r="E116" i="5"/>
  <c r="F88" i="5"/>
  <c r="H45" i="5"/>
  <c r="H38" i="5"/>
  <c r="E10" i="5"/>
  <c r="G66" i="5"/>
  <c r="H100" i="5"/>
  <c r="I76" i="5"/>
  <c r="E104" i="5"/>
  <c r="G58" i="5"/>
  <c r="B6" i="5"/>
  <c r="I39" i="5"/>
  <c r="F74" i="5"/>
  <c r="I49" i="5"/>
  <c r="H18" i="5"/>
  <c r="F84" i="5"/>
  <c r="G87" i="5"/>
  <c r="E73" i="5"/>
  <c r="O21" i="12"/>
  <c r="E82" i="5"/>
  <c r="G109" i="5"/>
  <c r="E88" i="5"/>
  <c r="I55" i="5"/>
  <c r="G96" i="5"/>
  <c r="I66" i="5"/>
  <c r="E28" i="5"/>
  <c r="G77" i="5"/>
  <c r="F104" i="5"/>
  <c r="F58" i="5"/>
  <c r="H2" i="5"/>
  <c r="N22" i="12"/>
  <c r="I117" i="5"/>
  <c r="H74" i="5"/>
  <c r="E49" i="5"/>
  <c r="F25" i="5"/>
  <c r="I68" i="5"/>
  <c r="E118" i="5"/>
  <c r="F8" i="5"/>
  <c r="E95" i="5"/>
  <c r="I35" i="5"/>
  <c r="F71" i="5"/>
  <c r="H99" i="5"/>
  <c r="I3" i="5"/>
  <c r="F125" i="5"/>
  <c r="F80" i="5"/>
  <c r="I10" i="5"/>
  <c r="E108" i="5"/>
  <c r="F100" i="5"/>
  <c r="E101" i="5"/>
  <c r="N23" i="12"/>
  <c r="F50" i="5"/>
  <c r="G6" i="5"/>
  <c r="I113" i="5"/>
  <c r="I91" i="5"/>
  <c r="H65" i="5"/>
  <c r="H72" i="5"/>
  <c r="H82" i="5"/>
  <c r="O23" i="12"/>
  <c r="I7" i="5"/>
  <c r="I65" i="5"/>
  <c r="I15" i="5"/>
  <c r="H31" i="5"/>
  <c r="G8" i="5"/>
  <c r="G119" i="5"/>
  <c r="F105" i="5"/>
  <c r="F92" i="5"/>
  <c r="F9" i="5"/>
  <c r="O30" i="12"/>
  <c r="H111" i="5"/>
  <c r="G108" i="5"/>
  <c r="I28" i="5"/>
  <c r="I78" i="5"/>
  <c r="I123" i="5"/>
  <c r="H69" i="5"/>
  <c r="H20" i="5"/>
  <c r="G118" i="5"/>
  <c r="H14" i="5"/>
  <c r="I24" i="5"/>
  <c r="H106" i="5"/>
  <c r="F99" i="5"/>
  <c r="I98" i="5"/>
  <c r="G55" i="5"/>
  <c r="H10" i="5"/>
  <c r="I89" i="5"/>
  <c r="G124" i="5"/>
  <c r="G113" i="5"/>
  <c r="F90" i="5"/>
  <c r="I20" i="5"/>
  <c r="F118" i="5"/>
  <c r="G14" i="5"/>
  <c r="E94" i="5"/>
  <c r="G106" i="5"/>
  <c r="F98" i="5"/>
  <c r="E55" i="5"/>
  <c r="I97" i="5"/>
  <c r="E100" i="5"/>
  <c r="H50" i="5"/>
  <c r="F117" i="5"/>
  <c r="H17" i="5"/>
  <c r="E68" i="5"/>
  <c r="G53" i="5"/>
  <c r="H35" i="5"/>
  <c r="F19" i="5"/>
  <c r="I109" i="5"/>
  <c r="E80" i="5"/>
  <c r="F114" i="5"/>
  <c r="G16" i="5"/>
  <c r="H79" i="5"/>
  <c r="E53" i="5"/>
  <c r="G120" i="5"/>
  <c r="H109" i="5"/>
  <c r="G80" i="5"/>
  <c r="F101" i="5"/>
  <c r="I26" i="5"/>
  <c r="G115" i="5"/>
  <c r="E125" i="5"/>
  <c r="H107" i="5"/>
  <c r="F26" i="5"/>
  <c r="G95" i="5"/>
  <c r="G125" i="5"/>
  <c r="G30" i="5"/>
  <c r="E31" i="5"/>
  <c r="E60" i="5"/>
  <c r="I111" i="5"/>
  <c r="I120" i="5"/>
  <c r="I43" i="5"/>
  <c r="G91" i="5"/>
  <c r="I95" i="5"/>
  <c r="E93" i="5"/>
  <c r="G62" i="5"/>
  <c r="F81" i="5"/>
  <c r="F115" i="5"/>
  <c r="N28" i="12"/>
  <c r="G12" i="5"/>
  <c r="I56" i="5"/>
  <c r="I8" i="5"/>
  <c r="E105" i="5"/>
  <c r="N30" i="12"/>
  <c r="E99" i="5"/>
  <c r="G88" i="5"/>
  <c r="H85" i="5"/>
  <c r="H63" i="5"/>
  <c r="G68" i="5"/>
  <c r="F35" i="5"/>
  <c r="G19" i="5"/>
  <c r="G114" i="5"/>
  <c r="I86" i="5"/>
  <c r="E64" i="5"/>
  <c r="E51" i="5"/>
  <c r="F102" i="5"/>
  <c r="F12" i="5"/>
  <c r="E6" i="5"/>
  <c r="I64" i="5"/>
  <c r="H51" i="5"/>
  <c r="I102" i="5"/>
  <c r="F62" i="5"/>
  <c r="F29" i="5"/>
  <c r="H15" i="5"/>
  <c r="F119" i="5"/>
  <c r="I9" i="5"/>
  <c r="F108" i="5"/>
  <c r="Q20" i="12" l="1"/>
  <c r="Q26" i="12"/>
  <c r="Q30" i="12"/>
  <c r="Q27" i="12"/>
  <c r="Q25" i="12"/>
  <c r="Q28" i="12"/>
  <c r="Q21" i="12"/>
  <c r="Q29" i="12"/>
  <c r="Q24" i="12"/>
  <c r="Q22" i="12"/>
  <c r="Q23" i="12"/>
  <c r="Q19" i="12"/>
  <c r="X63" i="12"/>
  <c r="X64" i="12"/>
  <c r="X65" i="12" s="1"/>
  <c r="D14" i="6"/>
  <c r="P21" i="12"/>
  <c r="P30" i="12"/>
  <c r="P29" i="12"/>
  <c r="D31" i="6"/>
  <c r="P24" i="12"/>
  <c r="C28" i="6"/>
  <c r="J1" i="5" a="1"/>
  <c r="P20" i="12"/>
  <c r="Z17" i="12"/>
  <c r="Y54" i="12"/>
  <c r="Y31" i="12"/>
  <c r="Y20" i="12"/>
  <c r="Y53" i="12"/>
  <c r="P25" i="12"/>
  <c r="R19" i="12"/>
  <c r="C27" i="6"/>
  <c r="P27" i="12"/>
  <c r="Y51" i="12"/>
  <c r="Y26" i="12"/>
  <c r="Y56" i="12"/>
  <c r="Y39" i="12"/>
  <c r="Y42" i="12"/>
  <c r="Y19" i="12"/>
  <c r="R27" i="12"/>
  <c r="P23" i="12"/>
  <c r="Y24" i="12"/>
  <c r="Y33" i="12"/>
  <c r="R23" i="12"/>
  <c r="Y61" i="12"/>
  <c r="AA17" i="12"/>
  <c r="Y28" i="12"/>
  <c r="Y30" i="12"/>
  <c r="R30" i="12"/>
  <c r="P22" i="12"/>
  <c r="Y34" i="12"/>
  <c r="Y59" i="12"/>
  <c r="R22" i="12"/>
  <c r="P19" i="12"/>
  <c r="Y29" i="12"/>
  <c r="Y40" i="12"/>
  <c r="Y63" i="12"/>
  <c r="J23" i="12"/>
  <c r="Y38" i="12"/>
  <c r="D15" i="6"/>
  <c r="Y22" i="12"/>
  <c r="Y64" i="12"/>
  <c r="Y21" i="12"/>
  <c r="Y37" i="12"/>
  <c r="Y62" i="12"/>
  <c r="Y47" i="12"/>
  <c r="R29" i="12"/>
  <c r="Y52" i="12"/>
  <c r="Y57" i="12"/>
  <c r="Y58" i="12"/>
  <c r="Y23" i="12"/>
  <c r="Y60" i="12"/>
  <c r="P28" i="12"/>
  <c r="P26" i="12"/>
  <c r="R20" i="12"/>
  <c r="R25" i="12"/>
  <c r="Y36" i="12"/>
  <c r="Y27" i="12"/>
  <c r="Y41" i="12"/>
  <c r="Y48" i="12"/>
  <c r="R24" i="12"/>
  <c r="R28" i="12"/>
  <c r="Y45" i="12"/>
  <c r="Y49" i="12"/>
  <c r="Y25" i="12"/>
  <c r="Y44" i="12"/>
  <c r="Y55" i="12"/>
  <c r="Y65" i="12"/>
  <c r="R26" i="12"/>
  <c r="R21" i="12"/>
  <c r="Y46" i="12"/>
  <c r="Y35" i="12"/>
  <c r="Y43" i="12"/>
  <c r="Y50" i="12"/>
  <c r="Y32" i="12"/>
  <c r="E6" i="12" l="1"/>
  <c r="E16" i="12"/>
  <c r="E4" i="12"/>
  <c r="E3" i="12"/>
  <c r="E15" i="12"/>
  <c r="E13" i="12"/>
  <c r="E14" i="12"/>
  <c r="E8" i="12"/>
  <c r="E12" i="12"/>
  <c r="E10" i="12"/>
  <c r="E7" i="12"/>
  <c r="E9" i="12"/>
  <c r="E11" i="12"/>
  <c r="E5" i="12"/>
  <c r="J96" i="5"/>
  <c r="J110" i="5"/>
  <c r="J69" i="5"/>
  <c r="J2" i="5"/>
  <c r="J109" i="5"/>
  <c r="J32" i="5"/>
  <c r="J34" i="5"/>
  <c r="J74" i="5"/>
  <c r="J99" i="5"/>
  <c r="J80" i="5"/>
  <c r="J81" i="5"/>
  <c r="J38" i="5"/>
  <c r="J11" i="5"/>
  <c r="J91" i="5"/>
  <c r="J62" i="5"/>
  <c r="J93" i="5"/>
  <c r="J61" i="5"/>
  <c r="J47" i="5"/>
  <c r="J88" i="5"/>
  <c r="J123" i="5"/>
  <c r="J125" i="5"/>
  <c r="J124" i="5"/>
  <c r="J52" i="5"/>
  <c r="J13" i="5"/>
  <c r="J60" i="5"/>
  <c r="J3" i="5"/>
  <c r="J89" i="5"/>
  <c r="J44" i="5"/>
  <c r="J40" i="5"/>
  <c r="J4" i="5"/>
  <c r="J120" i="5"/>
  <c r="J126" i="5"/>
  <c r="J114" i="5"/>
  <c r="J113" i="5"/>
  <c r="J20" i="5"/>
  <c r="J55" i="5"/>
  <c r="J112" i="5"/>
  <c r="J41" i="5"/>
  <c r="J22" i="5"/>
  <c r="J122" i="5"/>
  <c r="J72" i="5"/>
  <c r="J75" i="5"/>
  <c r="J87" i="5"/>
  <c r="J118" i="5"/>
  <c r="J79" i="5"/>
  <c r="J107" i="5"/>
  <c r="J30" i="5"/>
  <c r="J86" i="5"/>
  <c r="J82" i="5"/>
  <c r="J26" i="5"/>
  <c r="J50" i="5"/>
  <c r="J83" i="5"/>
  <c r="J51" i="5"/>
  <c r="J21" i="5"/>
  <c r="J17" i="5"/>
  <c r="J105" i="5"/>
  <c r="J43" i="5"/>
  <c r="J111" i="5"/>
  <c r="J101" i="5"/>
  <c r="J18" i="5"/>
  <c r="J54" i="5"/>
  <c r="J108" i="5"/>
  <c r="J29" i="5"/>
  <c r="J39" i="5"/>
  <c r="J121" i="5"/>
  <c r="J76" i="5"/>
  <c r="J117" i="5"/>
  <c r="J33" i="5"/>
  <c r="J16" i="5"/>
  <c r="J106" i="5"/>
  <c r="J104" i="5"/>
  <c r="J97" i="5"/>
  <c r="J64" i="5"/>
  <c r="J19" i="5"/>
  <c r="J63" i="5"/>
  <c r="J84" i="5"/>
  <c r="J57" i="5"/>
  <c r="J59" i="5"/>
  <c r="J25" i="5"/>
  <c r="J35" i="5"/>
  <c r="J12" i="5"/>
  <c r="J65" i="5"/>
  <c r="J90" i="5"/>
  <c r="J23" i="5"/>
  <c r="J115" i="5"/>
  <c r="J7" i="5"/>
  <c r="J71" i="5"/>
  <c r="J85" i="5"/>
  <c r="J68" i="5"/>
  <c r="J73" i="5"/>
  <c r="J49" i="5"/>
  <c r="J9" i="5"/>
  <c r="J67" i="5"/>
  <c r="J102" i="5"/>
  <c r="J56" i="5"/>
  <c r="J48" i="5"/>
  <c r="J58" i="5"/>
  <c r="J78" i="5"/>
  <c r="J1" i="5"/>
  <c r="J15" i="5"/>
  <c r="J27" i="5"/>
  <c r="J119" i="5"/>
  <c r="J28" i="5"/>
  <c r="J37" i="5"/>
  <c r="J6" i="5"/>
  <c r="J42" i="5"/>
  <c r="J36" i="5"/>
  <c r="J31" i="5"/>
  <c r="J10" i="5"/>
  <c r="J24" i="5"/>
  <c r="J98" i="5"/>
  <c r="J94" i="5"/>
  <c r="J92" i="5"/>
  <c r="J77" i="5"/>
  <c r="J66" i="5"/>
  <c r="J116" i="5"/>
  <c r="J103" i="5"/>
  <c r="J5" i="5"/>
  <c r="J46" i="5"/>
  <c r="J45" i="5"/>
  <c r="J8" i="5"/>
  <c r="J70" i="5"/>
  <c r="J14" i="5"/>
  <c r="J95" i="5"/>
  <c r="J53" i="5"/>
  <c r="J100" i="5"/>
  <c r="S21" i="12"/>
  <c r="S30" i="12"/>
  <c r="X66" i="12"/>
  <c r="S26" i="12"/>
  <c r="S23" i="12"/>
  <c r="S19" i="12"/>
  <c r="S28" i="12"/>
  <c r="S27" i="12"/>
  <c r="S24" i="12"/>
  <c r="S25" i="12"/>
  <c r="D29" i="6"/>
  <c r="S20" i="12"/>
  <c r="S29" i="12"/>
  <c r="S22" i="12"/>
  <c r="Y66" i="12"/>
  <c r="T22" i="12" l="1"/>
  <c r="T29" i="12"/>
  <c r="T20" i="12"/>
  <c r="T25" i="12"/>
  <c r="T24" i="12"/>
  <c r="T27" i="12"/>
  <c r="T28" i="12"/>
  <c r="T19" i="12"/>
  <c r="T23" i="12"/>
  <c r="T26" i="12"/>
  <c r="T30" i="12"/>
  <c r="T21" i="12"/>
  <c r="X67" i="12"/>
  <c r="U19" i="12" a="1"/>
  <c r="Y67" i="12"/>
  <c r="U19" i="12" l="1"/>
  <c r="X68" i="12"/>
  <c r="Y68" i="12"/>
  <c r="X69" i="12"/>
  <c r="Y69" i="12"/>
  <c r="X70" i="12"/>
  <c r="Y70" i="12"/>
  <c r="X71" i="12"/>
  <c r="Y71" i="12"/>
  <c r="X72" i="12" l="1"/>
  <c r="Y72" i="12"/>
  <c r="X73" i="12"/>
  <c r="Y73" i="12"/>
  <c r="X74" i="12"/>
  <c r="Y74" i="12"/>
  <c r="X75" i="12" l="1"/>
  <c r="Y75" i="12"/>
  <c r="X76" i="12" l="1"/>
  <c r="Y76" i="12"/>
  <c r="X77" i="12"/>
  <c r="Y77" i="12"/>
  <c r="X78" i="12" l="1"/>
  <c r="Y78" i="12"/>
  <c r="X79" i="12" l="1"/>
  <c r="Y79" i="12"/>
  <c r="X80" i="12" l="1"/>
  <c r="Y80" i="12"/>
  <c r="X81" i="12"/>
  <c r="Y81" i="12"/>
  <c r="X82" i="12" l="1"/>
  <c r="Y82" i="12"/>
  <c r="X83" i="12" l="1"/>
  <c r="Y83" i="12"/>
  <c r="X84" i="12" l="1"/>
  <c r="Y84" i="12"/>
  <c r="X85" i="12" l="1"/>
  <c r="Y85" i="12"/>
  <c r="X86" i="12" l="1"/>
  <c r="Y86" i="12"/>
  <c r="X87" i="12" l="1"/>
  <c r="Y87" i="12"/>
  <c r="X88" i="12" l="1"/>
  <c r="Y88" i="12"/>
  <c r="X89" i="12" l="1"/>
  <c r="Y89" i="12"/>
  <c r="X90" i="12" l="1"/>
  <c r="Y90" i="12"/>
  <c r="X91" i="12" l="1"/>
  <c r="Y91" i="12"/>
  <c r="X92" i="12" l="1"/>
  <c r="Y92" i="12"/>
  <c r="X93" i="12" l="1"/>
  <c r="Y93" i="12"/>
  <c r="X94" i="12" l="1"/>
  <c r="Y94" i="12"/>
  <c r="X95" i="12" l="1"/>
  <c r="Y95" i="12"/>
  <c r="X96" i="12" l="1"/>
  <c r="Y96" i="12"/>
  <c r="X97" i="12" l="1"/>
  <c r="Y97" i="12"/>
  <c r="X98" i="12" l="1"/>
  <c r="Y98" i="12"/>
  <c r="X99" i="12" l="1"/>
  <c r="Y99" i="12"/>
  <c r="X100" i="12" l="1"/>
  <c r="Y100" i="12"/>
  <c r="X101" i="12" l="1"/>
  <c r="Y101" i="12"/>
  <c r="X102" i="12" l="1"/>
  <c r="Y102" i="12"/>
  <c r="X103" i="12" l="1"/>
  <c r="Y103" i="12"/>
  <c r="X104" i="12" l="1"/>
  <c r="Y104" i="12"/>
  <c r="X105" i="12" l="1"/>
  <c r="Y105" i="12"/>
  <c r="X106" i="12" l="1"/>
  <c r="Y106" i="12"/>
  <c r="X107" i="12" l="1"/>
  <c r="Y107" i="12"/>
  <c r="X108" i="12" l="1"/>
  <c r="Y108" i="12"/>
  <c r="X109" i="12" l="1"/>
  <c r="Y109" i="12"/>
  <c r="X110" i="12" l="1"/>
  <c r="Y110" i="12"/>
  <c r="X111" i="12" l="1"/>
  <c r="Y111" i="12"/>
  <c r="X112" i="12" l="1"/>
  <c r="Y112" i="12"/>
  <c r="X113" i="12"/>
  <c r="Y113" i="12"/>
  <c r="X114" i="12" l="1"/>
  <c r="Y114" i="12"/>
  <c r="X115" i="12" l="1"/>
  <c r="Y115" i="12"/>
  <c r="X116" i="12" l="1"/>
  <c r="Y116" i="12"/>
  <c r="X117" i="12"/>
  <c r="Y117" i="12"/>
  <c r="X118" i="12"/>
  <c r="Y118" i="12"/>
  <c r="X119" i="12" l="1"/>
  <c r="Y119" i="12"/>
  <c r="X120" i="12" l="1"/>
  <c r="Y120" i="12"/>
  <c r="X121" i="12" l="1"/>
  <c r="Y121" i="12"/>
  <c r="X122" i="12"/>
  <c r="Y122" i="12"/>
  <c r="X123" i="12"/>
  <c r="Y123" i="12"/>
  <c r="X124" i="12"/>
  <c r="Y124" i="12"/>
  <c r="X125" i="12"/>
  <c r="Y125" i="12"/>
  <c r="X126" i="12"/>
  <c r="Y126" i="12"/>
  <c r="X127" i="12"/>
  <c r="Y127" i="12"/>
  <c r="X128" i="12"/>
  <c r="Y128" i="12"/>
  <c r="X129" i="12"/>
  <c r="Y129" i="12"/>
  <c r="X130" i="12"/>
  <c r="Y130" i="12"/>
  <c r="X131" i="12"/>
  <c r="Y131" i="12"/>
  <c r="X132" i="12"/>
  <c r="Y132" i="12"/>
  <c r="X133" i="12"/>
  <c r="Y133" i="12"/>
  <c r="X134" i="12" l="1"/>
  <c r="Y134" i="12"/>
  <c r="X135" i="12" l="1"/>
  <c r="Y135" i="12"/>
  <c r="X136" i="12" l="1"/>
  <c r="Y136" i="12"/>
  <c r="X137" i="12" l="1"/>
  <c r="Y137" i="12"/>
  <c r="X138" i="12" l="1"/>
  <c r="Y138" i="12"/>
  <c r="X139" i="12" l="1"/>
  <c r="Y139" i="12"/>
  <c r="X140" i="12" l="1"/>
  <c r="Y140" i="12"/>
  <c r="X141" i="12" l="1"/>
  <c r="Y141" i="12"/>
  <c r="X142" i="12"/>
  <c r="Y142" i="12"/>
  <c r="X143" i="12" l="1"/>
  <c r="Y143" i="12"/>
  <c r="X144" i="12" l="1"/>
  <c r="Y144" i="12"/>
  <c r="X145" i="12"/>
  <c r="Y145" i="12"/>
  <c r="X146" i="12"/>
  <c r="Y146" i="12"/>
  <c r="X147" i="12" l="1"/>
  <c r="Y147" i="12"/>
  <c r="X148" i="12" l="1"/>
  <c r="Y148" i="12"/>
  <c r="X149" i="12" l="1"/>
  <c r="Y149" i="12"/>
  <c r="X150" i="12" l="1"/>
  <c r="Y150" i="12"/>
  <c r="X151" i="12" l="1"/>
  <c r="Y151" i="12"/>
  <c r="X152" i="12" l="1"/>
  <c r="Y152" i="12"/>
  <c r="X153" i="12" l="1"/>
  <c r="Y153" i="12"/>
  <c r="X154" i="12"/>
  <c r="Y154" i="12"/>
  <c r="X155" i="12" l="1"/>
  <c r="Y155" i="12"/>
  <c r="X156" i="12" l="1"/>
  <c r="Y156" i="12"/>
  <c r="X157" i="12" l="1"/>
  <c r="Y157" i="12"/>
  <c r="X158" i="12" l="1"/>
  <c r="Y158" i="12"/>
  <c r="X159" i="12" l="1"/>
  <c r="Y159" i="12"/>
  <c r="X160" i="12" l="1"/>
  <c r="Y160" i="12"/>
  <c r="X161" i="12" l="1"/>
  <c r="Y161" i="12"/>
  <c r="X162" i="12" l="1"/>
  <c r="Y162" i="12"/>
  <c r="X163" i="12" l="1"/>
  <c r="Y163" i="12"/>
  <c r="X164" i="12" l="1"/>
  <c r="Y164" i="12"/>
  <c r="X165" i="12" l="1"/>
  <c r="Y165" i="12"/>
  <c r="X166" i="12" l="1"/>
  <c r="Y166" i="12"/>
  <c r="X167" i="12" l="1"/>
  <c r="Y167" i="12"/>
  <c r="X168" i="12" l="1"/>
  <c r="Y168" i="12"/>
  <c r="X169" i="12" l="1"/>
  <c r="Y169" i="12"/>
  <c r="X170" i="12" l="1"/>
  <c r="Y170" i="12"/>
  <c r="X171" i="12" l="1"/>
  <c r="Y171" i="12"/>
  <c r="X172" i="12" l="1"/>
  <c r="Y172" i="12"/>
  <c r="X173" i="12" l="1"/>
  <c r="Y173" i="12"/>
  <c r="X174" i="12" l="1"/>
  <c r="Y174" i="12"/>
  <c r="X175" i="12" l="1"/>
  <c r="Y175" i="12"/>
  <c r="X176" i="12"/>
  <c r="Y176" i="12"/>
  <c r="X177" i="12"/>
  <c r="Y177" i="12"/>
  <c r="X178" i="12"/>
  <c r="Y178" i="12"/>
  <c r="X179" i="12"/>
  <c r="Y179" i="12"/>
  <c r="X180" i="12"/>
  <c r="Y180" i="12"/>
  <c r="X181" i="12"/>
  <c r="Y181" i="12"/>
  <c r="X182" i="12"/>
  <c r="Y182" i="12"/>
  <c r="X183" i="12" l="1"/>
  <c r="Y183" i="12"/>
  <c r="X184" i="12"/>
  <c r="Y184" i="12"/>
  <c r="X185" i="12" l="1"/>
  <c r="Y185" i="12"/>
  <c r="X186" i="12" l="1"/>
  <c r="Y186" i="12"/>
  <c r="X187" i="12" l="1"/>
  <c r="Y187" i="12"/>
  <c r="X188" i="12" l="1"/>
  <c r="Y188" i="12"/>
  <c r="X189" i="12" l="1"/>
  <c r="Y189" i="12"/>
  <c r="X190" i="12" l="1"/>
  <c r="Y190" i="12"/>
  <c r="X191" i="12" l="1"/>
  <c r="Y191" i="12"/>
  <c r="X192" i="12" l="1"/>
  <c r="Y192" i="12"/>
  <c r="X193" i="12" l="1"/>
  <c r="Y193" i="12"/>
  <c r="X194" i="12" l="1"/>
  <c r="Y194" i="12"/>
  <c r="X195" i="12" l="1"/>
  <c r="Y195" i="12"/>
  <c r="X196" i="12" l="1"/>
  <c r="Y196" i="12"/>
  <c r="X197" i="12" l="1"/>
  <c r="Y197" i="12"/>
  <c r="X198" i="12" l="1"/>
  <c r="Y198" i="12"/>
  <c r="X199" i="12" l="1"/>
  <c r="Y199" i="12"/>
  <c r="X200" i="12" l="1"/>
  <c r="Y200" i="12"/>
  <c r="X201" i="12"/>
  <c r="Y201" i="12"/>
  <c r="X202" i="12"/>
  <c r="Y202" i="12"/>
  <c r="X203" i="12" l="1"/>
  <c r="Y203" i="12"/>
  <c r="X204" i="12" l="1"/>
  <c r="Y204" i="12"/>
  <c r="X205" i="12" l="1"/>
  <c r="Y205" i="12"/>
  <c r="X206" i="12" l="1"/>
  <c r="Y206" i="12"/>
  <c r="X207" i="12" l="1"/>
  <c r="Y207" i="12"/>
  <c r="X208" i="12" l="1"/>
  <c r="Y208" i="12"/>
  <c r="X209" i="12" l="1"/>
  <c r="Y209" i="12"/>
  <c r="X210" i="12" l="1"/>
  <c r="Y210" i="12"/>
  <c r="X211" i="12" l="1"/>
  <c r="Y211" i="12"/>
  <c r="X212" i="12" l="1"/>
  <c r="Y212" i="12"/>
  <c r="X213" i="12" l="1"/>
  <c r="Y213" i="12"/>
  <c r="X214" i="12"/>
  <c r="Y214" i="12"/>
  <c r="X215" i="12" l="1"/>
  <c r="Y215" i="12"/>
  <c r="X216" i="12" l="1"/>
  <c r="Y216" i="12"/>
  <c r="X217" i="12" l="1"/>
  <c r="Y217" i="12"/>
  <c r="X218" i="12" l="1"/>
  <c r="Y218" i="12"/>
  <c r="X219" i="12" l="1"/>
  <c r="Y219" i="12"/>
  <c r="X220" i="12" l="1"/>
  <c r="Y220" i="12"/>
  <c r="X221" i="12" l="1"/>
  <c r="Y221" i="12"/>
  <c r="C30" i="6" l="1"/>
  <c r="D30" i="6"/>
  <c r="X222" i="12"/>
  <c r="Y222" i="12"/>
  <c r="X223" i="12" l="1"/>
  <c r="Y223" i="12"/>
  <c r="X224" i="12" l="1"/>
  <c r="Y224" i="12"/>
  <c r="X225" i="12" l="1"/>
  <c r="Y225" i="12"/>
  <c r="X226" i="12" l="1"/>
  <c r="Y226" i="12"/>
  <c r="X227" i="12" l="1"/>
  <c r="Y227" i="12"/>
  <c r="X228" i="12" l="1"/>
  <c r="Y228" i="12"/>
  <c r="X229" i="12" l="1"/>
  <c r="Y229" i="12"/>
  <c r="X230" i="12" l="1"/>
  <c r="Y230" i="12"/>
  <c r="X231" i="12" l="1"/>
  <c r="Y231" i="12"/>
  <c r="X232" i="12" l="1"/>
  <c r="Y232" i="12"/>
  <c r="X233" i="12" l="1"/>
  <c r="Y233" i="12"/>
  <c r="X234" i="12" l="1"/>
  <c r="Y234" i="12"/>
  <c r="X235" i="12" l="1"/>
  <c r="Y235" i="12"/>
  <c r="X236" i="12" l="1"/>
  <c r="Y236" i="12"/>
  <c r="X237" i="12" l="1"/>
  <c r="Y237" i="12"/>
  <c r="X238" i="12" l="1"/>
  <c r="Y238" i="12"/>
  <c r="X239" i="12" l="1"/>
  <c r="Y239" i="12"/>
  <c r="X240" i="12" l="1"/>
  <c r="Y240" i="12"/>
  <c r="X241" i="12" l="1"/>
  <c r="Y241" i="12"/>
  <c r="X242" i="12" l="1"/>
  <c r="Y242" i="12"/>
  <c r="X243" i="12" l="1"/>
  <c r="Y243" i="12"/>
  <c r="X244" i="12" l="1"/>
  <c r="Y244" i="12"/>
  <c r="X245" i="12" l="1"/>
  <c r="Y245" i="12"/>
  <c r="X246" i="12" l="1"/>
  <c r="Y246" i="12"/>
  <c r="X247" i="12" l="1"/>
  <c r="Y247" i="12"/>
  <c r="X248" i="12" l="1"/>
  <c r="Y248" i="12"/>
  <c r="X249" i="12" l="1"/>
  <c r="Y249" i="12"/>
  <c r="X250" i="12" l="1"/>
  <c r="Y250" i="12"/>
  <c r="X251" i="12" l="1"/>
  <c r="Y251" i="12"/>
  <c r="X252" i="12" l="1"/>
  <c r="Y252" i="12"/>
  <c r="X253" i="12" l="1"/>
  <c r="Y253" i="12"/>
  <c r="X254" i="12" l="1"/>
  <c r="Y254" i="12"/>
  <c r="X255" i="12" l="1"/>
  <c r="Y255" i="12"/>
  <c r="X256" i="12" l="1"/>
  <c r="Y256" i="12"/>
  <c r="X257" i="12" l="1"/>
  <c r="Y257" i="12"/>
  <c r="X258" i="12" l="1"/>
  <c r="Y258" i="12"/>
  <c r="X259" i="12" l="1"/>
  <c r="Y259" i="12"/>
  <c r="X260" i="12" l="1"/>
  <c r="Y260" i="12"/>
  <c r="X261" i="12" l="1"/>
  <c r="Y261" i="12"/>
  <c r="X262" i="12" l="1"/>
  <c r="Y262" i="12"/>
  <c r="X263" i="12" l="1"/>
  <c r="Y263" i="12"/>
  <c r="X264" i="12" l="1"/>
  <c r="Y264" i="12"/>
  <c r="X265" i="12" l="1"/>
  <c r="Y265" i="12"/>
  <c r="X266" i="12" l="1"/>
  <c r="Y266" i="12"/>
  <c r="X267" i="12" l="1"/>
  <c r="Y267" i="12"/>
  <c r="X268" i="12" l="1"/>
  <c r="Y268" i="12"/>
  <c r="X269" i="12" l="1"/>
  <c r="Y269" i="12"/>
  <c r="X270" i="12" l="1"/>
  <c r="Y270" i="12"/>
  <c r="X271" i="12" l="1"/>
  <c r="Y271" i="12"/>
  <c r="X272" i="12" l="1"/>
  <c r="Y272" i="12"/>
  <c r="X273" i="12" l="1"/>
  <c r="Y273" i="12"/>
  <c r="X274" i="12" l="1"/>
  <c r="Y274" i="12"/>
  <c r="X275" i="12" l="1"/>
  <c r="Y275" i="12"/>
  <c r="X276" i="12" l="1"/>
  <c r="Y276" i="12"/>
  <c r="X277" i="12" l="1"/>
  <c r="Y277" i="12"/>
  <c r="X278" i="12" l="1"/>
  <c r="Y278" i="12"/>
  <c r="X279" i="12" l="1"/>
  <c r="Y279" i="12"/>
  <c r="X280" i="12" l="1"/>
  <c r="Y280" i="12"/>
  <c r="X281" i="12" l="1"/>
  <c r="Y281" i="12"/>
  <c r="X282" i="12" l="1"/>
  <c r="Y282" i="12"/>
  <c r="X283" i="12" l="1"/>
  <c r="Y283" i="12"/>
  <c r="X284" i="12" l="1"/>
  <c r="Y284" i="12"/>
  <c r="X285" i="12" l="1"/>
  <c r="Y285" i="12"/>
  <c r="X286" i="12" l="1"/>
  <c r="Y286" i="12"/>
  <c r="X287" i="12" l="1"/>
  <c r="Y287" i="12"/>
  <c r="X288" i="12" l="1"/>
  <c r="Y288" i="12"/>
  <c r="X289" i="12" l="1"/>
  <c r="Y289" i="12"/>
  <c r="X290" i="12" l="1"/>
  <c r="Y290" i="12"/>
  <c r="X291" i="12" l="1"/>
  <c r="Y291" i="12"/>
  <c r="X292" i="12" l="1"/>
  <c r="Y292" i="12"/>
  <c r="X293" i="12" l="1"/>
  <c r="Y293" i="12"/>
  <c r="X294" i="12" l="1"/>
  <c r="Y294" i="12"/>
  <c r="X295" i="12" l="1"/>
  <c r="Y295" i="12"/>
  <c r="X296" i="12" l="1"/>
  <c r="Y296" i="12"/>
  <c r="X297" i="12" l="1"/>
  <c r="Y297" i="12"/>
  <c r="X298" i="12" l="1"/>
  <c r="Y298" i="12"/>
  <c r="X299" i="12" l="1"/>
  <c r="Y299" i="12"/>
  <c r="X300" i="12" l="1"/>
  <c r="Y300" i="12"/>
  <c r="X301" i="12" l="1"/>
  <c r="Y301" i="12"/>
  <c r="X302" i="12" l="1"/>
  <c r="Y302" i="12"/>
  <c r="X303" i="12" l="1"/>
  <c r="Y303" i="12"/>
  <c r="X304" i="12" l="1"/>
  <c r="Y304" i="12"/>
  <c r="X305" i="12" l="1"/>
  <c r="Y305" i="12"/>
  <c r="X306" i="12" l="1"/>
  <c r="Y306" i="12"/>
  <c r="X307" i="12" l="1"/>
  <c r="Y307" i="12"/>
  <c r="X308" i="12" l="1"/>
  <c r="Y308" i="12"/>
  <c r="X309" i="12" l="1"/>
  <c r="Y309" i="12"/>
  <c r="X310" i="12" l="1"/>
  <c r="Y310" i="12"/>
  <c r="X311" i="12" l="1"/>
  <c r="Y311" i="12"/>
  <c r="X312" i="12" l="1"/>
  <c r="Y312" i="12"/>
  <c r="X313" i="12" l="1"/>
  <c r="Y313" i="12"/>
  <c r="X314" i="12" l="1"/>
  <c r="Y314" i="12"/>
  <c r="X315" i="12" l="1"/>
  <c r="Y315" i="12"/>
  <c r="X316" i="12" l="1"/>
  <c r="Y316" i="12"/>
  <c r="X317" i="12" l="1"/>
  <c r="Y317" i="12"/>
  <c r="X318" i="12" l="1"/>
  <c r="Y318" i="12"/>
  <c r="X319" i="12" l="1"/>
  <c r="Y319" i="12"/>
  <c r="X320" i="12" l="1"/>
  <c r="Y320" i="12"/>
  <c r="X321" i="12" l="1"/>
  <c r="Y321" i="12"/>
  <c r="X322" i="12" l="1"/>
  <c r="Y322" i="12"/>
  <c r="X323" i="12" l="1"/>
  <c r="Y323" i="12"/>
  <c r="X324" i="12" l="1"/>
  <c r="Y324" i="12"/>
  <c r="X325" i="12" l="1"/>
  <c r="Y325" i="12"/>
  <c r="X326" i="12" l="1"/>
  <c r="Y326" i="12"/>
  <c r="X327" i="12" l="1"/>
  <c r="Y327" i="12"/>
  <c r="X328" i="12" l="1"/>
  <c r="Y328" i="12"/>
  <c r="X329" i="12" l="1"/>
  <c r="Y329" i="12"/>
  <c r="X330" i="12" l="1"/>
  <c r="Y330" i="12"/>
  <c r="X331" i="12" l="1"/>
  <c r="Y331" i="12"/>
  <c r="X332" i="12" l="1"/>
  <c r="Y332" i="12"/>
  <c r="X333" i="12" l="1"/>
  <c r="Y333" i="12"/>
  <c r="X334" i="12" l="1"/>
  <c r="Y334" i="12"/>
  <c r="X335" i="12" l="1"/>
  <c r="Y335" i="12"/>
  <c r="X336" i="12" l="1"/>
  <c r="Y336" i="12"/>
  <c r="X337" i="12" l="1"/>
  <c r="Y337" i="12"/>
  <c r="X338" i="12" l="1"/>
  <c r="Y338" i="12"/>
  <c r="X339" i="12" l="1"/>
  <c r="Y339" i="12"/>
  <c r="X340" i="12" l="1"/>
  <c r="Y340" i="12"/>
  <c r="X341" i="12" l="1"/>
  <c r="Y341" i="12"/>
  <c r="X342" i="12" l="1"/>
  <c r="Y342" i="12"/>
  <c r="X343" i="12" l="1"/>
  <c r="Y343" i="12"/>
  <c r="X344" i="12" l="1"/>
  <c r="Y344" i="12"/>
  <c r="X345" i="12" l="1"/>
  <c r="Y345" i="12"/>
  <c r="X346" i="12" l="1"/>
  <c r="Y346" i="12"/>
  <c r="X347" i="12" l="1"/>
  <c r="Y347" i="12"/>
  <c r="X348" i="12" l="1"/>
  <c r="Y348" i="12"/>
  <c r="X349" i="12" l="1"/>
  <c r="Y349" i="12"/>
  <c r="X350" i="12" l="1"/>
  <c r="Y350" i="12"/>
  <c r="X351" i="12" l="1"/>
  <c r="Y351" i="12"/>
  <c r="X352" i="12" l="1"/>
  <c r="Y352" i="12"/>
  <c r="X353" i="12" l="1"/>
  <c r="Y353" i="12"/>
  <c r="X354" i="12" l="1"/>
  <c r="Y354" i="12"/>
  <c r="X355" i="12" l="1"/>
  <c r="Y355" i="12"/>
  <c r="X356" i="12" l="1"/>
  <c r="Y356" i="12"/>
  <c r="X357" i="12" l="1"/>
  <c r="Y357" i="12"/>
  <c r="X358" i="12" l="1"/>
  <c r="Y358" i="12"/>
  <c r="X359" i="12" l="1"/>
  <c r="Y359" i="12"/>
  <c r="X360" i="12" l="1"/>
  <c r="Y360" i="12"/>
  <c r="X361" i="12" l="1"/>
  <c r="Y361" i="12"/>
  <c r="X362" i="12" l="1"/>
  <c r="Y362" i="12"/>
  <c r="X363" i="12" l="1"/>
  <c r="Y363" i="12"/>
  <c r="X364" i="12" l="1"/>
  <c r="Y364" i="12"/>
  <c r="X365" i="12" l="1"/>
  <c r="Y365" i="12"/>
  <c r="X366" i="12"/>
  <c r="Y366" i="12"/>
  <c r="X367" i="12" l="1"/>
  <c r="Y367" i="12"/>
  <c r="X368" i="12" l="1"/>
  <c r="Y368" i="12"/>
  <c r="X369" i="12" l="1"/>
  <c r="Y369" i="12"/>
  <c r="X370" i="12" l="1"/>
  <c r="Y370" i="12"/>
  <c r="X371" i="12" l="1"/>
  <c r="Y371" i="12"/>
  <c r="X372" i="12" l="1"/>
  <c r="Y372" i="12"/>
  <c r="X373" i="12" l="1"/>
  <c r="Y373" i="12"/>
  <c r="X374" i="12" l="1"/>
  <c r="Y374" i="12"/>
  <c r="X375" i="12" l="1"/>
  <c r="Y375" i="12"/>
  <c r="X376" i="12" l="1"/>
  <c r="Y376" i="12"/>
  <c r="X377" i="12" l="1"/>
  <c r="Y377" i="12"/>
  <c r="X378" i="12" l="1"/>
  <c r="Y378" i="12"/>
  <c r="X379" i="12" l="1"/>
  <c r="Y379" i="12"/>
  <c r="X380" i="12" l="1"/>
  <c r="Y380" i="12"/>
  <c r="X381" i="12" l="1"/>
  <c r="Y381" i="12"/>
  <c r="X382" i="12" l="1"/>
  <c r="Y382" i="12"/>
  <c r="X383" i="12" l="1"/>
  <c r="Y383" i="12"/>
  <c r="X384" i="12" l="1"/>
  <c r="Y384" i="12"/>
  <c r="X385" i="12" l="1"/>
  <c r="Y385" i="12"/>
  <c r="X386" i="12" l="1"/>
  <c r="Y386" i="12"/>
  <c r="X387" i="12" l="1"/>
  <c r="Y387" i="12"/>
  <c r="X388" i="12" l="1"/>
  <c r="Y388" i="12"/>
  <c r="X389" i="12" l="1"/>
  <c r="Y389" i="12"/>
  <c r="X390" i="12" l="1"/>
  <c r="Y390" i="12"/>
  <c r="X391" i="12" l="1"/>
  <c r="Y391" i="12"/>
  <c r="X392" i="12" l="1"/>
  <c r="Y392" i="12"/>
  <c r="X393" i="12" l="1"/>
  <c r="Y393" i="12"/>
  <c r="X394" i="12" l="1"/>
  <c r="Y394" i="12"/>
  <c r="X395" i="12" l="1"/>
  <c r="Y395" i="12"/>
  <c r="X396" i="12" l="1"/>
  <c r="Y396" i="12"/>
  <c r="X397" i="12" l="1"/>
  <c r="Y397" i="12"/>
  <c r="X398" i="12" l="1"/>
  <c r="Y398" i="12"/>
  <c r="X399" i="12" l="1"/>
  <c r="Y399" i="12"/>
  <c r="X400" i="12" l="1"/>
  <c r="Y400" i="12"/>
  <c r="X401" i="12" l="1"/>
  <c r="Y401" i="12"/>
  <c r="X402" i="12" l="1"/>
  <c r="Y402" i="12"/>
  <c r="X403" i="12" l="1"/>
  <c r="Y403" i="12"/>
  <c r="X404" i="12" l="1"/>
  <c r="Y404" i="12"/>
  <c r="X405" i="12" l="1"/>
  <c r="Y405" i="12"/>
  <c r="X406" i="12" l="1"/>
  <c r="Y406" i="12"/>
  <c r="X407" i="12" l="1"/>
  <c r="Y407" i="12"/>
  <c r="X408" i="12" l="1"/>
  <c r="Y408" i="12"/>
  <c r="X409" i="12" l="1"/>
  <c r="Y409" i="12"/>
  <c r="X410" i="12" l="1"/>
  <c r="Y410" i="12"/>
  <c r="X411" i="12" l="1"/>
  <c r="Y411" i="12"/>
  <c r="X412" i="12" l="1"/>
  <c r="Y412" i="12"/>
  <c r="X413" i="12" l="1"/>
  <c r="Y413" i="12"/>
  <c r="X414" i="12" l="1"/>
  <c r="Y414" i="12"/>
  <c r="X415" i="12" l="1"/>
  <c r="Y415" i="12"/>
  <c r="X416" i="12" l="1"/>
  <c r="Y416" i="12"/>
  <c r="X417" i="12" l="1"/>
  <c r="Y417" i="12"/>
  <c r="X418" i="12" l="1"/>
  <c r="Y418" i="12"/>
  <c r="X419" i="12" l="1"/>
  <c r="Y419" i="12"/>
  <c r="X420" i="12" l="1"/>
  <c r="Y420" i="12"/>
  <c r="X421" i="12" l="1"/>
  <c r="Y421" i="12"/>
  <c r="X422" i="12" l="1"/>
  <c r="Y422" i="12"/>
  <c r="X423" i="12" l="1"/>
  <c r="Y423" i="12"/>
  <c r="X424" i="12" l="1"/>
  <c r="Y424" i="12"/>
  <c r="X425" i="12" l="1"/>
  <c r="Y425" i="12"/>
  <c r="X426" i="12" l="1"/>
  <c r="Y426" i="12"/>
  <c r="X427" i="12" l="1"/>
  <c r="Y427" i="12"/>
  <c r="X428" i="12" l="1"/>
  <c r="Y428" i="12"/>
  <c r="X429" i="12" l="1"/>
  <c r="Y429" i="12"/>
  <c r="X430" i="12" l="1"/>
  <c r="Y430" i="12"/>
  <c r="X431" i="12" l="1"/>
  <c r="Y431" i="12"/>
  <c r="X432" i="12" l="1"/>
  <c r="Y432" i="12"/>
  <c r="X433" i="12" l="1"/>
  <c r="Y433" i="12"/>
  <c r="X434" i="12" l="1"/>
  <c r="Y434" i="12"/>
  <c r="X435" i="12" l="1"/>
  <c r="Y435" i="12"/>
  <c r="X436" i="12" l="1"/>
  <c r="Y436" i="12"/>
  <c r="X437" i="12" l="1"/>
  <c r="Y437" i="12"/>
  <c r="X438" i="12" l="1"/>
  <c r="Y438" i="12"/>
  <c r="X439" i="12" l="1"/>
  <c r="Y439" i="12"/>
  <c r="X440" i="12" l="1"/>
  <c r="Y440" i="12"/>
  <c r="X441" i="12" l="1"/>
  <c r="Y441" i="12"/>
  <c r="X442" i="12" l="1"/>
  <c r="Y442" i="12"/>
  <c r="X443" i="12" l="1"/>
  <c r="Y443" i="12"/>
  <c r="X444" i="12" l="1"/>
  <c r="Y444" i="12"/>
  <c r="X445" i="12" l="1"/>
  <c r="Y445" i="12"/>
  <c r="X446" i="12" l="1"/>
  <c r="Y446" i="12"/>
  <c r="X447" i="12" l="1"/>
  <c r="Y447" i="12"/>
  <c r="X448" i="12" l="1"/>
  <c r="Y448" i="12"/>
  <c r="X449" i="12" l="1"/>
  <c r="Y449" i="12"/>
  <c r="X450" i="12" l="1"/>
  <c r="Y450" i="12"/>
  <c r="X451" i="12" l="1"/>
  <c r="Y451" i="12"/>
  <c r="X452" i="12" l="1"/>
  <c r="Y452" i="12"/>
  <c r="X453" i="12" l="1"/>
  <c r="Y453" i="12"/>
  <c r="X454" i="12" l="1"/>
  <c r="Y454" i="12"/>
  <c r="X455" i="12" l="1"/>
  <c r="Y455" i="12"/>
  <c r="X456" i="12" l="1"/>
  <c r="Y456" i="12"/>
  <c r="X457" i="12" l="1"/>
  <c r="Y457" i="12"/>
  <c r="X458" i="12" l="1"/>
  <c r="Y458" i="12"/>
  <c r="X459" i="12"/>
  <c r="Y459" i="12"/>
  <c r="X460" i="12" l="1"/>
  <c r="Y460" i="12"/>
  <c r="X461" i="12" l="1"/>
  <c r="Y461" i="12"/>
  <c r="X462" i="12"/>
  <c r="Y462" i="12"/>
  <c r="X463" i="12" l="1"/>
  <c r="Y463" i="12"/>
  <c r="X464" i="12" l="1"/>
  <c r="Y464" i="12"/>
  <c r="X465" i="12" l="1"/>
  <c r="Y465" i="12"/>
  <c r="X466" i="12" l="1"/>
  <c r="Y466" i="12"/>
  <c r="X467" i="12" l="1"/>
  <c r="Y467" i="12"/>
  <c r="X468" i="12" l="1"/>
  <c r="Y468" i="12"/>
  <c r="X469" i="12" l="1"/>
  <c r="Y469" i="12"/>
  <c r="X470" i="12" l="1"/>
  <c r="Y470" i="12"/>
  <c r="X471" i="12" l="1"/>
  <c r="Y471" i="12"/>
  <c r="X472" i="12" l="1"/>
  <c r="Y472" i="12"/>
  <c r="X473" i="12" l="1"/>
  <c r="Y473" i="12"/>
  <c r="X474" i="12" l="1"/>
  <c r="Y474" i="12"/>
  <c r="X475" i="12" l="1"/>
  <c r="Y475" i="12"/>
  <c r="X476" i="12" l="1"/>
  <c r="Y476" i="12"/>
  <c r="X477" i="12" l="1"/>
  <c r="Y477" i="12"/>
  <c r="X478" i="12" l="1"/>
  <c r="Y478" i="12"/>
  <c r="X479" i="12" l="1"/>
  <c r="Y479" i="12"/>
  <c r="X480" i="12" l="1"/>
  <c r="Y480" i="12"/>
  <c r="X481" i="12" l="1"/>
  <c r="Y481" i="12"/>
  <c r="X482" i="12" l="1"/>
  <c r="Y482" i="12"/>
  <c r="X483" i="12" l="1"/>
  <c r="Y483" i="12"/>
  <c r="X484" i="12" l="1"/>
  <c r="Y484" i="12"/>
  <c r="X485" i="12" l="1"/>
  <c r="Y485" i="12"/>
  <c r="X486" i="12" l="1"/>
  <c r="Y486" i="12"/>
  <c r="X487" i="12" l="1"/>
  <c r="Y487" i="12"/>
  <c r="X488" i="12" l="1"/>
  <c r="Y488" i="12"/>
  <c r="X489" i="12" l="1"/>
  <c r="Y489" i="12"/>
  <c r="X490" i="12" l="1"/>
  <c r="Y490" i="12"/>
  <c r="X491" i="12" l="1"/>
  <c r="Y491" i="12"/>
  <c r="X492" i="12" l="1"/>
  <c r="Y492" i="12"/>
  <c r="X493" i="12" l="1"/>
  <c r="Y493" i="12"/>
  <c r="X494" i="12" l="1"/>
  <c r="Y494" i="12"/>
  <c r="X495" i="12" l="1"/>
  <c r="Y495" i="12"/>
  <c r="X496" i="12" l="1"/>
  <c r="Y496" i="12"/>
  <c r="X497" i="12" l="1"/>
  <c r="Y497" i="12"/>
  <c r="X498" i="12" l="1"/>
  <c r="Y498" i="12"/>
  <c r="X499" i="12" l="1"/>
  <c r="Y499" i="12"/>
  <c r="X500" i="12" l="1"/>
  <c r="Y500" i="12"/>
  <c r="X501" i="12" l="1"/>
  <c r="Y501" i="12"/>
  <c r="X502" i="12"/>
  <c r="Y502" i="12"/>
  <c r="X503" i="12" l="1"/>
  <c r="Y503" i="12"/>
  <c r="X504" i="12" l="1"/>
  <c r="Y504" i="12"/>
  <c r="X505" i="12" l="1"/>
  <c r="Y505" i="12"/>
  <c r="X506" i="12" l="1"/>
  <c r="Y506" i="12"/>
  <c r="X507" i="12" l="1"/>
  <c r="Y507" i="12"/>
  <c r="X508" i="12" l="1"/>
  <c r="Y508" i="12"/>
  <c r="X509" i="12" l="1"/>
  <c r="Y509" i="12"/>
  <c r="X510" i="12" l="1"/>
  <c r="Y510" i="12"/>
  <c r="X511" i="12"/>
  <c r="Y511" i="12"/>
  <c r="X512" i="12" l="1"/>
  <c r="Y512" i="12"/>
  <c r="X513" i="12" l="1"/>
  <c r="Y513" i="12"/>
  <c r="X514" i="12" l="1"/>
  <c r="Y514" i="12"/>
  <c r="X515" i="12" l="1"/>
  <c r="Y515" i="12"/>
  <c r="X516" i="12"/>
  <c r="Y516" i="12"/>
  <c r="X517" i="12"/>
  <c r="Y517" i="12"/>
  <c r="X518" i="12"/>
  <c r="Y518" i="12"/>
  <c r="X519" i="12"/>
  <c r="Y519" i="12"/>
  <c r="X520" i="12"/>
  <c r="Y520" i="12"/>
  <c r="X521" i="12"/>
  <c r="Y521" i="12"/>
  <c r="X522" i="12"/>
  <c r="Y522" i="12"/>
  <c r="X523" i="12"/>
  <c r="Y523" i="12"/>
  <c r="X524" i="12"/>
  <c r="Y524" i="12"/>
  <c r="X525" i="12"/>
  <c r="Y525" i="12"/>
  <c r="X526" i="12"/>
  <c r="Y526" i="12"/>
  <c r="X527" i="12"/>
  <c r="Y527" i="12"/>
  <c r="X528" i="12"/>
  <c r="Y528" i="12"/>
  <c r="X529" i="12"/>
  <c r="Y529" i="12"/>
  <c r="X530" i="12"/>
  <c r="Y530" i="12"/>
  <c r="X531" i="12"/>
  <c r="Y531" i="12"/>
  <c r="X532" i="12"/>
  <c r="Y532" i="12"/>
  <c r="X533" i="12"/>
  <c r="Y533" i="12"/>
  <c r="X534" i="12"/>
  <c r="Y534" i="12"/>
  <c r="X535" i="12"/>
  <c r="Y535" i="12"/>
  <c r="X536" i="12"/>
  <c r="Y536" i="12"/>
  <c r="X537" i="12"/>
  <c r="Y537" i="12"/>
  <c r="X538" i="12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/>
  <c r="Y546" i="12"/>
  <c r="X547" i="12"/>
  <c r="Y547" i="12"/>
  <c r="X548" i="12"/>
  <c r="Y548" i="12"/>
  <c r="X549" i="12"/>
  <c r="Y549" i="12"/>
  <c r="X550" i="12"/>
  <c r="Y550" i="12"/>
  <c r="X551" i="12"/>
  <c r="Y551" i="12"/>
  <c r="X552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Y568" i="12"/>
  <c r="X569" i="12"/>
  <c r="Y569" i="12"/>
  <c r="X570" i="12"/>
  <c r="Y570" i="12"/>
  <c r="X571" i="12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Y584" i="12"/>
  <c r="X585" i="12"/>
  <c r="Y585" i="12"/>
  <c r="X586" i="12"/>
  <c r="Y586" i="12"/>
  <c r="X587" i="12"/>
  <c r="Y587" i="12"/>
  <c r="X588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Y595" i="12"/>
  <c r="X596" i="12"/>
  <c r="Y596" i="12"/>
  <c r="X597" i="12"/>
  <c r="Y597" i="12"/>
  <c r="X598" i="12"/>
  <c r="Y598" i="12"/>
  <c r="X599" i="12"/>
  <c r="Y599" i="12"/>
  <c r="X600" i="12"/>
  <c r="Y600" i="12"/>
  <c r="X601" i="12"/>
  <c r="Y601" i="12"/>
  <c r="X602" i="12"/>
  <c r="Y602" i="12"/>
  <c r="X603" i="12"/>
  <c r="Y603" i="12"/>
  <c r="X604" i="12"/>
  <c r="Y604" i="12"/>
  <c r="X605" i="12"/>
  <c r="Y605" i="12"/>
  <c r="X606" i="12"/>
  <c r="Y606" i="12"/>
  <c r="X607" i="12"/>
  <c r="Y607" i="12"/>
  <c r="X608" i="12"/>
  <c r="Y608" i="12"/>
  <c r="X609" i="12"/>
  <c r="Y609" i="12"/>
  <c r="X610" i="12"/>
  <c r="Y610" i="12"/>
  <c r="X611" i="12"/>
  <c r="Y611" i="12"/>
  <c r="X612" i="12"/>
  <c r="Y612" i="12"/>
  <c r="X613" i="12"/>
  <c r="Y613" i="12"/>
  <c r="X614" i="12"/>
  <c r="Y614" i="12"/>
  <c r="X615" i="12"/>
  <c r="Y615" i="12"/>
  <c r="X616" i="12"/>
  <c r="Y616" i="12"/>
  <c r="X617" i="12"/>
  <c r="Y617" i="12"/>
  <c r="X618" i="12"/>
  <c r="Y618" i="12"/>
  <c r="X619" i="12"/>
  <c r="Y619" i="12"/>
  <c r="X620" i="12"/>
  <c r="Y620" i="12"/>
  <c r="X621" i="12"/>
  <c r="Y621" i="12"/>
  <c r="X622" i="12"/>
  <c r="Y622" i="12"/>
  <c r="X623" i="12"/>
  <c r="Y623" i="12"/>
  <c r="X624" i="12"/>
  <c r="Y624" i="12"/>
  <c r="X625" i="12"/>
  <c r="Y625" i="12"/>
  <c r="X626" i="12"/>
  <c r="Y626" i="12"/>
  <c r="X627" i="12"/>
  <c r="Y627" i="12"/>
  <c r="X628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Y634" i="12"/>
  <c r="X635" i="12"/>
  <c r="Y635" i="12"/>
  <c r="X636" i="12"/>
  <c r="Y636" i="12"/>
  <c r="X637" i="12"/>
  <c r="Y637" i="12"/>
  <c r="X638" i="12"/>
  <c r="Y638" i="12"/>
  <c r="X639" i="12"/>
  <c r="Y639" i="12"/>
  <c r="X640" i="12"/>
  <c r="Y640" i="12"/>
  <c r="X641" i="12"/>
  <c r="Y641" i="12"/>
  <c r="X642" i="12"/>
  <c r="Y642" i="12"/>
  <c r="X643" i="12"/>
  <c r="Y643" i="12"/>
  <c r="X644" i="12"/>
  <c r="Y644" i="12"/>
  <c r="X645" i="12"/>
  <c r="Y645" i="12"/>
  <c r="X646" i="12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Y672" i="12"/>
  <c r="X673" i="12"/>
  <c r="Y673" i="12"/>
  <c r="X674" i="12"/>
  <c r="Y674" i="12"/>
  <c r="X675" i="12"/>
  <c r="Y675" i="12"/>
  <c r="X676" i="12"/>
  <c r="Y676" i="12"/>
  <c r="X677" i="12"/>
  <c r="Y677" i="12"/>
  <c r="X678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Y689" i="12"/>
  <c r="X690" i="12"/>
  <c r="Y690" i="12"/>
  <c r="X691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/>
  <c r="Y715" i="12"/>
  <c r="X716" i="12"/>
  <c r="Y716" i="12"/>
  <c r="X717" i="12"/>
  <c r="Y717" i="12"/>
  <c r="X718" i="12"/>
  <c r="Y718" i="12"/>
  <c r="X719" i="12"/>
  <c r="Y719" i="12"/>
  <c r="X720" i="12"/>
  <c r="Y720" i="12"/>
  <c r="X721" i="12"/>
  <c r="Y721" i="12"/>
  <c r="X722" i="12"/>
  <c r="Y722" i="12"/>
  <c r="X723" i="12"/>
  <c r="Y723" i="12"/>
  <c r="X724" i="12"/>
  <c r="Y724" i="12"/>
  <c r="X725" i="12"/>
  <c r="Y725" i="12"/>
  <c r="X726" i="12"/>
  <c r="Y726" i="12"/>
  <c r="X727" i="12"/>
  <c r="Y727" i="12"/>
  <c r="X728" i="12"/>
  <c r="Y728" i="12"/>
  <c r="X729" i="12"/>
  <c r="Y729" i="12"/>
  <c r="X730" i="12"/>
  <c r="Y730" i="12"/>
  <c r="X731" i="12"/>
  <c r="Y731" i="12"/>
  <c r="X732" i="12"/>
  <c r="Y732" i="12"/>
  <c r="X733" i="12"/>
  <c r="Y733" i="12"/>
  <c r="X734" i="12"/>
  <c r="Y734" i="12"/>
  <c r="X735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Y742" i="12"/>
  <c r="X743" i="12"/>
  <c r="Y743" i="12"/>
  <c r="X744" i="12"/>
  <c r="Y744" i="12"/>
  <c r="X745" i="12"/>
  <c r="Y745" i="12"/>
  <c r="X746" i="12"/>
  <c r="Y746" i="12"/>
  <c r="X747" i="12"/>
  <c r="Y747" i="12"/>
  <c r="X748" i="12"/>
  <c r="Y748" i="12"/>
  <c r="X749" i="12"/>
  <c r="Y749" i="12"/>
  <c r="X750" i="12"/>
  <c r="Y750" i="12"/>
  <c r="X751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Y758" i="12"/>
  <c r="X759" i="12"/>
  <c r="Y759" i="12"/>
  <c r="X760" i="12"/>
  <c r="Y760" i="12"/>
  <c r="X761" i="12"/>
  <c r="Y761" i="12"/>
  <c r="X762" i="12"/>
  <c r="Y762" i="12"/>
  <c r="X763" i="12"/>
  <c r="Y763" i="12"/>
  <c r="X764" i="12"/>
  <c r="Y764" i="12"/>
  <c r="X765" i="12"/>
  <c r="Y765" i="12"/>
  <c r="X766" i="12"/>
  <c r="Y766" i="12"/>
  <c r="X767" i="12"/>
  <c r="Y767" i="12"/>
  <c r="X768" i="12"/>
  <c r="Y768" i="12"/>
  <c r="X769" i="12"/>
  <c r="Y769" i="12"/>
  <c r="X770" i="12"/>
  <c r="Y770" i="12"/>
  <c r="X771" i="12"/>
  <c r="Y771" i="12"/>
  <c r="X772" i="12"/>
  <c r="Y772" i="12"/>
  <c r="X773" i="12"/>
  <c r="Y773" i="12"/>
  <c r="X774" i="12"/>
  <c r="Y774" i="12"/>
  <c r="X775" i="12"/>
  <c r="Y775" i="12"/>
  <c r="X776" i="12"/>
  <c r="Y776" i="12"/>
  <c r="X777" i="12"/>
  <c r="Y777" i="12"/>
  <c r="X778" i="12"/>
  <c r="Y778" i="12"/>
  <c r="X779" i="12"/>
  <c r="Y779" i="12"/>
  <c r="X780" i="12"/>
  <c r="Y780" i="12"/>
  <c r="X781" i="12"/>
  <c r="Y781" i="12"/>
  <c r="X782" i="12"/>
  <c r="Y782" i="12"/>
  <c r="X783" i="12"/>
  <c r="Y783" i="12"/>
  <c r="X784" i="12"/>
  <c r="Y784" i="12"/>
  <c r="X785" i="12"/>
  <c r="Y785" i="12"/>
  <c r="X786" i="12"/>
  <c r="Y786" i="12"/>
  <c r="X787" i="12"/>
  <c r="Y787" i="12"/>
  <c r="X788" i="12"/>
  <c r="Y788" i="12"/>
  <c r="X789" i="12"/>
  <c r="Y789" i="12"/>
  <c r="X790" i="12"/>
  <c r="Y790" i="12"/>
  <c r="X791" i="12"/>
  <c r="Y791" i="12"/>
  <c r="X792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Y798" i="12"/>
  <c r="X799" i="12"/>
  <c r="Y799" i="12"/>
  <c r="X800" i="12"/>
  <c r="Y800" i="12"/>
  <c r="X801" i="12"/>
  <c r="Y801" i="12"/>
  <c r="X802" i="12"/>
  <c r="Y802" i="12"/>
  <c r="X803" i="12"/>
  <c r="Y803" i="12"/>
  <c r="X804" i="12"/>
  <c r="Y804" i="12"/>
  <c r="X805" i="12"/>
  <c r="Y805" i="12"/>
  <c r="X806" i="12"/>
  <c r="Y806" i="12"/>
  <c r="X807" i="12"/>
  <c r="Y807" i="12"/>
  <c r="X808" i="12"/>
  <c r="Y808" i="12"/>
  <c r="X809" i="12"/>
  <c r="Y809" i="12"/>
  <c r="X810" i="12"/>
  <c r="Y810" i="12"/>
  <c r="X811" i="12"/>
  <c r="Y811" i="12"/>
  <c r="X812" i="12"/>
  <c r="Y812" i="12"/>
  <c r="X813" i="12"/>
  <c r="Y813" i="12"/>
  <c r="X814" i="12"/>
  <c r="Y814" i="12"/>
  <c r="X815" i="12"/>
  <c r="Y815" i="12"/>
  <c r="X816" i="12"/>
  <c r="Y816" i="12"/>
  <c r="X817" i="12"/>
  <c r="Y817" i="12"/>
  <c r="X818" i="12"/>
  <c r="Y818" i="12"/>
  <c r="X819" i="12"/>
  <c r="Y819" i="12"/>
  <c r="X820" i="12"/>
  <c r="Y820" i="12"/>
  <c r="X821" i="12"/>
  <c r="Y821" i="12"/>
  <c r="X822" i="12"/>
  <c r="Y822" i="12"/>
  <c r="X823" i="12"/>
  <c r="Y823" i="12"/>
  <c r="X824" i="12"/>
  <c r="Y824" i="12"/>
  <c r="X825" i="12"/>
  <c r="Y825" i="12"/>
  <c r="X826" i="12"/>
  <c r="Y826" i="12"/>
  <c r="X827" i="12"/>
  <c r="Y827" i="12"/>
  <c r="X828" i="12"/>
  <c r="Y828" i="12"/>
  <c r="X829" i="12"/>
  <c r="Y829" i="12"/>
  <c r="X830" i="12"/>
  <c r="Y830" i="12"/>
  <c r="X831" i="12"/>
  <c r="Y831" i="12"/>
  <c r="X832" i="12"/>
  <c r="Y832" i="12"/>
  <c r="X833" i="12"/>
  <c r="Y833" i="12"/>
  <c r="X834" i="12"/>
  <c r="Y834" i="12"/>
  <c r="X835" i="12"/>
  <c r="Y835" i="12"/>
  <c r="X836" i="12"/>
  <c r="Y836" i="12"/>
  <c r="X837" i="12"/>
  <c r="Y837" i="12"/>
  <c r="X838" i="12"/>
  <c r="Y838" i="12"/>
  <c r="X839" i="12"/>
  <c r="Y839" i="12"/>
  <c r="X840" i="12"/>
  <c r="Y840" i="12"/>
  <c r="X841" i="12"/>
  <c r="Y841" i="12"/>
  <c r="X842" i="12"/>
  <c r="Y842" i="12"/>
  <c r="X843" i="12"/>
  <c r="Y843" i="12"/>
  <c r="X844" i="12"/>
  <c r="Y844" i="12"/>
  <c r="X845" i="12"/>
  <c r="Y845" i="12"/>
  <c r="X846" i="12"/>
  <c r="Y846" i="12"/>
  <c r="X847" i="12"/>
  <c r="Y847" i="12"/>
  <c r="X848" i="12"/>
  <c r="Y848" i="12"/>
  <c r="X849" i="12"/>
  <c r="Y849" i="12"/>
  <c r="X850" i="12"/>
  <c r="Y850" i="12"/>
  <c r="X851" i="12"/>
  <c r="Y851" i="12"/>
  <c r="X852" i="12"/>
  <c r="Y852" i="12"/>
  <c r="X853" i="12"/>
  <c r="Y853" i="12"/>
  <c r="X854" i="12"/>
  <c r="Y854" i="12"/>
  <c r="X855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Y862" i="12"/>
  <c r="X863" i="12"/>
  <c r="Y863" i="12"/>
  <c r="X864" i="12"/>
  <c r="Y864" i="12"/>
  <c r="X865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Y871" i="12"/>
  <c r="X872" i="12"/>
  <c r="Y872" i="12"/>
  <c r="X873" i="12"/>
  <c r="Y873" i="12"/>
  <c r="X874" i="12"/>
  <c r="Y874" i="12"/>
  <c r="X875" i="12"/>
  <c r="Y875" i="12"/>
  <c r="X876" i="12"/>
  <c r="Y876" i="12"/>
  <c r="X877" i="12"/>
  <c r="Y877" i="12"/>
  <c r="X878" i="12"/>
  <c r="Y878" i="12"/>
  <c r="X879" i="12"/>
  <c r="Y879" i="12"/>
  <c r="X880" i="12"/>
  <c r="Y880" i="12"/>
  <c r="X881" i="12"/>
  <c r="Y881" i="12"/>
  <c r="X882" i="12"/>
  <c r="Y882" i="12"/>
  <c r="X883" i="12"/>
  <c r="Y883" i="12"/>
  <c r="X884" i="12"/>
  <c r="Y884" i="12"/>
  <c r="X885" i="12"/>
  <c r="Y885" i="12"/>
  <c r="X886" i="12"/>
  <c r="Y886" i="12"/>
  <c r="X887" i="12"/>
  <c r="Y887" i="12"/>
  <c r="X888" i="12"/>
  <c r="Y888" i="12"/>
  <c r="X889" i="12"/>
  <c r="Y889" i="12"/>
  <c r="X890" i="12"/>
  <c r="Y890" i="12"/>
  <c r="X891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Y897" i="12"/>
  <c r="X898" i="12"/>
  <c r="Y898" i="12"/>
  <c r="X899" i="12"/>
  <c r="Y899" i="12"/>
  <c r="X900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Y908" i="12"/>
  <c r="X909" i="12"/>
  <c r="Y909" i="12"/>
  <c r="X910" i="12"/>
  <c r="Y910" i="12"/>
  <c r="X911" i="12"/>
  <c r="Y911" i="12"/>
  <c r="X912" i="12"/>
  <c r="Y912" i="12"/>
  <c r="X913" i="12"/>
  <c r="Y913" i="12"/>
  <c r="X914" i="12"/>
  <c r="Y914" i="12"/>
  <c r="X915" i="12"/>
  <c r="Y915" i="12"/>
  <c r="X916" i="12"/>
  <c r="Y916" i="12"/>
  <c r="X917" i="12"/>
  <c r="Y917" i="12"/>
  <c r="X918" i="12"/>
  <c r="Y918" i="12"/>
  <c r="X919" i="12"/>
  <c r="Y919" i="12"/>
  <c r="X920" i="12"/>
  <c r="Y920" i="12"/>
  <c r="X921" i="12"/>
  <c r="Y921" i="12"/>
  <c r="X922" i="12"/>
  <c r="Y922" i="12"/>
  <c r="X923" i="12"/>
  <c r="Y923" i="12"/>
  <c r="X924" i="12"/>
  <c r="Y924" i="12"/>
  <c r="X925" i="12"/>
  <c r="Y925" i="12"/>
  <c r="X926" i="12"/>
  <c r="Y926" i="12"/>
  <c r="X927" i="12"/>
  <c r="Y927" i="12"/>
  <c r="X928" i="12"/>
  <c r="Y928" i="12"/>
  <c r="X929" i="12"/>
  <c r="Y929" i="12"/>
  <c r="X930" i="12"/>
  <c r="Y930" i="12"/>
  <c r="X931" i="12"/>
  <c r="Y931" i="12"/>
  <c r="X932" i="12"/>
  <c r="Y932" i="12"/>
  <c r="X933" i="12"/>
  <c r="Y933" i="12"/>
  <c r="X934" i="12"/>
  <c r="Y934" i="12"/>
  <c r="X935" i="12"/>
  <c r="Y935" i="12"/>
  <c r="X936" i="12"/>
  <c r="Y936" i="12"/>
  <c r="X937" i="12"/>
  <c r="Y937" i="12"/>
  <c r="X938" i="12"/>
  <c r="Y938" i="12"/>
  <c r="X939" i="12"/>
  <c r="Y939" i="12"/>
  <c r="X940" i="12"/>
  <c r="Y940" i="12"/>
  <c r="X941" i="12"/>
  <c r="Y941" i="12"/>
  <c r="X942" i="12"/>
  <c r="Y942" i="12"/>
  <c r="X943" i="12"/>
  <c r="Y943" i="12"/>
  <c r="X944" i="12"/>
  <c r="Y944" i="12"/>
  <c r="X945" i="12"/>
  <c r="Y945" i="12"/>
  <c r="X946" i="12"/>
  <c r="Y946" i="12"/>
  <c r="X947" i="12"/>
  <c r="Y947" i="12"/>
  <c r="X948" i="12"/>
  <c r="Y948" i="12"/>
  <c r="X949" i="12"/>
  <c r="Y949" i="12"/>
  <c r="X950" i="12"/>
  <c r="Y950" i="12"/>
  <c r="X951" i="12"/>
  <c r="Y951" i="12"/>
  <c r="X952" i="12"/>
  <c r="Y952" i="12"/>
  <c r="X953" i="12"/>
  <c r="Y953" i="12"/>
  <c r="X954" i="12"/>
  <c r="Y954" i="12"/>
  <c r="X955" i="12"/>
  <c r="Y955" i="12"/>
  <c r="X956" i="12"/>
  <c r="Y956" i="12"/>
  <c r="X957" i="12"/>
  <c r="Y957" i="12"/>
  <c r="X958" i="12"/>
  <c r="Y958" i="12"/>
  <c r="X959" i="12"/>
  <c r="Y959" i="12"/>
  <c r="X960" i="12"/>
  <c r="Y960" i="12"/>
  <c r="X961" i="12"/>
  <c r="Y961" i="12"/>
  <c r="X962" i="12"/>
  <c r="Y962" i="12"/>
  <c r="X963" i="12"/>
  <c r="Y963" i="12"/>
  <c r="X964" i="12"/>
  <c r="Y964" i="12"/>
  <c r="X965" i="12"/>
  <c r="Y965" i="12"/>
  <c r="X966" i="12"/>
  <c r="Y966" i="12"/>
  <c r="X967" i="12"/>
  <c r="Y967" i="12"/>
  <c r="X968" i="12"/>
  <c r="Y968" i="12"/>
  <c r="X969" i="12"/>
  <c r="Y969" i="12"/>
  <c r="X970" i="12"/>
  <c r="Y970" i="12"/>
  <c r="X971" i="12"/>
  <c r="Y971" i="12"/>
  <c r="X972" i="12"/>
  <c r="Y972" i="12"/>
  <c r="X973" i="12"/>
  <c r="Y973" i="12"/>
  <c r="X974" i="12"/>
  <c r="Y974" i="12"/>
  <c r="X975" i="12"/>
  <c r="Y975" i="12"/>
  <c r="X976" i="12"/>
  <c r="Y976" i="12"/>
  <c r="X977" i="12"/>
  <c r="Y977" i="12"/>
  <c r="X978" i="12"/>
  <c r="Y978" i="12"/>
  <c r="X979" i="12"/>
  <c r="Y979" i="12"/>
  <c r="X980" i="12"/>
  <c r="Y980" i="12"/>
  <c r="X981" i="12"/>
  <c r="Y981" i="12"/>
  <c r="X982" i="12"/>
  <c r="Y982" i="12"/>
  <c r="X983" i="12"/>
  <c r="Y983" i="12"/>
  <c r="X984" i="12"/>
  <c r="Y984" i="12"/>
  <c r="X985" i="12"/>
  <c r="Y985" i="12"/>
  <c r="X986" i="12"/>
  <c r="Y986" i="12"/>
  <c r="X987" i="12"/>
  <c r="Y987" i="12"/>
  <c r="X988" i="12"/>
  <c r="Y988" i="12"/>
  <c r="X989" i="12"/>
  <c r="Y989" i="12"/>
  <c r="X990" i="12"/>
  <c r="Y990" i="12"/>
  <c r="X991" i="12"/>
  <c r="Y991" i="12"/>
  <c r="X992" i="12"/>
  <c r="Y992" i="12"/>
  <c r="X993" i="12"/>
  <c r="Y993" i="12"/>
  <c r="X994" i="12"/>
  <c r="Y994" i="12"/>
  <c r="X995" i="12"/>
  <c r="Y995" i="12"/>
  <c r="X996" i="12"/>
  <c r="Y996" i="12"/>
  <c r="X997" i="12"/>
  <c r="Y997" i="12"/>
  <c r="X998" i="12"/>
  <c r="Y998" i="12"/>
  <c r="X999" i="12"/>
  <c r="Y999" i="12"/>
  <c r="X1000" i="12"/>
  <c r="Y1000" i="12"/>
  <c r="X1001" i="12"/>
  <c r="Y1001" i="12"/>
  <c r="X1002" i="12"/>
  <c r="Y1002" i="12"/>
  <c r="X1003" i="12"/>
  <c r="Y1003" i="12"/>
  <c r="X1004" i="12"/>
  <c r="Y1004" i="12"/>
  <c r="X1005" i="12"/>
  <c r="Y1005" i="12"/>
  <c r="X1006" i="12"/>
  <c r="Y1006" i="12"/>
  <c r="X1007" i="12"/>
  <c r="Y1007" i="12"/>
  <c r="X1008" i="12"/>
  <c r="Y1008" i="12"/>
  <c r="X1009" i="12"/>
  <c r="Y1009" i="12"/>
  <c r="X1010" i="12"/>
  <c r="Y1010" i="12"/>
  <c r="X1011" i="12"/>
  <c r="Y1011" i="12"/>
  <c r="X1012" i="12"/>
  <c r="Y1012" i="12"/>
  <c r="X1013" i="12"/>
  <c r="Y1013" i="12"/>
  <c r="X1014" i="12"/>
  <c r="Y1014" i="12"/>
  <c r="X1015" i="12"/>
  <c r="Y1015" i="12"/>
  <c r="X1016" i="12"/>
  <c r="Y1016" i="12"/>
  <c r="X1017" i="12"/>
  <c r="Y1017" i="12"/>
  <c r="X1018" i="12"/>
  <c r="Y1018" i="12"/>
  <c r="X1019" i="12"/>
  <c r="Y1019" i="12"/>
  <c r="X1020" i="12"/>
  <c r="Y1020" i="12"/>
  <c r="X1021" i="12"/>
  <c r="Y1021" i="12"/>
  <c r="X1022" i="12"/>
  <c r="Y1022" i="12"/>
  <c r="X1023" i="12"/>
  <c r="Y1023" i="12"/>
  <c r="X1024" i="12"/>
  <c r="Y1024" i="12"/>
  <c r="X1025" i="12"/>
  <c r="Y1025" i="12"/>
  <c r="X1026" i="12"/>
  <c r="Y1026" i="12"/>
  <c r="X1027" i="12"/>
  <c r="Y1027" i="12"/>
  <c r="X1028" i="12"/>
  <c r="Y1028" i="12"/>
  <c r="X1029" i="12"/>
  <c r="Y1029" i="12"/>
  <c r="X1030" i="12"/>
  <c r="Y1030" i="12"/>
  <c r="X1031" i="12"/>
  <c r="Y1031" i="12"/>
  <c r="X1032" i="12"/>
  <c r="Y1032" i="12"/>
  <c r="X1033" i="12"/>
  <c r="Y1033" i="12"/>
  <c r="X1034" i="12"/>
  <c r="Y1034" i="12"/>
  <c r="X1035" i="12"/>
  <c r="Y1035" i="12"/>
  <c r="X1036" i="12"/>
  <c r="Y1036" i="12"/>
  <c r="X1037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Y1043" i="12"/>
  <c r="X1044" i="12"/>
  <c r="Y1044" i="12"/>
  <c r="X1045" i="12"/>
  <c r="Y1045" i="12"/>
  <c r="X1046" i="12"/>
  <c r="Y1046" i="12"/>
  <c r="X1047" i="12"/>
  <c r="Y1047" i="12"/>
  <c r="X1048" i="12"/>
  <c r="Y1048" i="12"/>
  <c r="X1049" i="12"/>
  <c r="Y1049" i="12"/>
  <c r="X1050" i="12"/>
  <c r="Y1050" i="12"/>
  <c r="X1051" i="12"/>
  <c r="Y1051" i="12"/>
  <c r="X1052" i="12"/>
  <c r="Y1052" i="12"/>
  <c r="X1053" i="12"/>
  <c r="Y1053" i="12"/>
  <c r="X1054" i="12"/>
  <c r="Y1054" i="12"/>
  <c r="X1055" i="12"/>
  <c r="Y1055" i="12"/>
  <c r="X1056" i="12"/>
  <c r="Y1056" i="12"/>
  <c r="X1057" i="12"/>
  <c r="Y1057" i="12"/>
  <c r="X1058" i="12"/>
  <c r="Y1058" i="12"/>
  <c r="X1059" i="12"/>
  <c r="Y1059" i="12"/>
  <c r="X1060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Y1067" i="12"/>
  <c r="X1068" i="12"/>
  <c r="Y1068" i="12"/>
  <c r="X1069" i="12"/>
  <c r="Y1069" i="12"/>
  <c r="X1070" i="12"/>
  <c r="Y1070" i="12"/>
  <c r="X1071" i="12"/>
  <c r="Y1071" i="12"/>
  <c r="X1072" i="12"/>
  <c r="Y1072" i="12"/>
  <c r="X1073" i="12"/>
  <c r="Y1073" i="12"/>
  <c r="X1074" i="12"/>
  <c r="Y1074" i="12"/>
  <c r="X1075" i="12"/>
  <c r="Y1075" i="12"/>
  <c r="X1076" i="12"/>
  <c r="Y1076" i="12"/>
  <c r="X1077" i="12"/>
  <c r="Y1077" i="12"/>
  <c r="X1078" i="12"/>
  <c r="Y1078" i="12"/>
  <c r="X1079" i="12"/>
  <c r="Y1079" i="12"/>
  <c r="X1080" i="12"/>
  <c r="Y1080" i="12"/>
  <c r="X1081" i="12"/>
  <c r="Y1081" i="12"/>
  <c r="X1082" i="12"/>
  <c r="Y1082" i="12"/>
  <c r="X1083" i="12"/>
  <c r="Y1083" i="12"/>
  <c r="X1084" i="12"/>
  <c r="Y1084" i="12"/>
  <c r="X1085" i="12"/>
  <c r="Y1085" i="12"/>
  <c r="X1086" i="12"/>
  <c r="Y1086" i="12"/>
  <c r="X1087" i="12"/>
  <c r="Y1087" i="12"/>
  <c r="X1088" i="12"/>
  <c r="Y1088" i="12"/>
  <c r="X1089" i="12"/>
  <c r="Y1089" i="12"/>
  <c r="X1090" i="12"/>
  <c r="Y1090" i="12"/>
  <c r="X1091" i="12"/>
  <c r="Y1091" i="12"/>
  <c r="X1092" i="12"/>
  <c r="Y1092" i="12"/>
  <c r="X1093" i="12"/>
  <c r="Y1093" i="12"/>
  <c r="X1094" i="12"/>
  <c r="Y1094" i="12"/>
  <c r="X1095" i="12"/>
  <c r="Y1095" i="12"/>
  <c r="X1096" i="12"/>
  <c r="Y1096" i="12"/>
  <c r="X1097" i="12"/>
  <c r="Y1097" i="12"/>
  <c r="X1098" i="12"/>
  <c r="Y1098" i="12"/>
  <c r="X1099" i="12"/>
  <c r="Y1099" i="12"/>
  <c r="X1100" i="12"/>
  <c r="Y1100" i="12"/>
  <c r="X1101" i="12"/>
  <c r="Y1101" i="12"/>
  <c r="X1102" i="12"/>
  <c r="Y1102" i="12"/>
  <c r="X1103" i="12"/>
  <c r="Y1103" i="12"/>
  <c r="X1104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Y1111" i="12"/>
  <c r="X1112" i="12"/>
  <c r="Y1112" i="12"/>
  <c r="X1113" i="12"/>
  <c r="Y1113" i="12"/>
  <c r="X1114" i="12"/>
  <c r="Y1114" i="12"/>
  <c r="X1115" i="12"/>
  <c r="Y1115" i="12"/>
  <c r="X1116" i="12"/>
  <c r="Y1116" i="12"/>
  <c r="X1117" i="12"/>
  <c r="Y1117" i="12"/>
  <c r="X1118" i="12"/>
  <c r="Y1118" i="12"/>
  <c r="X1119" i="12"/>
  <c r="Y1119" i="12"/>
  <c r="X1120" i="12"/>
  <c r="Y1120" i="12"/>
  <c r="X1121" i="12"/>
  <c r="Y1121" i="12"/>
  <c r="X1122" i="12"/>
  <c r="Y1122" i="12"/>
  <c r="X1123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Y1129" i="12"/>
  <c r="X1130" i="12"/>
  <c r="Y1130" i="12"/>
  <c r="X1131" i="12"/>
  <c r="Y1131" i="12"/>
  <c r="X1132" i="12"/>
  <c r="Y1132" i="12"/>
  <c r="X1133" i="12"/>
  <c r="Y1133" i="12"/>
  <c r="X1134" i="12"/>
  <c r="Y1134" i="12"/>
  <c r="X1135" i="12"/>
  <c r="Y1135" i="12"/>
  <c r="X1136" i="12"/>
  <c r="Y1136" i="12"/>
  <c r="X1137" i="12"/>
  <c r="Y1137" i="12"/>
  <c r="X1138" i="12"/>
  <c r="Y1138" i="12"/>
  <c r="X1139" i="12"/>
  <c r="Y1139" i="12"/>
  <c r="X1140" i="12"/>
  <c r="Y1140" i="12"/>
  <c r="X1141" i="12"/>
  <c r="Y1141" i="12"/>
  <c r="X1142" i="12"/>
  <c r="Y1142" i="12"/>
  <c r="X1143" i="12"/>
  <c r="Y1143" i="12"/>
  <c r="X1144" i="12"/>
  <c r="Y1144" i="12"/>
  <c r="X1145" i="12"/>
  <c r="Y1145" i="12"/>
  <c r="X1146" i="12"/>
  <c r="Y1146" i="12"/>
  <c r="X1147" i="12"/>
  <c r="Y1147" i="12"/>
  <c r="X1148" i="12"/>
  <c r="Y1148" i="12"/>
  <c r="X1149" i="12"/>
  <c r="Y1149" i="12"/>
  <c r="X1150" i="12"/>
  <c r="Y1150" i="12"/>
  <c r="X1151" i="12"/>
  <c r="Y1151" i="12"/>
  <c r="X1152" i="12"/>
  <c r="Y1152" i="12"/>
  <c r="X1153" i="12"/>
  <c r="Y1153" i="12"/>
  <c r="X1154" i="12"/>
  <c r="Y1154" i="12"/>
  <c r="X1155" i="12"/>
  <c r="Y1155" i="12"/>
  <c r="X1156" i="12"/>
  <c r="Y1156" i="12"/>
  <c r="X1157" i="12"/>
  <c r="Y1157" i="12"/>
  <c r="X1158" i="12"/>
  <c r="Y1158" i="12"/>
  <c r="X1159" i="12"/>
  <c r="Y1159" i="12"/>
  <c r="X1160" i="12"/>
  <c r="Y1160" i="12"/>
  <c r="X1161" i="12"/>
  <c r="Y1161" i="12"/>
  <c r="X1162" i="12"/>
  <c r="Y1162" i="12"/>
  <c r="X1163" i="12"/>
  <c r="Y1163" i="12"/>
  <c r="X1164" i="12"/>
  <c r="Y1164" i="12"/>
  <c r="X1165" i="12"/>
  <c r="Y1165" i="12"/>
  <c r="X1166" i="12"/>
  <c r="Y1166" i="12"/>
  <c r="X1167" i="12"/>
  <c r="Y1167" i="12"/>
  <c r="X1168" i="12"/>
  <c r="Y1168" i="12"/>
  <c r="X1169" i="12"/>
  <c r="Y1169" i="12"/>
  <c r="X1170" i="12"/>
  <c r="Y1170" i="12"/>
  <c r="X1171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Y1177" i="12"/>
  <c r="X1178" i="12"/>
  <c r="Y1178" i="12"/>
  <c r="X1179" i="12"/>
  <c r="Y1179" i="12"/>
  <c r="X1180" i="12"/>
  <c r="Y1180" i="12"/>
  <c r="X1181" i="12"/>
  <c r="Y1181" i="12"/>
  <c r="X1182" i="12"/>
  <c r="Y1182" i="12"/>
  <c r="X1183" i="12"/>
  <c r="Y1183" i="12"/>
  <c r="X1184" i="12"/>
  <c r="Y1184" i="12"/>
  <c r="X1185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Y1191" i="12"/>
  <c r="X1192" i="12"/>
  <c r="Y1192" i="12"/>
  <c r="X1193" i="12"/>
  <c r="Y1193" i="12"/>
  <c r="X1194" i="12"/>
  <c r="Y1194" i="12"/>
  <c r="X1195" i="12"/>
  <c r="Y1195" i="12"/>
  <c r="X1196" i="12"/>
  <c r="Y1196" i="12"/>
  <c r="X1197" i="12"/>
  <c r="Y1197" i="12"/>
  <c r="X1198" i="12"/>
  <c r="Y1198" i="12"/>
  <c r="X1199" i="12"/>
  <c r="Y1199" i="12"/>
  <c r="X1200" i="12"/>
  <c r="Y1200" i="12"/>
  <c r="X1201" i="12"/>
  <c r="Y1201" i="12"/>
  <c r="X1202" i="12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AA19" i="12" s="1" a="1"/>
  <c r="AA668" i="12" l="1"/>
  <c r="AA1747" i="12"/>
  <c r="AA783" i="12"/>
  <c r="AA1262" i="12"/>
  <c r="AA626" i="12"/>
  <c r="AA1818" i="12"/>
  <c r="AA1066" i="12"/>
  <c r="AA2797" i="12"/>
  <c r="AA3155" i="12"/>
  <c r="AA924" i="12"/>
  <c r="AA1460" i="12"/>
  <c r="AA1817" i="12"/>
  <c r="AA719" i="12"/>
  <c r="AA3062" i="12"/>
  <c r="AA2396" i="12"/>
  <c r="AA3094" i="12"/>
  <c r="AA1850" i="12"/>
  <c r="AA1604" i="12"/>
  <c r="AA2163" i="12"/>
  <c r="AA1392" i="12"/>
  <c r="AA358" i="12"/>
  <c r="AA547" i="12"/>
  <c r="AA1141" i="12"/>
  <c r="AA3343" i="12"/>
  <c r="AA353" i="12"/>
  <c r="AA2213" i="12"/>
  <c r="AA2292" i="12"/>
  <c r="AA2679" i="12"/>
  <c r="AA3251" i="12"/>
  <c r="AA437" i="12"/>
  <c r="AA2831" i="12"/>
  <c r="AA1028" i="12"/>
  <c r="AA2801" i="12"/>
  <c r="AA1304" i="12"/>
  <c r="AA534" i="12"/>
  <c r="AA556" i="12"/>
  <c r="AA270" i="12"/>
  <c r="AA2772" i="12"/>
  <c r="AA1178" i="12"/>
  <c r="AA612" i="12"/>
  <c r="AA1128" i="12"/>
  <c r="AA3183" i="12"/>
  <c r="AA1939" i="12"/>
  <c r="AA3256" i="12"/>
  <c r="AA190" i="12"/>
  <c r="AA2322" i="12"/>
  <c r="AA705" i="12"/>
  <c r="AA2882" i="12"/>
  <c r="AA1879" i="12"/>
  <c r="AA560" i="12"/>
  <c r="AA3292" i="12"/>
  <c r="AA2527" i="12"/>
  <c r="AA1774" i="12"/>
  <c r="AA767" i="12"/>
  <c r="AA1878" i="12"/>
  <c r="AA2625" i="12"/>
  <c r="AA3067" i="12"/>
  <c r="AA2546" i="12"/>
  <c r="AA446" i="12"/>
  <c r="AA775" i="12"/>
  <c r="AA2144" i="12"/>
  <c r="AA998" i="12"/>
  <c r="AA2374" i="12"/>
  <c r="AA1065" i="12"/>
  <c r="AA2106" i="12"/>
  <c r="AA2621" i="12"/>
  <c r="AA2911" i="12"/>
  <c r="AA2239" i="12"/>
  <c r="AA281" i="12"/>
  <c r="AA3296" i="12"/>
  <c r="AA3372" i="12"/>
  <c r="AA1541" i="12"/>
  <c r="AA2477" i="12"/>
  <c r="AA1943" i="12"/>
  <c r="AA1245" i="12"/>
  <c r="AA2027" i="12"/>
  <c r="AA1181" i="12"/>
  <c r="AA1474" i="12"/>
  <c r="AA1004" i="12"/>
  <c r="AA1167" i="12"/>
  <c r="AA1073" i="12"/>
  <c r="AA1101" i="12"/>
  <c r="AA2788" i="12"/>
  <c r="AA1258" i="12"/>
  <c r="AA2574" i="12"/>
  <c r="AA3260" i="12"/>
  <c r="AA1846" i="12"/>
  <c r="AA1908" i="12"/>
  <c r="AA652" i="12"/>
  <c r="AA2020" i="12"/>
  <c r="AA1060" i="12"/>
  <c r="AA2665" i="12"/>
  <c r="AA2697" i="12"/>
  <c r="AA1895" i="12"/>
  <c r="AA2947" i="12"/>
  <c r="AA1938" i="12"/>
  <c r="AA575" i="12"/>
  <c r="AA2776" i="12"/>
  <c r="AA2349" i="12"/>
  <c r="AA515" i="12"/>
  <c r="AA406" i="12"/>
  <c r="AA2282" i="12"/>
  <c r="AA508" i="12"/>
  <c r="AA1139" i="12"/>
  <c r="AA3090" i="12"/>
  <c r="AA3366" i="12"/>
  <c r="AA1722" i="12"/>
  <c r="AA1260" i="12"/>
  <c r="AA2710" i="12"/>
  <c r="AA322" i="12"/>
  <c r="AA2254" i="12"/>
  <c r="AA1105" i="12"/>
  <c r="AA3498" i="12"/>
  <c r="AA3353" i="12"/>
  <c r="AA274" i="12"/>
  <c r="AA1845" i="12"/>
  <c r="AA992" i="12"/>
  <c r="AA2835" i="12"/>
  <c r="AA1577" i="12"/>
  <c r="AA168" i="12"/>
  <c r="AA2341" i="12"/>
  <c r="AA122" i="12"/>
  <c r="AA3135" i="12"/>
  <c r="AA2489" i="12"/>
  <c r="AA2734" i="12"/>
  <c r="AA55" i="12"/>
  <c r="AA3537" i="12"/>
  <c r="AA3509" i="12"/>
  <c r="AA3545" i="12"/>
  <c r="AA3111" i="12"/>
  <c r="AA2071" i="12"/>
  <c r="AA2399" i="12"/>
  <c r="AA1967" i="12"/>
  <c r="AA2647" i="12"/>
  <c r="AA2492" i="12"/>
  <c r="AA392" i="12"/>
  <c r="AA360" i="12"/>
  <c r="AA272" i="12"/>
  <c r="AA1024" i="12"/>
  <c r="AA862" i="12"/>
  <c r="AA803" i="12"/>
  <c r="AA3309" i="12"/>
  <c r="AA2809" i="12"/>
  <c r="AA3154" i="12"/>
  <c r="AA1089" i="12"/>
  <c r="AA2539" i="12"/>
  <c r="AA2313" i="12"/>
  <c r="AA2620" i="12"/>
  <c r="AA2141" i="12"/>
  <c r="AA1414" i="12"/>
  <c r="AA2552" i="12"/>
  <c r="AA2735" i="12"/>
  <c r="AA3142" i="12"/>
  <c r="AA3116" i="12"/>
  <c r="AA892" i="12"/>
  <c r="AA1662" i="12"/>
  <c r="AA2017" i="12"/>
  <c r="AA3475" i="12"/>
  <c r="AA2357" i="12"/>
  <c r="AA3109" i="12"/>
  <c r="AA3267" i="12"/>
  <c r="AA2325" i="12"/>
  <c r="AA949" i="12"/>
  <c r="AA3232" i="12"/>
  <c r="AA3284" i="12"/>
  <c r="AA976" i="12"/>
  <c r="AA3057" i="12"/>
  <c r="AA1589" i="12"/>
  <c r="AA1442" i="12"/>
  <c r="AA968" i="12"/>
  <c r="AA3373" i="12"/>
  <c r="AA1802" i="12"/>
  <c r="AA1027" i="12"/>
  <c r="AA2965" i="12"/>
  <c r="AA1301" i="12"/>
  <c r="AA3034" i="12"/>
  <c r="AA1361" i="12"/>
  <c r="AA2771" i="12"/>
  <c r="AA516" i="12"/>
  <c r="AA683" i="12"/>
  <c r="AA2839" i="12"/>
  <c r="AA1481" i="12"/>
  <c r="AA1864" i="12"/>
  <c r="AA3218" i="12"/>
  <c r="AA3207" i="12"/>
  <c r="AA2512" i="12"/>
  <c r="AA2366" i="12"/>
  <c r="AA3501" i="12"/>
  <c r="AA2931" i="12"/>
  <c r="AA3468" i="12"/>
  <c r="AA2715" i="12"/>
  <c r="AA160" i="12"/>
  <c r="AA90" i="12"/>
  <c r="AA2985" i="12"/>
  <c r="AA2281" i="12"/>
  <c r="AA2836" i="12"/>
  <c r="AA2728" i="12"/>
  <c r="AA1801" i="12"/>
  <c r="AA579" i="12"/>
  <c r="AA1928" i="12"/>
  <c r="AA3438" i="12"/>
  <c r="AA3546" i="12"/>
  <c r="AA526" i="12"/>
  <c r="AA2093" i="12"/>
  <c r="AA279" i="12"/>
  <c r="AA135" i="12"/>
  <c r="AA1644" i="12"/>
  <c r="AA2363" i="12"/>
  <c r="AA1805" i="12"/>
  <c r="AA3196" i="12"/>
  <c r="AA2581" i="12"/>
  <c r="AA1055" i="12"/>
  <c r="AA150" i="12"/>
  <c r="AA1190" i="12"/>
  <c r="AA2634" i="12"/>
  <c r="AA2707" i="12"/>
  <c r="AA2878" i="12"/>
  <c r="AA84" i="12"/>
  <c r="AA3199" i="12"/>
  <c r="AA1993" i="12"/>
  <c r="AA1591" i="12"/>
  <c r="AA2763" i="12"/>
  <c r="AA1831" i="12"/>
  <c r="AA900" i="12"/>
  <c r="AA3114" i="12"/>
  <c r="AA1558" i="12"/>
  <c r="AA137" i="12"/>
  <c r="AA100" i="12"/>
  <c r="AA1121" i="12"/>
  <c r="AA2058" i="12"/>
  <c r="AA35" i="12"/>
  <c r="AA1620" i="12"/>
  <c r="AA1638" i="12"/>
  <c r="AA3449" i="12"/>
  <c r="AA2808" i="12"/>
  <c r="AA3070" i="12"/>
  <c r="AA1557" i="12"/>
  <c r="AA258" i="12"/>
  <c r="AA821" i="12"/>
  <c r="AA407" i="12"/>
  <c r="AA1823" i="12"/>
  <c r="AA3379" i="12"/>
  <c r="AA884" i="12"/>
  <c r="AA2405" i="12"/>
  <c r="AA1631" i="12"/>
  <c r="AA1648" i="12"/>
  <c r="AA1283" i="12"/>
  <c r="AA2871" i="12"/>
  <c r="AA2406" i="12"/>
  <c r="AA1778" i="12"/>
  <c r="AA2209" i="12"/>
  <c r="AA2663" i="12"/>
  <c r="AA2003" i="12"/>
  <c r="AA1781" i="12"/>
  <c r="AA2612" i="12"/>
  <c r="AA2606" i="12"/>
  <c r="AA3453" i="12"/>
  <c r="AA82" i="12"/>
  <c r="AA2244" i="12"/>
  <c r="AA2829" i="12"/>
  <c r="AA3363" i="12"/>
  <c r="AA1640" i="12"/>
  <c r="AA326" i="12"/>
  <c r="AA3393" i="12"/>
  <c r="AA2644" i="12"/>
  <c r="AA29" i="12"/>
  <c r="AA576" i="12"/>
  <c r="AA2922" i="12"/>
  <c r="AA1149" i="12"/>
  <c r="AA1154" i="12"/>
  <c r="AA752" i="12"/>
  <c r="AA3435" i="12"/>
  <c r="AA3348" i="12"/>
  <c r="AA3338" i="12"/>
  <c r="AA2802" i="12"/>
  <c r="AA1703" i="12"/>
  <c r="AA1331" i="12"/>
  <c r="AA298" i="12"/>
  <c r="AA2540" i="12"/>
  <c r="AA686" i="12"/>
  <c r="AA2431" i="12"/>
  <c r="AA68" i="12"/>
  <c r="AA905" i="12"/>
  <c r="AA2593" i="12"/>
  <c r="AA1293" i="12"/>
  <c r="AA2426" i="12"/>
  <c r="AA3175" i="12"/>
  <c r="AA2185" i="12"/>
  <c r="AA3168" i="12"/>
  <c r="AA3037" i="12"/>
  <c r="AA1545" i="12"/>
  <c r="AA1534" i="12"/>
  <c r="AA787" i="12"/>
  <c r="AA316" i="12"/>
  <c r="AA203" i="12"/>
  <c r="AA1689" i="12"/>
  <c r="AA1023" i="12"/>
  <c r="AA899" i="12"/>
  <c r="AA2736" i="12"/>
  <c r="AA771" i="12"/>
  <c r="AA1829" i="12"/>
  <c r="AA2101" i="12"/>
  <c r="AA2932" i="12"/>
  <c r="AA2031" i="12"/>
  <c r="AA2994" i="12"/>
  <c r="AA1650" i="12"/>
  <c r="AA2417" i="12"/>
  <c r="AA2216" i="12"/>
  <c r="AA2139" i="12"/>
  <c r="AA3395" i="12"/>
  <c r="AA2039" i="12"/>
  <c r="AA3303" i="12"/>
  <c r="AA2630" i="12"/>
  <c r="AA3477" i="12"/>
  <c r="AA1535" i="12"/>
  <c r="AA2479" i="12"/>
  <c r="AA87" i="12"/>
  <c r="AA1131" i="12"/>
  <c r="AA3390" i="12"/>
  <c r="AA1389" i="12"/>
  <c r="AA1571" i="12"/>
  <c r="AA2618" i="12"/>
  <c r="AA2261" i="12"/>
  <c r="AA2066" i="12"/>
  <c r="AA1953" i="12"/>
  <c r="AA2181" i="12"/>
  <c r="AA3073" i="12"/>
  <c r="AA1362" i="12"/>
  <c r="AA2267" i="12"/>
  <c r="AA1374" i="12"/>
  <c r="AA2584" i="12"/>
  <c r="AA1450" i="12"/>
  <c r="AA3201" i="12"/>
  <c r="AA3270" i="12"/>
  <c r="AA1354" i="12"/>
  <c r="AA1305" i="12"/>
  <c r="AA1238" i="12"/>
  <c r="AA1429" i="12"/>
  <c r="AA1177" i="12"/>
  <c r="AA3132" i="12"/>
  <c r="AA3307" i="12"/>
  <c r="AA3452" i="12"/>
  <c r="AA1563" i="12"/>
  <c r="AA3233" i="12"/>
  <c r="AA1714" i="12"/>
  <c r="AA3274" i="12"/>
  <c r="AA2164" i="12"/>
  <c r="AA2343" i="12"/>
  <c r="AA2855" i="12"/>
  <c r="AA2789" i="12"/>
  <c r="AA3447" i="12"/>
  <c r="AA1716" i="12"/>
  <c r="AA300" i="12"/>
  <c r="AA2359" i="12"/>
  <c r="AA3212" i="12"/>
  <c r="AA750" i="12"/>
  <c r="AA3400" i="12"/>
  <c r="AA3536" i="12"/>
  <c r="AA1072" i="12"/>
  <c r="AA1608" i="12"/>
  <c r="AA2218" i="12"/>
  <c r="AA489" i="12"/>
  <c r="AA3524" i="12"/>
  <c r="AA599" i="12"/>
  <c r="AA184" i="12"/>
  <c r="AA159" i="12"/>
  <c r="AA2073" i="12"/>
  <c r="AA266" i="12"/>
  <c r="AA2467" i="12"/>
  <c r="AA2025" i="12"/>
  <c r="AA1413" i="12"/>
  <c r="AA1990" i="12"/>
  <c r="AA2099" i="12"/>
  <c r="AA2732" i="12"/>
  <c r="AA149" i="12"/>
  <c r="AA2981" i="12"/>
  <c r="AA422" i="12"/>
  <c r="AA2402" i="12"/>
  <c r="AA1052" i="12"/>
  <c r="AA3245" i="12"/>
  <c r="AA2054" i="12"/>
  <c r="AA930" i="12"/>
  <c r="AA1746" i="12"/>
  <c r="AA3382" i="12"/>
  <c r="AA2296" i="12"/>
  <c r="AA194" i="12"/>
  <c r="AA2846" i="12"/>
  <c r="AA2380" i="12"/>
  <c r="AA2052" i="12"/>
  <c r="AA3440" i="12"/>
  <c r="AA569" i="12"/>
  <c r="AA2092" i="12"/>
  <c r="AA1981" i="12"/>
  <c r="AA831" i="12"/>
  <c r="AA67" i="12"/>
  <c r="AA2940" i="12"/>
  <c r="AA2074" i="12"/>
  <c r="AA2053" i="12"/>
  <c r="AA2588" i="12"/>
  <c r="AA1765" i="12"/>
  <c r="AA2740" i="12"/>
  <c r="AA1628" i="12"/>
  <c r="AA1582" i="12"/>
  <c r="AA1745" i="12"/>
  <c r="AA2432" i="12"/>
  <c r="AA697" i="12"/>
  <c r="AA79" i="12"/>
  <c r="AA932" i="12"/>
  <c r="AA2729" i="12"/>
  <c r="AA2967" i="12"/>
  <c r="AA1509" i="12"/>
  <c r="AA3088" i="12"/>
  <c r="AA167" i="12"/>
  <c r="AA1388" i="12"/>
  <c r="AA2038" i="12"/>
  <c r="AA2390" i="12"/>
  <c r="AA2970" i="12"/>
  <c r="AA2152" i="12"/>
  <c r="AA421" i="12"/>
  <c r="AA1507" i="12"/>
  <c r="AA1544" i="12"/>
  <c r="AA761" i="12"/>
  <c r="AA1038" i="12"/>
  <c r="AA3547" i="12"/>
  <c r="AA3384" i="12"/>
  <c r="AA1892" i="12"/>
  <c r="AA2116" i="12"/>
  <c r="AA3285" i="12"/>
  <c r="AA233" i="12"/>
  <c r="AA3526" i="12"/>
  <c r="AA320" i="12"/>
  <c r="AA955" i="12"/>
  <c r="AA503" i="12"/>
  <c r="AA165" i="12"/>
  <c r="AA904" i="12"/>
  <c r="AA1782" i="12"/>
  <c r="AA397" i="12"/>
  <c r="AA1654" i="12"/>
  <c r="AA3014" i="12"/>
  <c r="AA848" i="12"/>
  <c r="AA143" i="12"/>
  <c r="AA1040" i="12"/>
  <c r="AA2631" i="12"/>
  <c r="AA1881" i="12"/>
  <c r="AA2516" i="12"/>
  <c r="AA2881" i="12"/>
  <c r="AA95" i="12"/>
  <c r="AA2986" i="12"/>
  <c r="AA2280" i="12"/>
  <c r="AA3046" i="12"/>
  <c r="AA2751" i="12"/>
  <c r="AA1676" i="12"/>
  <c r="AA2633" i="12"/>
  <c r="AA2796" i="12"/>
  <c r="AA1925" i="12"/>
  <c r="AA1642" i="12"/>
  <c r="AA2526" i="12"/>
  <c r="AA1822" i="12"/>
  <c r="AA2841" i="12"/>
  <c r="AA2375" i="12"/>
  <c r="AA175" i="12"/>
  <c r="AA356" i="12"/>
  <c r="AA913" i="12"/>
  <c r="AA2555" i="12"/>
  <c r="AA3084" i="12"/>
  <c r="AA2388" i="12"/>
  <c r="AA551" i="12"/>
  <c r="AA3013" i="12"/>
  <c r="AA3176" i="12"/>
  <c r="AA1917" i="12"/>
  <c r="AA1675" i="12"/>
  <c r="AA1859" i="12"/>
  <c r="AA2006" i="12"/>
  <c r="AA1510" i="12"/>
  <c r="AA2972" i="12"/>
  <c r="AA3225" i="12"/>
  <c r="AA2102" i="12"/>
  <c r="AA1253" i="12"/>
  <c r="AA381" i="12"/>
  <c r="AA1972" i="12"/>
  <c r="AA2770" i="12"/>
  <c r="AA1227" i="12"/>
  <c r="AA2115" i="12"/>
  <c r="AA1056" i="12"/>
  <c r="AA1403" i="12"/>
  <c r="AA2471" i="12"/>
  <c r="AA914" i="12"/>
  <c r="AA2983" i="12"/>
  <c r="AA1668" i="12"/>
  <c r="AA1839" i="12"/>
  <c r="AA239" i="12"/>
  <c r="AA1827" i="12"/>
  <c r="AA54" i="12"/>
  <c r="AA1505" i="12"/>
  <c r="AA3508" i="12"/>
  <c r="AA1471" i="12"/>
  <c r="AA1340" i="12"/>
  <c r="AA1616" i="12"/>
  <c r="AA1376" i="12"/>
  <c r="AA2910" i="12"/>
  <c r="AA1494" i="12"/>
  <c r="AA1998" i="12"/>
  <c r="AA2725" i="12"/>
  <c r="AA1986" i="12"/>
  <c r="AA776" i="12"/>
  <c r="AA118" i="12"/>
  <c r="AA3311" i="12"/>
  <c r="AA2061" i="12"/>
  <c r="AA1915" i="12"/>
  <c r="AA3181" i="12"/>
  <c r="AA2989" i="12"/>
  <c r="AA1078" i="12"/>
  <c r="AA2554" i="12"/>
  <c r="AA770" i="12"/>
  <c r="AA342" i="12"/>
  <c r="AA1772" i="12"/>
  <c r="AA952" i="12"/>
  <c r="AA3151" i="12"/>
  <c r="AA1294" i="12"/>
  <c r="AA1499" i="12"/>
  <c r="AA688" i="12"/>
  <c r="AA681" i="12"/>
  <c r="AA2868" i="12"/>
  <c r="AA2076" i="12"/>
  <c r="AA1504" i="12"/>
  <c r="AA3129" i="12"/>
  <c r="AA340" i="12"/>
  <c r="AA512" i="12"/>
  <c r="AA173" i="12"/>
  <c r="AA1278" i="12"/>
  <c r="AA646" i="12"/>
  <c r="AA721" i="12"/>
  <c r="AA1425" i="12"/>
  <c r="AA1158" i="12"/>
  <c r="AA2114" i="12"/>
  <c r="AA1248" i="12"/>
  <c r="AA2221" i="12"/>
  <c r="AA3121" i="12"/>
  <c r="AA2655" i="12"/>
  <c r="AA1370" i="12"/>
  <c r="AA3027" i="12"/>
  <c r="AA1263" i="12"/>
  <c r="AA1871" i="12"/>
  <c r="AA748" i="12"/>
  <c r="AA1333" i="12"/>
  <c r="AA2207" i="12"/>
  <c r="AA3144" i="12"/>
  <c r="AA854" i="12"/>
  <c r="AA2960" i="12"/>
  <c r="AA829" i="12"/>
  <c r="AA296" i="12"/>
  <c r="AA939" i="12"/>
  <c r="AA1163" i="12"/>
  <c r="AA501" i="12"/>
  <c r="AA632" i="12"/>
  <c r="AA2906" i="12"/>
  <c r="AA1346" i="12"/>
  <c r="AA2800" i="12"/>
  <c r="AA1328" i="12"/>
  <c r="AA1799" i="12"/>
  <c r="AA1119" i="12"/>
  <c r="AA2826" i="12"/>
  <c r="AA1726" i="12"/>
  <c r="AA3349" i="12"/>
  <c r="AA1991" i="12"/>
  <c r="AA1821" i="12"/>
  <c r="AA1632" i="12"/>
  <c r="AA39" i="12"/>
  <c r="AA2329" i="12"/>
  <c r="AA2867" i="12"/>
  <c r="AA201" i="12"/>
  <c r="AA2369" i="12"/>
  <c r="AA1405" i="12"/>
  <c r="AA247" i="12"/>
  <c r="AA1530" i="12"/>
  <c r="AA1077" i="12"/>
  <c r="AA1516" i="12"/>
  <c r="AA1086" i="12"/>
  <c r="AA553" i="12"/>
  <c r="AA186" i="12"/>
  <c r="AA3359" i="12"/>
  <c r="AA411" i="12"/>
  <c r="AA2759" i="12"/>
  <c r="AA638" i="12"/>
  <c r="AA2779" i="12"/>
  <c r="AA3066" i="12"/>
  <c r="AA2677" i="12"/>
  <c r="AA1935" i="12"/>
  <c r="AA2095" i="12"/>
  <c r="AA2410" i="12"/>
  <c r="AA588" i="12"/>
  <c r="AA1289" i="12"/>
  <c r="AA2067" i="12"/>
  <c r="AA3023" i="12"/>
  <c r="AA145" i="12"/>
  <c r="AA460" i="12"/>
  <c r="AA2645" i="12"/>
  <c r="AA2084" i="12"/>
  <c r="AA2838" i="12"/>
  <c r="AA3021" i="12"/>
  <c r="AA2622" i="12"/>
  <c r="AA3186" i="12"/>
  <c r="AA2761" i="12"/>
  <c r="AA1830" i="12"/>
  <c r="AA1529" i="12"/>
  <c r="AA648" i="12"/>
  <c r="AA2455" i="12"/>
  <c r="AA834" i="12"/>
  <c r="AA2897" i="12"/>
  <c r="AA2094" i="12"/>
  <c r="AA2648" i="12"/>
  <c r="AA202" i="12"/>
  <c r="AA2029" i="12"/>
  <c r="AA3320" i="12"/>
  <c r="AA3341" i="12"/>
  <c r="AA3208" i="12"/>
  <c r="AA1095" i="12"/>
  <c r="AA1225" i="12"/>
  <c r="AA1427" i="12"/>
  <c r="AA2295" i="12"/>
  <c r="AA1112" i="12"/>
  <c r="AA1031" i="12"/>
  <c r="AA2509" i="12"/>
  <c r="AA3418" i="12"/>
  <c r="AA134" i="12"/>
  <c r="AA496" i="12"/>
  <c r="AA1171" i="12"/>
  <c r="AA1574" i="12"/>
  <c r="AA219" i="12"/>
  <c r="AA3009" i="12"/>
  <c r="AA2161" i="12"/>
  <c r="AA2828" i="12"/>
  <c r="AA676" i="12"/>
  <c r="AA846" i="12"/>
  <c r="AA3259" i="12"/>
  <c r="AA2208" i="12"/>
  <c r="AA400" i="12"/>
  <c r="AA511" i="12"/>
  <c r="AA2893" i="12"/>
  <c r="AA679" i="12"/>
  <c r="AA2984" i="12"/>
  <c r="AA80" i="12"/>
  <c r="AA1486" i="12"/>
  <c r="AA1134" i="12"/>
  <c r="AA2236" i="12"/>
  <c r="AA1995" i="12"/>
  <c r="AA2481" i="12"/>
  <c r="AA2840" i="12"/>
  <c r="AA1883" i="12"/>
  <c r="AA3058" i="12"/>
  <c r="AA2256" i="12"/>
  <c r="AA2305" i="12"/>
  <c r="AA2558" i="12"/>
  <c r="AA843" i="12"/>
  <c r="AA1467" i="12"/>
  <c r="AA613" i="12"/>
  <c r="AA3531" i="12"/>
  <c r="AA1172" i="12"/>
  <c r="AA755" i="12"/>
  <c r="AA3499" i="12"/>
  <c r="AA1897" i="12"/>
  <c r="AA3302" i="12"/>
  <c r="AA2660" i="12"/>
  <c r="AA2762" i="12"/>
  <c r="AA1615" i="12"/>
  <c r="AA394" i="12"/>
  <c r="AA3383" i="12"/>
  <c r="AA1738" i="12"/>
  <c r="AA1170" i="12"/>
  <c r="AA3527" i="12"/>
  <c r="AA2587" i="12"/>
  <c r="AA659" i="12"/>
  <c r="AA1155" i="12"/>
  <c r="AA1542" i="12"/>
  <c r="AA1069" i="12"/>
  <c r="AA809" i="12"/>
  <c r="AA793" i="12"/>
  <c r="AA654" i="12"/>
  <c r="AA774" i="12"/>
  <c r="AA1585" i="12"/>
  <c r="AA179" i="12"/>
  <c r="AA2944" i="12"/>
  <c r="AA1975" i="12"/>
  <c r="AA504" i="12"/>
  <c r="AA71" i="12"/>
  <c r="AA1742" i="12"/>
  <c r="AA2241" i="12"/>
  <c r="AA2493" i="12"/>
  <c r="AA1559" i="12"/>
  <c r="AA155" i="12"/>
  <c r="AA3050" i="12"/>
  <c r="AA1240" i="12"/>
  <c r="AA305" i="12"/>
  <c r="AA3048" i="12"/>
  <c r="AA3277" i="12"/>
  <c r="AA1625" i="12"/>
  <c r="AA1808" i="12"/>
  <c r="AA2255" i="12"/>
  <c r="AA1034" i="12"/>
  <c r="AA502" i="12"/>
  <c r="AA1913" i="12"/>
  <c r="AA1686" i="12"/>
  <c r="AA909" i="12"/>
  <c r="AA3286" i="12"/>
  <c r="AA629" i="12"/>
  <c r="AA1432" i="12"/>
  <c r="AA429" i="12"/>
  <c r="AA907" i="12"/>
  <c r="AA415" i="12"/>
  <c r="AA842" i="12"/>
  <c r="AA37" i="12"/>
  <c r="AA828" i="12"/>
  <c r="AA2424" i="12"/>
  <c r="AA2654" i="12"/>
  <c r="AA2429" i="12"/>
  <c r="AA3339" i="12"/>
  <c r="AA2283" i="12"/>
  <c r="AA957" i="12"/>
  <c r="AA1552" i="12"/>
  <c r="AA3491" i="12"/>
  <c r="AA2756" i="12"/>
  <c r="AA2111" i="12"/>
  <c r="AA500" i="12"/>
  <c r="AA779" i="12"/>
  <c r="AA1693" i="12"/>
  <c r="AA2963" i="12"/>
  <c r="AA2007" i="12"/>
  <c r="AA3448" i="12"/>
  <c r="AA119" i="12"/>
  <c r="AA1645" i="12"/>
  <c r="AA2220" i="12"/>
  <c r="AA655" i="12"/>
  <c r="AA3317" i="12"/>
  <c r="AA1152" i="12"/>
  <c r="AA3354" i="12"/>
  <c r="AA1029" i="12"/>
  <c r="AA3078" i="12"/>
  <c r="AA1269" i="12"/>
  <c r="AA936" i="12"/>
  <c r="AA1282" i="12"/>
  <c r="AA879" i="12"/>
  <c r="AA3271" i="12"/>
  <c r="AA2345" i="12"/>
  <c r="AA1339" i="12"/>
  <c r="AA1266" i="12"/>
  <c r="AA2934" i="12"/>
  <c r="AA2742" i="12"/>
  <c r="AA604" i="12"/>
  <c r="AA1188" i="12"/>
  <c r="AA797" i="12"/>
  <c r="AA3064" i="12"/>
  <c r="AA2638" i="12"/>
  <c r="AA2171" i="12"/>
  <c r="AA2001" i="12"/>
  <c r="AA2807" i="12"/>
  <c r="AA1556" i="12"/>
  <c r="AA1313" i="12"/>
  <c r="AA815" i="12"/>
  <c r="AA2505" i="12"/>
  <c r="AA2567" i="12"/>
  <c r="AA2175" i="12"/>
  <c r="AA536" i="12"/>
  <c r="AA1999" i="12"/>
  <c r="AA839" i="12"/>
  <c r="AA2602" i="12"/>
  <c r="AA1281" i="12"/>
  <c r="AA926" i="12"/>
  <c r="AA1438" i="12"/>
  <c r="AA93" i="12"/>
  <c r="AA3047" i="12"/>
  <c r="AA1692" i="12"/>
  <c r="AA2613" i="12"/>
  <c r="AA2856" i="12"/>
  <c r="AA1976" i="12"/>
  <c r="AA865" i="12"/>
  <c r="AA540" i="12"/>
  <c r="AA2157" i="12"/>
  <c r="AA1849" i="12"/>
  <c r="AA3171" i="12"/>
  <c r="AA3247" i="12"/>
  <c r="AA1977" i="12"/>
  <c r="AA2237" i="12"/>
  <c r="AA28" i="12"/>
  <c r="AA827" i="12"/>
  <c r="AA1784" i="12"/>
  <c r="AA458" i="12"/>
  <c r="AA2472" i="12"/>
  <c r="AA2032" i="12"/>
  <c r="AA3228" i="12"/>
  <c r="AA393" i="12"/>
  <c r="AA283" i="12"/>
  <c r="AA332" i="12"/>
  <c r="AA172" i="12"/>
  <c r="AA513" i="12"/>
  <c r="AA2306" i="12"/>
  <c r="AA182" i="12"/>
  <c r="AA1887" i="12"/>
  <c r="AA2385" i="12"/>
  <c r="AA2921" i="12"/>
  <c r="AA2194" i="12"/>
  <c r="AA2849" i="12"/>
  <c r="AA962" i="12"/>
  <c r="AA1133" i="12"/>
  <c r="AA1408" i="12"/>
  <c r="AA3525" i="12"/>
  <c r="AA2412" i="12"/>
  <c r="AA3128" i="12"/>
  <c r="AA2466" i="12"/>
  <c r="AA3204" i="12"/>
  <c r="AA2387" i="12"/>
  <c r="AA2327" i="12"/>
  <c r="AA1978" i="12"/>
  <c r="AA1402" i="12"/>
  <c r="AA977" i="12"/>
  <c r="AA1612" i="12"/>
  <c r="AA3077" i="12"/>
  <c r="AA3406" i="12"/>
  <c r="AA1120" i="12"/>
  <c r="AA597" i="12"/>
  <c r="AA3396" i="12"/>
  <c r="AA1717" i="12"/>
  <c r="AA398" i="12"/>
  <c r="AA749" i="12"/>
  <c r="AA2812" i="12"/>
  <c r="AA349" i="12"/>
  <c r="AA2559" i="12"/>
  <c r="AA240" i="12"/>
  <c r="AA3326" i="12"/>
  <c r="AA665" i="12"/>
  <c r="AA1704" i="12"/>
  <c r="AA1779" i="12"/>
  <c r="AA439" i="12"/>
  <c r="AA1543" i="12"/>
  <c r="AA3100" i="12"/>
  <c r="AA3082" i="12"/>
  <c r="AA1318" i="12"/>
  <c r="AA3421" i="12"/>
  <c r="AA2494" i="12"/>
  <c r="AA564" i="12"/>
  <c r="AA2993" i="12"/>
  <c r="AA590" i="12"/>
  <c r="AA3080" i="12"/>
  <c r="AA893" i="12"/>
  <c r="AA2170" i="12"/>
  <c r="AA1570" i="12"/>
  <c r="AA2658" i="12"/>
  <c r="AA958" i="12"/>
  <c r="AA882" i="12"/>
  <c r="AA479" i="12"/>
  <c r="AA480" i="12"/>
  <c r="AA1137" i="12"/>
  <c r="AA2753" i="12"/>
  <c r="AA1274" i="12"/>
  <c r="AA1798" i="12"/>
  <c r="AA786" i="12"/>
  <c r="AA1869" i="12"/>
  <c r="AA282" i="12"/>
  <c r="AA2506" i="12"/>
  <c r="AA1396" i="12"/>
  <c r="AA1221" i="12"/>
  <c r="AA1288" i="12"/>
  <c r="AA1390" i="12"/>
  <c r="AA2999" i="12"/>
  <c r="AA486" i="12"/>
  <c r="AA1117" i="12"/>
  <c r="AA2315" i="12"/>
  <c r="AA2192" i="12"/>
  <c r="AA3287" i="12"/>
  <c r="AA2499" i="12"/>
  <c r="AA3236" i="12"/>
  <c r="AA3333" i="12"/>
  <c r="AA2583" i="12"/>
  <c r="AA1919" i="12"/>
  <c r="AA1436" i="12"/>
  <c r="AA1061" i="12"/>
  <c r="AA3304" i="12"/>
  <c r="AA2469" i="12"/>
  <c r="AA178" i="12"/>
  <c r="AA1443" i="12"/>
  <c r="AA2956" i="12"/>
  <c r="AA3158" i="12"/>
  <c r="AA784" i="12"/>
  <c r="AA1445" i="12"/>
  <c r="AA2518" i="12"/>
  <c r="AA1335" i="12"/>
  <c r="AA42" i="12"/>
  <c r="AA2600" i="12"/>
  <c r="AA849" i="12"/>
  <c r="AA3417" i="12"/>
  <c r="AA3091" i="12"/>
  <c r="AA1415" i="12"/>
  <c r="AA1660" i="12"/>
  <c r="AA103" i="12"/>
  <c r="AA1111" i="12"/>
  <c r="AA1523" i="12"/>
  <c r="AA1551" i="12"/>
  <c r="AA2438" i="12"/>
  <c r="AA670" i="12"/>
  <c r="AA2008" i="12"/>
  <c r="AA2954" i="12"/>
  <c r="AA1363" i="12"/>
  <c r="AA3457" i="12"/>
  <c r="AA3024" i="12"/>
  <c r="AA1292" i="12"/>
  <c r="AA3115" i="12"/>
  <c r="AA1825" i="12"/>
  <c r="AA2227" i="12"/>
  <c r="AA2320" i="12"/>
  <c r="AA337" i="12"/>
  <c r="AA777" i="12"/>
  <c r="AA361" i="12"/>
  <c r="AA2717" i="12"/>
  <c r="AA2277" i="12"/>
  <c r="AA2765" i="12"/>
  <c r="AA3442" i="12"/>
  <c r="AA2225" i="12"/>
  <c r="AA1200" i="12"/>
  <c r="AA641" i="12"/>
  <c r="AA637" i="12"/>
  <c r="AA2590" i="12"/>
  <c r="AA488" i="12"/>
  <c r="AA1670" i="12"/>
  <c r="AA2813" i="12"/>
  <c r="AA730" i="12"/>
  <c r="AA2133" i="12"/>
  <c r="AA1598" i="12"/>
  <c r="AA581" i="12"/>
  <c r="AA452" i="12"/>
  <c r="AA1256" i="12"/>
  <c r="AA1852" i="12"/>
  <c r="AA3464" i="12"/>
  <c r="AA1094" i="12"/>
  <c r="AA3093" i="12"/>
  <c r="AA2979" i="12"/>
  <c r="AA979" i="12"/>
  <c r="AA2525" i="12"/>
  <c r="AA985" i="12"/>
  <c r="AA1108" i="12"/>
  <c r="AA518" i="12"/>
  <c r="AA1899" i="12"/>
  <c r="AA886" i="12"/>
  <c r="AA2055" i="12"/>
  <c r="AA684" i="12"/>
  <c r="AA321" i="12"/>
  <c r="AA1961" i="12"/>
  <c r="AA3056" i="12"/>
  <c r="AA1496" i="12"/>
  <c r="AA3552" i="12"/>
  <c r="AA2365" i="12"/>
  <c r="AA798" i="12"/>
  <c r="AA1858" i="12"/>
  <c r="AA108" i="12"/>
  <c r="AA1876" i="12"/>
  <c r="AA2262" i="12"/>
  <c r="AA2046" i="12"/>
  <c r="AA2814" i="12"/>
  <c r="AA595" i="12"/>
  <c r="AA813" i="12"/>
  <c r="AA2420" i="12"/>
  <c r="AA2456" i="12"/>
  <c r="AA2888" i="12"/>
  <c r="AA2689" i="12"/>
  <c r="AA685" i="12"/>
  <c r="AA1062" i="12"/>
  <c r="AA818" i="12"/>
  <c r="AA1097" i="12"/>
  <c r="AA2123" i="12"/>
  <c r="AA830" i="12"/>
  <c r="AA963" i="12"/>
  <c r="AA1842" i="12"/>
  <c r="AA2562" i="12"/>
  <c r="AA478" i="12"/>
  <c r="AA2905" i="12"/>
  <c r="AA520" i="12"/>
  <c r="AA1756" i="12"/>
  <c r="AA1330" i="12"/>
  <c r="AA2942" i="12"/>
  <c r="AA2806" i="12"/>
  <c r="AA2572" i="12"/>
  <c r="AA369" i="12"/>
  <c r="AA2459" i="12"/>
  <c r="AA1555" i="12"/>
  <c r="AA1711" i="12"/>
  <c r="AA602" i="12"/>
  <c r="AA2392" i="12"/>
  <c r="AA58" i="12"/>
  <c r="AA2535" i="12"/>
  <c r="AA2738" i="12"/>
  <c r="AA2790" i="12"/>
  <c r="AA919" i="12"/>
  <c r="AA3002" i="12"/>
  <c r="AA1691" i="12"/>
  <c r="AA2063" i="12"/>
  <c r="AA1150" i="12"/>
  <c r="AA3456" i="12"/>
  <c r="AA126" i="12"/>
  <c r="AA2721" i="12"/>
  <c r="AA1780" i="12"/>
  <c r="AA2483" i="12"/>
  <c r="AA1214" i="12"/>
  <c r="AA3321" i="12"/>
  <c r="AA1087" i="12"/>
  <c r="AA3060" i="12"/>
  <c r="AA262" i="12"/>
  <c r="AA973" i="12"/>
  <c r="AA2011" i="12"/>
  <c r="AA107" i="12"/>
  <c r="AA1315" i="12"/>
  <c r="AA2803" i="12"/>
  <c r="AA694" i="12"/>
  <c r="AA734" i="12"/>
  <c r="AA2510" i="12"/>
  <c r="AA2614" i="12"/>
  <c r="AA911" i="12"/>
  <c r="AA1098" i="12"/>
  <c r="AA1891" i="12"/>
  <c r="AA396" i="12"/>
  <c r="AA443" i="12"/>
  <c r="AA2824" i="12"/>
  <c r="AA3215" i="12"/>
  <c r="AA125" i="12"/>
  <c r="AA2023" i="12"/>
  <c r="AA257" i="12"/>
  <c r="AA2730" i="12"/>
  <c r="AA376" i="12"/>
  <c r="AA1706" i="12"/>
  <c r="AA1096" i="12"/>
  <c r="AA720" i="12"/>
  <c r="AA3329" i="12"/>
  <c r="AA1492" i="12"/>
  <c r="AA1548" i="12"/>
  <c r="AA3429" i="12"/>
  <c r="AA2034" i="12"/>
  <c r="AA745" i="12"/>
  <c r="AA3388" i="12"/>
  <c r="AA432" i="12"/>
  <c r="AA2628" i="12"/>
  <c r="AA1007" i="12"/>
  <c r="AA1655" i="12"/>
  <c r="AA142" i="12"/>
  <c r="AA2992" i="12"/>
  <c r="AA2368" i="12"/>
  <c r="AA3117" i="12"/>
  <c r="AA211" i="12"/>
  <c r="AA1810" i="12"/>
  <c r="AA388" i="12"/>
  <c r="AA1398" i="12"/>
  <c r="AA3342" i="12"/>
  <c r="AA1324" i="12"/>
  <c r="AA3298" i="12"/>
  <c r="AA535" i="12"/>
  <c r="AA3451" i="12"/>
  <c r="AA1485" i="12"/>
  <c r="AA59" i="12"/>
  <c r="AA1138" i="12"/>
  <c r="AA2433" i="12"/>
  <c r="AA177" i="12"/>
  <c r="AA2355" i="12"/>
  <c r="AA1327" i="12"/>
  <c r="AA1441" i="12"/>
  <c r="AA2124" i="12"/>
  <c r="AA3297" i="12"/>
  <c r="AA561" i="12"/>
  <c r="AA2176" i="12"/>
  <c r="AA344" i="12"/>
  <c r="AA974" i="12"/>
  <c r="AA881" i="12"/>
  <c r="AA2548" i="12"/>
  <c r="AA524" i="12"/>
  <c r="AA586" i="12"/>
  <c r="AA3319" i="12"/>
  <c r="AA3289" i="12"/>
  <c r="AA3038" i="12"/>
  <c r="AA1406" i="12"/>
  <c r="AA3360" i="12"/>
  <c r="AA2177" i="12"/>
  <c r="AA2300" i="12"/>
  <c r="AA287" i="12"/>
  <c r="AA1619" i="12"/>
  <c r="AA628" i="12"/>
  <c r="AA1946" i="12"/>
  <c r="AA1848" i="12"/>
  <c r="AA404" i="12"/>
  <c r="AA910" i="12"/>
  <c r="AA152" i="12"/>
  <c r="AA1524" i="12"/>
  <c r="AA925" i="12"/>
  <c r="AA2382" i="12"/>
  <c r="AA3424" i="12"/>
  <c r="AA2386" i="12"/>
  <c r="AA567" i="12"/>
  <c r="AA3325" i="12"/>
  <c r="AA2935" i="12"/>
  <c r="AA959" i="12"/>
  <c r="AA2886" i="12"/>
  <c r="AA1771" i="12"/>
  <c r="AA1927" i="12"/>
  <c r="AA606" i="12"/>
  <c r="AA1906" i="12"/>
  <c r="AA769" i="12"/>
  <c r="AA1223" i="12"/>
  <c r="AA758" i="12"/>
  <c r="AA3463" i="12"/>
  <c r="AA2650" i="12"/>
  <c r="AA1345" i="12"/>
  <c r="AA1189" i="12"/>
  <c r="AA2825" i="12"/>
  <c r="AA26" i="12"/>
  <c r="AA1431" i="12"/>
  <c r="AA2323" i="12"/>
  <c r="AA852" i="12"/>
  <c r="AA1175" i="12"/>
  <c r="AA966" i="12"/>
  <c r="AA1690" i="12"/>
  <c r="AA1873" i="12"/>
  <c r="AA2337" i="12"/>
  <c r="AA2661" i="12"/>
  <c r="AA2975" i="12"/>
  <c r="AA3252" i="12"/>
  <c r="AA1201" i="12"/>
  <c r="AA1477" i="12"/>
  <c r="AA1979" i="12"/>
  <c r="AA3099" i="12"/>
  <c r="AA1958" i="12"/>
  <c r="AA444" i="12"/>
  <c r="AA2682" i="12"/>
  <c r="AA1306" i="12"/>
  <c r="AA3054" i="12"/>
  <c r="AA2702" i="12"/>
  <c r="AA1678" i="12"/>
  <c r="AA1407" i="12"/>
  <c r="AA217" i="12"/>
  <c r="AA3136" i="12"/>
  <c r="AA428" i="12"/>
  <c r="AA669" i="12"/>
  <c r="AA1659" i="12"/>
  <c r="AA2126" i="12"/>
  <c r="AA1707" i="12"/>
  <c r="AA1624" i="12"/>
  <c r="AA2598" i="12"/>
  <c r="AA435" i="12"/>
  <c r="AA375" i="12"/>
  <c r="AA1455" i="12"/>
  <c r="AA3264" i="12"/>
  <c r="AA2400" i="12"/>
  <c r="AA423" i="12"/>
  <c r="AA2649" i="12"/>
  <c r="AA362" i="12"/>
  <c r="AA1489" i="12"/>
  <c r="AA3479" i="12"/>
  <c r="AA1475" i="12"/>
  <c r="AA206" i="12"/>
  <c r="AA2265" i="12"/>
  <c r="AA3198" i="12"/>
  <c r="AA2269" i="12"/>
  <c r="AA557" i="12"/>
  <c r="AA971" i="12"/>
  <c r="AA154" i="12"/>
  <c r="AA517" i="12"/>
  <c r="AA3134" i="12"/>
  <c r="AA1920" i="12"/>
  <c r="AA1673" i="12"/>
  <c r="AA3213" i="12"/>
  <c r="AA2235" i="12"/>
  <c r="AA3480" i="12"/>
  <c r="AA982" i="12"/>
  <c r="AA104" i="12"/>
  <c r="AA2757" i="12"/>
  <c r="AA1371" i="12"/>
  <c r="AA1728" i="12"/>
  <c r="AA1404" i="12"/>
  <c r="AA2270" i="12"/>
  <c r="AA1187" i="12"/>
  <c r="AA183" i="12"/>
  <c r="AA3507" i="12"/>
  <c r="AA372" i="12"/>
  <c r="AA2498" i="12"/>
  <c r="AA2125" i="12"/>
  <c r="AA72" i="12"/>
  <c r="AA889" i="12"/>
  <c r="AA2553" i="12"/>
  <c r="AA3209" i="12"/>
  <c r="AA964" i="12"/>
  <c r="AA3012" i="12"/>
  <c r="AA2953" i="12"/>
  <c r="AA2364" i="12"/>
  <c r="AA227" i="12"/>
  <c r="AA2439" i="12"/>
  <c r="AA747" i="12"/>
  <c r="AA2704" i="12"/>
  <c r="AA1964" i="12"/>
  <c r="AA1590" i="12"/>
  <c r="AA1106" i="12"/>
  <c r="AA2837" i="12"/>
  <c r="AA1526" i="12"/>
  <c r="AA354" i="12"/>
  <c r="AA3182" i="12"/>
  <c r="AA2681" i="12"/>
  <c r="AA2854" i="12"/>
  <c r="AA368" i="12"/>
  <c r="AA102" i="12"/>
  <c r="AA702" i="12"/>
  <c r="AA1731" i="12"/>
  <c r="AA3535" i="12"/>
  <c r="AA215" i="12"/>
  <c r="AA3504" i="12"/>
  <c r="AA666" i="12"/>
  <c r="AA1575" i="12"/>
  <c r="AA1664" i="12"/>
  <c r="AA3496" i="12"/>
  <c r="AA2596" i="12"/>
  <c r="AA2844" i="12"/>
  <c r="AA315" i="12"/>
  <c r="AA433" i="12"/>
  <c r="AA822" i="12"/>
  <c r="AA1039" i="12"/>
  <c r="AA1588" i="12"/>
  <c r="AA1164" i="12"/>
  <c r="AA1687" i="12"/>
  <c r="AA235" i="12"/>
  <c r="AA1272" i="12"/>
  <c r="AA3234" i="12"/>
  <c r="AA1592" i="12"/>
  <c r="AA1855" i="12"/>
  <c r="AA3061" i="12"/>
  <c r="AA2861" i="12"/>
  <c r="AA1521" i="12"/>
  <c r="AA1811" i="12"/>
  <c r="AA2120" i="12"/>
  <c r="AA2279" i="12"/>
  <c r="AA1320" i="12"/>
  <c r="AA863" i="12"/>
  <c r="AA2652" i="12"/>
  <c r="AA1311" i="12"/>
  <c r="AA2659" i="12"/>
  <c r="AA221" i="12"/>
  <c r="AA1573" i="12"/>
  <c r="AA1762" i="12"/>
  <c r="AA1773" i="12"/>
  <c r="AA640" i="12"/>
  <c r="AA2610" i="12"/>
  <c r="AA1026" i="12"/>
  <c r="AA717" i="12"/>
  <c r="AA2389" i="12"/>
  <c r="AA2212" i="12"/>
  <c r="AA946" i="12"/>
  <c r="AA1469" i="12"/>
  <c r="AA475" i="12"/>
  <c r="AA768" i="12"/>
  <c r="AA1440" i="12"/>
  <c r="AA1495" i="12"/>
  <c r="AA117" i="12"/>
  <c r="AA1669" i="12"/>
  <c r="AA3096" i="12"/>
  <c r="AA2722" i="12"/>
  <c r="AA820" i="12"/>
  <c r="AA1667" i="12"/>
  <c r="AA3551" i="12"/>
  <c r="AA1734" i="12"/>
  <c r="AA1279" i="12"/>
  <c r="AA1968" i="12"/>
  <c r="AA2259" i="12"/>
  <c r="AA728" i="12"/>
  <c r="AA1735" i="12"/>
  <c r="AA3016" i="12"/>
  <c r="AA2576" i="12"/>
  <c r="AA2223" i="12"/>
  <c r="AA1721" i="12"/>
  <c r="AA2958" i="12"/>
  <c r="AA1695" i="12"/>
  <c r="AA790" i="12"/>
  <c r="AA1424" i="12"/>
  <c r="AA1844" i="12"/>
  <c r="AA2966" i="12"/>
  <c r="AA52" i="12"/>
  <c r="AA3268" i="12"/>
  <c r="AA2887" i="12"/>
  <c r="AA2853" i="12"/>
  <c r="AA2381" i="12"/>
  <c r="AA2752" i="12"/>
  <c r="AA2524" i="12"/>
  <c r="AA1042" i="12"/>
  <c r="AA616" i="12"/>
  <c r="AA1394" i="12"/>
  <c r="AA1118" i="12"/>
  <c r="AA1373" i="12"/>
  <c r="AA583" i="12"/>
  <c r="AA1084" i="12"/>
  <c r="AA2474" i="12"/>
  <c r="AA1794" i="12"/>
  <c r="AA3327" i="12"/>
  <c r="AA3330" i="12"/>
  <c r="AA864" i="12"/>
  <c r="AA1417" i="12"/>
  <c r="AA766" i="12"/>
  <c r="AA1635" i="12"/>
  <c r="AA584" i="12"/>
  <c r="AA1198" i="12"/>
  <c r="AA2969" i="12"/>
  <c r="AA110" i="12"/>
  <c r="AA1045" i="12"/>
  <c r="AA3124" i="12"/>
  <c r="AA3534" i="12"/>
  <c r="AA3249" i="12"/>
  <c r="AA3485" i="12"/>
  <c r="AA3529" i="12"/>
  <c r="AA2172" i="12"/>
  <c r="AA1310" i="12"/>
  <c r="AA1749" i="12"/>
  <c r="AA222" i="12"/>
  <c r="AA127" i="12"/>
  <c r="AA85" i="12"/>
  <c r="AA319" i="12"/>
  <c r="AA1409" i="12"/>
  <c r="AA2200" i="12"/>
  <c r="AA1083" i="12"/>
  <c r="AA2129" i="12"/>
  <c r="AA987" i="12"/>
  <c r="AA3407" i="12"/>
  <c r="AA1041" i="12"/>
  <c r="AA1719" i="12"/>
  <c r="AA2358" i="12"/>
  <c r="AA1621" i="12"/>
  <c r="AA2936" i="12"/>
  <c r="AA3305" i="12"/>
  <c r="AA389" i="12"/>
  <c r="AA112" i="12"/>
  <c r="AA2448" i="12"/>
  <c r="AA2902" i="12"/>
  <c r="AA2785" i="12"/>
  <c r="AA2629" i="12"/>
  <c r="AA2657" i="12"/>
  <c r="AA462" i="12"/>
  <c r="AA931" i="12"/>
  <c r="AA3055" i="12"/>
  <c r="AA1074" i="12"/>
  <c r="AA733" i="12"/>
  <c r="AA1462" i="12"/>
  <c r="AA205" i="12"/>
  <c r="AA901" i="12"/>
  <c r="AA292" i="12"/>
  <c r="AA1633" i="12"/>
  <c r="AA224" i="12"/>
  <c r="AA2549" i="12"/>
  <c r="AA2977" i="12"/>
  <c r="AA455" i="12"/>
  <c r="AA1169" i="12"/>
  <c r="AA99" i="12"/>
  <c r="AA387" i="12"/>
  <c r="AA1070" i="12"/>
  <c r="AA2542" i="12"/>
  <c r="AA537" i="12"/>
  <c r="AA630" i="12"/>
  <c r="AA3314" i="12"/>
  <c r="AA3295" i="12"/>
  <c r="AA1629" i="12"/>
  <c r="AA3139" i="12"/>
  <c r="AA3469" i="12"/>
  <c r="AA902" i="12"/>
  <c r="AA1033" i="12"/>
  <c r="AA2780" i="12"/>
  <c r="AA1254" i="12"/>
  <c r="AA1472" i="12"/>
  <c r="AA2224" i="12"/>
  <c r="AA528" i="12"/>
  <c r="AA2475" i="12"/>
  <c r="AA1759" i="12"/>
  <c r="AA1176" i="12"/>
  <c r="AA2541" i="12"/>
  <c r="AA2362" i="12"/>
  <c r="AA492" i="12"/>
  <c r="AA409" i="12"/>
  <c r="AA577" i="12"/>
  <c r="AA3402" i="12"/>
  <c r="AA3549" i="12"/>
  <c r="AA2257" i="12"/>
  <c r="AA1196" i="12"/>
  <c r="AA3380" i="12"/>
  <c r="AA1482" i="12"/>
  <c r="AA1358" i="12"/>
  <c r="AA1501" i="12"/>
  <c r="AA2980" i="12"/>
  <c r="AA3368" i="12"/>
  <c r="AA1576" i="12"/>
  <c r="AA570" i="12"/>
  <c r="AA927" i="12"/>
  <c r="AA969" i="12"/>
  <c r="AA623" i="12"/>
  <c r="AA3028" i="12"/>
  <c r="AA2698" i="12"/>
  <c r="AA953" i="12"/>
  <c r="AA2566" i="12"/>
  <c r="AA3427" i="12"/>
  <c r="AA824" i="12"/>
  <c r="AA25" i="12"/>
  <c r="AA2727" i="12"/>
  <c r="AA2594" i="12"/>
  <c r="AA912" i="12"/>
  <c r="AA1835" i="12"/>
  <c r="AA732" i="12"/>
  <c r="AA814" i="12"/>
  <c r="AA1468" i="12"/>
  <c r="AA1205" i="12"/>
  <c r="AA1399" i="12"/>
  <c r="AA2668" i="12"/>
  <c r="AA2709" i="12"/>
  <c r="AA2197" i="12"/>
  <c r="AA1769" i="12"/>
  <c r="AA2240" i="12"/>
  <c r="AA2513" i="12"/>
  <c r="AA2060" i="12"/>
  <c r="AA945" i="12"/>
  <c r="AA2845" i="12"/>
  <c r="AA2151" i="12"/>
  <c r="AA1411" i="12"/>
  <c r="AA1123" i="12"/>
  <c r="AA301" i="12"/>
  <c r="AA2696" i="12"/>
  <c r="AA379" i="12"/>
  <c r="AA994" i="12"/>
  <c r="AA1531" i="12"/>
  <c r="AA1602" i="12"/>
  <c r="AA2982" i="12"/>
  <c r="AA1896" i="12"/>
  <c r="AA3133" i="12"/>
  <c r="AA3431" i="12"/>
  <c r="AA2444" i="12"/>
  <c r="AA800" i="12"/>
  <c r="AA2869" i="12"/>
  <c r="AA2340" i="12"/>
  <c r="AA1980" i="12"/>
  <c r="AA2344" i="12"/>
  <c r="AA1868" i="12"/>
  <c r="AA1663" i="12"/>
  <c r="AA2134" i="12"/>
  <c r="AA1302" i="12"/>
  <c r="AA609" i="12"/>
  <c r="AA1466" i="12"/>
  <c r="AA765" i="12"/>
  <c r="AA1208" i="12"/>
  <c r="AA51" i="12"/>
  <c r="AA2179" i="12"/>
  <c r="AA1022" i="12"/>
  <c r="AA1723" i="12"/>
  <c r="AA1696" i="12"/>
  <c r="AA1520" i="12"/>
  <c r="AA3184" i="12"/>
  <c r="AA2739" i="12"/>
  <c r="AA2673" i="12"/>
  <c r="AA2204" i="12"/>
  <c r="AA832" i="12"/>
  <c r="AA341" i="12"/>
  <c r="AA1885" i="12"/>
  <c r="AA1085" i="12"/>
  <c r="AA131" i="12"/>
  <c r="AA2284" i="12"/>
  <c r="AA1680" i="12"/>
  <c r="AA2193" i="12"/>
  <c r="AA2206" i="12"/>
  <c r="AA880" i="12"/>
  <c r="AA1861" i="12"/>
  <c r="AA2974" i="12"/>
  <c r="AA2959" i="12"/>
  <c r="AA817" i="12"/>
  <c r="AA1157" i="12"/>
  <c r="AA410" i="12"/>
  <c r="AA3230" i="12"/>
  <c r="AA921" i="12"/>
  <c r="AA1929" i="12"/>
  <c r="AA2391" i="12"/>
  <c r="AA1634" i="12"/>
  <c r="AA1646" i="12"/>
  <c r="AA2018" i="12"/>
  <c r="AA2190" i="12"/>
  <c r="AA2233" i="12"/>
  <c r="AA2158" i="12"/>
  <c r="AA3415" i="12"/>
  <c r="AA773" i="12"/>
  <c r="AA2643" i="12"/>
  <c r="AA2186" i="12"/>
  <c r="AA2624" i="12"/>
  <c r="AA218" i="12"/>
  <c r="AA887" i="12"/>
  <c r="AA1326" i="12"/>
  <c r="AA2900" i="12"/>
  <c r="AA3419" i="12"/>
  <c r="AA2173" i="12"/>
  <c r="AA1143" i="12"/>
  <c r="AA3177" i="12"/>
  <c r="AA3170" i="12"/>
  <c r="AA3291" i="12"/>
  <c r="AA284" i="12"/>
  <c r="AA3375" i="12"/>
  <c r="AA1724" i="12"/>
  <c r="AA1054" i="12"/>
  <c r="AA2573" i="12"/>
  <c r="AA2183" i="12"/>
  <c r="AA2304" i="12"/>
  <c r="AA1323" i="12"/>
  <c r="AA2137" i="12"/>
  <c r="AA3394" i="12"/>
  <c r="AA614" i="12"/>
  <c r="AA2113" i="12"/>
  <c r="AA2543" i="12"/>
  <c r="AA1011" i="12"/>
  <c r="AA1966" i="12"/>
  <c r="AA558" i="12"/>
  <c r="AA2632" i="12"/>
  <c r="AA574" i="12"/>
  <c r="AA2823" i="12"/>
  <c r="AA1426" i="12"/>
  <c r="AA1613" i="12"/>
  <c r="AA1452" i="12"/>
  <c r="AA1082" i="12"/>
  <c r="AA366" i="12"/>
  <c r="AA1179" i="12"/>
  <c r="AA484" i="12"/>
  <c r="AA3195" i="12"/>
  <c r="AA1444" i="12"/>
  <c r="AA3398" i="12"/>
  <c r="AA192" i="12"/>
  <c r="AA1854" i="12"/>
  <c r="AA1922" i="12"/>
  <c r="AA1110" i="12"/>
  <c r="AA3092" i="12"/>
  <c r="AA250" i="12"/>
  <c r="AA1232" i="12"/>
  <c r="AA189" i="12"/>
  <c r="AA1860" i="12"/>
  <c r="AA2847" i="12"/>
  <c r="AA2166" i="12"/>
  <c r="AA1820" i="12"/>
  <c r="AA621" i="12"/>
  <c r="AA3306" i="12"/>
  <c r="AA737" i="12"/>
  <c r="AA2452" i="12"/>
  <c r="AA1757" i="12"/>
  <c r="AA2117" i="12"/>
  <c r="AA2378" i="12"/>
  <c r="AA1290" i="12"/>
  <c r="AA310" i="12"/>
  <c r="AA2457" i="12"/>
  <c r="AA1168" i="12"/>
  <c r="AA2427" i="12"/>
  <c r="AA3053" i="12"/>
  <c r="AA3503" i="12"/>
  <c r="AA293" i="12"/>
  <c r="AA3550" i="12"/>
  <c r="AA1797" i="12"/>
  <c r="AA1627" i="12"/>
  <c r="AA1183" i="12"/>
  <c r="AA808" i="12"/>
  <c r="AA370" i="12"/>
  <c r="AA2473" i="12"/>
  <c r="AA115" i="12"/>
  <c r="AA363" i="12"/>
  <c r="AA434" i="12"/>
  <c r="AA2326" i="12"/>
  <c r="AA539" i="12"/>
  <c r="AA3517" i="12"/>
  <c r="AA2022" i="12"/>
  <c r="AA1194" i="12"/>
  <c r="AA3413" i="12"/>
  <c r="AA1900" i="12"/>
  <c r="AA3425" i="12"/>
  <c r="AA1298" i="12"/>
  <c r="AA868" i="12"/>
  <c r="AA3160" i="12"/>
  <c r="AA1914" i="12"/>
  <c r="AA3272" i="12"/>
  <c r="AA2811" i="12"/>
  <c r="AA66" i="12"/>
  <c r="AA572" i="12"/>
  <c r="AA1285" i="12"/>
  <c r="AA3174" i="12"/>
  <c r="AA2199" i="12"/>
  <c r="AA3203" i="12"/>
  <c r="AA245" i="12"/>
  <c r="AA1043" i="12"/>
  <c r="AA1314" i="12"/>
  <c r="AA261" i="12"/>
  <c r="AA3494" i="12"/>
  <c r="AA1019" i="12"/>
  <c r="AA347" i="12"/>
  <c r="AA2370" i="12"/>
  <c r="AA3323" i="12"/>
  <c r="AA3179" i="12"/>
  <c r="AA1161" i="12"/>
  <c r="AA961" i="12"/>
  <c r="AA2486" i="12"/>
  <c r="AA3497" i="12"/>
  <c r="AA1297" i="12"/>
  <c r="AA1144" i="12"/>
  <c r="AA711" i="12"/>
  <c r="AA2372" i="12"/>
  <c r="AA94" i="12"/>
  <c r="AA1743" i="12"/>
  <c r="AA644" i="12"/>
  <c r="AA2409" i="12"/>
  <c r="AA2147" i="12"/>
  <c r="AA967" i="12"/>
  <c r="AA277" i="12"/>
  <c r="AA568" i="12"/>
  <c r="AA448" i="12"/>
  <c r="AA3411" i="12"/>
  <c r="AA426" i="12"/>
  <c r="AA505" i="12"/>
  <c r="AA1525" i="12"/>
  <c r="AA2303" i="12"/>
  <c r="AA704" i="12"/>
  <c r="AA2174" i="12"/>
  <c r="AA477" i="12"/>
  <c r="AA328" i="12"/>
  <c r="AA571" i="12"/>
  <c r="AA811" i="12"/>
  <c r="AA836" i="12"/>
  <c r="AA559" i="12"/>
  <c r="AA1787" i="12"/>
  <c r="AA2534" i="12"/>
  <c r="AA620" i="12"/>
  <c r="AA2394" i="12"/>
  <c r="AA1307" i="12"/>
  <c r="AA741" i="12"/>
  <c r="AA851" i="12"/>
  <c r="AA2589" i="12"/>
  <c r="AA2968" i="12"/>
  <c r="AA2943" i="12"/>
  <c r="AA2898" i="12"/>
  <c r="AA408" i="12"/>
  <c r="AA65" i="12"/>
  <c r="AA468" i="12"/>
  <c r="AA109" i="12"/>
  <c r="AA1828" i="12"/>
  <c r="AA725" i="12"/>
  <c r="AA593" i="12"/>
  <c r="AA950" i="12"/>
  <c r="AA2231" i="12"/>
  <c r="AA2817" i="12"/>
  <c r="AA2662" i="12"/>
  <c r="AA2110" i="12"/>
  <c r="AA3490" i="12"/>
  <c r="AA30" i="12"/>
  <c r="AA2912" i="12"/>
  <c r="AA2692" i="12"/>
  <c r="AA1652" i="12"/>
  <c r="AA978" i="12"/>
  <c r="AA2915" i="12"/>
  <c r="AA1025" i="12"/>
  <c r="AA1160" i="12"/>
  <c r="AA2664" i="12"/>
  <c r="AA313" i="12"/>
  <c r="AA1252" i="12"/>
  <c r="AA2873" i="12"/>
  <c r="AA838" i="12"/>
  <c r="AA1647" i="12"/>
  <c r="AA3045" i="12"/>
  <c r="AA306" i="12"/>
  <c r="AA2820" i="12"/>
  <c r="AA2946" i="12"/>
  <c r="AA943" i="12"/>
  <c r="AA3159" i="12"/>
  <c r="AA2507" i="12"/>
  <c r="AA1230" i="12"/>
  <c r="AA1226" i="12"/>
  <c r="AA1672" i="12"/>
  <c r="AA2804" i="12"/>
  <c r="AA2778" i="12"/>
  <c r="AA1783" i="12"/>
  <c r="AA2087" i="12"/>
  <c r="AA497" i="12"/>
  <c r="AA2617" i="12"/>
  <c r="AA1971" i="12"/>
  <c r="AA2014" i="12"/>
  <c r="AA1224" i="12"/>
  <c r="AA2758" i="12"/>
  <c r="AA715" i="12"/>
  <c r="AA47" i="12"/>
  <c r="AA2885" i="12"/>
  <c r="AA2995" i="12"/>
  <c r="AA2978" i="12"/>
  <c r="AA197" i="12"/>
  <c r="AA989" i="12"/>
  <c r="AA1382" i="12"/>
  <c r="AA1367" i="12"/>
  <c r="AA1740" i="12"/>
  <c r="AA69" i="12"/>
  <c r="AA3007" i="12"/>
  <c r="AA2773" i="12"/>
  <c r="AA664" i="12"/>
  <c r="AA706" i="12"/>
  <c r="AA3433" i="12"/>
  <c r="AA273" i="12"/>
  <c r="AA2674" i="12"/>
  <c r="AA972" i="12"/>
  <c r="AA1605" i="12"/>
  <c r="AA2604" i="12"/>
  <c r="AA3283" i="12"/>
  <c r="AA3519" i="12"/>
  <c r="AA147" i="12"/>
  <c r="AA2791" i="12"/>
  <c r="AA3316" i="12"/>
  <c r="AA2198" i="12"/>
  <c r="AA449" i="12"/>
  <c r="AA166" i="12"/>
  <c r="AA1058" i="12"/>
  <c r="AA2955" i="12"/>
  <c r="AA2167" i="12"/>
  <c r="AA3364" i="12"/>
  <c r="AA2599" i="12"/>
  <c r="AA794" i="12"/>
  <c r="AA114" i="12"/>
  <c r="AA2889" i="12"/>
  <c r="AA937" i="12"/>
  <c r="AA46" i="12"/>
  <c r="AA2941" i="12"/>
  <c r="AA365" i="12"/>
  <c r="AA199" i="12"/>
  <c r="AA2601" i="12"/>
  <c r="AA2407" i="12"/>
  <c r="AA2290" i="12"/>
  <c r="AA193" i="12"/>
  <c r="AA3522" i="12"/>
  <c r="AA1656" i="12"/>
  <c r="AA286" i="12"/>
  <c r="AA1863" i="12"/>
  <c r="AA1010" i="12"/>
  <c r="AA1464" i="12"/>
  <c r="AA519" i="12"/>
  <c r="AA523" i="12"/>
  <c r="AA920" i="12"/>
  <c r="AA1191" i="12"/>
  <c r="AA1217" i="12"/>
  <c r="AA140" i="12"/>
  <c r="AA903" i="12"/>
  <c r="AA3505" i="12"/>
  <c r="AA3408" i="12"/>
  <c r="AA1877" i="12"/>
  <c r="AA1184" i="12"/>
  <c r="AA260" i="12"/>
  <c r="AA1210" i="12"/>
  <c r="AA2792" i="12"/>
  <c r="AA624" i="12"/>
  <c r="AA923" i="12"/>
  <c r="AA545" i="12"/>
  <c r="AA3266" i="12"/>
  <c r="AA2260" i="12"/>
  <c r="AA2086" i="12"/>
  <c r="AA2165" i="12"/>
  <c r="AA181" i="12"/>
  <c r="AA3458" i="12"/>
  <c r="AA3051" i="12"/>
  <c r="AA1683" i="12"/>
  <c r="AA1809" i="12"/>
  <c r="AA2879" i="12"/>
  <c r="AA1142" i="12"/>
  <c r="AA53" i="12"/>
  <c r="AA185" i="12"/>
  <c r="AA3374" i="12"/>
  <c r="AA1447" i="12"/>
  <c r="AA611" i="12"/>
  <c r="AA1458" i="12"/>
  <c r="AA1276" i="12"/>
  <c r="AA1671" i="12"/>
  <c r="AA2411" i="12"/>
  <c r="AA2998" i="12"/>
  <c r="AA3226" i="12"/>
  <c r="AA2065" i="12"/>
  <c r="AA45" i="12"/>
  <c r="AA34" i="12"/>
  <c r="AA3126" i="12"/>
  <c r="AA3300" i="12"/>
  <c r="AA2346" i="12"/>
  <c r="AA691" i="12"/>
  <c r="AA2070" i="12"/>
  <c r="AA3450" i="12"/>
  <c r="AA2478" i="12"/>
  <c r="AA2148" i="12"/>
  <c r="AA2480" i="12"/>
  <c r="AA187" i="12"/>
  <c r="AA1840" i="12"/>
  <c r="AA3315" i="12"/>
  <c r="AA1364" i="12"/>
  <c r="AA916" i="12"/>
  <c r="AA2105" i="12"/>
  <c r="AA1357" i="12"/>
  <c r="AA1234" i="12"/>
  <c r="AA2496" i="12"/>
  <c r="AA1165" i="12"/>
  <c r="AA3123" i="12"/>
  <c r="AA2268" i="12"/>
  <c r="AA835" i="12"/>
  <c r="AA2973" i="12"/>
  <c r="AA3222" i="12"/>
  <c r="AA1554" i="12"/>
  <c r="AA2743" i="12"/>
  <c r="AA2286" i="12"/>
  <c r="AA1242" i="12"/>
  <c r="AA2550" i="12"/>
  <c r="AA3178" i="12"/>
  <c r="AA1649" i="12"/>
  <c r="AA643" i="12"/>
  <c r="AA894" i="12"/>
  <c r="AA1384" i="12"/>
  <c r="AA1611" i="12"/>
  <c r="AA1904" i="12"/>
  <c r="AA174" i="12"/>
  <c r="AA2136" i="12"/>
  <c r="AA591" i="12"/>
  <c r="AA934" i="12"/>
  <c r="AA2430" i="12"/>
  <c r="AA1736" i="12"/>
  <c r="AA1969" i="12"/>
  <c r="AA1132" i="12"/>
  <c r="AA2786" i="12"/>
  <c r="AA3530" i="12"/>
  <c r="AA146" i="12"/>
  <c r="AA38" i="12"/>
  <c r="AA2263" i="12"/>
  <c r="AA1606" i="12"/>
  <c r="AA2680" i="12"/>
  <c r="AA2569" i="12"/>
  <c r="AA2627" i="12"/>
  <c r="AA2458" i="12"/>
  <c r="AA2833" i="12"/>
  <c r="AA3361" i="12"/>
  <c r="AA1666" i="12"/>
  <c r="AA3412" i="12"/>
  <c r="AA2537" i="12"/>
  <c r="AA2247" i="12"/>
  <c r="AA1886" i="12"/>
  <c r="AA89" i="12"/>
  <c r="AA280" i="12"/>
  <c r="AA483" i="12"/>
  <c r="AA778" i="12"/>
  <c r="AA3506" i="12"/>
  <c r="AA97" i="12"/>
  <c r="AA1502" i="12"/>
  <c r="AA2470" i="12"/>
  <c r="AA440" i="12"/>
  <c r="AA1984" i="12"/>
  <c r="AA1865" i="12"/>
  <c r="AA2914" i="12"/>
  <c r="AA3110" i="12"/>
  <c r="AA2160" i="12"/>
  <c r="AA3089" i="12"/>
  <c r="AA456" i="12"/>
  <c r="AA947" i="12"/>
  <c r="AA1215" i="12"/>
  <c r="AA546" i="12"/>
  <c r="AA416" i="12"/>
  <c r="AA278" i="12"/>
  <c r="AA378" i="12"/>
  <c r="AA2319" i="12"/>
  <c r="AA1930" i="12"/>
  <c r="AA2754" i="12"/>
  <c r="AA425" i="12"/>
  <c r="AA2726" i="12"/>
  <c r="AA2250" i="12"/>
  <c r="AA1564" i="12"/>
  <c r="AA2318" i="12"/>
  <c r="AA837" i="12"/>
  <c r="AA2928" i="12"/>
  <c r="AA1997" i="12"/>
  <c r="AA898" i="12"/>
  <c r="AA3087" i="12"/>
  <c r="AA1618" i="12"/>
  <c r="AA3465" i="12"/>
  <c r="AA1461" i="12"/>
  <c r="AA3069" i="12"/>
  <c r="AA980" i="12"/>
  <c r="AA647" i="12"/>
  <c r="AA763" i="12"/>
  <c r="AA2413" i="12"/>
  <c r="AA2460" i="12"/>
  <c r="AA73" i="12"/>
  <c r="AA701" i="12"/>
  <c r="AA1325" i="12"/>
  <c r="AA43" i="12"/>
  <c r="AA3140" i="12"/>
  <c r="AA1518" i="12"/>
  <c r="AA226" i="12"/>
  <c r="AA1785" i="12"/>
  <c r="AA1519" i="12"/>
  <c r="AA269" i="12"/>
  <c r="AA2755" i="12"/>
  <c r="AA1965" i="12"/>
  <c r="AA2706" i="12"/>
  <c r="AA339" i="12"/>
  <c r="AA3294" i="12"/>
  <c r="AA1235" i="12"/>
  <c r="AA1565" i="12"/>
  <c r="AA954" i="12"/>
  <c r="AA373" i="12"/>
  <c r="AA707" i="12"/>
  <c r="AA2048" i="12"/>
  <c r="AA1934" i="12"/>
  <c r="AA3081" i="12"/>
  <c r="AA1421" i="12"/>
  <c r="AA1688" i="12"/>
  <c r="AA2128" i="12"/>
  <c r="AA2042" i="12"/>
  <c r="AA589" i="12"/>
  <c r="AA3347" i="12"/>
  <c r="AA850" i="12"/>
  <c r="AA1942" i="12"/>
  <c r="AA318" i="12"/>
  <c r="AA833" i="12"/>
  <c r="AA2949" i="12"/>
  <c r="AA471" i="12"/>
  <c r="AA2533" i="12"/>
  <c r="AA2013" i="12"/>
  <c r="AA1287" i="12"/>
  <c r="AA1014" i="12"/>
  <c r="AA1744" i="12"/>
  <c r="AA941" i="12"/>
  <c r="AA3029" i="12"/>
  <c r="AA1951" i="12"/>
  <c r="AA3322" i="12"/>
  <c r="AA3459" i="12"/>
  <c r="AA3035" i="12"/>
  <c r="AA855" i="12"/>
  <c r="AA3003" i="12"/>
  <c r="AA2395" i="12"/>
  <c r="AA812" i="12"/>
  <c r="AA1148" i="12"/>
  <c r="AA2783" i="12"/>
  <c r="AA1250" i="12"/>
  <c r="AA2667" i="12"/>
  <c r="AA3237" i="12"/>
  <c r="AA877" i="12"/>
  <c r="AA1947" i="12"/>
  <c r="AA549" i="12"/>
  <c r="AA1433" i="12"/>
  <c r="AA403" i="12"/>
  <c r="AA1767" i="12"/>
  <c r="AA801" i="12"/>
  <c r="AA1308" i="12"/>
  <c r="AA1140" i="12"/>
  <c r="AA3224" i="12"/>
  <c r="AA3511" i="12"/>
  <c r="AA2575" i="12"/>
  <c r="AA457" i="12"/>
  <c r="AA2731" i="12"/>
  <c r="AA2397" i="12"/>
  <c r="AA2815" i="12"/>
  <c r="AA3149" i="12"/>
  <c r="AA1348" i="12"/>
  <c r="AA1754" i="12"/>
  <c r="AA3487" i="12"/>
  <c r="AA1336" i="12"/>
  <c r="AA2988" i="12"/>
  <c r="AA2544" i="12"/>
  <c r="AA1949" i="12"/>
  <c r="AA2556" i="12"/>
  <c r="AA164" i="12"/>
  <c r="AA1113" i="12"/>
  <c r="AA213" i="12"/>
  <c r="AA3542" i="12"/>
  <c r="AA2623" i="12"/>
  <c r="AA1037" i="12"/>
  <c r="AA1032" i="12"/>
  <c r="AA2703" i="12"/>
  <c r="AA3206" i="12"/>
  <c r="AA631" i="12"/>
  <c r="AA3401" i="12"/>
  <c r="AA1017" i="12"/>
  <c r="AA1537" i="12"/>
  <c r="AA3192" i="12"/>
  <c r="AA1916" i="12"/>
  <c r="AA3488" i="12"/>
  <c r="AA2196" i="12"/>
  <c r="AA753" i="12"/>
  <c r="AA1994" i="12"/>
  <c r="AA236" i="12"/>
  <c r="AA96" i="12"/>
  <c r="AA2339" i="12"/>
  <c r="AA2578" i="12"/>
  <c r="AA1159" i="12"/>
  <c r="AA1697" i="12"/>
  <c r="AA2760" i="12"/>
  <c r="AA1233" i="12"/>
  <c r="AA1941" i="12"/>
  <c r="AA2002" i="12"/>
  <c r="AA3471" i="12"/>
  <c r="AA2930" i="12"/>
  <c r="AA1381" i="12"/>
  <c r="AA3399" i="12"/>
  <c r="AA2651" i="12"/>
  <c r="AA198" i="12"/>
  <c r="AA2987" i="12"/>
  <c r="AA1580" i="12"/>
  <c r="AA346" i="12"/>
  <c r="AA2307" i="12"/>
  <c r="AA1527" i="12"/>
  <c r="AA2875" i="12"/>
  <c r="AA2713" i="12"/>
  <c r="AA1099" i="12"/>
  <c r="AA507" i="12"/>
  <c r="AA1803" i="12"/>
  <c r="AA234" i="12"/>
  <c r="AA158" i="12"/>
  <c r="AA2877" i="12"/>
  <c r="AA2251" i="12"/>
  <c r="AA858" i="12"/>
  <c r="AA713" i="12"/>
  <c r="AA1766" i="12"/>
  <c r="AA3180" i="12"/>
  <c r="AA335" i="12"/>
  <c r="AA2733" i="12"/>
  <c r="AA3227" i="12"/>
  <c r="AA1209" i="12"/>
  <c r="AA139" i="12"/>
  <c r="AA1109" i="12"/>
  <c r="AA3049" i="12"/>
  <c r="AA592" i="12"/>
  <c r="AA1075" i="12"/>
  <c r="AA1579" i="12"/>
  <c r="AA639" i="12"/>
  <c r="AA1727" i="12"/>
  <c r="AA442" i="12"/>
  <c r="AA2437" i="12"/>
  <c r="AA3242" i="12"/>
  <c r="AA1836" i="12"/>
  <c r="AA290" i="12"/>
  <c r="AA562" i="12"/>
  <c r="AA1636" i="12"/>
  <c r="AA2669" i="12"/>
  <c r="AA3068" i="12"/>
  <c r="AA1834" i="12"/>
  <c r="AA3130" i="12"/>
  <c r="AA1104" i="12"/>
  <c r="AA1249" i="12"/>
  <c r="AA2203" i="12"/>
  <c r="AA999" i="12"/>
  <c r="AA2798" i="12"/>
  <c r="AA2069" i="12"/>
  <c r="AA3113" i="12"/>
  <c r="AA1596" i="12"/>
  <c r="AA1931" i="12"/>
  <c r="AA1116" i="12"/>
  <c r="AA2538" i="12"/>
  <c r="AA2750" i="12"/>
  <c r="AA1725" i="12"/>
  <c r="AA2511" i="12"/>
  <c r="AA844" i="12"/>
  <c r="AA498" i="12"/>
  <c r="AA938" i="12"/>
  <c r="AA263" i="12"/>
  <c r="AA2352" i="12"/>
  <c r="AA3104" i="12"/>
  <c r="AA2718" i="12"/>
  <c r="AA3280" i="12"/>
  <c r="AA1513" i="12"/>
  <c r="AA3190" i="12"/>
  <c r="AA1622" i="12"/>
  <c r="AA3153" i="12"/>
  <c r="AA22" i="12"/>
  <c r="AA1584" i="12"/>
  <c r="AA660" i="12"/>
  <c r="AA2211" i="12"/>
  <c r="AA2684" i="12"/>
  <c r="AA299" i="12"/>
  <c r="AA2551" i="12"/>
  <c r="AA3187" i="12"/>
  <c r="AA1418" i="12"/>
  <c r="AA2082" i="12"/>
  <c r="AA2195" i="12"/>
  <c r="AA1457" i="12"/>
  <c r="AA2272" i="12"/>
  <c r="AA1319" i="12"/>
  <c r="AA1271" i="12"/>
  <c r="AA662" i="12"/>
  <c r="AA764" i="12"/>
  <c r="AA1463" i="12"/>
  <c r="AA935" i="12"/>
  <c r="AA418" i="12"/>
  <c r="AA3017" i="12"/>
  <c r="AA1639" i="12"/>
  <c r="AA960" i="12"/>
  <c r="AA2036" i="12"/>
  <c r="AA2490" i="12"/>
  <c r="AA3437" i="12"/>
  <c r="AA1470" i="12"/>
  <c r="AA2187" i="12"/>
  <c r="AA1653" i="12"/>
  <c r="AA1985" i="12"/>
  <c r="AA2436" i="12"/>
  <c r="AA2784" i="12"/>
  <c r="AA431" i="12"/>
  <c r="AA2666" i="12"/>
  <c r="AA1699" i="12"/>
  <c r="AA3076" i="12"/>
  <c r="AA1365" i="12"/>
  <c r="AA3293" i="12"/>
  <c r="AA2219" i="12"/>
  <c r="AA1882" i="12"/>
  <c r="AA970" i="12"/>
  <c r="AA2278" i="12"/>
  <c r="AA3059" i="12"/>
  <c r="AA231" i="12"/>
  <c r="AA3137" i="12"/>
  <c r="AA642" i="12"/>
  <c r="AA3010" i="12"/>
  <c r="AA3313" i="12"/>
  <c r="AA1730" i="12"/>
  <c r="AA3063" i="12"/>
  <c r="AA1601" i="12"/>
  <c r="AA1870" i="12"/>
  <c r="AA548" i="12"/>
  <c r="AA3281" i="12"/>
  <c r="AA1791" i="12"/>
  <c r="AA956" i="12"/>
  <c r="AA1130" i="12"/>
  <c r="AA3514" i="12"/>
  <c r="AA336" i="12"/>
  <c r="AA3358" i="12"/>
  <c r="AA3120" i="12"/>
  <c r="AA2608" i="12"/>
  <c r="AA948" i="12"/>
  <c r="AA872" i="12"/>
  <c r="AA3345" i="12"/>
  <c r="AA3486" i="12"/>
  <c r="AA845" i="12"/>
  <c r="AA1009" i="12"/>
  <c r="AA2503" i="12"/>
  <c r="AA1476" i="12"/>
  <c r="AA3500" i="12"/>
  <c r="AA1583" i="12"/>
  <c r="AA929" i="12"/>
  <c r="AA3164" i="12"/>
  <c r="AA1506" i="12"/>
  <c r="AA2461" i="12"/>
  <c r="AA2687" i="12"/>
  <c r="AA3386" i="12"/>
  <c r="AA1385" i="12"/>
  <c r="AA2100" i="12"/>
  <c r="AA3355" i="12"/>
  <c r="AA2361" i="12"/>
  <c r="AA209" i="12"/>
  <c r="AA2403" i="12"/>
  <c r="AA1296" i="12"/>
  <c r="AA57" i="12"/>
  <c r="AA459" i="12"/>
  <c r="AA1718" i="12"/>
  <c r="AA3006" i="12"/>
  <c r="AA1665" i="12"/>
  <c r="AA2205" i="12"/>
  <c r="AA542" i="12"/>
  <c r="AA1795" i="12"/>
  <c r="AA2168" i="12"/>
  <c r="AA196" i="12"/>
  <c r="AA1658" i="12"/>
  <c r="AA2258" i="12"/>
  <c r="AA1456" i="12"/>
  <c r="AA1594" i="12"/>
  <c r="AA1856" i="12"/>
  <c r="AA325" i="12"/>
  <c r="AA527" i="12"/>
  <c r="AA1569" i="12"/>
  <c r="AA2108" i="12"/>
  <c r="AA2464" i="12"/>
  <c r="AA2909" i="12"/>
  <c r="AA3210" i="12"/>
  <c r="AA2135" i="12"/>
  <c r="AA2059" i="12"/>
  <c r="AA3202" i="12"/>
  <c r="AA2356" i="12"/>
  <c r="AA2821" i="12"/>
  <c r="AA2150" i="12"/>
  <c r="AA2376" i="12"/>
  <c r="AA532" i="12"/>
  <c r="AA2109" i="12"/>
  <c r="AA1936" i="12"/>
  <c r="AA3244" i="12"/>
  <c r="AA1568" i="12"/>
  <c r="AA3131" i="12"/>
  <c r="AA876" i="12"/>
  <c r="AA120" i="12"/>
  <c r="AA944" i="12"/>
  <c r="AA1247" i="12"/>
  <c r="AA1322" i="12"/>
  <c r="AA1239" i="12"/>
  <c r="AA3376" i="12"/>
  <c r="AA1156" i="12"/>
  <c r="AA2064" i="12"/>
  <c r="AA782" i="12"/>
  <c r="AA467" i="12"/>
  <c r="AA123" i="12"/>
  <c r="AA2130" i="12"/>
  <c r="AA3520" i="12"/>
  <c r="AA200" i="12"/>
  <c r="AA494" i="12"/>
  <c r="AA1473" i="12"/>
  <c r="AA3405" i="12"/>
  <c r="AA922" i="12"/>
  <c r="AA841" i="12"/>
  <c r="AA2367" i="12"/>
  <c r="AA2423" i="12"/>
  <c r="AA3216" i="12"/>
  <c r="AA1851" i="12"/>
  <c r="AA1566" i="12"/>
  <c r="AA3263" i="12"/>
  <c r="AA2311" i="12"/>
  <c r="AA3288" i="12"/>
  <c r="AA2918" i="12"/>
  <c r="AA3217" i="12"/>
  <c r="AA2316" i="12"/>
  <c r="AA1898" i="12"/>
  <c r="AA2515" i="12"/>
  <c r="AA2851" i="12"/>
  <c r="AA3512" i="12"/>
  <c r="AA3188" i="12"/>
  <c r="AA254" i="12"/>
  <c r="AA3223" i="12"/>
  <c r="AA1036" i="12"/>
  <c r="AA1512" i="12"/>
  <c r="AA216" i="12"/>
  <c r="AA3484" i="12"/>
  <c r="AA1880" i="12"/>
  <c r="AA412" i="12"/>
  <c r="AA3108" i="12"/>
  <c r="AA2495" i="12"/>
  <c r="AA75" i="12"/>
  <c r="AA1344" i="12"/>
  <c r="AA3422" i="12"/>
  <c r="AA153" i="12"/>
  <c r="AA291" i="12"/>
  <c r="AA3362" i="12"/>
  <c r="AA2671" i="12"/>
  <c r="AA3025" i="12"/>
  <c r="AA2933" i="12"/>
  <c r="AA244" i="12"/>
  <c r="AA692" i="12"/>
  <c r="AA2690" i="12"/>
  <c r="AA2000" i="12"/>
  <c r="AA3079" i="12"/>
  <c r="AA2288" i="12"/>
  <c r="AA3197" i="12"/>
  <c r="AA44" i="12"/>
  <c r="AA3461" i="12"/>
  <c r="AA141" i="12"/>
  <c r="AA699" i="12"/>
  <c r="AA1353" i="12"/>
  <c r="AA2012" i="12"/>
  <c r="AA2131" i="12"/>
  <c r="AA2880" i="12"/>
  <c r="AA3042" i="12"/>
  <c r="AA1789" i="12"/>
  <c r="AA729" i="12"/>
  <c r="AA162" i="12"/>
  <c r="AA395" i="12"/>
  <c r="AA470" i="12"/>
  <c r="AA807" i="12"/>
  <c r="AA401" i="12"/>
  <c r="AA856" i="12"/>
  <c r="AA2143" i="12"/>
  <c r="AA1874" i="12"/>
  <c r="AA2950" i="12"/>
  <c r="AA2107" i="12"/>
  <c r="AA2416" i="12"/>
  <c r="AA2245" i="12"/>
  <c r="AA1490" i="12"/>
  <c r="AA951" i="12"/>
  <c r="AA1237" i="12"/>
  <c r="AA1957" i="12"/>
  <c r="AA866" i="12"/>
  <c r="AA751" i="12"/>
  <c r="AA1853" i="12"/>
  <c r="AA237" i="12"/>
  <c r="AA2189" i="12"/>
  <c r="AA1843" i="12"/>
  <c r="AA3528" i="12"/>
  <c r="AA703" i="12"/>
  <c r="AA3105" i="12"/>
  <c r="AA3482" i="12"/>
  <c r="AA1478" i="12"/>
  <c r="AA451" i="12"/>
  <c r="AA2118" i="12"/>
  <c r="AA2819" i="12"/>
  <c r="AA2712" i="12"/>
  <c r="AA3432" i="12"/>
  <c r="AA23" i="12"/>
  <c r="AA275" i="12"/>
  <c r="AA1539" i="12"/>
  <c r="AA329" i="12"/>
  <c r="AA1921" i="12"/>
  <c r="AA2890" i="12"/>
  <c r="AA352" i="12"/>
  <c r="AA673" i="12"/>
  <c r="AA3031" i="12"/>
  <c r="AA735" i="12"/>
  <c r="AA111" i="12"/>
  <c r="AA252" i="12"/>
  <c r="AA3005" i="12"/>
  <c r="AA1752" i="12"/>
  <c r="AA2072" i="12"/>
  <c r="AA3200" i="12"/>
  <c r="AA2832" i="12"/>
  <c r="AA1372" i="12"/>
  <c r="AA1114" i="12"/>
  <c r="AA529" i="12"/>
  <c r="AA204" i="12"/>
  <c r="AA2348" i="12"/>
  <c r="AA1211" i="12"/>
  <c r="AA1222" i="12"/>
  <c r="AA3261" i="12"/>
  <c r="AA3403" i="12"/>
  <c r="AA883" i="12"/>
  <c r="AA1454" i="12"/>
  <c r="AA2271" i="12"/>
  <c r="AA3414" i="12"/>
  <c r="AA1059" i="12"/>
  <c r="AA1122" i="12"/>
  <c r="AA2248" i="12"/>
  <c r="AA2920" i="12"/>
  <c r="AA3262" i="12"/>
  <c r="AA1337" i="12"/>
  <c r="AA1270" i="12"/>
  <c r="AA333" i="12"/>
  <c r="AA3335" i="12"/>
  <c r="AA1430" i="12"/>
  <c r="AA495" i="12"/>
  <c r="AA2049" i="12"/>
  <c r="AA2317" i="12"/>
  <c r="AA3019" i="12"/>
  <c r="AA2793" i="12"/>
  <c r="AA1806" i="12"/>
  <c r="AA2026" i="12"/>
  <c r="AA1599" i="12"/>
  <c r="AA3340" i="12"/>
  <c r="AA1127" i="12"/>
  <c r="AA3532" i="12"/>
  <c r="AA1603" i="12"/>
  <c r="AA2441" i="12"/>
  <c r="AA3231" i="12"/>
  <c r="AA1712" i="12"/>
  <c r="AA2287" i="12"/>
  <c r="AA1453" i="12"/>
  <c r="AA3544" i="12"/>
  <c r="AA578" i="12"/>
  <c r="AA759" i="12"/>
  <c r="AA3462" i="12"/>
  <c r="AA2929" i="12"/>
  <c r="AA986" i="12"/>
  <c r="AA1081" i="12"/>
  <c r="AA1093" i="12"/>
  <c r="AA2485" i="12"/>
  <c r="AA2904" i="12"/>
  <c r="AA1948" i="12"/>
  <c r="AA2127" i="12"/>
  <c r="AA1729" i="12"/>
  <c r="AA491" i="12"/>
  <c r="AA1709" i="12"/>
  <c r="AA265" i="12"/>
  <c r="AA2462" i="12"/>
  <c r="AA1546" i="12"/>
  <c r="AA1257" i="12"/>
  <c r="AA525" i="12"/>
  <c r="AA268" i="12"/>
  <c r="AA450" i="12"/>
  <c r="AA1826" i="12"/>
  <c r="AA156" i="12"/>
  <c r="AA2097" i="12"/>
  <c r="AA2504" i="12"/>
  <c r="AA2744" i="12"/>
  <c r="AA2234" i="12"/>
  <c r="AA2517" i="12"/>
  <c r="AA1488" i="12"/>
  <c r="AA908" i="12"/>
  <c r="AA359" i="12"/>
  <c r="AA1146" i="12"/>
  <c r="AA92" i="12"/>
  <c r="AA3308" i="12"/>
  <c r="AA338" i="12"/>
  <c r="AA1960" i="12"/>
  <c r="AA1383" i="12"/>
  <c r="AA3246" i="12"/>
  <c r="AA2896" i="12"/>
  <c r="AA544" i="12"/>
  <c r="AA453" i="12"/>
  <c r="AA302" i="12"/>
  <c r="AA1952" i="12"/>
  <c r="AA3273" i="12"/>
  <c r="AA2328" i="12"/>
  <c r="AA295" i="12"/>
  <c r="AA285" i="12"/>
  <c r="AA1497" i="12"/>
  <c r="AA220" i="12"/>
  <c r="AA2178" i="12"/>
  <c r="AA1741" i="12"/>
  <c r="AA2964" i="12"/>
  <c r="AA2609" i="12"/>
  <c r="AA1386" i="12"/>
  <c r="AA1816" i="12"/>
  <c r="AA1020" i="12"/>
  <c r="AA2694" i="12"/>
  <c r="AA3265" i="12"/>
  <c r="AA3371" i="12"/>
  <c r="AA2641" i="12"/>
  <c r="AA2678" i="12"/>
  <c r="AA1776" i="12"/>
  <c r="AA1609" i="12"/>
  <c r="AA1192" i="12"/>
  <c r="AA2787" i="12"/>
  <c r="AA3391" i="12"/>
  <c r="AA1751" i="12"/>
  <c r="AA2720" i="12"/>
  <c r="AA1001" i="12"/>
  <c r="AA1012" i="12"/>
  <c r="AA1838" i="12"/>
  <c r="AA2714" i="12"/>
  <c r="AA1255" i="12"/>
  <c r="AA2686" i="12"/>
  <c r="AA531" i="12"/>
  <c r="AA2122" i="12"/>
  <c r="AA2217" i="12"/>
  <c r="AA138" i="12"/>
  <c r="AA3548" i="12"/>
  <c r="AA380" i="12"/>
  <c r="AA550" i="12"/>
  <c r="AA2615" i="12"/>
  <c r="AA1129" i="12"/>
  <c r="AA552" i="12"/>
  <c r="AA223" i="12"/>
  <c r="AA1241" i="12"/>
  <c r="AA2312" i="12"/>
  <c r="AA383" i="12"/>
  <c r="AA2298" i="12"/>
  <c r="AA1932" i="12"/>
  <c r="AA566" i="12"/>
  <c r="AA2310" i="12"/>
  <c r="AA399" i="12"/>
  <c r="AA1035" i="12"/>
  <c r="AA1199" i="12"/>
  <c r="AA2746" i="12"/>
  <c r="AA3466" i="12"/>
  <c r="AA1013" i="12"/>
  <c r="AA327" i="12"/>
  <c r="AA1162" i="12"/>
  <c r="AA650" i="12"/>
  <c r="AA760" i="12"/>
  <c r="AA2764" i="12"/>
  <c r="AA348" i="12"/>
  <c r="AA928" i="12"/>
  <c r="AA1049" i="12"/>
  <c r="AA2586" i="12"/>
  <c r="AA2491" i="12"/>
  <c r="AA151" i="12"/>
  <c r="AA2162" i="12"/>
  <c r="AA2465" i="12"/>
  <c r="AA1992" i="12"/>
  <c r="AA3039" i="12"/>
  <c r="AA940" i="12"/>
  <c r="AA1410" i="12"/>
  <c r="AA2019" i="12"/>
  <c r="AA1236" i="12"/>
  <c r="AA2843" i="12"/>
  <c r="AA2434" i="12"/>
  <c r="AA3344" i="12"/>
  <c r="AA2781" i="12"/>
  <c r="AA2383" i="12"/>
  <c r="AA1708" i="12"/>
  <c r="AA1046" i="12"/>
  <c r="AA965" i="12"/>
  <c r="AA1135" i="12"/>
  <c r="AA2373" i="12"/>
  <c r="AA510" i="12"/>
  <c r="AA3443" i="12"/>
  <c r="AA1700" i="12"/>
  <c r="AA1030" i="12"/>
  <c r="AA2891" i="12"/>
  <c r="AA1265" i="12"/>
  <c r="AA2488" i="12"/>
  <c r="AA1610" i="12"/>
  <c r="AA2603" i="12"/>
  <c r="AA248" i="12"/>
  <c r="AA3426" i="12"/>
  <c r="AA157" i="12"/>
  <c r="AA878" i="12"/>
  <c r="AA1710" i="12"/>
  <c r="AA2582" i="12"/>
  <c r="AA3173" i="12"/>
  <c r="AA2805" i="12"/>
  <c r="AA2079" i="12"/>
  <c r="AA1051" i="12"/>
  <c r="AA1352" i="12"/>
  <c r="AA289" i="12"/>
  <c r="AA1909" i="12"/>
  <c r="AA635" i="12"/>
  <c r="AA1213" i="12"/>
  <c r="AA806" i="12"/>
  <c r="AA3004" i="12"/>
  <c r="AA382" i="12"/>
  <c r="AA521" i="12"/>
  <c r="AA2850" i="12"/>
  <c r="AA330" i="12"/>
  <c r="AA1395" i="12"/>
  <c r="AA1434" i="12"/>
  <c r="AA1737" i="12"/>
  <c r="AA1303" i="12"/>
  <c r="AA264" i="12"/>
  <c r="AA3143" i="12"/>
  <c r="AA441" i="12"/>
  <c r="AA3454" i="12"/>
  <c r="AA3543" i="12"/>
  <c r="AA2774" i="12"/>
  <c r="AA3493" i="12"/>
  <c r="AA2691" i="12"/>
  <c r="AA738" i="12"/>
  <c r="AA76" i="12"/>
  <c r="AA2484" i="12"/>
  <c r="AA2810" i="12"/>
  <c r="AA303" i="12"/>
  <c r="AA74" i="12"/>
  <c r="AA596" i="12"/>
  <c r="AA3239" i="12"/>
  <c r="AA2401" i="12"/>
  <c r="AA3467" i="12"/>
  <c r="AA56" i="12"/>
  <c r="AA121" i="12"/>
  <c r="AA2858" i="12"/>
  <c r="AA1547" i="12"/>
  <c r="AA1064" i="12"/>
  <c r="AA1586" i="12"/>
  <c r="AA573" i="12"/>
  <c r="AA1819" i="12"/>
  <c r="AA1206" i="12"/>
  <c r="AA2872" i="12"/>
  <c r="AA580" i="12"/>
  <c r="AA3146" i="12"/>
  <c r="AA3387" i="12"/>
  <c r="AA1079" i="12"/>
  <c r="AA2563" i="12"/>
  <c r="AA1349" i="12"/>
  <c r="AA3310" i="12"/>
  <c r="AA3332" i="12"/>
  <c r="AA1268" i="12"/>
  <c r="AA2595" i="12"/>
  <c r="AA1923" i="12"/>
  <c r="AA2332" i="12"/>
  <c r="AA2708" i="12"/>
  <c r="AA1107" i="12"/>
  <c r="AA2229" i="12"/>
  <c r="AA1053" i="12"/>
  <c r="AA2360" i="12"/>
  <c r="AA3214" i="12"/>
  <c r="AA2685" i="12"/>
  <c r="AA2252" i="12"/>
  <c r="AA675" i="12"/>
  <c r="AA2913" i="12"/>
  <c r="AA1600" i="12"/>
  <c r="AA2957" i="12"/>
  <c r="AA2864" i="12"/>
  <c r="AA2468" i="12"/>
  <c r="AA2308" i="12"/>
  <c r="AA3102" i="12"/>
  <c r="AA271" i="12"/>
  <c r="AA1867" i="12"/>
  <c r="AA3085" i="12"/>
  <c r="AA33" i="12"/>
  <c r="AA343" i="12"/>
  <c r="AA1309" i="12"/>
  <c r="AA1483" i="12"/>
  <c r="AA1988" i="12"/>
  <c r="AA723" i="12"/>
  <c r="AA2080" i="12"/>
  <c r="AA3357" i="12"/>
  <c r="AA3254" i="12"/>
  <c r="AA1681" i="12"/>
  <c r="AA1894" i="12"/>
  <c r="AA1088" i="12"/>
  <c r="AA875" i="12"/>
  <c r="AA242" i="12"/>
  <c r="AA2342" i="12"/>
  <c r="AA506" i="12"/>
  <c r="AA50" i="12"/>
  <c r="AA324" i="12"/>
  <c r="AA3000" i="12"/>
  <c r="AA744" i="12"/>
  <c r="AA554" i="12"/>
  <c r="AA2782" i="12"/>
  <c r="AA136" i="12"/>
  <c r="AA736" i="12"/>
  <c r="AA31" i="12"/>
  <c r="AA1832" i="12"/>
  <c r="AA2531" i="12"/>
  <c r="AA3020" i="12"/>
  <c r="AA1515" i="12"/>
  <c r="AA1962" i="12"/>
  <c r="AA323" i="12"/>
  <c r="AA2919" i="12"/>
  <c r="AA1002" i="12"/>
  <c r="AA2570" i="12"/>
  <c r="AA3428" i="12"/>
  <c r="AA476" i="12"/>
  <c r="AA3141" i="12"/>
  <c r="AA1837" i="12"/>
  <c r="AA1003" i="12"/>
  <c r="AA1702" i="12"/>
  <c r="AA3423" i="12"/>
  <c r="AA1918" i="12"/>
  <c r="AA2605" i="12"/>
  <c r="AA890" i="12"/>
  <c r="AA2571" i="12"/>
  <c r="AA2711" i="12"/>
  <c r="AA615" i="12"/>
  <c r="AA1733" i="12"/>
  <c r="AA40" i="12"/>
  <c r="AA2560" i="12"/>
  <c r="AA2737" i="12"/>
  <c r="AA1804" i="12"/>
  <c r="AA3301" i="12"/>
  <c r="AA3015" i="12"/>
  <c r="AA1796" i="12"/>
  <c r="AA2884" i="12"/>
  <c r="AA2338" i="12"/>
  <c r="AA710" i="12"/>
  <c r="AA2766" i="12"/>
  <c r="AA1777" i="12"/>
  <c r="AA3460" i="12"/>
  <c r="AA3194" i="12"/>
  <c r="AA207" i="12"/>
  <c r="AA1291" i="12"/>
  <c r="AA988" i="12"/>
  <c r="AA345" i="12"/>
  <c r="AA309" i="12"/>
  <c r="AA1243" i="12"/>
  <c r="AA130" i="12"/>
  <c r="AA1786" i="12"/>
  <c r="AA1800" i="12"/>
  <c r="AA267" i="12"/>
  <c r="AA2834" i="12"/>
  <c r="AA1273" i="12"/>
  <c r="AA243" i="12"/>
  <c r="AA3138" i="12"/>
  <c r="AA2870" i="12"/>
  <c r="AA1487" i="12"/>
  <c r="AA740" i="12"/>
  <c r="AA1193" i="12"/>
  <c r="AA3083" i="12"/>
  <c r="AA869" i="12"/>
  <c r="AA424" i="12"/>
  <c r="AA2827" i="12"/>
  <c r="AA2497" i="12"/>
  <c r="AA1503" i="12"/>
  <c r="AA696" i="12"/>
  <c r="AA995" i="12"/>
  <c r="AA438" i="12"/>
  <c r="AA2294" i="12"/>
  <c r="AA689" i="12"/>
  <c r="AA607" i="12"/>
  <c r="AA3434" i="12"/>
  <c r="AA78" i="12"/>
  <c r="AA2529" i="12"/>
  <c r="AA2991" i="12"/>
  <c r="AA1391" i="12"/>
  <c r="AA371" i="12"/>
  <c r="AA19" i="12"/>
  <c r="AA386" i="12"/>
  <c r="AA2057" i="12"/>
  <c r="AA3397" i="12"/>
  <c r="AA619" i="12"/>
  <c r="AA565" i="12"/>
  <c r="AA2276" i="12"/>
  <c r="AA3011" i="12"/>
  <c r="AA2585" i="12"/>
  <c r="AA1180" i="12"/>
  <c r="AA1549" i="12"/>
  <c r="AA3161" i="12"/>
  <c r="AA2924" i="12"/>
  <c r="AA2242" i="12"/>
  <c r="AA2961" i="12"/>
  <c r="AA1136" i="12"/>
  <c r="AA2536" i="12"/>
  <c r="AA445" i="12"/>
  <c r="AA3518" i="12"/>
  <c r="AA3516" i="12"/>
  <c r="AA2519" i="12"/>
  <c r="AA2243" i="12"/>
  <c r="AA2408" i="12"/>
  <c r="AA2501" i="12"/>
  <c r="AA249" i="12"/>
  <c r="AA3145" i="12"/>
  <c r="AA847" i="12"/>
  <c r="AA2249" i="12"/>
  <c r="AA661" i="12"/>
  <c r="AA2078" i="12"/>
  <c r="AA2033" i="12"/>
  <c r="AA799" i="12"/>
  <c r="AA3495" i="12"/>
  <c r="AA1419" i="12"/>
  <c r="AA674" i="12"/>
  <c r="AA241" i="12"/>
  <c r="AA3185" i="12"/>
  <c r="AA2948" i="12"/>
  <c r="AA1359" i="12"/>
  <c r="AA2640" i="12"/>
  <c r="AA1125" i="12"/>
  <c r="AA1229" i="12"/>
  <c r="AA601" i="12"/>
  <c r="AA1449" i="12"/>
  <c r="AA792" i="12"/>
  <c r="AA695" i="12"/>
  <c r="AA170" i="12"/>
  <c r="AA682" i="12"/>
  <c r="AA712" i="12"/>
  <c r="AA228" i="12"/>
  <c r="AA1937" i="12"/>
  <c r="AA1366" i="12"/>
  <c r="AA3318" i="12"/>
  <c r="AA3324" i="12"/>
  <c r="AA101" i="12"/>
  <c r="AA253" i="12"/>
  <c r="AA3001" i="12"/>
  <c r="AA1982" i="12"/>
  <c r="AA493" i="12"/>
  <c r="AA1926" i="12"/>
  <c r="AA2453" i="12"/>
  <c r="AA1092" i="12"/>
  <c r="AA871" i="12"/>
  <c r="AA3043" i="12"/>
  <c r="AA2642" i="12"/>
  <c r="AA2482" i="12"/>
  <c r="AA1572" i="12"/>
  <c r="AA1439" i="12"/>
  <c r="AA1945" i="12"/>
  <c r="AA3515" i="12"/>
  <c r="AA1401" i="12"/>
  <c r="AA2487" i="12"/>
  <c r="AA1480" i="12"/>
  <c r="AA391" i="12"/>
  <c r="AA2228" i="12"/>
  <c r="AA1540" i="12"/>
  <c r="AA1790" i="12"/>
  <c r="AA605" i="12"/>
  <c r="AA2952" i="12"/>
  <c r="AA3165" i="12"/>
  <c r="AA3122" i="12"/>
  <c r="AA617" i="12"/>
  <c r="AA27" i="12"/>
  <c r="AA195" i="12"/>
  <c r="AA981" i="12"/>
  <c r="AA1204" i="12"/>
  <c r="AA1151" i="12"/>
  <c r="AA255" i="12"/>
  <c r="AA746" i="12"/>
  <c r="AA859" i="12"/>
  <c r="AA2767" i="12"/>
  <c r="AA2917" i="12"/>
  <c r="AA1261" i="12"/>
  <c r="AA1393" i="12"/>
  <c r="AA1050" i="12"/>
  <c r="AA3163" i="12"/>
  <c r="AA1264" i="12"/>
  <c r="AA2425" i="12"/>
  <c r="AA1498" i="12"/>
  <c r="AA3365" i="12"/>
  <c r="AA1933" i="12"/>
  <c r="AA530" i="12"/>
  <c r="AA1581" i="12"/>
  <c r="AA1775" i="12"/>
  <c r="AA2333" i="12"/>
  <c r="AA3346" i="12"/>
  <c r="AA2191" i="12"/>
  <c r="AA3446" i="12"/>
  <c r="AA214" i="12"/>
  <c r="AA2463" i="12"/>
  <c r="AA2068" i="12"/>
  <c r="AA2440" i="12"/>
  <c r="AA610" i="12"/>
  <c r="AA3072" i="12"/>
  <c r="AA816" i="12"/>
  <c r="AA307" i="12"/>
  <c r="AA212" i="12"/>
  <c r="AA2088" i="12"/>
  <c r="AA106" i="12"/>
  <c r="AA3074" i="12"/>
  <c r="AA3369" i="12"/>
  <c r="AA2719" i="12"/>
  <c r="AA2637" i="12"/>
  <c r="AA1300" i="12"/>
  <c r="AA2822" i="12"/>
  <c r="AA1950" i="12"/>
  <c r="AA826" i="12"/>
  <c r="AA2446" i="12"/>
  <c r="AA3086" i="12"/>
  <c r="AA2132" i="12"/>
  <c r="AA874" i="12"/>
  <c r="AA357" i="12"/>
  <c r="AA2607" i="12"/>
  <c r="AA3533" i="12"/>
  <c r="AA2422" i="12"/>
  <c r="AA1321" i="12"/>
  <c r="AA3381" i="12"/>
  <c r="AA2939" i="12"/>
  <c r="AA3125" i="12"/>
  <c r="AA690" i="12"/>
  <c r="AA3350" i="12"/>
  <c r="AA772" i="12"/>
  <c r="AA1493" i="12"/>
  <c r="AA1511" i="12"/>
  <c r="AA1682" i="12"/>
  <c r="AA1955" i="12"/>
  <c r="AA895" i="12"/>
  <c r="AA3521" i="12"/>
  <c r="AA3392" i="12"/>
  <c r="AA77" i="12"/>
  <c r="AA3489" i="12"/>
  <c r="AA2653" i="12"/>
  <c r="AA2184" i="12"/>
  <c r="AA1246" i="12"/>
  <c r="AA2030" i="12"/>
  <c r="AA2016" i="12"/>
  <c r="AA1397" i="12"/>
  <c r="AA2636" i="12"/>
  <c r="AA2903" i="12"/>
  <c r="AA70" i="12"/>
  <c r="AA2085" i="12"/>
  <c r="AA1267" i="12"/>
  <c r="AA41" i="12"/>
  <c r="AA698" i="12"/>
  <c r="AA2521" i="12"/>
  <c r="AA2848" i="12"/>
  <c r="AA1626" i="12"/>
  <c r="AA3370" i="12"/>
  <c r="AA1218" i="12"/>
  <c r="AA188" i="12"/>
  <c r="AA678" i="12"/>
  <c r="AA3523" i="12"/>
  <c r="AA2523" i="12"/>
  <c r="AA1126" i="12"/>
  <c r="AA3441" i="12"/>
  <c r="AA1815" i="12"/>
  <c r="AA3075" i="12"/>
  <c r="AA3166" i="12"/>
  <c r="AA390" i="12"/>
  <c r="AA2275" i="12"/>
  <c r="AA24" i="12"/>
  <c r="AA311" i="12"/>
  <c r="AA781" i="12"/>
  <c r="AA3404" i="12"/>
  <c r="AA3241" i="12"/>
  <c r="AA543" i="12"/>
  <c r="AA2520" i="12"/>
  <c r="AA161" i="12"/>
  <c r="AA3162" i="12"/>
  <c r="AA731" i="12"/>
  <c r="AA2795" i="12"/>
  <c r="AA563" i="12"/>
  <c r="AA1562" i="12"/>
  <c r="AA2951" i="12"/>
  <c r="AA1423" i="12"/>
  <c r="AA1764" i="12"/>
  <c r="AA1212" i="12"/>
  <c r="AA2024" i="12"/>
  <c r="AA3167" i="12"/>
  <c r="AA891" i="12"/>
  <c r="AA2700" i="12"/>
  <c r="AA2522" i="12"/>
  <c r="AA802" i="12"/>
  <c r="AA708" i="12"/>
  <c r="AA1338" i="12"/>
  <c r="AA3098" i="12"/>
  <c r="AA2530" i="12"/>
  <c r="AA3147" i="12"/>
  <c r="AA896" i="12"/>
  <c r="AA538" i="12"/>
  <c r="AA2428" i="12"/>
  <c r="AA294" i="12"/>
  <c r="AA2077" i="12"/>
  <c r="AA2876" i="12"/>
  <c r="AA3106" i="12"/>
  <c r="AA83" i="12"/>
  <c r="AA671" i="12"/>
  <c r="AA2309" i="12"/>
  <c r="AA1021" i="12"/>
  <c r="AA472" i="12"/>
  <c r="AA2004" i="12"/>
  <c r="AA2865" i="12"/>
  <c r="AA1500" i="12"/>
  <c r="AA2945" i="12"/>
  <c r="AA469" i="12"/>
  <c r="AA1280" i="12"/>
  <c r="AA663" i="12"/>
  <c r="AA3235" i="12"/>
  <c r="AA1479" i="12"/>
  <c r="AA2799" i="12"/>
  <c r="AA861" i="12"/>
  <c r="AA509" i="12"/>
  <c r="AA785" i="12"/>
  <c r="AA762" i="12"/>
  <c r="AA3377" i="12"/>
  <c r="AA1862" i="12"/>
  <c r="AA888" i="12"/>
  <c r="AA727" i="12"/>
  <c r="AA2351" i="12"/>
  <c r="AA2723" i="12"/>
  <c r="AA465" i="12"/>
  <c r="AA133" i="12"/>
  <c r="AA1368" i="12"/>
  <c r="AA1641" i="12"/>
  <c r="AA1244" i="12"/>
  <c r="AA1701" i="12"/>
  <c r="AA1090" i="12"/>
  <c r="AA2435" i="12"/>
  <c r="AA780" i="12"/>
  <c r="AA238" i="12"/>
  <c r="AA2266" i="12"/>
  <c r="AA1996" i="12"/>
  <c r="AA2883" i="12"/>
  <c r="AA3033" i="12"/>
  <c r="AA1910" i="12"/>
  <c r="AA917" i="12"/>
  <c r="AA897" i="12"/>
  <c r="AA2862" i="12"/>
  <c r="AA3220" i="12"/>
  <c r="AA20" i="12"/>
  <c r="AA256" i="12"/>
  <c r="AA722" i="12"/>
  <c r="AA2232" i="12"/>
  <c r="AA2273" i="12"/>
  <c r="AA2454" i="12"/>
  <c r="AA482" i="12"/>
  <c r="AA304" i="12"/>
  <c r="AA2794" i="12"/>
  <c r="AA1057" i="12"/>
  <c r="AA726" i="12"/>
  <c r="AA2331" i="12"/>
  <c r="AA1587" i="12"/>
  <c r="AA1561" i="12"/>
  <c r="AA3290" i="12"/>
  <c r="AA419" i="12"/>
  <c r="AA2334" i="12"/>
  <c r="AA1435" i="12"/>
  <c r="AA3205" i="12"/>
  <c r="AA2182" i="12"/>
  <c r="AA1940" i="12"/>
  <c r="AA1567" i="12"/>
  <c r="AA461" i="12"/>
  <c r="AA2476" i="12"/>
  <c r="AA171" i="12"/>
  <c r="AA2926" i="12"/>
  <c r="AA582" i="12"/>
  <c r="AA2302" i="12"/>
  <c r="AA1578" i="12"/>
  <c r="AA1275" i="12"/>
  <c r="AA819" i="12"/>
  <c r="AA1812" i="12"/>
  <c r="AA2874" i="12"/>
  <c r="AA1907" i="12"/>
  <c r="AA656" i="12"/>
  <c r="AA473" i="12"/>
  <c r="AA1758" i="12"/>
  <c r="AA144" i="12"/>
  <c r="AA3389" i="12"/>
  <c r="AA2062" i="12"/>
  <c r="AA91" i="12"/>
  <c r="AA2852" i="12"/>
  <c r="AA870" i="12"/>
  <c r="AA2096" i="12"/>
  <c r="AA1763" i="12"/>
  <c r="AA312" i="12"/>
  <c r="AA1905" i="12"/>
  <c r="AA1514" i="12"/>
  <c r="AA2202" i="12"/>
  <c r="AA942" i="12"/>
  <c r="AA867" i="12"/>
  <c r="AA1316" i="12"/>
  <c r="AA2775" i="12"/>
  <c r="AA1251" i="12"/>
  <c r="AA430" i="12"/>
  <c r="AA36" i="12"/>
  <c r="AA853" i="12"/>
  <c r="AA485" i="12"/>
  <c r="AA417" i="12"/>
  <c r="AA2090" i="12"/>
  <c r="AA1387" i="12"/>
  <c r="AA2565" i="12"/>
  <c r="AA2314" i="12"/>
  <c r="AA251" i="12"/>
  <c r="AA1889" i="12"/>
  <c r="AA1380" i="12"/>
  <c r="AA1732" i="12"/>
  <c r="AA2140" i="12"/>
  <c r="AA1076" i="12"/>
  <c r="AA2035" i="12"/>
  <c r="AA2688" i="12"/>
  <c r="AA598" i="12"/>
  <c r="AA3472" i="12"/>
  <c r="AA3112" i="12"/>
  <c r="AA128" i="12"/>
  <c r="AA1888" i="12"/>
  <c r="AA1220" i="12"/>
  <c r="AA2347" i="12"/>
  <c r="AA2215" i="12"/>
  <c r="AA1347" i="12"/>
  <c r="AA2028" i="12"/>
  <c r="AA991" i="12"/>
  <c r="AA3041" i="12"/>
  <c r="AA3378" i="12"/>
  <c r="AA2335" i="12"/>
  <c r="AA1299" i="12"/>
  <c r="AA1437" i="12"/>
  <c r="AA490" i="12"/>
  <c r="AA2619" i="12"/>
  <c r="AA1651" i="12"/>
  <c r="AA1538" i="12"/>
  <c r="AA3312" i="12"/>
  <c r="AA680" i="12"/>
  <c r="AA1593" i="12"/>
  <c r="AA3336" i="12"/>
  <c r="AA2051" i="12"/>
  <c r="AA32" i="12"/>
  <c r="AA3476" i="12"/>
  <c r="AA1750" i="12"/>
  <c r="AA1983" i="12"/>
  <c r="AA3148" i="12"/>
  <c r="AA1694" i="12"/>
  <c r="AA1532" i="12"/>
  <c r="AA163" i="12"/>
  <c r="AA2418" i="12"/>
  <c r="AA116" i="12"/>
  <c r="AA3410" i="12"/>
  <c r="AA3257" i="12"/>
  <c r="AA2371" i="12"/>
  <c r="AA3445" i="12"/>
  <c r="AA1924" i="12"/>
  <c r="AA3420" i="12"/>
  <c r="AA2384" i="12"/>
  <c r="AA1018" i="12"/>
  <c r="AA2226" i="12"/>
  <c r="AA2769" i="12"/>
  <c r="AA447" i="12"/>
  <c r="AA984" i="12"/>
  <c r="AA2561" i="12"/>
  <c r="AA464" i="12"/>
  <c r="AA1517" i="12"/>
  <c r="AA618" i="12"/>
  <c r="AA1317" i="12"/>
  <c r="AA2591" i="12"/>
  <c r="AA1484" i="12"/>
  <c r="AA2916" i="12"/>
  <c r="AA634" i="12"/>
  <c r="AA3127" i="12"/>
  <c r="AA3409" i="12"/>
  <c r="AA374" i="12"/>
  <c r="AA3157" i="12"/>
  <c r="AA3513" i="12"/>
  <c r="AA1006" i="12"/>
  <c r="AA3169" i="12"/>
  <c r="AA1465" i="12"/>
  <c r="AA3510" i="12"/>
  <c r="AA873" i="12"/>
  <c r="AA1153" i="12"/>
  <c r="AA180" i="12"/>
  <c r="AA1202" i="12"/>
  <c r="AA1674" i="12"/>
  <c r="AA129" i="12"/>
  <c r="AA1166" i="12"/>
  <c r="AA990" i="12"/>
  <c r="AA2050" i="12"/>
  <c r="AA1760" i="12"/>
  <c r="AA49" i="12"/>
  <c r="AA3444" i="12"/>
  <c r="AA2962" i="12"/>
  <c r="AA1713" i="12"/>
  <c r="AA2656" i="12"/>
  <c r="AA622" i="12"/>
  <c r="AA3191" i="12"/>
  <c r="AA2037" i="12"/>
  <c r="AA2447" i="12"/>
  <c r="AA3229" i="12"/>
  <c r="AA739" i="12"/>
  <c r="AA1284" i="12"/>
  <c r="AA1550" i="12"/>
  <c r="AA367" i="12"/>
  <c r="AA1748" i="12"/>
  <c r="AA1684" i="12"/>
  <c r="AA2081" i="12"/>
  <c r="AA2908" i="12"/>
  <c r="AA2938" i="12"/>
  <c r="AA1890" i="12"/>
  <c r="AA230" i="12"/>
  <c r="AA436" i="12"/>
  <c r="AA1420" i="12"/>
  <c r="AA2415" i="12"/>
  <c r="AA1705" i="12"/>
  <c r="AA1739" i="12"/>
  <c r="AA625" i="12"/>
  <c r="AA2747" i="12"/>
  <c r="AA2222" i="12"/>
  <c r="AA743" i="12"/>
  <c r="AA60" i="12"/>
  <c r="AA2291" i="12"/>
  <c r="AA757" i="12"/>
  <c r="AA603" i="12"/>
  <c r="AA2285" i="12"/>
  <c r="AA1491" i="12"/>
  <c r="AA1446" i="12"/>
  <c r="AA334" i="12"/>
  <c r="AA693" i="12"/>
  <c r="AA1100" i="12"/>
  <c r="AA276" i="12"/>
  <c r="AA2693" i="12"/>
  <c r="AA2927" i="12"/>
  <c r="AA2701" i="12"/>
  <c r="AA2015" i="12"/>
  <c r="AA541" i="12"/>
  <c r="AA2047" i="12"/>
  <c r="AA2859" i="12"/>
  <c r="AA2104" i="12"/>
  <c r="AA1182" i="12"/>
  <c r="AA2188" i="12"/>
  <c r="AA1451" i="12"/>
  <c r="AA1332" i="12"/>
  <c r="AA585" i="12"/>
  <c r="AA788" i="12"/>
  <c r="AA1875" i="12"/>
  <c r="AA377" i="12"/>
  <c r="AA645" i="12"/>
  <c r="AA2159" i="12"/>
  <c r="AA672" i="12"/>
  <c r="AA1124" i="12"/>
  <c r="AA756" i="12"/>
  <c r="AA1661" i="12"/>
  <c r="AA1607" i="12"/>
  <c r="AA1044" i="12"/>
  <c r="AA3328" i="12"/>
  <c r="AA724" i="12"/>
  <c r="AA2895" i="12"/>
  <c r="AA1597" i="12"/>
  <c r="AA2091" i="12"/>
  <c r="AA124" i="12"/>
  <c r="AA1522" i="12"/>
  <c r="AA2866" i="12"/>
  <c r="AA636" i="12"/>
  <c r="AA2860" i="12"/>
  <c r="AA1295" i="12"/>
  <c r="AA1102" i="12"/>
  <c r="AA2500" i="12"/>
  <c r="AA2075" i="12"/>
  <c r="AA2532" i="12"/>
  <c r="AA718" i="12"/>
  <c r="AA2419" i="12"/>
  <c r="AA587" i="12"/>
  <c r="AA1400" i="12"/>
  <c r="AA2745" i="12"/>
  <c r="AA3238" i="12"/>
  <c r="AA3436" i="12"/>
  <c r="AA594" i="12"/>
  <c r="AA1824" i="12"/>
  <c r="AA246" i="12"/>
  <c r="AA3492" i="12"/>
  <c r="AA288" i="12"/>
  <c r="AA1115" i="12"/>
  <c r="AA2155" i="12"/>
  <c r="AA3299" i="12"/>
  <c r="AA1343" i="12"/>
  <c r="AA1954" i="12"/>
  <c r="AA2398" i="12"/>
  <c r="AA1195" i="12"/>
  <c r="AA2138" i="12"/>
  <c r="AA2119" i="12"/>
  <c r="AA2210" i="12"/>
  <c r="AA2818" i="12"/>
  <c r="AA2005" i="12"/>
  <c r="AA499" i="12"/>
  <c r="AA633" i="12"/>
  <c r="AA1974" i="12"/>
  <c r="AA2925" i="12"/>
  <c r="AA148" i="12"/>
  <c r="AA2253" i="12"/>
  <c r="AA487" i="12"/>
  <c r="AA2816" i="12"/>
  <c r="AA3439" i="12"/>
  <c r="AA1788" i="12"/>
  <c r="AA3189" i="12"/>
  <c r="AA1963" i="12"/>
  <c r="AA2214" i="12"/>
  <c r="AA3152" i="12"/>
  <c r="AA2083" i="12"/>
  <c r="AA1685" i="12"/>
  <c r="AA3248" i="12"/>
  <c r="AA331" i="12"/>
  <c r="AA2724" i="12"/>
  <c r="AA1911" i="12"/>
  <c r="AA885" i="12"/>
  <c r="AA1720" i="12"/>
  <c r="AA229" i="12"/>
  <c r="AA1379" i="12"/>
  <c r="AA1970" i="12"/>
  <c r="AA1533" i="12"/>
  <c r="AA1286" i="12"/>
  <c r="AA208" i="12"/>
  <c r="AA2443" i="12"/>
  <c r="AA2404" i="12"/>
  <c r="AA3119" i="12"/>
  <c r="AA555" i="12"/>
  <c r="AA791" i="12"/>
  <c r="AA98" i="12"/>
  <c r="AA1341" i="12"/>
  <c r="AA1814" i="12"/>
  <c r="AA3150" i="12"/>
  <c r="AA1103" i="12"/>
  <c r="AA2377" i="12"/>
  <c r="AA2379" i="12"/>
  <c r="AA48" i="12"/>
  <c r="AA1768" i="12"/>
  <c r="AA860" i="12"/>
  <c r="AA1216" i="12"/>
  <c r="AA1956" i="12"/>
  <c r="AA3253" i="12"/>
  <c r="AA2045" i="12"/>
  <c r="AA1422" i="12"/>
  <c r="AA1377" i="12"/>
  <c r="AA687" i="12"/>
  <c r="AA2699" i="12"/>
  <c r="AA3473" i="12"/>
  <c r="AA667" i="12"/>
  <c r="AA2301" i="12"/>
  <c r="AA1350" i="12"/>
  <c r="AA2238" i="12"/>
  <c r="AA3240" i="12"/>
  <c r="AA308" i="12"/>
  <c r="AA2201" i="12"/>
  <c r="AA533" i="12"/>
  <c r="AA2830" i="12"/>
  <c r="AA1334" i="12"/>
  <c r="AA2146" i="12"/>
  <c r="AA2937" i="12"/>
  <c r="AA3071" i="12"/>
  <c r="AA2056" i="12"/>
  <c r="AA3008" i="12"/>
  <c r="AA385" i="12"/>
  <c r="AA2545" i="12"/>
  <c r="AA1000" i="12"/>
  <c r="AA1048" i="12"/>
  <c r="AA805" i="12"/>
  <c r="AA2580" i="12"/>
  <c r="AA1630" i="12"/>
  <c r="AA3211" i="12"/>
  <c r="AA3097" i="12"/>
  <c r="AA64" i="12"/>
  <c r="AA1351" i="12"/>
  <c r="AA1228" i="12"/>
  <c r="AA2156" i="12"/>
  <c r="AA1944" i="12"/>
  <c r="AA1807" i="12"/>
  <c r="AA1448" i="12"/>
  <c r="AA716" i="12"/>
  <c r="AA3367" i="12"/>
  <c r="AA1679" i="12"/>
  <c r="AA2635" i="12"/>
  <c r="AA3026" i="12"/>
  <c r="AA1715" i="12"/>
  <c r="AA481" i="12"/>
  <c r="AA2274" i="12"/>
  <c r="AA3470" i="12"/>
  <c r="AA2449" i="12"/>
  <c r="AA2112" i="12"/>
  <c r="AA351" i="12"/>
  <c r="AA2121" i="12"/>
  <c r="AA176" i="12"/>
  <c r="AA1185" i="12"/>
  <c r="AA1375" i="12"/>
  <c r="AA2041" i="12"/>
  <c r="AA2768" i="12"/>
  <c r="AA1901" i="12"/>
  <c r="AA2230" i="12"/>
  <c r="AA350" i="12"/>
  <c r="AA840" i="12"/>
  <c r="AA1643" i="12"/>
  <c r="AA1508" i="12"/>
  <c r="AA1342" i="12"/>
  <c r="AA2716" i="12"/>
  <c r="AA1416" i="12"/>
  <c r="AA3483" i="12"/>
  <c r="AA657" i="12"/>
  <c r="AA651" i="12"/>
  <c r="AA1770" i="12"/>
  <c r="AA3385" i="12"/>
  <c r="AA402" i="12"/>
  <c r="AA1989" i="12"/>
  <c r="AA2336" i="12"/>
  <c r="AA1207" i="12"/>
  <c r="AA1197" i="12"/>
  <c r="AA420" i="12"/>
  <c r="AA61" i="12"/>
  <c r="AA2899" i="12"/>
  <c r="AA1893" i="12"/>
  <c r="AA2923" i="12"/>
  <c r="AA3356" i="12"/>
  <c r="AA2180" i="12"/>
  <c r="AA918" i="12"/>
  <c r="AA2324" i="12"/>
  <c r="AA1833" i="12"/>
  <c r="AA2579" i="12"/>
  <c r="AA355" i="12"/>
  <c r="AA608" i="12"/>
  <c r="AA2153" i="12"/>
  <c r="AA405" i="12"/>
  <c r="AA2842" i="12"/>
  <c r="AA997" i="12"/>
  <c r="AA1753" i="12"/>
  <c r="AA3018" i="12"/>
  <c r="AA3107" i="12"/>
  <c r="AA314" i="12"/>
  <c r="AA317" i="12"/>
  <c r="AA3538" i="12"/>
  <c r="AA1203" i="12"/>
  <c r="AA2442" i="12"/>
  <c r="AA1959" i="12"/>
  <c r="AA2670" i="12"/>
  <c r="AA2010" i="12"/>
  <c r="AA3541" i="12"/>
  <c r="AA3416" i="12"/>
  <c r="AA1091" i="12"/>
  <c r="AA677" i="12"/>
  <c r="AA1312" i="12"/>
  <c r="AA463" i="12"/>
  <c r="AA1428" i="12"/>
  <c r="AA3474" i="12"/>
  <c r="AA3276" i="12"/>
  <c r="AA3258" i="12"/>
  <c r="AA2451" i="12"/>
  <c r="AA413" i="12"/>
  <c r="AA1063" i="12"/>
  <c r="AA3275" i="12"/>
  <c r="AA789" i="12"/>
  <c r="AA3331" i="12"/>
  <c r="AA1356" i="12"/>
  <c r="AA113" i="12"/>
  <c r="AA1015" i="12"/>
  <c r="AA1369" i="12"/>
  <c r="AA3250" i="12"/>
  <c r="AA1637" i="12"/>
  <c r="AA1008" i="12"/>
  <c r="AA1560" i="12"/>
  <c r="AA2857" i="12"/>
  <c r="AA2907" i="12"/>
  <c r="AA1657" i="12"/>
  <c r="AA2040" i="12"/>
  <c r="AA3255" i="12"/>
  <c r="AA825" i="12"/>
  <c r="AA1360" i="12"/>
  <c r="AA1186" i="12"/>
  <c r="AA191" i="12"/>
  <c r="AA522" i="12"/>
  <c r="AA2892" i="12"/>
  <c r="AA1016" i="12"/>
  <c r="AA3278" i="12"/>
  <c r="AA427" i="12"/>
  <c r="AA1884" i="12"/>
  <c r="AA2568" i="12"/>
  <c r="AA225" i="12"/>
  <c r="AA2508" i="12"/>
  <c r="AA454" i="12"/>
  <c r="AA474" i="12"/>
  <c r="AA2577" i="12"/>
  <c r="AA857" i="12"/>
  <c r="AA2414" i="12"/>
  <c r="AA3118" i="12"/>
  <c r="AA2145" i="12"/>
  <c r="AA2246" i="12"/>
  <c r="AA1259" i="12"/>
  <c r="AA2557" i="12"/>
  <c r="AA2450" i="12"/>
  <c r="AA2445" i="12"/>
  <c r="AA1813" i="12"/>
  <c r="AA2996" i="12"/>
  <c r="AA1378" i="12"/>
  <c r="AA2021" i="12"/>
  <c r="AA1614" i="12"/>
  <c r="AA210" i="12"/>
  <c r="AA1068" i="12"/>
  <c r="AA3352" i="12"/>
  <c r="AA62" i="12"/>
  <c r="AA1145" i="12"/>
  <c r="AA975" i="12"/>
  <c r="AA3219" i="12"/>
  <c r="AA2354" i="12"/>
  <c r="AA754" i="12"/>
  <c r="AA1005" i="12"/>
  <c r="AA3455" i="12"/>
  <c r="AA1147" i="12"/>
  <c r="AA2169" i="12"/>
  <c r="AA1872" i="12"/>
  <c r="AA86" i="12"/>
  <c r="AA3337" i="12"/>
  <c r="AA983" i="12"/>
  <c r="AA2350" i="12"/>
  <c r="AA1755" i="12"/>
  <c r="AA169" i="12"/>
  <c r="AA2502" i="12"/>
  <c r="AA1047" i="12"/>
  <c r="AA810" i="12"/>
  <c r="AA1355" i="12"/>
  <c r="AA1792" i="12"/>
  <c r="AA3282" i="12"/>
  <c r="AA414" i="12"/>
  <c r="AA2976" i="12"/>
  <c r="AA3036" i="12"/>
  <c r="AA1459" i="12"/>
  <c r="AA2695" i="12"/>
  <c r="AA2672" i="12"/>
  <c r="AA1857" i="12"/>
  <c r="AA3539" i="12"/>
  <c r="AA2044" i="12"/>
  <c r="AA1528" i="12"/>
  <c r="AA795" i="12"/>
  <c r="AA63" i="12"/>
  <c r="AA915" i="12"/>
  <c r="AA3052" i="12"/>
  <c r="AA649" i="12"/>
  <c r="AA1987" i="12"/>
  <c r="AA2741" i="12"/>
  <c r="AA1677" i="12"/>
  <c r="AA2264" i="12"/>
  <c r="AA2321" i="12"/>
  <c r="AA2749" i="12"/>
  <c r="AA1231" i="12"/>
  <c r="AA1912" i="12"/>
  <c r="AA1761" i="12"/>
  <c r="AA81" i="12"/>
  <c r="AA3478" i="12"/>
  <c r="AA2297" i="12"/>
  <c r="AA2393" i="12"/>
  <c r="AA1902" i="12"/>
  <c r="AA658" i="12"/>
  <c r="AA2611" i="12"/>
  <c r="AA3269" i="12"/>
  <c r="AA1617" i="12"/>
  <c r="AA1277" i="12"/>
  <c r="AA514" i="12"/>
  <c r="AA3540" i="12"/>
  <c r="AA2971" i="12"/>
  <c r="AA2154" i="12"/>
  <c r="AA1080" i="12"/>
  <c r="AA3095" i="12"/>
  <c r="AA714" i="12"/>
  <c r="AA3172" i="12"/>
  <c r="AA2597" i="12"/>
  <c r="AA2564" i="12"/>
  <c r="AA2990" i="12"/>
  <c r="AA1412" i="12"/>
  <c r="AA3351" i="12"/>
  <c r="AA466" i="12"/>
  <c r="AA2353" i="12"/>
  <c r="AA933" i="12"/>
  <c r="AA2299" i="12"/>
  <c r="AA3040" i="12"/>
  <c r="AA3101" i="12"/>
  <c r="AA3279" i="12"/>
  <c r="AA2901" i="12"/>
  <c r="AA3243" i="12"/>
  <c r="AA3221" i="12"/>
  <c r="AA2748" i="12"/>
  <c r="AA600" i="12"/>
  <c r="AA993" i="12"/>
  <c r="AA2639" i="12"/>
  <c r="AA297" i="12"/>
  <c r="AA3032" i="12"/>
  <c r="AA1173" i="12"/>
  <c r="AA3156" i="12"/>
  <c r="AA1903" i="12"/>
  <c r="AA2592" i="12"/>
  <c r="AA384" i="12"/>
  <c r="AA1973" i="12"/>
  <c r="AA2683" i="12"/>
  <c r="AA996" i="12"/>
  <c r="AA2009" i="12"/>
  <c r="AA1793" i="12"/>
  <c r="AA259" i="12"/>
  <c r="AA1329" i="12"/>
  <c r="AA2676" i="12"/>
  <c r="AA2149" i="12"/>
  <c r="AA627" i="12"/>
  <c r="AA2142" i="12"/>
  <c r="AA796" i="12"/>
  <c r="AA2547" i="12"/>
  <c r="AA742" i="12"/>
  <c r="AA3065" i="12"/>
  <c r="AA2863" i="12"/>
  <c r="AA2528" i="12"/>
  <c r="AA3502" i="12"/>
  <c r="AA3022" i="12"/>
  <c r="AA132" i="12"/>
  <c r="AA1847" i="12"/>
  <c r="AA364" i="12"/>
  <c r="AA2616" i="12"/>
  <c r="AA1536" i="12"/>
  <c r="AA3430" i="12"/>
  <c r="AA2777" i="12"/>
  <c r="AA1071" i="12"/>
  <c r="AA709" i="12"/>
  <c r="AA3193" i="12"/>
  <c r="AA2514" i="12"/>
  <c r="AA2043" i="12"/>
  <c r="AA653" i="12"/>
  <c r="AA1866" i="12"/>
  <c r="AA2089" i="12"/>
  <c r="AA906" i="12"/>
  <c r="AA105" i="12"/>
  <c r="AA3030" i="12"/>
  <c r="AA2894" i="12"/>
  <c r="AA1174" i="12"/>
  <c r="AA2646" i="12"/>
  <c r="AA1219" i="12"/>
  <c r="AA1698" i="12"/>
  <c r="AA823" i="12"/>
  <c r="AA700" i="12"/>
  <c r="AA3481" i="12"/>
  <c r="AA2997" i="12"/>
  <c r="AA1623" i="12"/>
  <c r="AA232" i="12"/>
  <c r="AA1067" i="12"/>
  <c r="AA3103" i="12"/>
  <c r="AA2330" i="12"/>
  <c r="AA2675" i="12"/>
  <c r="AA2098" i="12"/>
  <c r="AA804" i="12"/>
  <c r="AA3334" i="12"/>
  <c r="AA2289" i="12"/>
  <c r="AA2705" i="12"/>
  <c r="AA2626" i="12"/>
  <c r="AA21" i="12"/>
  <c r="AA2293" i="12"/>
  <c r="AA3044" i="12"/>
  <c r="AA2103" i="12"/>
  <c r="AA1553" i="12"/>
  <c r="AA1841" i="12"/>
  <c r="AA2421" i="12"/>
  <c r="AA1595" i="12"/>
  <c r="AA88" i="12"/>
  <c r="Z1394" i="12"/>
  <c r="Z1520" i="12"/>
  <c r="Z1093" i="12"/>
  <c r="Z2475" i="12"/>
  <c r="Z1201" i="12"/>
  <c r="Z1498" i="12"/>
  <c r="Z601" i="12"/>
  <c r="Z3132" i="12"/>
  <c r="Z2964" i="12"/>
  <c r="Z743" i="12"/>
  <c r="Z42" i="12"/>
  <c r="Z2750" i="12"/>
  <c r="Z1027" i="12"/>
  <c r="Z2698" i="12"/>
  <c r="Z1892" i="12"/>
  <c r="Z3235" i="12"/>
  <c r="Z3320" i="12"/>
  <c r="Z119" i="12"/>
  <c r="Z563" i="12"/>
  <c r="Z1705" i="12"/>
  <c r="Z1096" i="12"/>
  <c r="Z2919" i="12"/>
  <c r="Z81" i="12"/>
  <c r="Z3274" i="12"/>
  <c r="Z3406" i="12"/>
  <c r="Z1333" i="12"/>
  <c r="Z3432" i="12"/>
  <c r="Z2327" i="12"/>
  <c r="Z3214" i="12"/>
  <c r="Z815" i="12"/>
  <c r="Z783" i="12"/>
  <c r="Z248" i="12"/>
  <c r="Z375" i="12"/>
  <c r="Z65" i="12"/>
  <c r="Z2716" i="12"/>
  <c r="Z1116" i="12"/>
  <c r="Z1132" i="12"/>
  <c r="Z2024" i="12"/>
  <c r="Z2029" i="12"/>
  <c r="Z3505" i="12"/>
  <c r="Z1601" i="12"/>
  <c r="Z2755" i="12"/>
  <c r="Z1455" i="12"/>
  <c r="Z2882" i="12"/>
  <c r="Z745" i="12"/>
  <c r="Z1684" i="12"/>
  <c r="Z2567" i="12"/>
  <c r="Z797" i="12"/>
  <c r="Z2902" i="12"/>
  <c r="Z1421" i="12"/>
  <c r="Z1954" i="12"/>
  <c r="Z2197" i="12"/>
  <c r="Z3250" i="12"/>
  <c r="Z682" i="12"/>
  <c r="Z2228" i="12"/>
  <c r="Z1205" i="12"/>
  <c r="Z2997" i="12"/>
  <c r="Z2319" i="12"/>
  <c r="Z3374" i="12"/>
  <c r="Z3547" i="12"/>
  <c r="Z2284" i="12"/>
  <c r="Z1588" i="12"/>
  <c r="Z925" i="12"/>
  <c r="Z3304" i="12"/>
  <c r="Z3068" i="12"/>
  <c r="Z1356" i="12"/>
  <c r="Z1460" i="12"/>
  <c r="Z2011" i="12"/>
  <c r="Z1563" i="12"/>
  <c r="Z2662" i="12"/>
  <c r="Z346" i="12"/>
  <c r="Z3211" i="12"/>
  <c r="Z2526" i="12"/>
  <c r="Z1340" i="12"/>
  <c r="Z308" i="12"/>
  <c r="Z1908" i="12"/>
  <c r="Z1206" i="12"/>
  <c r="Z3298" i="12"/>
  <c r="Z1792" i="12"/>
  <c r="Z1560" i="12"/>
  <c r="Z3088" i="12"/>
  <c r="Z1123" i="12"/>
  <c r="Z330" i="12"/>
  <c r="Z2762" i="12"/>
  <c r="Z1345" i="12"/>
  <c r="Z2390" i="12"/>
  <c r="Z2723" i="12"/>
  <c r="Z200" i="12"/>
  <c r="Z1852" i="12"/>
  <c r="Z2484" i="12"/>
  <c r="Z807" i="12"/>
  <c r="Z3110" i="12"/>
  <c r="Z2342" i="12"/>
  <c r="Z724" i="12"/>
  <c r="Z1977" i="12"/>
  <c r="Z219" i="12"/>
  <c r="Z80" i="12"/>
  <c r="Z3196" i="12"/>
  <c r="Z2297" i="12"/>
  <c r="Z910" i="12"/>
  <c r="Z972" i="12"/>
  <c r="Z3057" i="12"/>
  <c r="Z1209" i="12"/>
  <c r="Z3076" i="12"/>
  <c r="Z1902" i="12"/>
  <c r="Z31" i="12"/>
  <c r="Z3287" i="12"/>
  <c r="Z3087" i="12"/>
  <c r="Z983" i="12"/>
  <c r="Z1316" i="12"/>
  <c r="Z3403" i="12"/>
  <c r="Z1710" i="12"/>
  <c r="Z485" i="12"/>
  <c r="Z2639" i="12"/>
  <c r="Z1024" i="12"/>
  <c r="Z288" i="12"/>
  <c r="Z2112" i="12"/>
  <c r="Z2305" i="12"/>
  <c r="Z28" i="12"/>
  <c r="Z702" i="12"/>
  <c r="Z1661" i="12"/>
  <c r="Z3086" i="12"/>
  <c r="Z562" i="12"/>
  <c r="Z1828" i="12"/>
  <c r="Z2490" i="12"/>
  <c r="Z3026" i="12"/>
  <c r="Z1660" i="12"/>
  <c r="Z2686" i="12"/>
  <c r="Z23" i="12"/>
  <c r="Z3234" i="12"/>
  <c r="Z2129" i="12"/>
  <c r="Z1815" i="12"/>
  <c r="Z1079" i="12"/>
  <c r="Z2191" i="12"/>
  <c r="Z1613" i="12"/>
  <c r="Z920" i="12"/>
  <c r="Z1715" i="12"/>
  <c r="Z2303" i="12"/>
  <c r="Z769" i="12"/>
  <c r="Z1278" i="12"/>
  <c r="Z1808" i="12"/>
  <c r="Z2190" i="12"/>
  <c r="Z2897" i="12"/>
  <c r="Z1888" i="12"/>
  <c r="Z2506" i="12"/>
  <c r="Z2870" i="12"/>
  <c r="Z633" i="12"/>
  <c r="Z975" i="12"/>
  <c r="Z1677" i="12"/>
  <c r="Z3485" i="12"/>
  <c r="Z1750" i="12"/>
  <c r="Z1503" i="12"/>
  <c r="Z1389" i="12"/>
  <c r="Z150" i="12"/>
  <c r="Z1191" i="12"/>
  <c r="Z3106" i="12"/>
  <c r="Z430" i="12"/>
  <c r="Z547" i="12"/>
  <c r="Z2076" i="12"/>
  <c r="Z2732" i="12"/>
  <c r="Z1450" i="12"/>
  <c r="Z949" i="12"/>
  <c r="Z2601" i="12"/>
  <c r="Z721" i="12"/>
  <c r="Z2735" i="12"/>
  <c r="Z1241" i="12"/>
  <c r="Z3013" i="12"/>
  <c r="Z3370" i="12"/>
  <c r="Z538" i="12"/>
  <c r="Z2308" i="12"/>
  <c r="Z2685" i="12"/>
  <c r="Z318" i="12"/>
  <c r="Z2760" i="12"/>
  <c r="Z868" i="12"/>
  <c r="Z1362" i="12"/>
  <c r="Z976" i="12"/>
  <c r="Z2218" i="12"/>
  <c r="Z79" i="12"/>
  <c r="Z1630" i="12"/>
  <c r="Z3291" i="12"/>
  <c r="Z2643" i="12"/>
  <c r="Z2753" i="12"/>
  <c r="Z3530" i="12"/>
  <c r="Z1343" i="12"/>
  <c r="Z3508" i="12"/>
  <c r="Z1213" i="12"/>
  <c r="Z1125" i="12"/>
  <c r="Z349" i="12"/>
  <c r="Z1914" i="12"/>
  <c r="Z1624" i="12"/>
  <c r="Z751" i="12"/>
  <c r="Z2278" i="12"/>
  <c r="Z2629" i="12"/>
  <c r="Z2285" i="12"/>
  <c r="Z1785" i="12"/>
  <c r="Z3165" i="12"/>
  <c r="Z2496" i="12"/>
  <c r="Z380" i="12"/>
  <c r="Z331" i="12"/>
  <c r="Z427" i="12"/>
  <c r="Z2844" i="12"/>
  <c r="Z3275" i="12"/>
  <c r="Z593" i="12"/>
  <c r="Z1184" i="12"/>
  <c r="Z2234" i="12"/>
  <c r="Z287" i="12"/>
  <c r="Z1932" i="12"/>
  <c r="Z2485" i="12"/>
  <c r="Z1773" i="12"/>
  <c r="Z270" i="12"/>
  <c r="Z3409" i="12"/>
  <c r="Z2431" i="12"/>
  <c r="Z3169" i="12"/>
  <c r="Z1095" i="12"/>
  <c r="Z1104" i="12"/>
  <c r="Z746" i="12"/>
  <c r="Z87" i="12"/>
  <c r="Z1285" i="12"/>
  <c r="Z1354" i="12"/>
  <c r="Z1062" i="12"/>
  <c r="Z1884" i="12"/>
  <c r="Z74" i="12"/>
  <c r="Z218" i="12"/>
  <c r="Z2300" i="12"/>
  <c r="Z1259" i="12"/>
  <c r="Z3267" i="12"/>
  <c r="Z279" i="12"/>
  <c r="Z2225" i="12"/>
  <c r="Z3513" i="12"/>
  <c r="Z1891" i="12"/>
  <c r="Z1005" i="12"/>
  <c r="Z323" i="12"/>
  <c r="Z2299" i="12"/>
  <c r="Z1639" i="12"/>
  <c r="Z1700" i="12"/>
  <c r="Z709" i="12"/>
  <c r="Z926" i="12"/>
  <c r="Z2923" i="12"/>
  <c r="Z3206" i="12"/>
  <c r="Z866" i="12"/>
  <c r="Z2713" i="12"/>
  <c r="Z1274" i="12"/>
  <c r="Z2564" i="12"/>
  <c r="Z56" i="12"/>
  <c r="Z1462" i="12"/>
  <c r="Z1106" i="12"/>
  <c r="Z2074" i="12"/>
  <c r="Z2265" i="12"/>
  <c r="Z2697" i="12"/>
  <c r="Z457" i="12"/>
  <c r="Z2389" i="12"/>
  <c r="Z1330" i="12"/>
  <c r="Z2860" i="12"/>
  <c r="Z112" i="12"/>
  <c r="Z1723" i="12"/>
  <c r="Z799" i="12"/>
  <c r="Z2022" i="12"/>
  <c r="Z534" i="12"/>
  <c r="Z3444" i="12"/>
  <c r="Z1594" i="12"/>
  <c r="Z1633" i="12"/>
  <c r="Z3429" i="12"/>
  <c r="Z3388" i="12"/>
  <c r="Z1127" i="12"/>
  <c r="Z2876" i="12"/>
  <c r="Z1302" i="12"/>
  <c r="Z803" i="12"/>
  <c r="Z368" i="12"/>
  <c r="Z1114" i="12"/>
  <c r="Z3520" i="12"/>
  <c r="Z334" i="12"/>
  <c r="Z193" i="12"/>
  <c r="Z3481" i="12"/>
  <c r="Z1670" i="12"/>
  <c r="Z1762" i="12"/>
  <c r="Z1407" i="12"/>
  <c r="Z392" i="12"/>
  <c r="Z844" i="12"/>
  <c r="Z2329" i="12"/>
  <c r="Z2304" i="12"/>
  <c r="Z969" i="12"/>
  <c r="Z834" i="12"/>
  <c r="Z3540" i="12"/>
  <c r="Z2355" i="12"/>
  <c r="Z1799" i="12"/>
  <c r="Z1900" i="12"/>
  <c r="Z2717" i="12"/>
  <c r="Z3015" i="12"/>
  <c r="Z2005" i="12"/>
  <c r="Z1699" i="12"/>
  <c r="Z964" i="12"/>
  <c r="Z2444" i="12"/>
  <c r="Z3200" i="12"/>
  <c r="Z3251" i="12"/>
  <c r="Z1113" i="12"/>
  <c r="Z2773" i="12"/>
  <c r="Z3413" i="12"/>
  <c r="Z3465" i="12"/>
  <c r="Z654" i="12"/>
  <c r="Z2652" i="12"/>
  <c r="Z2591" i="12"/>
  <c r="Z3149" i="12"/>
  <c r="Z1458" i="12"/>
  <c r="Z1448" i="12"/>
  <c r="Z685" i="12"/>
  <c r="Z189" i="12"/>
  <c r="Z2959" i="12"/>
  <c r="Z3155" i="12"/>
  <c r="Z2072" i="12"/>
  <c r="Z2173" i="12"/>
  <c r="Z3172" i="12"/>
  <c r="Z2141" i="12"/>
  <c r="Z2013" i="12"/>
  <c r="Z2115" i="12"/>
  <c r="Z1790" i="12"/>
  <c r="Z577" i="12"/>
  <c r="Z818" i="12"/>
  <c r="Z2184" i="12"/>
  <c r="Z3082" i="12"/>
  <c r="Z2001" i="12"/>
  <c r="Z2691" i="12"/>
  <c r="Z2264" i="12"/>
  <c r="Z3341" i="12"/>
  <c r="Z635" i="12"/>
  <c r="Z3292" i="12"/>
  <c r="Z1155" i="12"/>
  <c r="Z2186" i="12"/>
  <c r="Z3327" i="12"/>
  <c r="Z856" i="12"/>
  <c r="Z3143" i="12"/>
  <c r="Z1014" i="12"/>
  <c r="Z2799" i="12"/>
  <c r="Z2279" i="12"/>
  <c r="Z2021" i="12"/>
  <c r="Z353" i="12"/>
  <c r="Z779" i="12"/>
  <c r="Z3124" i="12"/>
  <c r="Z2941" i="12"/>
  <c r="Z3064" i="12"/>
  <c r="Z1129" i="12"/>
  <c r="Z1298" i="12"/>
  <c r="Z1701" i="12"/>
  <c r="Z945" i="12"/>
  <c r="Z3075" i="12"/>
  <c r="Z1690" i="12"/>
  <c r="Z3448" i="12"/>
  <c r="Z3308" i="12"/>
  <c r="Z2132" i="12"/>
  <c r="Z1226" i="12"/>
  <c r="Z2625" i="12"/>
  <c r="Z670" i="12"/>
  <c r="Z3456" i="12"/>
  <c r="Z950" i="12"/>
  <c r="Z570" i="12"/>
  <c r="Z2106" i="12"/>
  <c r="Z1566" i="12"/>
  <c r="Z297" i="12"/>
  <c r="Z1716" i="12"/>
  <c r="Z106" i="12"/>
  <c r="Z2039" i="12"/>
  <c r="Z2213" i="12"/>
  <c r="Z3315" i="12"/>
  <c r="Z2172" i="12"/>
  <c r="Z2267" i="12"/>
  <c r="Z2727" i="12"/>
  <c r="Z1256" i="12"/>
  <c r="Z1980" i="12"/>
  <c r="Z357" i="12"/>
  <c r="Z2819" i="12"/>
  <c r="Z34" i="12"/>
  <c r="Z121" i="12"/>
  <c r="Z816" i="12"/>
  <c r="Z130" i="12"/>
  <c r="Z438" i="12"/>
  <c r="Z982" i="12"/>
  <c r="Z2951" i="12"/>
  <c r="Z1425" i="12"/>
  <c r="Z2740" i="12"/>
  <c r="Z1924" i="12"/>
  <c r="Z474" i="12"/>
  <c r="Z89" i="12"/>
  <c r="Z999" i="12"/>
  <c r="Z523" i="12"/>
  <c r="Z1993" i="12"/>
  <c r="Z1772" i="12"/>
  <c r="Z904" i="12"/>
  <c r="Z3339" i="12"/>
  <c r="Z2181" i="12"/>
  <c r="Z185" i="12"/>
  <c r="Z1393" i="12"/>
  <c r="Z2349" i="12"/>
  <c r="Z2154" i="12"/>
  <c r="Z2371" i="12"/>
  <c r="Z145" i="12"/>
  <c r="Z3179" i="12"/>
  <c r="Z1672" i="12"/>
  <c r="Z1208" i="12"/>
  <c r="Z2113" i="12"/>
  <c r="Z35" i="12"/>
  <c r="Z1433" i="12"/>
  <c r="Z301" i="12"/>
  <c r="Z2828" i="12"/>
  <c r="Z3032" i="12"/>
  <c r="Z2851" i="12"/>
  <c r="Z1871" i="12"/>
  <c r="Z3368" i="12"/>
  <c r="Z244" i="12"/>
  <c r="Z2436" i="12"/>
  <c r="Z1351" i="12"/>
  <c r="Z1918" i="12"/>
  <c r="Z2681" i="12"/>
  <c r="Z1280" i="12"/>
  <c r="Z907" i="12"/>
  <c r="Z1975" i="12"/>
  <c r="Z1272" i="12"/>
  <c r="Z582" i="12"/>
  <c r="Z1143" i="12"/>
  <c r="Z1177" i="12"/>
  <c r="Z1368" i="12"/>
  <c r="Z2207" i="12"/>
  <c r="Z1329" i="12"/>
  <c r="Z602" i="12"/>
  <c r="Z1756" i="12"/>
  <c r="Z1457" i="12"/>
  <c r="Z3512" i="12"/>
  <c r="Z2764" i="12"/>
  <c r="Z2887" i="12"/>
  <c r="Z919" i="12"/>
  <c r="Z2994" i="12"/>
  <c r="Z1906" i="12"/>
  <c r="Z1751" i="12"/>
  <c r="Z2402" i="12"/>
  <c r="Z3003" i="12"/>
  <c r="Z220" i="12"/>
  <c r="Z535" i="12"/>
  <c r="Z2430" i="12"/>
  <c r="Z3162" i="12"/>
  <c r="Z466" i="12"/>
  <c r="Z832" i="12"/>
  <c r="Z1196" i="12"/>
  <c r="Z1054" i="12"/>
  <c r="Z2415" i="12"/>
  <c r="Z410" i="12"/>
  <c r="Z1286" i="12"/>
  <c r="Z3519" i="12"/>
  <c r="Z1674" i="12"/>
  <c r="Z418" i="12"/>
  <c r="Z1237" i="12"/>
  <c r="Z1035" i="12"/>
  <c r="Z906" i="12"/>
  <c r="Z2789" i="12"/>
  <c r="Z1534" i="12"/>
  <c r="Z595" i="12"/>
  <c r="Z2993" i="12"/>
  <c r="Z3532" i="12"/>
  <c r="Z3336" i="12"/>
  <c r="Z233" i="12"/>
  <c r="Z2417" i="12"/>
  <c r="Z2777" i="12"/>
  <c r="Z2678" i="12"/>
  <c r="Z2222" i="12"/>
  <c r="Z1507" i="12"/>
  <c r="Z3263" i="12"/>
  <c r="Z460" i="12"/>
  <c r="Z455" i="12"/>
  <c r="Z2140" i="12"/>
  <c r="Z2670" i="12"/>
  <c r="Z2667" i="12"/>
  <c r="Z231" i="12"/>
  <c r="Z1873" i="12"/>
  <c r="Z1717" i="12"/>
  <c r="Z123" i="12"/>
  <c r="Z1317" i="12"/>
  <c r="Z2684" i="12"/>
  <c r="Z2987" i="12"/>
  <c r="Z3074" i="12"/>
  <c r="Z469" i="12"/>
  <c r="Z1235" i="12"/>
  <c r="Z502" i="12"/>
  <c r="Z869" i="12"/>
  <c r="Z2520" i="12"/>
  <c r="Z598" i="12"/>
  <c r="Z1378" i="12"/>
  <c r="Z1370" i="12"/>
  <c r="Z154" i="12"/>
  <c r="Z965" i="12"/>
  <c r="Z962" i="12"/>
  <c r="Z2874" i="12"/>
  <c r="Z3014" i="12"/>
  <c r="Z2241" i="12"/>
  <c r="Z1281" i="12"/>
  <c r="Z861" i="12"/>
  <c r="Z3510" i="12"/>
  <c r="Z789" i="12"/>
  <c r="Z946" i="12"/>
  <c r="Z1899" i="12"/>
  <c r="Z347" i="12"/>
  <c r="Z3096" i="12"/>
  <c r="Z1901" i="12"/>
  <c r="Z271" i="12"/>
  <c r="Z2822" i="12"/>
  <c r="Z532" i="12"/>
  <c r="Z2771" i="12"/>
  <c r="Z1970" i="12"/>
  <c r="Z1092" i="12"/>
  <c r="Z3216" i="12"/>
  <c r="Z813" i="12"/>
  <c r="Z2449" i="12"/>
  <c r="Z1359" i="12"/>
  <c r="Z344" i="12"/>
  <c r="Z3295" i="12"/>
  <c r="Z824" i="12"/>
  <c r="Z887" i="12"/>
  <c r="Z1903" i="12"/>
  <c r="Z370" i="12"/>
  <c r="Z2910" i="12"/>
  <c r="Z540" i="12"/>
  <c r="Z2654" i="12"/>
  <c r="Z252" i="12"/>
  <c r="Z2401" i="12"/>
  <c r="Z1026" i="12"/>
  <c r="Z2585" i="12"/>
  <c r="Z566" i="12"/>
  <c r="Z1516" i="12"/>
  <c r="Z710" i="12"/>
  <c r="Z1390" i="12"/>
  <c r="Z336" i="12"/>
  <c r="Z1485" i="12"/>
  <c r="Z1703" i="12"/>
  <c r="Z517" i="12"/>
  <c r="Z515" i="12"/>
  <c r="Z1003" i="12"/>
  <c r="Z2970" i="12"/>
  <c r="Z2537" i="12"/>
  <c r="Z1219" i="12"/>
  <c r="Z1171" i="12"/>
  <c r="Z1806" i="12"/>
  <c r="Z1628" i="12"/>
  <c r="Z1990" i="12"/>
  <c r="Z3473" i="12"/>
  <c r="Z2062" i="12"/>
  <c r="Z3116" i="12"/>
  <c r="Z845" i="12"/>
  <c r="Z3224" i="12"/>
  <c r="Z2636" i="12"/>
  <c r="Z2848" i="12"/>
  <c r="Z1508" i="12"/>
  <c r="Z3390" i="12"/>
  <c r="Z1297" i="12"/>
  <c r="Z3328" i="12"/>
  <c r="Z1008" i="12"/>
  <c r="Z2616" i="12"/>
  <c r="Z2000" i="12"/>
  <c r="Z2470" i="12"/>
  <c r="Z1220" i="12"/>
  <c r="Z1584" i="12"/>
  <c r="Z1747" i="12"/>
  <c r="Z1542" i="12"/>
  <c r="Z139" i="12"/>
  <c r="Z293" i="12"/>
  <c r="Z302" i="12"/>
  <c r="Z765" i="12"/>
  <c r="Z1739" i="12"/>
  <c r="Z1653" i="12"/>
  <c r="Z456" i="12"/>
  <c r="Z3351" i="12"/>
  <c r="Z529" i="12"/>
  <c r="Z2963" i="12"/>
  <c r="Z1734" i="12"/>
  <c r="Z321" i="12"/>
  <c r="Z3439" i="12"/>
  <c r="Z340" i="12"/>
  <c r="Z159" i="12"/>
  <c r="Z825" i="12"/>
  <c r="Z1609" i="12"/>
  <c r="Z3113" i="12"/>
  <c r="Z2200" i="12"/>
  <c r="Z786" i="12"/>
  <c r="Z1641" i="12"/>
  <c r="Z2540" i="12"/>
  <c r="Z1434" i="12"/>
  <c r="Z2345" i="12"/>
  <c r="Z3140" i="12"/>
  <c r="Z2701" i="12"/>
  <c r="Z2412" i="12"/>
  <c r="Z255" i="12"/>
  <c r="Z3111" i="12"/>
  <c r="Z1060" i="12"/>
  <c r="Z490" i="12"/>
  <c r="Z3084" i="12"/>
  <c r="Z225" i="12"/>
  <c r="Z2729" i="12"/>
  <c r="Z3434" i="12"/>
  <c r="Z1355" i="12"/>
  <c r="Z587" i="12"/>
  <c r="Z741" i="12"/>
  <c r="Z2240" i="12"/>
  <c r="Z3229" i="12"/>
  <c r="Z649" i="12"/>
  <c r="Z2726" i="12"/>
  <c r="Z2871" i="12"/>
  <c r="Z3226" i="12"/>
  <c r="Z300" i="12"/>
  <c r="Z2810" i="12"/>
  <c r="Z1078" i="12"/>
  <c r="Z483" i="12"/>
  <c r="Z480" i="12"/>
  <c r="Z1854" i="12"/>
  <c r="Z1829" i="12"/>
  <c r="Z1831" i="12"/>
  <c r="Z2245" i="12"/>
  <c r="Z1303" i="12"/>
  <c r="Z647" i="12"/>
  <c r="Z3145" i="12"/>
  <c r="Z326" i="12"/>
  <c r="Z1165" i="12"/>
  <c r="Z2169" i="12"/>
  <c r="Z2935" i="12"/>
  <c r="Z3240" i="12"/>
  <c r="Z1405" i="12"/>
  <c r="Z2487" i="12"/>
  <c r="Z1360" i="12"/>
  <c r="Z1189" i="12"/>
  <c r="Z2934" i="12"/>
  <c r="Z153" i="12"/>
  <c r="Z814" i="12"/>
  <c r="Z3010" i="12"/>
  <c r="Z2399" i="12"/>
  <c r="Z3152" i="12"/>
  <c r="Z2867" i="12"/>
  <c r="Z2239" i="12"/>
  <c r="Z2656" i="12"/>
  <c r="Z2884" i="12"/>
  <c r="Z3379" i="12"/>
  <c r="Z3365" i="12"/>
  <c r="Z2425" i="12"/>
  <c r="Z232" i="12"/>
  <c r="Z2114" i="12"/>
  <c r="Z680" i="12"/>
  <c r="Z2128" i="12"/>
  <c r="Z2577" i="12"/>
  <c r="Z492" i="12"/>
  <c r="Z1415" i="12"/>
  <c r="Z1637" i="12"/>
  <c r="Z1987" i="12"/>
  <c r="Z421" i="12"/>
  <c r="Z3208" i="12"/>
  <c r="Z1800" i="12"/>
  <c r="Z621" i="12"/>
  <c r="Z2898" i="12"/>
  <c r="Z961" i="12"/>
  <c r="Z1180" i="12"/>
  <c r="Z2085" i="12"/>
  <c r="Z134" i="12"/>
  <c r="Z1919" i="12"/>
  <c r="Z390" i="12"/>
  <c r="Z1069" i="12"/>
  <c r="Z2463" i="12"/>
  <c r="Z1836" i="12"/>
  <c r="Z2499" i="12"/>
  <c r="Z1741" i="12"/>
  <c r="Z3044" i="12"/>
  <c r="Z2904" i="12"/>
  <c r="Z2270" i="12"/>
  <c r="Z2292" i="12"/>
  <c r="Z2199" i="12"/>
  <c r="Z2974" i="12"/>
  <c r="Z1332" i="12"/>
  <c r="Z1515" i="12"/>
  <c r="Z3410" i="12"/>
  <c r="Z94" i="12"/>
  <c r="Z175" i="12"/>
  <c r="Z2209" i="12"/>
  <c r="Z3509" i="12"/>
  <c r="Z2602" i="12"/>
  <c r="Z3153" i="12"/>
  <c r="Z793" i="12"/>
  <c r="Z1025" i="12"/>
  <c r="Z1277" i="12"/>
  <c r="Z1004" i="12"/>
  <c r="Z614" i="12"/>
  <c r="Z1447" i="12"/>
  <c r="Z1598" i="12"/>
  <c r="Z1688" i="12"/>
  <c r="Z1543" i="12"/>
  <c r="Z2743" i="12"/>
  <c r="Z3259" i="12"/>
  <c r="Z401" i="12"/>
  <c r="Z707" i="12"/>
  <c r="Z2556" i="12"/>
  <c r="Z2830" i="12"/>
  <c r="Z2554" i="12"/>
  <c r="Z683" i="12"/>
  <c r="Z1988" i="12"/>
  <c r="Z1126" i="12"/>
  <c r="Z258" i="12"/>
  <c r="Z2892" i="12"/>
  <c r="Z2707" i="12"/>
  <c r="Z114" i="12"/>
  <c r="Z2768" i="12"/>
  <c r="Z3277" i="12"/>
  <c r="Z3095" i="12"/>
  <c r="Z243" i="12"/>
  <c r="Z3516" i="12"/>
  <c r="Z888" i="12"/>
  <c r="Z52" i="12"/>
  <c r="Z3342" i="12"/>
  <c r="Z3309" i="12"/>
  <c r="Z2365" i="12"/>
  <c r="Z698" i="12"/>
  <c r="Z2824" i="12"/>
  <c r="Z405" i="12"/>
  <c r="Z3102" i="12"/>
  <c r="Z1130" i="12"/>
  <c r="Z1571" i="12"/>
  <c r="Z2550" i="12"/>
  <c r="Z2721" i="12"/>
  <c r="Z518" i="12"/>
  <c r="Z3480" i="12"/>
  <c r="Z1995" i="12"/>
  <c r="Z1959" i="12"/>
  <c r="Z428" i="12"/>
  <c r="Z324" i="12"/>
  <c r="Z3521" i="12"/>
  <c r="Z2095" i="12"/>
  <c r="Z2156" i="12"/>
  <c r="Z1153" i="12"/>
  <c r="Z2443" i="12"/>
  <c r="Z742" i="12"/>
  <c r="Z2603" i="12"/>
  <c r="Z1042" i="12"/>
  <c r="Z1655" i="12"/>
  <c r="Z2549" i="12"/>
  <c r="Z1573" i="12"/>
  <c r="Z1018" i="12"/>
  <c r="Z2134" i="12"/>
  <c r="Z1896" i="12"/>
  <c r="Z2803" i="12"/>
  <c r="Z2105" i="12"/>
  <c r="Z848" i="12"/>
  <c r="Z2907" i="12"/>
  <c r="Z775" i="12"/>
  <c r="Z3209" i="12"/>
  <c r="Z3467" i="12"/>
  <c r="Z284" i="12"/>
  <c r="Z205" i="12"/>
  <c r="Z2817" i="12"/>
  <c r="Z1385" i="12"/>
  <c r="Z1880" i="12"/>
  <c r="Z3435" i="12"/>
  <c r="Z2423" i="12"/>
  <c r="Z1074" i="12"/>
  <c r="Z870" i="12"/>
  <c r="Z2400" i="12"/>
  <c r="Z880" i="12"/>
  <c r="Z2056" i="12"/>
  <c r="Z3135" i="12"/>
  <c r="Z1662" i="12"/>
  <c r="Z1470" i="12"/>
  <c r="Z3430" i="12"/>
  <c r="Z3425" i="12"/>
  <c r="Z1846" i="12"/>
  <c r="Z423" i="12"/>
  <c r="Z148" i="12"/>
  <c r="Z980" i="12"/>
  <c r="Z3166" i="12"/>
  <c r="Z1590" i="12"/>
  <c r="Z3321" i="12"/>
  <c r="Z110" i="12"/>
  <c r="Z642" i="12"/>
  <c r="Z1781" i="12"/>
  <c r="Z2798" i="12"/>
  <c r="Z623" i="12"/>
  <c r="Z203" i="12"/>
  <c r="Z1080" i="12"/>
  <c r="Z796" i="12"/>
  <c r="Z1000" i="12"/>
  <c r="Z2139" i="12"/>
  <c r="Z1874" i="12"/>
  <c r="Z1187" i="12"/>
  <c r="Z2008" i="12"/>
  <c r="Z996" i="12"/>
  <c r="Z662" i="12"/>
  <c r="Z275" i="12"/>
  <c r="Z3551" i="12"/>
  <c r="Z1233" i="12"/>
  <c r="Z1445" i="12"/>
  <c r="Z496" i="12"/>
  <c r="Z2868" i="12"/>
  <c r="Z2761" i="12"/>
  <c r="Z960" i="12"/>
  <c r="Z3069" i="12"/>
  <c r="Z2574" i="12"/>
  <c r="Z101" i="12"/>
  <c r="Z2563" i="12"/>
  <c r="Z671" i="12"/>
  <c r="Z2955" i="12"/>
  <c r="Z3352" i="12"/>
  <c r="Z3389" i="12"/>
  <c r="Z676" i="12"/>
  <c r="Z713" i="12"/>
  <c r="Z916" i="12"/>
  <c r="Z1440" i="12"/>
  <c r="Z1386" i="12"/>
  <c r="Z3387" i="12"/>
  <c r="Z2547" i="12"/>
  <c r="Z1827" i="12"/>
  <c r="Z3222" i="12"/>
  <c r="Z2630" i="12"/>
  <c r="Z2407" i="12"/>
  <c r="Z22" i="12"/>
  <c r="Z2620" i="12"/>
  <c r="Z1172" i="12"/>
  <c r="Z2343" i="12"/>
  <c r="Z1587" i="12"/>
  <c r="Z1599" i="12"/>
  <c r="Z1094" i="12"/>
  <c r="Z2483" i="12"/>
  <c r="Z63" i="12"/>
  <c r="Z3460" i="12"/>
  <c r="Z1709" i="12"/>
  <c r="Z3272" i="12"/>
  <c r="Z823" i="12"/>
  <c r="Z3195" i="12"/>
  <c r="Z192" i="12"/>
  <c r="Z186" i="12"/>
  <c r="Z57" i="12"/>
  <c r="Z2472" i="12"/>
  <c r="Z3462" i="12"/>
  <c r="Z2823" i="12"/>
  <c r="Z1410" i="12"/>
  <c r="Z2291" i="12"/>
  <c r="Z2945" i="12"/>
  <c r="Z3506" i="12"/>
  <c r="Z564" i="12"/>
  <c r="Z3227" i="12"/>
  <c r="Z884" i="12"/>
  <c r="Z99" i="12"/>
  <c r="Z1917" i="12"/>
  <c r="Z2706" i="12"/>
  <c r="Z352" i="12"/>
  <c r="Z1813" i="12"/>
  <c r="Z398" i="12"/>
  <c r="Z1028" i="12"/>
  <c r="Z27" i="12"/>
  <c r="Z2522" i="12"/>
  <c r="Z596" i="12"/>
  <c r="Z1318" i="12"/>
  <c r="Z2646" i="12"/>
  <c r="Z1863" i="12"/>
  <c r="Z161" i="12"/>
  <c r="Z2377" i="12"/>
  <c r="Z1337" i="12"/>
  <c r="Z927" i="12"/>
  <c r="Z1439" i="12"/>
  <c r="Z864" i="12"/>
  <c r="Z2266" i="12"/>
  <c r="Z1364" i="12"/>
  <c r="Z1441" i="12"/>
  <c r="Z2638" i="12"/>
  <c r="Z663" i="12"/>
  <c r="Z3471" i="12"/>
  <c r="Z3256" i="12"/>
  <c r="Z2017" i="12"/>
  <c r="Z1148" i="12"/>
  <c r="Z366" i="12"/>
  <c r="Z2224" i="12"/>
  <c r="Z3215" i="12"/>
  <c r="Z199" i="12"/>
  <c r="Z118" i="12"/>
  <c r="Z3442" i="12"/>
  <c r="Z1243" i="12"/>
  <c r="Z1565" i="12"/>
  <c r="Z2675" i="12"/>
  <c r="Z2833" i="12"/>
  <c r="Z1966" i="12"/>
  <c r="Z3535" i="12"/>
  <c r="Z306" i="12"/>
  <c r="Z2122" i="12"/>
  <c r="Z59" i="12"/>
  <c r="Z893" i="12"/>
  <c r="Z3288" i="12"/>
  <c r="Z2481" i="12"/>
  <c r="Z559" i="12"/>
  <c r="Z3238" i="12"/>
  <c r="Z2424" i="12"/>
  <c r="Z2205" i="12"/>
  <c r="Z2576" i="12"/>
  <c r="Z3541" i="12"/>
  <c r="Z2100" i="12"/>
  <c r="Z3097" i="12"/>
  <c r="Z1392" i="12"/>
  <c r="Z2622" i="12"/>
  <c r="Z1119" i="12"/>
  <c r="Z412" i="12"/>
  <c r="Z3269" i="12"/>
  <c r="Z447" i="12"/>
  <c r="Z265" i="12"/>
  <c r="Z1387" i="12"/>
  <c r="Z693" i="12"/>
  <c r="Z1922" i="12"/>
  <c r="Z1759" i="12"/>
  <c r="Z749" i="12"/>
  <c r="Z3414" i="12"/>
  <c r="Z2880" i="12"/>
  <c r="Z3210" i="12"/>
  <c r="Z2167" i="12"/>
  <c r="Z208" i="12"/>
  <c r="Z2157" i="12"/>
  <c r="Z1656" i="12"/>
  <c r="Z3484" i="12"/>
  <c r="Z757" i="12"/>
  <c r="Z262" i="12"/>
  <c r="Z673" i="12"/>
  <c r="Z1731" i="12"/>
  <c r="Z120" i="12"/>
  <c r="Z1689" i="12"/>
  <c r="Z3522" i="12"/>
  <c r="Z3213" i="12"/>
  <c r="Z1466" i="12"/>
  <c r="Z3230" i="12"/>
  <c r="Z396" i="12"/>
  <c r="Z3101" i="12"/>
  <c r="Z1788" i="12"/>
  <c r="Z2926" i="12"/>
  <c r="Z1793" i="12"/>
  <c r="Z2176" i="12"/>
  <c r="Z894" i="12"/>
  <c r="Z223" i="12"/>
  <c r="Z105" i="12"/>
  <c r="Z2581" i="12"/>
  <c r="Z1176" i="12"/>
  <c r="Z2335" i="12"/>
  <c r="Z3411" i="12"/>
  <c r="Z2888" i="12"/>
  <c r="Z2067" i="12"/>
  <c r="Z556" i="12"/>
  <c r="Z1328" i="12"/>
  <c r="Z777" i="12"/>
  <c r="Z1725" i="12"/>
  <c r="Z2086" i="12"/>
  <c r="Z2623" i="12"/>
  <c r="Z1059" i="12"/>
  <c r="Z100" i="12"/>
  <c r="Z744" i="12"/>
  <c r="Z2709" i="12"/>
  <c r="Z3392" i="12"/>
  <c r="Z3081" i="12"/>
  <c r="Z2318" i="12"/>
  <c r="Z1770" i="12"/>
  <c r="Z1929" i="12"/>
  <c r="Z355" i="12"/>
  <c r="Z2744" i="12"/>
  <c r="Z993" i="12"/>
  <c r="Z44" i="12"/>
  <c r="Z1282" i="12"/>
  <c r="Z174" i="12"/>
  <c r="Z426" i="12"/>
  <c r="Z3223" i="12"/>
  <c r="Z2802" i="12"/>
  <c r="Z3052" i="12"/>
  <c r="Z718" i="12"/>
  <c r="Z1744" i="12"/>
  <c r="Z328" i="12"/>
  <c r="Z903" i="12"/>
  <c r="Z2757" i="12"/>
  <c r="Z2381" i="12"/>
  <c r="Z2052" i="12"/>
  <c r="Z1643" i="12"/>
  <c r="Z1600" i="12"/>
  <c r="Z172" i="12"/>
  <c r="Z1912" i="12"/>
  <c r="Z943" i="12"/>
  <c r="Z2731" i="12"/>
  <c r="Z784" i="12"/>
  <c r="Z2075" i="12"/>
  <c r="Z3105" i="12"/>
  <c r="Z2754" i="12"/>
  <c r="Z3314" i="12"/>
  <c r="Z2608" i="12"/>
  <c r="Z3303" i="12"/>
  <c r="Z2268" i="12"/>
  <c r="Z3514" i="12"/>
  <c r="Z2185" i="12"/>
  <c r="Z872" i="12"/>
  <c r="Z2541" i="12"/>
  <c r="Z809" i="12"/>
  <c r="Z3543" i="12"/>
  <c r="Z2149" i="12"/>
  <c r="Z2384" i="12"/>
  <c r="Z2821" i="12"/>
  <c r="Z1883" i="12"/>
  <c r="Z1142" i="12"/>
  <c r="Z3189" i="12"/>
  <c r="Z1711" i="12"/>
  <c r="Z2478" i="12"/>
  <c r="Z1082" i="12"/>
  <c r="Z2511" i="12"/>
  <c r="Z2352" i="12"/>
  <c r="Z2482" i="12"/>
  <c r="Z2999" i="12"/>
  <c r="Z2837" i="12"/>
  <c r="Z1495" i="12"/>
  <c r="Z1438" i="12"/>
  <c r="Z1146" i="12"/>
  <c r="Z3078" i="12"/>
  <c r="Z952" i="12"/>
  <c r="Z1648" i="12"/>
  <c r="Z254" i="12"/>
  <c r="Z1473" i="12"/>
  <c r="Z311" i="12"/>
  <c r="Z3479" i="12"/>
  <c r="Z2857" i="12"/>
  <c r="Z3146" i="12"/>
  <c r="Z2626" i="12"/>
  <c r="Z463" i="12"/>
  <c r="Z1664" i="12"/>
  <c r="Z3034" i="12"/>
  <c r="Z2059" i="12"/>
  <c r="Z3550" i="12"/>
  <c r="Z2419" i="12"/>
  <c r="Z3401" i="12"/>
  <c r="Z3441" i="12"/>
  <c r="Z2651" i="12"/>
  <c r="Z3033" i="12"/>
  <c r="Z2856" i="12"/>
  <c r="Z3497" i="12"/>
  <c r="Z2007" i="12"/>
  <c r="Z1657" i="12"/>
  <c r="Z2939" i="12"/>
  <c r="Z1276" i="12"/>
  <c r="Z2120" i="12"/>
  <c r="Z3537" i="12"/>
  <c r="Z3039" i="12"/>
  <c r="Z2690" i="12"/>
  <c r="Z1502" i="12"/>
  <c r="Z2034" i="12"/>
  <c r="Z661" i="12"/>
  <c r="Z641" i="12"/>
  <c r="Z900" i="12"/>
  <c r="Z2394" i="12"/>
  <c r="Z2084" i="12"/>
  <c r="Z235" i="12"/>
  <c r="Z1939" i="12"/>
  <c r="Z2118" i="12"/>
  <c r="Z2155" i="12"/>
  <c r="Z1962" i="12"/>
  <c r="Z2370" i="12"/>
  <c r="Z1222" i="12"/>
  <c r="Z2800" i="12"/>
  <c r="Z1178" i="12"/>
  <c r="Z2782" i="12"/>
  <c r="Z3486" i="12"/>
  <c r="Z2096" i="12"/>
  <c r="Z1982" i="12"/>
  <c r="Z678" i="12"/>
  <c r="Z3183" i="12"/>
  <c r="Z611" i="12"/>
  <c r="Z2632" i="12"/>
  <c r="Z1513" i="12"/>
  <c r="Z2525" i="12"/>
  <c r="Z841" i="12"/>
  <c r="Z1614" i="12"/>
  <c r="Z1380" i="12"/>
  <c r="Z990" i="12"/>
  <c r="Z84" i="12"/>
  <c r="Z2148" i="12"/>
  <c r="Z3114" i="12"/>
  <c r="Z3436" i="12"/>
  <c r="Z1210" i="12"/>
  <c r="Z309" i="12"/>
  <c r="Z1379" i="12"/>
  <c r="Z1291" i="12"/>
  <c r="Z2306" i="12"/>
  <c r="Z2221" i="12"/>
  <c r="Z3142" i="12"/>
  <c r="Z1509" i="12"/>
  <c r="Z2206" i="12"/>
  <c r="Z2162" i="12"/>
  <c r="Z3412" i="12"/>
  <c r="Z2159" i="12"/>
  <c r="Z901" i="12"/>
  <c r="Z2558" i="12"/>
  <c r="Z307" i="12"/>
  <c r="Z461" i="12"/>
  <c r="Z2839" i="12"/>
  <c r="Z2464" i="12"/>
  <c r="Z3136" i="12"/>
  <c r="Z2641" i="12"/>
  <c r="Z257" i="12"/>
  <c r="Z2178" i="12"/>
  <c r="Z2065" i="12"/>
  <c r="Z865" i="12"/>
  <c r="Z46" i="12"/>
  <c r="Z246" i="12"/>
  <c r="Z3077" i="12"/>
  <c r="Z348" i="12"/>
  <c r="Z143" i="12"/>
  <c r="Z2391" i="12"/>
  <c r="Z1346" i="12"/>
  <c r="Z3548" i="12"/>
  <c r="Z3378" i="12"/>
  <c r="Z541" i="12"/>
  <c r="Z184" i="12"/>
  <c r="Z981" i="12"/>
  <c r="Z1527" i="12"/>
  <c r="Z2699" i="12"/>
  <c r="Z1981" i="12"/>
  <c r="Z298" i="12"/>
  <c r="Z238" i="12"/>
  <c r="Z452" i="12"/>
  <c r="Z1862" i="12"/>
  <c r="Z3361" i="12"/>
  <c r="Z2083" i="12"/>
  <c r="Z2869" i="12"/>
  <c r="Z1391" i="12"/>
  <c r="Z61" i="12"/>
  <c r="Z3262" i="12"/>
  <c r="Z790" i="12"/>
  <c r="Z1064" i="12"/>
  <c r="Z1124" i="12"/>
  <c r="Z1819" i="12"/>
  <c r="Z977" i="12"/>
  <c r="Z2611" i="12"/>
  <c r="Z1895" i="12"/>
  <c r="Z2479" i="12"/>
  <c r="Z2427" i="12"/>
  <c r="Z2020" i="12"/>
  <c r="Z2276" i="12"/>
  <c r="Z3318" i="12"/>
  <c r="Z2094" i="12"/>
  <c r="Z1941" i="12"/>
  <c r="Z1607" i="12"/>
  <c r="Z1228" i="12"/>
  <c r="Z3421" i="12"/>
  <c r="Z19" i="12"/>
  <c r="Z1620" i="12"/>
  <c r="Z694" i="12"/>
  <c r="Z475" i="12"/>
  <c r="Z3431" i="12"/>
  <c r="Z319" i="12"/>
  <c r="Z2314" i="12"/>
  <c r="Z2312" i="12"/>
  <c r="Z954" i="12"/>
  <c r="Z1622" i="12"/>
  <c r="Z2202" i="12"/>
  <c r="Z1289" i="12"/>
  <c r="Z3331" i="12"/>
  <c r="Z1308" i="12"/>
  <c r="Z188" i="12"/>
  <c r="Z2373" i="12"/>
  <c r="Z3019" i="12"/>
  <c r="Z3438" i="12"/>
  <c r="Z1592" i="12"/>
  <c r="Z129" i="12"/>
  <c r="Z171" i="12"/>
  <c r="Z64" i="12"/>
  <c r="Z2583" i="12"/>
  <c r="Z196" i="12"/>
  <c r="Z1938" i="12"/>
  <c r="Z928" i="12"/>
  <c r="Z2596" i="12"/>
  <c r="Z230" i="12"/>
  <c r="Z905" i="12"/>
  <c r="Z3296" i="12"/>
  <c r="Z72" i="12"/>
  <c r="Z125" i="12"/>
  <c r="Z1767" i="12"/>
  <c r="Z1998" i="12"/>
  <c r="Z1825" i="12"/>
  <c r="Z3038" i="12"/>
  <c r="Z846" i="12"/>
  <c r="Z2194" i="12"/>
  <c r="Z295" i="12"/>
  <c r="Z180" i="12"/>
  <c r="Z2548" i="12"/>
  <c r="Z1698" i="12"/>
  <c r="Z1087" i="12"/>
  <c r="Z1307" i="12"/>
  <c r="Z1797" i="12"/>
  <c r="Z1934" i="12"/>
  <c r="Z584" i="12"/>
  <c r="Z3359" i="12"/>
  <c r="Z1879" i="12"/>
  <c r="Z37" i="12"/>
  <c r="Z2619" i="12"/>
  <c r="Z329" i="12"/>
  <c r="Z1596" i="12"/>
  <c r="Z896" i="12"/>
  <c r="Z1149" i="12"/>
  <c r="Z2077" i="12"/>
  <c r="Z2348" i="12"/>
  <c r="Z871" i="12"/>
  <c r="Z2322" i="12"/>
  <c r="Z2758" i="12"/>
  <c r="Z1215" i="12"/>
  <c r="Z2705" i="12"/>
  <c r="Z828" i="12"/>
  <c r="Z560" i="12"/>
  <c r="Z854" i="12"/>
  <c r="Z2289" i="12"/>
  <c r="Z2834" i="12"/>
  <c r="Z3228" i="12"/>
  <c r="Z3202" i="12"/>
  <c r="Z2648" i="12"/>
  <c r="Z97" i="12"/>
  <c r="Z1523" i="12"/>
  <c r="Z506" i="12"/>
  <c r="Z877" i="12"/>
  <c r="Z2538" i="12"/>
  <c r="Z3218" i="12"/>
  <c r="Z464" i="12"/>
  <c r="Z3053" i="12"/>
  <c r="Z1678" i="12"/>
  <c r="Z393" i="12"/>
  <c r="Z2439" i="12"/>
  <c r="Z1809" i="12"/>
  <c r="Z365" i="12"/>
  <c r="Z2283" i="12"/>
  <c r="Z1230" i="12"/>
  <c r="Z1033" i="12"/>
  <c r="Z2599" i="12"/>
  <c r="Z3066" i="12"/>
  <c r="Z152" i="12"/>
  <c r="Z1604" i="12"/>
  <c r="Z1517" i="12"/>
  <c r="Z687" i="12"/>
  <c r="Z2607" i="12"/>
  <c r="Z1183" i="12"/>
  <c r="Z2668" i="12"/>
  <c r="Z2328" i="12"/>
  <c r="Z1263" i="12"/>
  <c r="Z2393" i="12"/>
  <c r="Z1295" i="12"/>
  <c r="Z1309" i="12"/>
  <c r="Z3349" i="12"/>
  <c r="Z1775" i="12"/>
  <c r="Z810" i="12"/>
  <c r="Z2043" i="12"/>
  <c r="Z3060" i="12"/>
  <c r="Z1913" i="12"/>
  <c r="Z795" i="12"/>
  <c r="Z2049" i="12"/>
  <c r="Z1951" i="12"/>
  <c r="Z1236" i="12"/>
  <c r="Z416" i="12"/>
  <c r="Z1487" i="12"/>
  <c r="Z2772" i="12"/>
  <c r="Z2504" i="12"/>
  <c r="Z3001" i="12"/>
  <c r="Z3221" i="12"/>
  <c r="Z163" i="12"/>
  <c r="Z2687" i="12"/>
  <c r="Z82" i="12"/>
  <c r="Z1685" i="12"/>
  <c r="Z817" i="12"/>
  <c r="Z2457" i="12"/>
  <c r="Z3449" i="12"/>
  <c r="Z3501" i="12"/>
  <c r="Z2246" i="12"/>
  <c r="Z2277" i="12"/>
  <c r="Z2952" i="12"/>
  <c r="Z2813" i="12"/>
  <c r="Z1261" i="12"/>
  <c r="Z859" i="12"/>
  <c r="Z831" i="12"/>
  <c r="Z1401" i="12"/>
  <c r="Z3459" i="12"/>
  <c r="Z3470" i="12"/>
  <c r="Z3079" i="12"/>
  <c r="Z2111" i="12"/>
  <c r="Z1145" i="12"/>
  <c r="Z351" i="12"/>
  <c r="Z2503" i="12"/>
  <c r="Z289" i="12"/>
  <c r="Z2477" i="12"/>
  <c r="Z1319" i="12"/>
  <c r="Z2852" i="12"/>
  <c r="Z2715" i="12"/>
  <c r="Z2862" i="12"/>
  <c r="Z1532" i="12"/>
  <c r="Z2694" i="12"/>
  <c r="Z826" i="12"/>
  <c r="Z2461" i="12"/>
  <c r="Z1595" i="12"/>
  <c r="Z2195" i="12"/>
  <c r="Z115" i="12"/>
  <c r="Z2367" i="12"/>
  <c r="Z2889" i="12"/>
  <c r="Z843" i="12"/>
  <c r="Z3451" i="12"/>
  <c r="Z2009" i="12"/>
  <c r="Z151" i="12"/>
  <c r="Z1964" i="12"/>
  <c r="Z25" i="12"/>
  <c r="Z3503" i="12"/>
  <c r="Z2590" i="12"/>
  <c r="Z3531" i="12"/>
  <c r="Z989" i="12"/>
  <c r="Z1141" i="12"/>
  <c r="Z1841" i="12"/>
  <c r="Z2610" i="12"/>
  <c r="Z3109" i="12"/>
  <c r="Z1753" i="12"/>
  <c r="Z1203" i="12"/>
  <c r="Z1845" i="12"/>
  <c r="Z2057" i="12"/>
  <c r="Z467" i="12"/>
  <c r="Z2920" i="12"/>
  <c r="Z2801" i="12"/>
  <c r="Z122" i="12"/>
  <c r="Z1023" i="12"/>
  <c r="Z1232" i="12"/>
  <c r="Z2174" i="12"/>
  <c r="Z915" i="12"/>
  <c r="Z2380" i="12"/>
  <c r="Z2535" i="12"/>
  <c r="Z3051" i="12"/>
  <c r="Z1101" i="12"/>
  <c r="Z2336" i="12"/>
  <c r="Z533" i="12"/>
  <c r="Z1283" i="12"/>
  <c r="Z1579" i="12"/>
  <c r="Z1585" i="12"/>
  <c r="Z3220" i="12"/>
  <c r="Z3141" i="12"/>
  <c r="Z1490" i="12"/>
  <c r="Z1348" i="12"/>
  <c r="Z90" i="12"/>
  <c r="Z736" i="12"/>
  <c r="Z2016" i="12"/>
  <c r="Z3260" i="12"/>
  <c r="Z2794" i="12"/>
  <c r="Z239" i="12"/>
  <c r="Z2220" i="12"/>
  <c r="Z1373" i="12"/>
  <c r="Z314" i="12"/>
  <c r="Z165" i="12"/>
  <c r="Z3447" i="12"/>
  <c r="Z1898" i="12"/>
  <c r="Z3360" i="12"/>
  <c r="Z728" i="12"/>
  <c r="Z2337" i="12"/>
  <c r="Z2624" i="12"/>
  <c r="Z109" i="12"/>
  <c r="Z1086" i="12"/>
  <c r="Z1158" i="12"/>
  <c r="Z1361" i="12"/>
  <c r="Z2543" i="12"/>
  <c r="Z1334" i="12"/>
  <c r="Z214" i="12"/>
  <c r="Z2036" i="12"/>
  <c r="Z1047" i="12"/>
  <c r="Z181" i="12"/>
  <c r="Z290" i="12"/>
  <c r="Z2942" i="12"/>
  <c r="Z2334" i="12"/>
  <c r="Z1044" i="12"/>
  <c r="Z726" i="12"/>
  <c r="Z2820" i="12"/>
  <c r="Z2980" i="12"/>
  <c r="Z561" i="12"/>
  <c r="Z840" i="12"/>
  <c r="Z26" i="12"/>
  <c r="Z2578" i="12"/>
  <c r="Z2931" i="12"/>
  <c r="Z3011" i="12"/>
  <c r="Z881" i="12"/>
  <c r="Z808" i="12"/>
  <c r="Z2948" i="12"/>
  <c r="Z2073" i="12"/>
  <c r="Z1851" i="12"/>
  <c r="Z3474" i="12"/>
  <c r="Z2555" i="12"/>
  <c r="Z1632" i="12"/>
  <c r="Z1761" i="12"/>
  <c r="Z1833" i="12"/>
  <c r="Z1724" i="12"/>
  <c r="Z98" i="12"/>
  <c r="Z2386" i="12"/>
  <c r="Z837" i="12"/>
  <c r="Z2044" i="12"/>
  <c r="Z313" i="12"/>
  <c r="Z1376" i="12"/>
  <c r="Z1296" i="12"/>
  <c r="Z217" i="12"/>
  <c r="Z3261" i="12"/>
  <c r="Z2649" i="12"/>
  <c r="Z2843" i="12"/>
  <c r="Z3175" i="12"/>
  <c r="Z2296" i="12"/>
  <c r="Z1605" i="12"/>
  <c r="Z1519" i="12"/>
  <c r="Z711" i="12"/>
  <c r="Z1467" i="12"/>
  <c r="Z622" i="12"/>
  <c r="Z1350" i="12"/>
  <c r="Z2382" i="12"/>
  <c r="Z1552" i="12"/>
  <c r="Z750" i="12"/>
  <c r="Z2719" i="12"/>
  <c r="Z2143" i="12"/>
  <c r="Z1907" i="12"/>
  <c r="Z2736" i="12"/>
  <c r="Z1663" i="12"/>
  <c r="Z1443" i="12"/>
  <c r="Z2090" i="12"/>
  <c r="Z1122" i="12"/>
  <c r="Z1133" i="12"/>
  <c r="Z3156" i="12"/>
  <c r="Z3147" i="12"/>
  <c r="Z2146" i="12"/>
  <c r="Z759" i="12"/>
  <c r="Z2250" i="12"/>
  <c r="Z592" i="12"/>
  <c r="Z2785" i="12"/>
  <c r="Z936" i="12"/>
  <c r="Z2422" i="12"/>
  <c r="Z2872" i="12"/>
  <c r="Z2840" i="12"/>
  <c r="Z1940" i="12"/>
  <c r="Z3125" i="12"/>
  <c r="Z1782" i="12"/>
  <c r="Z3487" i="12"/>
  <c r="Z2046" i="12"/>
  <c r="Z356" i="12"/>
  <c r="Z2940" i="12"/>
  <c r="Z96" i="12"/>
  <c r="Z2728" i="12"/>
  <c r="Z3219" i="12"/>
  <c r="Z215" i="12"/>
  <c r="Z2791" i="12"/>
  <c r="Z3167" i="12"/>
  <c r="Z2708" i="12"/>
  <c r="Z2144" i="12"/>
  <c r="Z2097" i="12"/>
  <c r="Z1194" i="12"/>
  <c r="Z420" i="12"/>
  <c r="Z1752" i="12"/>
  <c r="Z606" i="12"/>
  <c r="Z3338" i="12"/>
  <c r="Z2374" i="12"/>
  <c r="Z1956" i="12"/>
  <c r="Z2637" i="12"/>
  <c r="Z222" i="12"/>
  <c r="Z498" i="12"/>
  <c r="Z3372" i="12"/>
  <c r="Z296" i="12"/>
  <c r="Z1225" i="12"/>
  <c r="Z3517" i="12"/>
  <c r="Z251" i="12"/>
  <c r="Z1339" i="12"/>
  <c r="Z228" i="12"/>
  <c r="Z1886" i="12"/>
  <c r="Z1821" i="12"/>
  <c r="Z2429" i="12"/>
  <c r="Z487" i="12"/>
  <c r="Z1581" i="12"/>
  <c r="Z1204" i="12"/>
  <c r="Z383" i="12"/>
  <c r="Z1193" i="12"/>
  <c r="Z272" i="12"/>
  <c r="Z551" i="12"/>
  <c r="Z3100" i="12"/>
  <c r="Z3239" i="12"/>
  <c r="Z1729" i="12"/>
  <c r="Z1444" i="12"/>
  <c r="Z294" i="12"/>
  <c r="Z3281" i="12"/>
  <c r="Z679" i="12"/>
  <c r="Z1107" i="12"/>
  <c r="Z2779" i="12"/>
  <c r="Z1578" i="12"/>
  <c r="Z491" i="12"/>
  <c r="Z3080" i="12"/>
  <c r="Z594" i="12"/>
  <c r="Z1452" i="12"/>
  <c r="Z1068" i="12"/>
  <c r="Z772" i="12"/>
  <c r="Z697" i="12"/>
  <c r="Z652" i="12"/>
  <c r="Z3117" i="12"/>
  <c r="Z2508" i="12"/>
  <c r="Z141" i="12"/>
  <c r="Z1991" i="12"/>
  <c r="Z20" i="12"/>
  <c r="Z2071" i="12"/>
  <c r="Z1017" i="12"/>
  <c r="Z2597" i="12"/>
  <c r="Z2101" i="12"/>
  <c r="Z2505" i="12"/>
  <c r="Z3266" i="12"/>
  <c r="Z1822" i="12"/>
  <c r="Z1878" i="12"/>
  <c r="Z1666" i="12"/>
  <c r="Z1244" i="12"/>
  <c r="Z3030" i="12"/>
  <c r="Z2825" i="12"/>
  <c r="Z1553" i="12"/>
  <c r="Z819" i="12"/>
  <c r="Z3104" i="12"/>
  <c r="Z3178" i="12"/>
  <c r="Z1367" i="12"/>
  <c r="Z3049" i="12"/>
  <c r="Z1414" i="12"/>
  <c r="Z1099" i="12"/>
  <c r="Z1002" i="12"/>
  <c r="Z615" i="12"/>
  <c r="Z583" i="12"/>
  <c r="Z2488" i="12"/>
  <c r="Z448" i="12"/>
  <c r="Z2058" i="12"/>
  <c r="Z863" i="12"/>
  <c r="Z2480" i="12"/>
  <c r="Z752" i="12"/>
  <c r="Z2666" i="12"/>
  <c r="Z2913" i="12"/>
  <c r="Z590" i="12"/>
  <c r="Z2070" i="12"/>
  <c r="Z891" i="12"/>
  <c r="Z1134" i="12"/>
  <c r="Z2109" i="12"/>
  <c r="Z2733" i="12"/>
  <c r="Z2886" i="12"/>
  <c r="Z2082" i="12"/>
  <c r="Z973" i="12"/>
  <c r="Z2226" i="12"/>
  <c r="Z32" i="12"/>
  <c r="Z544" i="12"/>
  <c r="Z2734" i="12"/>
  <c r="Z630" i="12"/>
  <c r="Z2360" i="12"/>
  <c r="Z1260" i="12"/>
  <c r="Z2288" i="12"/>
  <c r="Z1185" i="12"/>
  <c r="Z820" i="12"/>
  <c r="Z367" i="12"/>
  <c r="Z827" i="12"/>
  <c r="Z2967" i="12"/>
  <c r="Z1058" i="12"/>
  <c r="Z1683" i="12"/>
  <c r="Z3160" i="12"/>
  <c r="Z2093" i="12"/>
  <c r="Z882" i="12"/>
  <c r="Z2992" i="12"/>
  <c r="Z3538" i="12"/>
  <c r="Z267" i="12"/>
  <c r="Z1412" i="12"/>
  <c r="Z3395" i="12"/>
  <c r="Z2404" i="12"/>
  <c r="Z794" i="12"/>
  <c r="Z451" i="12"/>
  <c r="Z1893" i="12"/>
  <c r="Z1848" i="12"/>
  <c r="Z3040" i="12"/>
  <c r="Z3119" i="12"/>
  <c r="Z805" i="12"/>
  <c r="Z988" i="12"/>
  <c r="Z237" i="12"/>
  <c r="Z1510" i="12"/>
  <c r="Z2767" i="12"/>
  <c r="Z236" i="12"/>
  <c r="Z1933" i="12"/>
  <c r="Z1223" i="12"/>
  <c r="Z3369" i="12"/>
  <c r="Z2448" i="12"/>
  <c r="Z1057" i="12"/>
  <c r="Z1673" i="12"/>
  <c r="Z2893" i="12"/>
  <c r="Z1722" i="12"/>
  <c r="Z3138" i="12"/>
  <c r="Z580" i="12"/>
  <c r="Z1200" i="12"/>
  <c r="Z902" i="12"/>
  <c r="Z2339" i="12"/>
  <c r="Z1073" i="12"/>
  <c r="Z2378" i="12"/>
  <c r="Z2110" i="12"/>
  <c r="Z210" i="12"/>
  <c r="Z1169" i="12"/>
  <c r="Z3184" i="12"/>
  <c r="Z2409" i="12"/>
  <c r="Z1675" i="12"/>
  <c r="Z3118" i="12"/>
  <c r="Z2252" i="12"/>
  <c r="Z1911" i="12"/>
  <c r="Z1040" i="12"/>
  <c r="Z3067" i="12"/>
  <c r="Z3265" i="12"/>
  <c r="Z2116" i="12"/>
  <c r="Z3236" i="12"/>
  <c r="Z2214" i="12"/>
  <c r="Z3225" i="12"/>
  <c r="Z677" i="12"/>
  <c r="Z484" i="12"/>
  <c r="Z202" i="12"/>
  <c r="Z2903" i="12"/>
  <c r="Z2262" i="12"/>
  <c r="Z51" i="12"/>
  <c r="Z3168" i="12"/>
  <c r="Z3055" i="12"/>
  <c r="Z269" i="12"/>
  <c r="Z473" i="12"/>
  <c r="Z942" i="12"/>
  <c r="Z1091" i="12"/>
  <c r="Z1103" i="12"/>
  <c r="Z2313" i="12"/>
  <c r="Z627" i="12"/>
  <c r="Z576" i="12"/>
  <c r="Z2032" i="12"/>
  <c r="Z3151" i="12"/>
  <c r="Z1910" i="12"/>
  <c r="Z1631" i="12"/>
  <c r="Z773" i="12"/>
  <c r="Z1528" i="12"/>
  <c r="Z2788" i="12"/>
  <c r="Z2432" i="12"/>
  <c r="Z1020" i="12"/>
  <c r="Z1642" i="12"/>
  <c r="Z327" i="12"/>
  <c r="Z3499" i="12"/>
  <c r="Z140" i="12"/>
  <c r="Z2203" i="12"/>
  <c r="Z3544" i="12"/>
  <c r="Z95" i="12"/>
  <c r="Z1570" i="12"/>
  <c r="Z2765" i="12"/>
  <c r="Z924" i="12"/>
  <c r="Z2615" i="12"/>
  <c r="Z1173" i="12"/>
  <c r="Z1090" i="12"/>
  <c r="Z941" i="12"/>
  <c r="Z2878" i="12"/>
  <c r="Z1958" i="12"/>
  <c r="Z2108" i="12"/>
  <c r="Z586" i="12"/>
  <c r="Z1299" i="12"/>
  <c r="Z2147" i="12"/>
  <c r="Z1464" i="12"/>
  <c r="Z1865" i="12"/>
  <c r="Z3197" i="12"/>
  <c r="Z1453" i="12"/>
  <c r="Z3334" i="12"/>
  <c r="Z378" i="12"/>
  <c r="Z2135" i="12"/>
  <c r="Z1754" i="12"/>
  <c r="Z911" i="12"/>
  <c r="Z2528" i="12"/>
  <c r="Z2474" i="12"/>
  <c r="Z1868" i="12"/>
  <c r="Z2968" i="12"/>
  <c r="Z1322" i="12"/>
  <c r="Z1175" i="12"/>
  <c r="Z1481" i="12"/>
  <c r="Z1930" i="12"/>
  <c r="Z1738" i="12"/>
  <c r="Z3159" i="12"/>
  <c r="Z2836" i="12"/>
  <c r="Z3205" i="12"/>
  <c r="Z2521" i="12"/>
  <c r="Z2098" i="12"/>
  <c r="Z3271" i="12"/>
  <c r="Z2969" i="12"/>
  <c r="Z1817" i="12"/>
  <c r="Z2695" i="12"/>
  <c r="Z3190" i="12"/>
  <c r="Z2957" i="12"/>
  <c r="Z2640" i="12"/>
  <c r="Z2160" i="12"/>
  <c r="Z1036" i="12"/>
  <c r="Z73" i="12"/>
  <c r="Z2995" i="12"/>
  <c r="Z527" i="12"/>
  <c r="Z3346" i="12"/>
  <c r="Z2018" i="12"/>
  <c r="Z320" i="12"/>
  <c r="Z2438" i="12"/>
  <c r="Z1279" i="12"/>
  <c r="Z1952" i="12"/>
  <c r="Z1551" i="12"/>
  <c r="Z3398" i="12"/>
  <c r="Z1676" i="12"/>
  <c r="Z1860" i="12"/>
  <c r="Z855" i="12"/>
  <c r="Z1218" i="12"/>
  <c r="Z550" i="12"/>
  <c r="Z2816" i="12"/>
  <c r="Z468" i="12"/>
  <c r="Z3534" i="12"/>
  <c r="Z1484" i="12"/>
  <c r="Z1652" i="12"/>
  <c r="Z3423" i="12"/>
  <c r="Z3022" i="12"/>
  <c r="Z1606" i="12"/>
  <c r="Z875" i="12"/>
  <c r="Z1254" i="12"/>
  <c r="Z3319" i="12"/>
  <c r="Z2188" i="12"/>
  <c r="Z465" i="12"/>
  <c r="Z1518" i="12"/>
  <c r="Z138" i="12"/>
  <c r="Z488" i="12"/>
  <c r="Z1706" i="12"/>
  <c r="Z1526" i="12"/>
  <c r="Z2965" i="12"/>
  <c r="Z770" i="12"/>
  <c r="Z3313" i="12"/>
  <c r="Z2281" i="12"/>
  <c r="Z1500" i="12"/>
  <c r="Z2010" i="12"/>
  <c r="Z104" i="12"/>
  <c r="Z1963" i="12"/>
  <c r="Z2189" i="12"/>
  <c r="Z70" i="12"/>
  <c r="Z2647" i="12"/>
  <c r="Z1305" i="12"/>
  <c r="Z249" i="12"/>
  <c r="Z3498" i="12"/>
  <c r="Z240" i="12"/>
  <c r="Z1075" i="12"/>
  <c r="Z2263" i="12"/>
  <c r="Z54" i="12"/>
  <c r="Z940" i="12"/>
  <c r="Z292" i="12"/>
  <c r="Z1052" i="12"/>
  <c r="Z1992" i="12"/>
  <c r="Z2774" i="12"/>
  <c r="Z2230" i="12"/>
  <c r="Z1548" i="12"/>
  <c r="Z729" i="12"/>
  <c r="Z2471" i="12"/>
  <c r="Z2403" i="12"/>
  <c r="Z1937" i="12"/>
  <c r="Z2982" i="12"/>
  <c r="Z651" i="12"/>
  <c r="Z2605" i="12"/>
  <c r="Z2099" i="12"/>
  <c r="Z2561" i="12"/>
  <c r="Z2396" i="12"/>
  <c r="Z2861" i="12"/>
  <c r="Z3337" i="12"/>
  <c r="Z1100" i="12"/>
  <c r="Z521" i="12"/>
  <c r="Z1994" i="12"/>
  <c r="Z1916" i="12"/>
  <c r="Z2447" i="12"/>
  <c r="Z2015" i="12"/>
  <c r="Z2053" i="12"/>
  <c r="Z1063" i="12"/>
  <c r="Z3311" i="12"/>
  <c r="Z437" i="12"/>
  <c r="Z500" i="12"/>
  <c r="Z1651" i="12"/>
  <c r="Z278" i="12"/>
  <c r="Z3492" i="12"/>
  <c r="Z1960" i="12"/>
  <c r="Z734" i="12"/>
  <c r="Z1363" i="12"/>
  <c r="Z432" i="12"/>
  <c r="Z3094" i="12"/>
  <c r="Z3386" i="12"/>
  <c r="Z1512" i="12"/>
  <c r="Z322" i="12"/>
  <c r="Z157" i="12"/>
  <c r="Z3005" i="12"/>
  <c r="Z2912" i="12"/>
  <c r="Z2163" i="12"/>
  <c r="Z1489" i="12"/>
  <c r="Z1946" i="12"/>
  <c r="Z429" i="12"/>
  <c r="Z2026" i="12"/>
  <c r="Z3450" i="12"/>
  <c r="Z1021" i="12"/>
  <c r="Z2584" i="12"/>
  <c r="Z1418" i="12"/>
  <c r="Z3056" i="12"/>
  <c r="Z588" i="12"/>
  <c r="Z3469" i="12"/>
  <c r="Z3131" i="12"/>
  <c r="Z3137" i="12"/>
  <c r="Z1353" i="12"/>
  <c r="Z1802" i="12"/>
  <c r="Z600" i="12"/>
  <c r="Z2229" i="12"/>
  <c r="Z3188" i="12"/>
  <c r="Z3232" i="12"/>
  <c r="Z183" i="12"/>
  <c r="Z1894" i="12"/>
  <c r="Z2231" i="12"/>
  <c r="Z1325" i="12"/>
  <c r="Z1679" i="12"/>
  <c r="Z2451" i="12"/>
  <c r="Z3177" i="12"/>
  <c r="Z638" i="12"/>
  <c r="Z1950" i="12"/>
  <c r="Z3490" i="12"/>
  <c r="Z1796" i="12"/>
  <c r="Z1349" i="12"/>
  <c r="Z1667" i="12"/>
  <c r="Z2748" i="12"/>
  <c r="Z2441" i="12"/>
  <c r="Z3440" i="12"/>
  <c r="Z890" i="12"/>
  <c r="Z3381" i="12"/>
  <c r="Z2413" i="12"/>
  <c r="Z2896" i="12"/>
  <c r="Z2747" i="12"/>
  <c r="Z2562" i="12"/>
  <c r="Z2853" i="12"/>
  <c r="Z569" i="12"/>
  <c r="Z276" i="12"/>
  <c r="Z889" i="12"/>
  <c r="Z3356" i="12"/>
  <c r="Z1043" i="12"/>
  <c r="Z2539" i="12"/>
  <c r="Z136" i="12"/>
  <c r="Z2081" i="12"/>
  <c r="Z406" i="12"/>
  <c r="Z274" i="12"/>
  <c r="Z1336" i="12"/>
  <c r="Z3415" i="12"/>
  <c r="Z2316" i="12"/>
  <c r="Z2863" i="12"/>
  <c r="Z2175" i="12"/>
  <c r="Z1765" i="12"/>
  <c r="Z1424" i="12"/>
  <c r="Z1157" i="12"/>
  <c r="Z394" i="12"/>
  <c r="Z660" i="12"/>
  <c r="Z1038" i="12"/>
  <c r="Z198" i="12"/>
  <c r="Z956" i="12"/>
  <c r="Z415" i="12"/>
  <c r="Z2677" i="12"/>
  <c r="Z2700" i="12"/>
  <c r="Z2553" i="12"/>
  <c r="Z445" i="12"/>
  <c r="Z1034" i="12"/>
  <c r="Z1016" i="12"/>
  <c r="Z1482" i="12"/>
  <c r="Z782" i="12"/>
  <c r="Z2208" i="12"/>
  <c r="Z1558" i="12"/>
  <c r="Z2031" i="12"/>
  <c r="Z2633" i="12"/>
  <c r="Z3133" i="12"/>
  <c r="Z3458" i="12"/>
  <c r="Z774" i="12"/>
  <c r="Z135" i="12"/>
  <c r="Z3348" i="12"/>
  <c r="Z2692" i="12"/>
  <c r="Z194" i="12"/>
  <c r="Z634" i="12"/>
  <c r="Z706" i="12"/>
  <c r="Z3016" i="12"/>
  <c r="Z2493" i="12"/>
  <c r="Z3302" i="12"/>
  <c r="Z117" i="12"/>
  <c r="Z1769" i="12"/>
  <c r="Z1882" i="12"/>
  <c r="Z190" i="12"/>
  <c r="Z3233" i="12"/>
  <c r="Z3115" i="12"/>
  <c r="Z974" i="12"/>
  <c r="Z377" i="12"/>
  <c r="Z3355" i="12"/>
  <c r="Z2618" i="12"/>
  <c r="Z384" i="12"/>
  <c r="Z811" i="12"/>
  <c r="Z2255" i="12"/>
  <c r="Z539" i="12"/>
  <c r="Z648" i="12"/>
  <c r="Z2033" i="12"/>
  <c r="Z1404" i="12"/>
  <c r="Z2126" i="12"/>
  <c r="Z1504" i="12"/>
  <c r="Z1692" i="12"/>
  <c r="Z2131" i="12"/>
  <c r="Z557" i="12"/>
  <c r="Z603" i="12"/>
  <c r="Z3193" i="12"/>
  <c r="Z3362" i="12"/>
  <c r="Z3058" i="12"/>
  <c r="Z1435" i="12"/>
  <c r="Z1499" i="12"/>
  <c r="Z372" i="12"/>
  <c r="Z1310" i="12"/>
  <c r="Z967" i="12"/>
  <c r="Z2088" i="12"/>
  <c r="Z1262" i="12"/>
  <c r="Z3099" i="12"/>
  <c r="Z1557" i="12"/>
  <c r="Z147" i="12"/>
  <c r="Z50" i="12"/>
  <c r="Z3090" i="12"/>
  <c r="Z664" i="12"/>
  <c r="Z851" i="12"/>
  <c r="Z1591" i="12"/>
  <c r="Z1399" i="12"/>
  <c r="Z2792" i="12"/>
  <c r="Z2946" i="12"/>
  <c r="Z422" i="12"/>
  <c r="Z2180" i="12"/>
  <c r="Z655" i="12"/>
  <c r="Z362" i="12"/>
  <c r="Z3527" i="12"/>
  <c r="Z804" i="12"/>
  <c r="Z2465" i="12"/>
  <c r="Z1493" i="12"/>
  <c r="Z3248" i="12"/>
  <c r="Z1182" i="12"/>
  <c r="Z1252" i="12"/>
  <c r="Z830" i="12"/>
  <c r="Z3037" i="12"/>
  <c r="Z850" i="12"/>
  <c r="Z3247" i="12"/>
  <c r="Z2196" i="12"/>
  <c r="Z60" i="12"/>
  <c r="Z2385" i="12"/>
  <c r="Z1032" i="12"/>
  <c r="Z895" i="12"/>
  <c r="Z2344" i="12"/>
  <c r="Z737" i="12"/>
  <c r="Z389" i="12"/>
  <c r="Z2901" i="12"/>
  <c r="Z2756" i="12"/>
  <c r="Z128" i="12"/>
  <c r="Z636" i="12"/>
  <c r="Z2198" i="12"/>
  <c r="Z998" i="12"/>
  <c r="Z3048" i="12"/>
  <c r="Z1758" i="12"/>
  <c r="Z1188" i="12"/>
  <c r="Z2812" i="12"/>
  <c r="Z3122" i="12"/>
  <c r="Z860" i="12"/>
  <c r="Z1076" i="12"/>
  <c r="Z738" i="12"/>
  <c r="Z359" i="12"/>
  <c r="Z1556" i="12"/>
  <c r="Z2983" i="12"/>
  <c r="Z1612" i="12"/>
  <c r="Z2137" i="12"/>
  <c r="Z3322" i="12"/>
  <c r="Z2325" i="12"/>
  <c r="Z874" i="12"/>
  <c r="Z2501" i="12"/>
  <c r="Z2710" i="12"/>
  <c r="Z970" i="12"/>
  <c r="Z360" i="12"/>
  <c r="Z558" i="12"/>
  <c r="Z2763" i="12"/>
  <c r="Z2136" i="12"/>
  <c r="Z3036" i="12"/>
  <c r="Z681" i="12"/>
  <c r="Z516" i="12"/>
  <c r="Z2683" i="12"/>
  <c r="Z2775" i="12"/>
  <c r="Z2795" i="12"/>
  <c r="Z1314" i="12"/>
  <c r="Z3523" i="12"/>
  <c r="Z77" i="12"/>
  <c r="Z1111" i="12"/>
  <c r="Z213" i="12"/>
  <c r="Z1431" i="12"/>
  <c r="Z2507" i="12"/>
  <c r="Z3237" i="12"/>
  <c r="Z1084" i="12"/>
  <c r="Z388" i="12"/>
  <c r="Z2661" i="12"/>
  <c r="Z3402" i="12"/>
  <c r="Z3194" i="12"/>
  <c r="Z1311" i="12"/>
  <c r="Z1925" i="12"/>
  <c r="Z1861" i="12"/>
  <c r="Z350" i="12"/>
  <c r="Z599" i="12"/>
  <c r="Z3305" i="12"/>
  <c r="Z1288" i="12"/>
  <c r="Z2460" i="12"/>
  <c r="Z1270" i="12"/>
  <c r="Z852" i="12"/>
  <c r="Z332" i="12"/>
  <c r="Z409" i="12"/>
  <c r="Z1531" i="12"/>
  <c r="Z3085" i="12"/>
  <c r="Z885" i="12"/>
  <c r="Z3285" i="12"/>
  <c r="Z839" i="12"/>
  <c r="Z609" i="12"/>
  <c r="Z2657" i="12"/>
  <c r="Z2841" i="12"/>
  <c r="Z256" i="12"/>
  <c r="Z589" i="12"/>
  <c r="Z339" i="12"/>
  <c r="Z1572" i="12"/>
  <c r="Z669" i="12"/>
  <c r="Z3123" i="12"/>
  <c r="Z3091" i="12"/>
  <c r="Z1258" i="12"/>
  <c r="Z747" i="12"/>
  <c r="Z1629" i="12"/>
  <c r="Z3377" i="12"/>
  <c r="Z637" i="12"/>
  <c r="Z2497" i="12"/>
  <c r="Z1541" i="12"/>
  <c r="Z1947" i="12"/>
  <c r="Z695" i="12"/>
  <c r="Z2796" i="12"/>
  <c r="Z3511" i="12"/>
  <c r="Z2606" i="12"/>
  <c r="Z1071" i="12"/>
  <c r="Z1787" i="12"/>
  <c r="Z1135" i="12"/>
  <c r="Z2356" i="12"/>
  <c r="Z613" i="12"/>
  <c r="Z2565" i="12"/>
  <c r="Z1811" i="12"/>
  <c r="Z1294" i="12"/>
  <c r="Z364" i="12"/>
  <c r="Z2617" i="12"/>
  <c r="Z997" i="12"/>
  <c r="Z1049" i="12"/>
  <c r="Z608" i="12"/>
  <c r="Z3289" i="12"/>
  <c r="Z2211" i="12"/>
  <c r="Z1112" i="12"/>
  <c r="Z2712" i="12"/>
  <c r="Z3008" i="12"/>
  <c r="Z1102" i="12"/>
  <c r="Z2977" i="12"/>
  <c r="Z2387" i="12"/>
  <c r="Z727" i="12"/>
  <c r="Z124" i="12"/>
  <c r="Z2237" i="12"/>
  <c r="Z1214" i="12"/>
  <c r="Z1885" i="12"/>
  <c r="Z2340" i="12"/>
  <c r="Z1812" i="12"/>
  <c r="Z2232" i="12"/>
  <c r="Z2416" i="12"/>
  <c r="Z3128" i="12"/>
  <c r="Z1480" i="12"/>
  <c r="Z1007" i="12"/>
  <c r="Z833" i="12"/>
  <c r="Z3364" i="12"/>
  <c r="Z2103" i="12"/>
  <c r="Z41" i="12"/>
  <c r="Z1935" i="12"/>
  <c r="Z2092" i="12"/>
  <c r="Z39" i="12"/>
  <c r="Z1837" i="12"/>
  <c r="Z53" i="12"/>
  <c r="Z1469" i="12"/>
  <c r="Z158" i="12"/>
  <c r="Z914" i="12"/>
  <c r="Z2440" i="12"/>
  <c r="Z1483" i="12"/>
  <c r="Z3515" i="12"/>
  <c r="Z991" i="12"/>
  <c r="Z1198" i="12"/>
  <c r="Z108" i="12"/>
  <c r="Z2498" i="12"/>
  <c r="Z3282" i="12"/>
  <c r="Z778" i="12"/>
  <c r="Z643" i="12"/>
  <c r="Z1221" i="12"/>
  <c r="Z436" i="12"/>
  <c r="Z1010" i="12"/>
  <c r="Z435" i="12"/>
  <c r="Z2301" i="12"/>
  <c r="Z1293" i="12"/>
  <c r="Z2979" i="12"/>
  <c r="Z1763" i="12"/>
  <c r="Z407" i="12"/>
  <c r="Z552" i="12"/>
  <c r="Z1810" i="12"/>
  <c r="Z1081" i="12"/>
  <c r="Z716" i="12"/>
  <c r="Z408" i="12"/>
  <c r="Z2776" i="12"/>
  <c r="Z2275" i="12"/>
  <c r="Z1115" i="12"/>
  <c r="Z1465" i="12"/>
  <c r="Z2158" i="12"/>
  <c r="Z984" i="12"/>
  <c r="Z1774" i="12"/>
  <c r="Z719" i="12"/>
  <c r="Z618" i="12"/>
  <c r="Z1695" i="12"/>
  <c r="Z133" i="12"/>
  <c r="Z36" i="12"/>
  <c r="Z478" i="12"/>
  <c r="Z303" i="12"/>
  <c r="Z2495" i="12"/>
  <c r="Z83" i="12"/>
  <c r="Z2434" i="12"/>
  <c r="Z2621" i="12"/>
  <c r="Z3494" i="12"/>
  <c r="Z66" i="12"/>
  <c r="Z3294" i="12"/>
  <c r="Z2121" i="12"/>
  <c r="Z2227" i="12"/>
  <c r="Z1732" i="12"/>
  <c r="Z2847" i="12"/>
  <c r="Z725" i="12"/>
  <c r="Z3443" i="12"/>
  <c r="Z2832" i="12"/>
  <c r="Z78" i="12"/>
  <c r="Z3454" i="12"/>
  <c r="Z3021" i="12"/>
  <c r="Z3333" i="12"/>
  <c r="Z1564" i="12"/>
  <c r="Z3482" i="12"/>
  <c r="Z277" i="12"/>
  <c r="Z3529" i="12"/>
  <c r="Z2469" i="12"/>
  <c r="Z2932" i="12"/>
  <c r="Z1041" i="12"/>
  <c r="Z146" i="12"/>
  <c r="Z1702" i="12"/>
  <c r="Z1737" i="12"/>
  <c r="Z1839" i="12"/>
  <c r="Z994" i="12"/>
  <c r="Z1972" i="12"/>
  <c r="Z2996" i="12"/>
  <c r="Z3323" i="12"/>
  <c r="Z155" i="12"/>
  <c r="Z1477" i="12"/>
  <c r="Z2988" i="12"/>
  <c r="Z2704" i="12"/>
  <c r="Z2363" i="12"/>
  <c r="Z503" i="12"/>
  <c r="Z3000" i="12"/>
  <c r="Z2805" i="12"/>
  <c r="Z226" i="12"/>
  <c r="Z1331" i="12"/>
  <c r="Z1304" i="12"/>
  <c r="Z2682" i="12"/>
  <c r="Z1583" i="12"/>
  <c r="Z650" i="12"/>
  <c r="Z2722" i="12"/>
  <c r="Z24" i="12"/>
  <c r="Z2570" i="12"/>
  <c r="Z1780" i="12"/>
  <c r="Z1640" i="12"/>
  <c r="Z1251" i="12"/>
  <c r="Z1804" i="12"/>
  <c r="Z2725" i="12"/>
  <c r="Z1539" i="12"/>
  <c r="Z658" i="12"/>
  <c r="Z2524" i="12"/>
  <c r="Z2193" i="12"/>
  <c r="Z341" i="12"/>
  <c r="Z3491" i="12"/>
  <c r="Z1658" i="12"/>
  <c r="Z1324" i="12"/>
  <c r="Z2922" i="12"/>
  <c r="Z2738" i="12"/>
  <c r="Z3312" i="12"/>
  <c r="Z2045" i="12"/>
  <c r="Z739" i="12"/>
  <c r="Z1795" i="12"/>
  <c r="Z1549" i="12"/>
  <c r="Z684" i="12"/>
  <c r="Z3257" i="12"/>
  <c r="Z640" i="12"/>
  <c r="Z224" i="12"/>
  <c r="Z168" i="12"/>
  <c r="Z2696" i="12"/>
  <c r="Z92" i="12"/>
  <c r="Z2421" i="12"/>
  <c r="Z40" i="12"/>
  <c r="Z1416" i="12"/>
  <c r="Z1257" i="12"/>
  <c r="Z2672" i="12"/>
  <c r="Z2711" i="12"/>
  <c r="Z966" i="12"/>
  <c r="Z1313" i="12"/>
  <c r="Z2532" i="12"/>
  <c r="Z3180" i="12"/>
  <c r="Z1053" i="12"/>
  <c r="Z2446" i="12"/>
  <c r="Z1013" i="12"/>
  <c r="Z720" i="12"/>
  <c r="Z3245" i="12"/>
  <c r="Z2917" i="12"/>
  <c r="Z187" i="12"/>
  <c r="Z75" i="12"/>
  <c r="Z801" i="12"/>
  <c r="Z497" i="12"/>
  <c r="Z1061" i="12"/>
  <c r="Z1850" i="12"/>
  <c r="Z2047" i="12"/>
  <c r="Z1644" i="12"/>
  <c r="Z1352" i="12"/>
  <c r="Z1830" i="12"/>
  <c r="Z1264" i="12"/>
  <c r="Z173" i="12"/>
  <c r="Z283" i="12"/>
  <c r="Z2242" i="12"/>
  <c r="Z3029" i="12"/>
  <c r="Z2613" i="12"/>
  <c r="Z3253" i="12"/>
  <c r="Z2593" i="12"/>
  <c r="Z2068" i="12"/>
  <c r="Z1554" i="12"/>
  <c r="Z1012" i="12"/>
  <c r="Z1691" i="12"/>
  <c r="Z3293" i="12"/>
  <c r="Z3542" i="12"/>
  <c r="Z137" i="12"/>
  <c r="Z1372" i="12"/>
  <c r="Z204" i="12"/>
  <c r="Z281" i="12"/>
  <c r="Z3357" i="12"/>
  <c r="Z446" i="12"/>
  <c r="Z3300" i="12"/>
  <c r="Z3103" i="12"/>
  <c r="Z2187" i="12"/>
  <c r="Z3139" i="12"/>
  <c r="Z575" i="12"/>
  <c r="Z802" i="12"/>
  <c r="Z619" i="12"/>
  <c r="Z3408" i="12"/>
  <c r="Z704" i="12"/>
  <c r="Z3204" i="12"/>
  <c r="Z3325" i="12"/>
  <c r="Z3552" i="12"/>
  <c r="Z3504" i="12"/>
  <c r="Z241" i="12"/>
  <c r="Z1904" i="12"/>
  <c r="Z2947" i="12"/>
  <c r="Z291" i="12"/>
  <c r="Z3062" i="12"/>
  <c r="Z2459" i="12"/>
  <c r="Z2051" i="12"/>
  <c r="Z441" i="12"/>
  <c r="Z3316" i="12"/>
  <c r="Z68" i="12"/>
  <c r="Z3164" i="12"/>
  <c r="Z1867" i="12"/>
  <c r="Z3041" i="12"/>
  <c r="Z1098" i="12"/>
  <c r="Z565" i="12"/>
  <c r="Z3383" i="12"/>
  <c r="Z3185" i="12"/>
  <c r="Z1108" i="12"/>
  <c r="Z3475" i="12"/>
  <c r="Z363" i="12"/>
  <c r="Z102" i="12"/>
  <c r="Z1586" i="12"/>
  <c r="Z1029" i="12"/>
  <c r="Z2741" i="12"/>
  <c r="Z2354" i="12"/>
  <c r="Z2536" i="12"/>
  <c r="Z3161" i="12"/>
  <c r="Z2811" i="12"/>
  <c r="Z1377" i="12"/>
  <c r="Z1461" i="12"/>
  <c r="Z2150" i="12"/>
  <c r="Z1636" i="12"/>
  <c r="Z1342" i="12"/>
  <c r="Z1476" i="12"/>
  <c r="Z1776" i="12"/>
  <c r="Z1535" i="12"/>
  <c r="Z2383" i="12"/>
  <c r="Z2936" i="12"/>
  <c r="Z1009" i="12"/>
  <c r="Z1575" i="12"/>
  <c r="Z2659" i="12"/>
  <c r="Z1707" i="12"/>
  <c r="Z2364" i="12"/>
  <c r="Z1814" i="12"/>
  <c r="Z280" i="12"/>
  <c r="Z604" i="12"/>
  <c r="Z780" i="12"/>
  <c r="Z507" i="12"/>
  <c r="Z2960" i="12"/>
  <c r="Z1369" i="12"/>
  <c r="Z1927" i="12"/>
  <c r="Z2658" i="12"/>
  <c r="Z2966" i="12"/>
  <c r="Z3306" i="12"/>
  <c r="Z1366" i="12"/>
  <c r="Z58" i="12"/>
  <c r="Z3394" i="12"/>
  <c r="Z3130" i="12"/>
  <c r="Z2653" i="12"/>
  <c r="Z1736" i="12"/>
  <c r="Z628" i="12"/>
  <c r="Z842" i="12"/>
  <c r="Z2091" i="12"/>
  <c r="Z2899" i="12"/>
  <c r="Z1015" i="12"/>
  <c r="Z1365" i="12"/>
  <c r="Z1224" i="12"/>
  <c r="Z519" i="12"/>
  <c r="Z1842" i="12"/>
  <c r="Z403" i="12"/>
  <c r="Z2177" i="12"/>
  <c r="Z2984" i="12"/>
  <c r="Z1634" i="12"/>
  <c r="Z1955" i="12"/>
  <c r="Z2881" i="12"/>
  <c r="Z1239" i="12"/>
  <c r="Z1971" i="12"/>
  <c r="Z299" i="12"/>
  <c r="Z2724" i="12"/>
  <c r="Z3006" i="12"/>
  <c r="Z1646" i="12"/>
  <c r="Z1268" i="12"/>
  <c r="Z2320" i="12"/>
  <c r="Z1265" i="12"/>
  <c r="Z49" i="12"/>
  <c r="Z3446" i="12"/>
  <c r="Z1877" i="12"/>
  <c r="Z2595" i="12"/>
  <c r="Z2201" i="12"/>
  <c r="Z531" i="12"/>
  <c r="Z472" i="12"/>
  <c r="Z1621" i="12"/>
  <c r="Z951" i="12"/>
  <c r="Z1807" i="12"/>
  <c r="Z387" i="12"/>
  <c r="Z131" i="12"/>
  <c r="Z3373" i="12"/>
  <c r="Z3367" i="12"/>
  <c r="Z657" i="12"/>
  <c r="Z2462" i="12"/>
  <c r="Z508" i="12"/>
  <c r="Z912" i="12"/>
  <c r="Z245" i="12"/>
  <c r="Z2921" i="12"/>
  <c r="Z886" i="12"/>
  <c r="Z2769" i="12"/>
  <c r="Z1321" i="12"/>
  <c r="Z179" i="12"/>
  <c r="Z2080" i="12"/>
  <c r="Z404" i="12"/>
  <c r="Z2552" i="12"/>
  <c r="Z2973" i="12"/>
  <c r="Z1463" i="12"/>
  <c r="Z2179" i="12"/>
  <c r="Z55" i="12"/>
  <c r="Z1529" i="12"/>
  <c r="Z2310" i="12"/>
  <c r="Z1576" i="12"/>
  <c r="Z553" i="12"/>
  <c r="Z2445" i="12"/>
  <c r="Z3405" i="12"/>
  <c r="Z282" i="12"/>
  <c r="Z442" i="12"/>
  <c r="Z2249" i="12"/>
  <c r="Z3500" i="12"/>
  <c r="Z3120" i="12"/>
  <c r="Z381" i="12"/>
  <c r="Z1617" i="12"/>
  <c r="Z1231" i="12"/>
  <c r="Z1968" i="12"/>
  <c r="Z2542" i="12"/>
  <c r="Z978" i="12"/>
  <c r="Z1217" i="12"/>
  <c r="Z3126" i="12"/>
  <c r="Z701" i="12"/>
  <c r="Z182" i="12"/>
  <c r="Z1375" i="12"/>
  <c r="Z2468" i="12"/>
  <c r="Z1635" i="12"/>
  <c r="Z2546" i="12"/>
  <c r="Z703" i="12"/>
  <c r="Z665" i="12"/>
  <c r="Z836" i="12"/>
  <c r="Z1611" i="12"/>
  <c r="Z953" i="12"/>
  <c r="Z3028" i="12"/>
  <c r="Z3241" i="12"/>
  <c r="Z958" i="12"/>
  <c r="Z674" i="12"/>
  <c r="Z29" i="12"/>
  <c r="Z2238" i="12"/>
  <c r="Z2003" i="12"/>
  <c r="Z2357" i="12"/>
  <c r="Z3073" i="12"/>
  <c r="Z1536" i="12"/>
  <c r="Z2806" i="12"/>
  <c r="Z2023" i="12"/>
  <c r="Z1530" i="12"/>
  <c r="Z1437" i="12"/>
  <c r="Z1522" i="12"/>
  <c r="Z2914" i="12"/>
  <c r="Z3199" i="12"/>
  <c r="Z2514" i="12"/>
  <c r="Z3345" i="12"/>
  <c r="Z1478" i="12"/>
  <c r="Z3297" i="12"/>
  <c r="Z762" i="12"/>
  <c r="Z111" i="12"/>
  <c r="Z754" i="12"/>
  <c r="Z567" i="12"/>
  <c r="Z38" i="12"/>
  <c r="Z3399" i="12"/>
  <c r="Z646" i="12"/>
  <c r="Z3283" i="12"/>
  <c r="Z1207" i="12"/>
  <c r="Z3002" i="12"/>
  <c r="Z2975" i="12"/>
  <c r="Z1306" i="12"/>
  <c r="Z259" i="12"/>
  <c r="Z3092" i="12"/>
  <c r="Z2849" i="12"/>
  <c r="Z1525" i="12"/>
  <c r="Z3353" i="12"/>
  <c r="Z425" i="12"/>
  <c r="Z2038" i="12"/>
  <c r="Z929" i="12"/>
  <c r="Z3366" i="12"/>
  <c r="Z2182" i="12"/>
  <c r="Z708" i="12"/>
  <c r="Z2347" i="12"/>
  <c r="Z760" i="12"/>
  <c r="Z2450" i="12"/>
  <c r="Z2455" i="12"/>
  <c r="Z2818" i="12"/>
  <c r="Z616" i="12"/>
  <c r="Z1687" i="12"/>
  <c r="Z2864" i="12"/>
  <c r="Z1234" i="12"/>
  <c r="Z1479" i="12"/>
  <c r="Z2730" i="12"/>
  <c r="Z3258" i="12"/>
  <c r="Z471" i="12"/>
  <c r="Z1984" i="12"/>
  <c r="Z1550" i="12"/>
  <c r="Z1085" i="12"/>
  <c r="Z149" i="12"/>
  <c r="Z3270" i="12"/>
  <c r="Z2332" i="12"/>
  <c r="Z178" i="12"/>
  <c r="Z3070" i="12"/>
  <c r="Z453" i="12"/>
  <c r="Z1680" i="12"/>
  <c r="Z2273" i="12"/>
  <c r="Z3396" i="12"/>
  <c r="Z2855" i="12"/>
  <c r="Z2560" i="12"/>
  <c r="Z1623" i="12"/>
  <c r="Z2398" i="12"/>
  <c r="Z2060" i="12"/>
  <c r="Z2452" i="12"/>
  <c r="Z2660" i="12"/>
  <c r="Z2628" i="12"/>
  <c r="Z2665" i="12"/>
  <c r="Z30" i="12"/>
  <c r="Z788" i="12"/>
  <c r="Z3445" i="12"/>
  <c r="Z1733" i="12"/>
  <c r="Z1757" i="12"/>
  <c r="Z512" i="12"/>
  <c r="Z439" i="12"/>
  <c r="Z821" i="12"/>
  <c r="Z417" i="12"/>
  <c r="Z2635" i="12"/>
  <c r="Z1046" i="12"/>
  <c r="Z3284" i="12"/>
  <c r="Z568" i="12"/>
  <c r="Z3024" i="12"/>
  <c r="Z771" i="12"/>
  <c r="Z3217" i="12"/>
  <c r="Z450" i="12"/>
  <c r="Z444" i="12"/>
  <c r="Z1615" i="12"/>
  <c r="Z2915" i="12"/>
  <c r="Z3017" i="12"/>
  <c r="Z1118" i="12"/>
  <c r="Z766" i="12"/>
  <c r="Z2545" i="12"/>
  <c r="Z3173" i="12"/>
  <c r="Z1400" i="12"/>
  <c r="Z1823" i="12"/>
  <c r="Z2087" i="12"/>
  <c r="Z1889" i="12"/>
  <c r="Z3488" i="12"/>
  <c r="Z3121" i="12"/>
  <c r="Z391" i="12"/>
  <c r="Z1190" i="12"/>
  <c r="Z2929" i="12"/>
  <c r="Z2287" i="12"/>
  <c r="Z528" i="12"/>
  <c r="Z3453" i="12"/>
  <c r="Z939" i="12"/>
  <c r="Z626" i="12"/>
  <c r="Z2515" i="12"/>
  <c r="Z2533" i="12"/>
  <c r="Z1764" i="12"/>
  <c r="Z1456" i="12"/>
  <c r="Z3330" i="12"/>
  <c r="Z2568" i="12"/>
  <c r="Z3326" i="12"/>
  <c r="Z668" i="12"/>
  <c r="Z107" i="12"/>
  <c r="Z3264" i="12"/>
  <c r="Z2153" i="12"/>
  <c r="Z2961" i="12"/>
  <c r="Z656" i="12"/>
  <c r="Z2751" i="12"/>
  <c r="Z1501" i="12"/>
  <c r="Z1131" i="12"/>
  <c r="Z1589" i="12"/>
  <c r="Z2827" i="12"/>
  <c r="Z2165" i="12"/>
  <c r="Z1983" i="12"/>
  <c r="Z2151" i="12"/>
  <c r="Z459" i="12"/>
  <c r="Z2061" i="12"/>
  <c r="Z987" i="12"/>
  <c r="Z2489" i="12"/>
  <c r="Z1743" i="12"/>
  <c r="Z1381" i="12"/>
  <c r="Z513" i="12"/>
  <c r="Z1031" i="12"/>
  <c r="Z792" i="12"/>
  <c r="Z3343" i="12"/>
  <c r="Z2366" i="12"/>
  <c r="Z591" i="12"/>
  <c r="Z525" i="12"/>
  <c r="Z1682" i="12"/>
  <c r="Z3363" i="12"/>
  <c r="Z1045" i="12"/>
  <c r="Z1647" i="12"/>
  <c r="Z2645" i="12"/>
  <c r="Z3404" i="12"/>
  <c r="Z717" i="12"/>
  <c r="Z3526" i="12"/>
  <c r="Z3134" i="12"/>
  <c r="Z3059" i="12"/>
  <c r="Z1323" i="12"/>
  <c r="Z342" i="12"/>
  <c r="Z2829" i="12"/>
  <c r="Z3182" i="12"/>
  <c r="Z3286" i="12"/>
  <c r="Z2745" i="12"/>
  <c r="Z542" i="12"/>
  <c r="Z1665" i="12"/>
  <c r="Z2579" i="12"/>
  <c r="Z2280" i="12"/>
  <c r="Z2351" i="12"/>
  <c r="Z2989" i="12"/>
  <c r="Z1794" i="12"/>
  <c r="Z767" i="12"/>
  <c r="Z402" i="12"/>
  <c r="Z3020" i="12"/>
  <c r="Z234" i="12"/>
  <c r="Z2815" i="12"/>
  <c r="Z1746" i="12"/>
  <c r="Z3376" i="12"/>
  <c r="Z510" i="12"/>
  <c r="Z968" i="12"/>
  <c r="Z2079" i="12"/>
  <c r="Z2807" i="12"/>
  <c r="Z1857" i="12"/>
  <c r="Z1524" i="12"/>
  <c r="Z47" i="12"/>
  <c r="Z264" i="12"/>
  <c r="Z3046" i="12"/>
  <c r="Z548" i="12"/>
  <c r="Z2089" i="12"/>
  <c r="Z2388" i="12"/>
  <c r="Z2905" i="12"/>
  <c r="Z2041" i="12"/>
  <c r="Z1574" i="12"/>
  <c r="Z126" i="12"/>
  <c r="Z1166" i="12"/>
  <c r="Z1491" i="12"/>
  <c r="Z2517" i="12"/>
  <c r="Z2002" i="12"/>
  <c r="Z3018" i="12"/>
  <c r="Z2152" i="12"/>
  <c r="Z3129" i="12"/>
  <c r="Z1915" i="12"/>
  <c r="Z266" i="12"/>
  <c r="Z571" i="12"/>
  <c r="Z1561" i="12"/>
  <c r="Z2260" i="12"/>
  <c r="Z1973" i="12"/>
  <c r="Z2123" i="12"/>
  <c r="Z883" i="12"/>
  <c r="Z1039" i="12"/>
  <c r="Z1755" i="12"/>
  <c r="Z1834" i="12"/>
  <c r="Z1545" i="12"/>
  <c r="Z3545" i="12"/>
  <c r="Z3083" i="12"/>
  <c r="Z3065" i="12"/>
  <c r="Z2125" i="12"/>
  <c r="Z689" i="12"/>
  <c r="Z443" i="12"/>
  <c r="Z2350" i="12"/>
  <c r="Z2911" i="12"/>
  <c r="Z1989" i="12"/>
  <c r="Z2737" i="12"/>
  <c r="Z88" i="12"/>
  <c r="Z545" i="12"/>
  <c r="Z414" i="12"/>
  <c r="Z686" i="12"/>
  <c r="Z938" i="12"/>
  <c r="Z2453" i="12"/>
  <c r="Z2950" i="12"/>
  <c r="Z922" i="12"/>
  <c r="Z632" i="12"/>
  <c r="Z1659" i="12"/>
  <c r="Z2145" i="12"/>
  <c r="Z1147" i="12"/>
  <c r="Z3280" i="12"/>
  <c r="Z692" i="12"/>
  <c r="Z948" i="12"/>
  <c r="Z892" i="12"/>
  <c r="Z1429" i="12"/>
  <c r="Z3148" i="12"/>
  <c r="Z1859" i="12"/>
  <c r="Z2679" i="12"/>
  <c r="Z2766" i="12"/>
  <c r="Z3472" i="12"/>
  <c r="Z776" i="12"/>
  <c r="Z1229" i="12"/>
  <c r="Z1284" i="12"/>
  <c r="Z2845" i="12"/>
  <c r="Z494" i="12"/>
  <c r="Z358" i="12"/>
  <c r="Z1784" i="12"/>
  <c r="Z2476" i="12"/>
  <c r="Z1996" i="12"/>
  <c r="Z2311" i="12"/>
  <c r="Z2866" i="12"/>
  <c r="Z2582" i="12"/>
  <c r="Z3464" i="12"/>
  <c r="Z1097" i="12"/>
  <c r="Z511" i="12"/>
  <c r="Z132" i="12"/>
  <c r="Z899" i="12"/>
  <c r="Z1506" i="12"/>
  <c r="Z1077" i="12"/>
  <c r="Z1162" i="12"/>
  <c r="Z2875" i="12"/>
  <c r="Z543" i="12"/>
  <c r="Z607" i="12"/>
  <c r="Z3419" i="12"/>
  <c r="Z3198" i="12"/>
  <c r="Z605" i="12"/>
  <c r="Z2418" i="12"/>
  <c r="Z2362" i="12"/>
  <c r="Z1186" i="12"/>
  <c r="Z268" i="12"/>
  <c r="Z2368" i="12"/>
  <c r="Z2124" i="12"/>
  <c r="Z2571" i="12"/>
  <c r="Z3054" i="12"/>
  <c r="Z476" i="12"/>
  <c r="Z1997" i="12"/>
  <c r="Z1870" i="12"/>
  <c r="Z227" i="12"/>
  <c r="Z2604" i="12"/>
  <c r="Z3335" i="12"/>
  <c r="Z2030" i="12"/>
  <c r="Z2580" i="12"/>
  <c r="Z2437" i="12"/>
  <c r="Z3050" i="12"/>
  <c r="Z917" i="12"/>
  <c r="Z3098" i="12"/>
  <c r="Z2247" i="12"/>
  <c r="Z1497" i="12"/>
  <c r="Z1928" i="12"/>
  <c r="Z1292" i="12"/>
  <c r="Z493" i="12"/>
  <c r="Z2138" i="12"/>
  <c r="Z3144" i="12"/>
  <c r="Z3047" i="12"/>
  <c r="Z1138" i="12"/>
  <c r="Z2943" i="12"/>
  <c r="Z2293" i="12"/>
  <c r="Z1748" i="12"/>
  <c r="Z261" i="12"/>
  <c r="Z1056" i="12"/>
  <c r="Z3437" i="12"/>
  <c r="Z1745" i="12"/>
  <c r="Z2592" i="12"/>
  <c r="Z127" i="12"/>
  <c r="Z2410" i="12"/>
  <c r="Z947" i="12"/>
  <c r="Z176" i="12"/>
  <c r="Z1382" i="12"/>
  <c r="Z1835" i="12"/>
  <c r="Z1255" i="12"/>
  <c r="Z2359" i="12"/>
  <c r="Z1909" i="12"/>
  <c r="Z1625" i="12"/>
  <c r="Z3063" i="12"/>
  <c r="Z2006" i="12"/>
  <c r="Z1066" i="12"/>
  <c r="Z2379" i="12"/>
  <c r="Z116" i="12"/>
  <c r="Z2631" i="12"/>
  <c r="Z382" i="12"/>
  <c r="Z1740" i="12"/>
  <c r="Z1426" i="12"/>
  <c r="Z3546" i="12"/>
  <c r="Z781" i="12"/>
  <c r="Z705" i="12"/>
  <c r="Z3340" i="12"/>
  <c r="Z971" i="12"/>
  <c r="Z2891" i="12"/>
  <c r="Z1247" i="12"/>
  <c r="Z2248" i="12"/>
  <c r="Z785" i="12"/>
  <c r="Z3027" i="12"/>
  <c r="Z1869" i="12"/>
  <c r="Z449" i="12"/>
  <c r="Z2527" i="12"/>
  <c r="Z3071" i="12"/>
  <c r="Z3422" i="12"/>
  <c r="Z361" i="12"/>
  <c r="Z2069" i="12"/>
  <c r="Z644" i="12"/>
  <c r="Z2673" i="12"/>
  <c r="Z191" i="12"/>
  <c r="Z156" i="12"/>
  <c r="Z2557" i="12"/>
  <c r="Z2808" i="12"/>
  <c r="Z2693" i="12"/>
  <c r="Z931" i="12"/>
  <c r="Z908" i="12"/>
  <c r="Z1121" i="12"/>
  <c r="Z610" i="12"/>
  <c r="Z93" i="12"/>
  <c r="Z756" i="12"/>
  <c r="Z103" i="12"/>
  <c r="Z979" i="12"/>
  <c r="Z2341" i="12"/>
  <c r="Z691" i="12"/>
  <c r="Z160" i="12"/>
  <c r="Z1050" i="12"/>
  <c r="Z2956" i="12"/>
  <c r="Z546" i="12"/>
  <c r="Z574" i="12"/>
  <c r="Z504" i="12"/>
  <c r="Z1168" i="12"/>
  <c r="Z1718" i="12"/>
  <c r="Z3252" i="12"/>
  <c r="Z714" i="12"/>
  <c r="Z2014" i="12"/>
  <c r="Z1327" i="12"/>
  <c r="Z325" i="12"/>
  <c r="Z862" i="12"/>
  <c r="Z748" i="12"/>
  <c r="Z167" i="12"/>
  <c r="Z1505" i="12"/>
  <c r="Z509" i="12"/>
  <c r="Z2949" i="12"/>
  <c r="Z229" i="12"/>
  <c r="Z3329" i="12"/>
  <c r="Z1442" i="12"/>
  <c r="Z1151" i="12"/>
  <c r="Z21" i="12"/>
  <c r="Z579" i="12"/>
  <c r="Z2309" i="12"/>
  <c r="Z505" i="12"/>
  <c r="Z957" i="12"/>
  <c r="Z1301" i="12"/>
  <c r="Z1192" i="12"/>
  <c r="Z2703" i="12"/>
  <c r="Z666" i="12"/>
  <c r="Z2644" i="12"/>
  <c r="Z1472" i="12"/>
  <c r="Z1266" i="12"/>
  <c r="Z2518" i="12"/>
  <c r="Z1083" i="12"/>
  <c r="Z3400" i="12"/>
  <c r="Z639" i="12"/>
  <c r="Z1227" i="12"/>
  <c r="Z201" i="12"/>
  <c r="Z2102" i="12"/>
  <c r="Z723" i="12"/>
  <c r="Z2040" i="12"/>
  <c r="Z2408" i="12"/>
  <c r="Z2908" i="12"/>
  <c r="Z930" i="12"/>
  <c r="Z2426" i="12"/>
  <c r="Z1986" i="12"/>
  <c r="Z761" i="12"/>
  <c r="Z2609" i="12"/>
  <c r="Z2104" i="12"/>
  <c r="Z1645" i="12"/>
  <c r="Z1876" i="12"/>
  <c r="Z1451" i="12"/>
  <c r="Z273" i="12"/>
  <c r="Z2680" i="12"/>
  <c r="Z620" i="12"/>
  <c r="Z1568" i="12"/>
  <c r="Z3525" i="12"/>
  <c r="Z1347" i="12"/>
  <c r="Z2127" i="12"/>
  <c r="Z3344" i="12"/>
  <c r="Z2877" i="12"/>
  <c r="Z2315" i="12"/>
  <c r="Z2781" i="12"/>
  <c r="Z2456" i="12"/>
  <c r="Z2573" i="12"/>
  <c r="Z1749" i="12"/>
  <c r="Z1161" i="12"/>
  <c r="Z806" i="12"/>
  <c r="Z764" i="12"/>
  <c r="Z1341" i="12"/>
  <c r="Z2458" i="12"/>
  <c r="Z2551" i="12"/>
  <c r="Z2500" i="12"/>
  <c r="Z1160" i="12"/>
  <c r="Z85" i="12"/>
  <c r="Z2676" i="12"/>
  <c r="Z897" i="12"/>
  <c r="Z1694" i="12"/>
  <c r="Z1697" i="12"/>
  <c r="Z3127" i="12"/>
  <c r="Z1843" i="12"/>
  <c r="Z2168" i="12"/>
  <c r="Z1686" i="12"/>
  <c r="Z3358" i="12"/>
  <c r="Z1840" i="12"/>
  <c r="Z2257" i="12"/>
  <c r="Z1357" i="12"/>
  <c r="Z2027" i="12"/>
  <c r="Z1957" i="12"/>
  <c r="Z3012" i="12"/>
  <c r="Z1109" i="12"/>
  <c r="Z873" i="12"/>
  <c r="Z1849" i="12"/>
  <c r="Z2589" i="12"/>
  <c r="Z142" i="12"/>
  <c r="Z2019" i="12"/>
  <c r="Z2986" i="12"/>
  <c r="Z995" i="12"/>
  <c r="Z1789" i="12"/>
  <c r="Z1152" i="12"/>
  <c r="Z1459" i="12"/>
  <c r="Z1936" i="12"/>
  <c r="Z1164" i="12"/>
  <c r="Z572" i="12"/>
  <c r="Z3191" i="12"/>
  <c r="Z2759" i="12"/>
  <c r="Z2302" i="12"/>
  <c r="Z1474" i="12"/>
  <c r="Z3176" i="12"/>
  <c r="Z1110" i="12"/>
  <c r="Z1920" i="12"/>
  <c r="Z1514" i="12"/>
  <c r="Z1144" i="12"/>
  <c r="Z2575" i="12"/>
  <c r="Z2192" i="12"/>
  <c r="Z1408" i="12"/>
  <c r="Z3004" i="12"/>
  <c r="Z2428" i="12"/>
  <c r="Z3278" i="12"/>
  <c r="Z434" i="12"/>
  <c r="Z2119" i="12"/>
  <c r="Z400" i="12"/>
  <c r="Z3242" i="12"/>
  <c r="Z1616" i="12"/>
  <c r="Z3407" i="12"/>
  <c r="Z2572" i="12"/>
  <c r="Z1742" i="12"/>
  <c r="Z3187" i="12"/>
  <c r="Z722" i="12"/>
  <c r="Z395" i="12"/>
  <c r="Z1011" i="12"/>
  <c r="Z1721" i="12"/>
  <c r="Z2530" i="12"/>
  <c r="Z2842" i="12"/>
  <c r="Z2510" i="12"/>
  <c r="Z800" i="12"/>
  <c r="Z1170" i="12"/>
  <c r="Z310" i="12"/>
  <c r="Z1654" i="12"/>
  <c r="Z2215" i="12"/>
  <c r="Z3025" i="12"/>
  <c r="Z3332" i="12"/>
  <c r="Z2317" i="12"/>
  <c r="Z3089" i="12"/>
  <c r="Z1602" i="12"/>
  <c r="Z2346" i="12"/>
  <c r="Z537" i="12"/>
  <c r="Z934" i="12"/>
  <c r="Z486" i="12"/>
  <c r="Z3393" i="12"/>
  <c r="Z2142" i="12"/>
  <c r="Z1269" i="12"/>
  <c r="Z1199" i="12"/>
  <c r="Z2566" i="12"/>
  <c r="Z1089" i="12"/>
  <c r="Z169" i="12"/>
  <c r="Z1627" i="12"/>
  <c r="Z3035" i="12"/>
  <c r="Z1174" i="12"/>
  <c r="Z1897" i="12"/>
  <c r="Z2971" i="12"/>
  <c r="Z399" i="12"/>
  <c r="Z932" i="12"/>
  <c r="Z2544" i="12"/>
  <c r="Z2290" i="12"/>
  <c r="Z2204" i="12"/>
  <c r="Z2894" i="12"/>
  <c r="Z1847" i="12"/>
  <c r="Z335" i="12"/>
  <c r="Z197" i="12"/>
  <c r="Z2809" i="12"/>
  <c r="Z1287" i="12"/>
  <c r="Z1290" i="12"/>
  <c r="Z1783" i="12"/>
  <c r="Z986" i="12"/>
  <c r="Z1681" i="12"/>
  <c r="Z2883" i="12"/>
  <c r="Z1719" i="12"/>
  <c r="Z1037" i="12"/>
  <c r="Z2930" i="12"/>
  <c r="Z1905" i="12"/>
  <c r="Z715" i="12"/>
  <c r="Z2978" i="12"/>
  <c r="Z1965" i="12"/>
  <c r="Z1411" i="12"/>
  <c r="Z732" i="12"/>
  <c r="Z3243" i="12"/>
  <c r="Z3181" i="12"/>
  <c r="Z2838" i="12"/>
  <c r="Z530" i="12"/>
  <c r="Z2166" i="12"/>
  <c r="Z1430" i="12"/>
  <c r="Z2509" i="12"/>
  <c r="Z3428" i="12"/>
  <c r="Z755" i="12"/>
  <c r="Z3478" i="12"/>
  <c r="Z645" i="12"/>
  <c r="Z581" i="12"/>
  <c r="Z1603" i="12"/>
  <c r="Z144" i="12"/>
  <c r="Z1427" i="12"/>
  <c r="Z2958" i="12"/>
  <c r="Z1163" i="12"/>
  <c r="Z2161" i="12"/>
  <c r="Z1944" i="12"/>
  <c r="Z2814" i="12"/>
  <c r="Z1760" i="12"/>
  <c r="Z2598" i="12"/>
  <c r="Z2236" i="12"/>
  <c r="Z1826" i="12"/>
  <c r="Z3244" i="12"/>
  <c r="Z3301" i="12"/>
  <c r="Z2216" i="12"/>
  <c r="Z1805" i="12"/>
  <c r="Z2742" i="12"/>
  <c r="Z354" i="12"/>
  <c r="Z1708" i="12"/>
  <c r="Z2282" i="12"/>
  <c r="Z1771" i="12"/>
  <c r="Z2004" i="12"/>
  <c r="Z2909" i="12"/>
  <c r="Z2414" i="12"/>
  <c r="Z838" i="12"/>
  <c r="Z1768" i="12"/>
  <c r="Z3463" i="12"/>
  <c r="Z2890" i="12"/>
  <c r="Z2991" i="12"/>
  <c r="Z250" i="12"/>
  <c r="Z431" i="12"/>
  <c r="Z1786" i="12"/>
  <c r="Z376" i="12"/>
  <c r="Z3426" i="12"/>
  <c r="Z1890" i="12"/>
  <c r="Z1537" i="12"/>
  <c r="Z2663" i="12"/>
  <c r="Z1338" i="12"/>
  <c r="Z3489" i="12"/>
  <c r="Z699" i="12"/>
  <c r="Z2906" i="12"/>
  <c r="Z835" i="12"/>
  <c r="Z3533" i="12"/>
  <c r="Z3391" i="12"/>
  <c r="Z1320" i="12"/>
  <c r="Z1051" i="12"/>
  <c r="Z458" i="12"/>
  <c r="Z1985" i="12"/>
  <c r="Z1801" i="12"/>
  <c r="Z1273" i="12"/>
  <c r="Z1559" i="12"/>
  <c r="Z3382" i="12"/>
  <c r="Z2294" i="12"/>
  <c r="Z2307" i="12"/>
  <c r="Z1650" i="12"/>
  <c r="Z2269" i="12"/>
  <c r="Z3093" i="12"/>
  <c r="Z2253" i="12"/>
  <c r="Z1383" i="12"/>
  <c r="Z1610" i="12"/>
  <c r="Z3536" i="12"/>
  <c r="Z216" i="12"/>
  <c r="Z1926" i="12"/>
  <c r="Z3023" i="12"/>
  <c r="Z1978" i="12"/>
  <c r="Z2442" i="12"/>
  <c r="Z338" i="12"/>
  <c r="Z1816" i="12"/>
  <c r="Z735" i="12"/>
  <c r="Z419" i="12"/>
  <c r="Z3268" i="12"/>
  <c r="Z1820" i="12"/>
  <c r="Z2783" i="12"/>
  <c r="Z1211" i="12"/>
  <c r="Z1803" i="12"/>
  <c r="Z1117" i="12"/>
  <c r="Z2435" i="12"/>
  <c r="Z1569" i="12"/>
  <c r="Z495" i="12"/>
  <c r="Z1212" i="12"/>
  <c r="Z1693" i="12"/>
  <c r="Z3483" i="12"/>
  <c r="Z2219" i="12"/>
  <c r="Z3231" i="12"/>
  <c r="Z3502" i="12"/>
  <c r="Z2171" i="12"/>
  <c r="Z3154" i="12"/>
  <c r="Z2063" i="12"/>
  <c r="Z2790" i="12"/>
  <c r="Z2261" i="12"/>
  <c r="Z675" i="12"/>
  <c r="Z2513" i="12"/>
  <c r="Z1446" i="12"/>
  <c r="Z3347" i="12"/>
  <c r="Z1818" i="12"/>
  <c r="Z1618" i="12"/>
  <c r="Z1838" i="12"/>
  <c r="Z2170" i="12"/>
  <c r="Z2467" i="12"/>
  <c r="Z2954" i="12"/>
  <c r="Z462" i="12"/>
  <c r="Z1374" i="12"/>
  <c r="Z1720" i="12"/>
  <c r="Z867" i="12"/>
  <c r="Z1246" i="12"/>
  <c r="Z3549" i="12"/>
  <c r="Z1671" i="12"/>
  <c r="Z1948" i="12"/>
  <c r="Z733" i="12"/>
  <c r="Z1923" i="12"/>
  <c r="Z1967" i="12"/>
  <c r="Z3192" i="12"/>
  <c r="Z2486" i="12"/>
  <c r="Z1866" i="12"/>
  <c r="Z2298" i="12"/>
  <c r="Z242" i="12"/>
  <c r="Z207" i="12"/>
  <c r="Z1546" i="12"/>
  <c r="Z1567" i="12"/>
  <c r="Z2050" i="12"/>
  <c r="Z286" i="12"/>
  <c r="Z499" i="12"/>
  <c r="Z2392" i="12"/>
  <c r="Z2331" i="12"/>
  <c r="Z2055" i="12"/>
  <c r="Z3150" i="12"/>
  <c r="Z1580" i="12"/>
  <c r="Z209" i="12"/>
  <c r="Z1713" i="12"/>
  <c r="Z731" i="12"/>
  <c r="Z1140" i="12"/>
  <c r="Z3203" i="12"/>
  <c r="Z433" i="12"/>
  <c r="Z1105" i="12"/>
  <c r="Z798" i="12"/>
  <c r="Z1562" i="12"/>
  <c r="Z858" i="12"/>
  <c r="Z2858" i="12"/>
  <c r="Z1730" i="12"/>
  <c r="Z2976" i="12"/>
  <c r="Z1668" i="12"/>
  <c r="Z522" i="12"/>
  <c r="Z373" i="12"/>
  <c r="Z2523" i="12"/>
  <c r="Z379" i="12"/>
  <c r="Z2256" i="12"/>
  <c r="Z2714" i="12"/>
  <c r="Z1577" i="12"/>
  <c r="Z1428" i="12"/>
  <c r="Z3524" i="12"/>
  <c r="Z3072" i="12"/>
  <c r="Z2258" i="12"/>
  <c r="Z944" i="12"/>
  <c r="Z3495" i="12"/>
  <c r="Z2873" i="12"/>
  <c r="Z1248" i="12"/>
  <c r="Z2559" i="12"/>
  <c r="Z524" i="12"/>
  <c r="Z2358" i="12"/>
  <c r="Z3307" i="12"/>
  <c r="Z2233" i="12"/>
  <c r="Z2492" i="12"/>
  <c r="Z1242" i="12"/>
  <c r="Z3207" i="12"/>
  <c r="Z612" i="12"/>
  <c r="Z913" i="12"/>
  <c r="Z62" i="12"/>
  <c r="Z369" i="12"/>
  <c r="Z1728" i="12"/>
  <c r="Z1197" i="12"/>
  <c r="Z385" i="12"/>
  <c r="Z1779" i="12"/>
  <c r="Z2466" i="12"/>
  <c r="Z1547" i="12"/>
  <c r="Z879" i="12"/>
  <c r="Z48" i="12"/>
  <c r="Z2223" i="12"/>
  <c r="Z2972" i="12"/>
  <c r="Z2376" i="12"/>
  <c r="Z1128" i="12"/>
  <c r="Z2054" i="12"/>
  <c r="Z2244" i="12"/>
  <c r="Z2588" i="12"/>
  <c r="Z1872" i="12"/>
  <c r="Z1488" i="12"/>
  <c r="Z878" i="12"/>
  <c r="Z1216" i="12"/>
  <c r="Z763" i="12"/>
  <c r="Z1240" i="12"/>
  <c r="Z2850" i="12"/>
  <c r="Z2323" i="12"/>
  <c r="Z1423" i="12"/>
  <c r="Z1638" i="12"/>
  <c r="Z2295" i="12"/>
  <c r="Z1238" i="12"/>
  <c r="Z316" i="12"/>
  <c r="Z2962" i="12"/>
  <c r="Z918" i="12"/>
  <c r="Z1271" i="12"/>
  <c r="Z2752" i="12"/>
  <c r="Z481" i="12"/>
  <c r="Z3061" i="12"/>
  <c r="Z3496" i="12"/>
  <c r="Z1875" i="12"/>
  <c r="Z1931" i="12"/>
  <c r="Z1335" i="12"/>
  <c r="Z2627" i="12"/>
  <c r="Z898" i="12"/>
  <c r="Z3163" i="12"/>
  <c r="Z1070" i="12"/>
  <c r="Z2787" i="12"/>
  <c r="Z2235" i="12"/>
  <c r="Z1250" i="12"/>
  <c r="Z2025" i="12"/>
  <c r="Z514" i="12"/>
  <c r="Z479" i="12"/>
  <c r="Z2674" i="12"/>
  <c r="Z2048" i="12"/>
  <c r="Z1402" i="12"/>
  <c r="Z2330" i="12"/>
  <c r="Z653" i="12"/>
  <c r="Z2804" i="12"/>
  <c r="Z2900" i="12"/>
  <c r="Z3201" i="12"/>
  <c r="Z1544" i="12"/>
  <c r="Z3416" i="12"/>
  <c r="Z1999" i="12"/>
  <c r="Z631" i="12"/>
  <c r="Z847" i="12"/>
  <c r="Z343" i="12"/>
  <c r="Z1726" i="12"/>
  <c r="Z822" i="12"/>
  <c r="Z2066" i="12"/>
  <c r="Z1608" i="12"/>
  <c r="Z2405" i="12"/>
  <c r="Z992" i="12"/>
  <c r="Z1181" i="12"/>
  <c r="Z1195" i="12"/>
  <c r="Z1179" i="12"/>
  <c r="Z2078" i="12"/>
  <c r="Z1496" i="12"/>
  <c r="Z206" i="12"/>
  <c r="Z2411" i="12"/>
  <c r="Z162" i="12"/>
  <c r="Z1088" i="12"/>
  <c r="Z1853" i="12"/>
  <c r="Z1409" i="12"/>
  <c r="Z1538" i="12"/>
  <c r="Z260" i="12"/>
  <c r="Z2981" i="12"/>
  <c r="Z520" i="12"/>
  <c r="Z2720" i="12"/>
  <c r="Z1856" i="12"/>
  <c r="Z758" i="12"/>
  <c r="Z3324" i="12"/>
  <c r="Z629" i="12"/>
  <c r="Z1454" i="12"/>
  <c r="Z526" i="12"/>
  <c r="Z3424" i="12"/>
  <c r="Z2035" i="12"/>
  <c r="Z857" i="12"/>
  <c r="Z3246" i="12"/>
  <c r="Z1943" i="12"/>
  <c r="Z247" i="12"/>
  <c r="Z2835" i="12"/>
  <c r="Z2749" i="12"/>
  <c r="Z3371" i="12"/>
  <c r="Z2324" i="12"/>
  <c r="Z2937" i="12"/>
  <c r="Z1649" i="12"/>
  <c r="Z3427" i="12"/>
  <c r="Z86" i="12"/>
  <c r="Z2397" i="12"/>
  <c r="Z1150" i="12"/>
  <c r="Z45" i="12"/>
  <c r="Z2594" i="12"/>
  <c r="Z2502" i="12"/>
  <c r="Z1245" i="12"/>
  <c r="Z1855" i="12"/>
  <c r="Z1120" i="12"/>
  <c r="Z164" i="12"/>
  <c r="Z3452" i="12"/>
  <c r="Z1798" i="12"/>
  <c r="Z667" i="12"/>
  <c r="Z345" i="12"/>
  <c r="Z3507" i="12"/>
  <c r="Z3354" i="12"/>
  <c r="Z1267" i="12"/>
  <c r="Z1969" i="12"/>
  <c r="Z1397" i="12"/>
  <c r="Z2516" i="12"/>
  <c r="Z876" i="12"/>
  <c r="Z2420" i="12"/>
  <c r="Z1249" i="12"/>
  <c r="Z659" i="12"/>
  <c r="Z1202" i="12"/>
  <c r="Z3350" i="12"/>
  <c r="Z2688" i="12"/>
  <c r="Z212" i="12"/>
  <c r="Z829" i="12"/>
  <c r="Z3477" i="12"/>
  <c r="Z1942" i="12"/>
  <c r="Z2664" i="12"/>
  <c r="Z3031" i="12"/>
  <c r="Z2028" i="12"/>
  <c r="Z2669" i="12"/>
  <c r="Z923" i="12"/>
  <c r="Z253" i="12"/>
  <c r="Z3455" i="12"/>
  <c r="Z2990" i="12"/>
  <c r="Z1253" i="12"/>
  <c r="Z2519" i="12"/>
  <c r="Z113" i="12"/>
  <c r="Z489" i="12"/>
  <c r="Z3468" i="12"/>
  <c r="Z43" i="12"/>
  <c r="Z1696" i="12"/>
  <c r="Z2117" i="12"/>
  <c r="Z3310" i="12"/>
  <c r="Z3493" i="12"/>
  <c r="Z1022" i="12"/>
  <c r="Z211" i="12"/>
  <c r="Z1312" i="12"/>
  <c r="Z71" i="12"/>
  <c r="Z2491" i="12"/>
  <c r="Z1949" i="12"/>
  <c r="Z1326" i="12"/>
  <c r="Z617" i="12"/>
  <c r="Z2671" i="12"/>
  <c r="Z3009" i="12"/>
  <c r="Z3420" i="12"/>
  <c r="Z2928" i="12"/>
  <c r="Z2793" i="12"/>
  <c r="Z1030" i="12"/>
  <c r="Z2998" i="12"/>
  <c r="Z3317" i="12"/>
  <c r="Z909" i="12"/>
  <c r="Z2494" i="12"/>
  <c r="Z2512" i="12"/>
  <c r="Z1065" i="12"/>
  <c r="Z3276" i="12"/>
  <c r="Z454" i="12"/>
  <c r="Z1422" i="12"/>
  <c r="Z413" i="12"/>
  <c r="Z2985" i="12"/>
  <c r="Z2859" i="12"/>
  <c r="Z2846" i="12"/>
  <c r="Z3273" i="12"/>
  <c r="Z3466" i="12"/>
  <c r="Z2642" i="12"/>
  <c r="Z1471" i="12"/>
  <c r="Z1159" i="12"/>
  <c r="Z1396" i="12"/>
  <c r="Z1979" i="12"/>
  <c r="Z3528" i="12"/>
  <c r="Z1976" i="12"/>
  <c r="Z1300" i="12"/>
  <c r="Z1974" i="12"/>
  <c r="Z2338" i="12"/>
  <c r="Z3171" i="12"/>
  <c r="Z1154" i="12"/>
  <c r="Z2272" i="12"/>
  <c r="Z2217" i="12"/>
  <c r="Z2746" i="12"/>
  <c r="Z2655" i="12"/>
  <c r="Z33" i="12"/>
  <c r="Z1406" i="12"/>
  <c r="Z1597" i="12"/>
  <c r="Z1344" i="12"/>
  <c r="Z2600" i="12"/>
  <c r="Z1712" i="12"/>
  <c r="Z1714" i="12"/>
  <c r="Z1417" i="12"/>
  <c r="Z2702" i="12"/>
  <c r="Z2529" i="12"/>
  <c r="Z1167" i="12"/>
  <c r="Z935" i="12"/>
  <c r="Z700" i="12"/>
  <c r="Z1727" i="12"/>
  <c r="Z1358" i="12"/>
  <c r="Z791" i="12"/>
  <c r="Z2879" i="12"/>
  <c r="Z1921" i="12"/>
  <c r="Z597" i="12"/>
  <c r="Z1072" i="12"/>
  <c r="Z2133" i="12"/>
  <c r="Z3170" i="12"/>
  <c r="Z2778" i="12"/>
  <c r="Z1371" i="12"/>
  <c r="Z166" i="12"/>
  <c r="Z470" i="12"/>
  <c r="Z2739" i="12"/>
  <c r="Z3174" i="12"/>
  <c r="Z3433" i="12"/>
  <c r="Z3212" i="12"/>
  <c r="Z1864" i="12"/>
  <c r="Z1521" i="12"/>
  <c r="Z1777" i="12"/>
  <c r="Z624" i="12"/>
  <c r="Z1492" i="12"/>
  <c r="Z1494" i="12"/>
  <c r="Z2586" i="12"/>
  <c r="Z712" i="12"/>
  <c r="Z371" i="12"/>
  <c r="Z285" i="12"/>
  <c r="Z1436" i="12"/>
  <c r="Z536" i="12"/>
  <c r="Z768" i="12"/>
  <c r="Z411" i="12"/>
  <c r="Z1511" i="12"/>
  <c r="Z3461" i="12"/>
  <c r="Z554" i="12"/>
  <c r="Z3385" i="12"/>
  <c r="Z1844" i="12"/>
  <c r="Z1398" i="12"/>
  <c r="Z170" i="12"/>
  <c r="Z3457" i="12"/>
  <c r="Z2064" i="12"/>
  <c r="Z3418" i="12"/>
  <c r="Z2395" i="12"/>
  <c r="Z3042" i="12"/>
  <c r="Z3299" i="12"/>
  <c r="Z1791" i="12"/>
  <c r="Z955" i="12"/>
  <c r="Z2689" i="12"/>
  <c r="Z2895" i="12"/>
  <c r="Z3186" i="12"/>
  <c r="Z2587" i="12"/>
  <c r="Z573" i="12"/>
  <c r="Z76" i="12"/>
  <c r="Z1582" i="12"/>
  <c r="Z2826" i="12"/>
  <c r="Z1626" i="12"/>
  <c r="Z2885" i="12"/>
  <c r="Z2865" i="12"/>
  <c r="Z1669" i="12"/>
  <c r="Z937" i="12"/>
  <c r="Z3108" i="12"/>
  <c r="Z482" i="12"/>
  <c r="Z1403" i="12"/>
  <c r="Z3254" i="12"/>
  <c r="Z1384" i="12"/>
  <c r="Z1704" i="12"/>
  <c r="Z1019" i="12"/>
  <c r="Z3112" i="12"/>
  <c r="Z1961" i="12"/>
  <c r="Z440" i="12"/>
  <c r="Z1593" i="12"/>
  <c r="Z2933" i="12"/>
  <c r="Z2918" i="12"/>
  <c r="Z221" i="12"/>
  <c r="Z1006" i="12"/>
  <c r="Z959" i="12"/>
  <c r="Z2718" i="12"/>
  <c r="Z2473" i="12"/>
  <c r="Z3417" i="12"/>
  <c r="Z2534" i="12"/>
  <c r="Z1945" i="12"/>
  <c r="Z3157" i="12"/>
  <c r="Z386" i="12"/>
  <c r="Z317" i="12"/>
  <c r="Z397" i="12"/>
  <c r="Z2433" i="12"/>
  <c r="Z2916" i="12"/>
  <c r="Z2369" i="12"/>
  <c r="Z1540" i="12"/>
  <c r="Z1419" i="12"/>
  <c r="Z690" i="12"/>
  <c r="Z1881" i="12"/>
  <c r="Z740" i="12"/>
  <c r="Z477" i="12"/>
  <c r="Z1275" i="12"/>
  <c r="Z337" i="12"/>
  <c r="Z1486" i="12"/>
  <c r="Z921" i="12"/>
  <c r="Z1001" i="12"/>
  <c r="Z2797" i="12"/>
  <c r="Z2212" i="12"/>
  <c r="Z753" i="12"/>
  <c r="Z1555" i="12"/>
  <c r="Z1778" i="12"/>
  <c r="Z2925" i="12"/>
  <c r="Z2259" i="12"/>
  <c r="Z2042" i="12"/>
  <c r="Z2927" i="12"/>
  <c r="Z2454" i="12"/>
  <c r="Z2770" i="12"/>
  <c r="Z424" i="12"/>
  <c r="Z1824" i="12"/>
  <c r="Z1395" i="12"/>
  <c r="Z2650" i="12"/>
  <c r="Z2786" i="12"/>
  <c r="Z585" i="12"/>
  <c r="Z91" i="12"/>
  <c r="Z2183" i="12"/>
  <c r="Z2254" i="12"/>
  <c r="Z1315" i="12"/>
  <c r="Z1533" i="12"/>
  <c r="Z578" i="12"/>
  <c r="Z1156" i="12"/>
  <c r="Z2037" i="12"/>
  <c r="Z3158" i="12"/>
  <c r="Z853" i="12"/>
  <c r="Z67" i="12"/>
  <c r="Z1619" i="12"/>
  <c r="Z3380" i="12"/>
  <c r="Z2938" i="12"/>
  <c r="Z1475" i="12"/>
  <c r="Z2372" i="12"/>
  <c r="Z1832" i="12"/>
  <c r="Z2375" i="12"/>
  <c r="Z3384" i="12"/>
  <c r="Z2164" i="12"/>
  <c r="Z2243" i="12"/>
  <c r="Z312" i="12"/>
  <c r="Z3476" i="12"/>
  <c r="Z3518" i="12"/>
  <c r="Z2130" i="12"/>
  <c r="Z2569" i="12"/>
  <c r="Z3397" i="12"/>
  <c r="Z1388" i="12"/>
  <c r="Z2784" i="12"/>
  <c r="Z2353" i="12"/>
  <c r="Z787" i="12"/>
  <c r="Z3255" i="12"/>
  <c r="Z2634" i="12"/>
  <c r="Z2251" i="12"/>
  <c r="Z315" i="12"/>
  <c r="Z263" i="12"/>
  <c r="Z374" i="12"/>
  <c r="Z555" i="12"/>
  <c r="Z1137" i="12"/>
  <c r="Z672" i="12"/>
  <c r="Z3290" i="12"/>
  <c r="Z2107" i="12"/>
  <c r="Z1055" i="12"/>
  <c r="Z3279" i="12"/>
  <c r="Z2831" i="12"/>
  <c r="Z2326" i="12"/>
  <c r="Z696" i="12"/>
  <c r="Z963" i="12"/>
  <c r="Z3375" i="12"/>
  <c r="Z3539" i="12"/>
  <c r="Z2271" i="12"/>
  <c r="Z1858" i="12"/>
  <c r="Z305" i="12"/>
  <c r="Z2361" i="12"/>
  <c r="Z2612" i="12"/>
  <c r="Z1048" i="12"/>
  <c r="Z2614" i="12"/>
  <c r="Z730" i="12"/>
  <c r="Z2944" i="12"/>
  <c r="Z1953" i="12"/>
  <c r="Z549" i="12"/>
  <c r="Z849" i="12"/>
  <c r="Z2321" i="12"/>
  <c r="Z195" i="12"/>
  <c r="Z333" i="12"/>
  <c r="Z2924" i="12"/>
  <c r="Z1735" i="12"/>
  <c r="Z1139" i="12"/>
  <c r="Z2531" i="12"/>
  <c r="Z1449" i="12"/>
  <c r="Z3107" i="12"/>
  <c r="Z933" i="12"/>
  <c r="Z1136" i="12"/>
  <c r="Z1432" i="12"/>
  <c r="Z1766" i="12"/>
  <c r="Z69" i="12"/>
  <c r="Z1413" i="12"/>
  <c r="Z985" i="12"/>
  <c r="Z2210" i="12"/>
  <c r="Z625" i="12"/>
  <c r="Z3045" i="12"/>
  <c r="Z812" i="12"/>
  <c r="Z2780" i="12"/>
  <c r="Z1420" i="12"/>
  <c r="Z3249" i="12"/>
  <c r="Z688" i="12"/>
  <c r="Z177" i="12"/>
  <c r="Z1887" i="12"/>
  <c r="Z304" i="12"/>
  <c r="Z2953" i="12"/>
  <c r="Z501" i="12"/>
  <c r="Z3007" i="12"/>
  <c r="Z3043" i="12"/>
  <c r="Z2333" i="12"/>
  <c r="Z2854" i="12"/>
  <c r="Z1468" i="12"/>
  <c r="Z2286" i="12"/>
  <c r="Z2012" i="12"/>
  <c r="Z2406" i="12"/>
  <c r="Z1067" i="12"/>
  <c r="Z2274" i="12"/>
  <c r="D28" i="6"/>
  <c r="D27" i="6"/>
  <c r="J12" i="12"/>
  <c r="G12" i="12"/>
  <c r="K7" i="12"/>
  <c r="J7" i="12"/>
  <c r="H7" i="12"/>
  <c r="G7" i="12"/>
  <c r="K5" i="12"/>
  <c r="J5" i="12"/>
  <c r="I7" i="12" l="1"/>
  <c r="H5" i="12"/>
  <c r="G5" i="12"/>
  <c r="I5" i="12" s="1"/>
  <c r="K13" i="12"/>
  <c r="J13" i="12"/>
  <c r="H13" i="12"/>
  <c r="G13" i="12"/>
  <c r="K12" i="12"/>
  <c r="I13" i="12" l="1"/>
  <c r="H12" i="12"/>
  <c r="I12" i="12" s="1"/>
  <c r="K6" i="12"/>
  <c r="J6" i="12"/>
  <c r="H6" i="12"/>
  <c r="G6" i="12"/>
  <c r="K4" i="12"/>
  <c r="J4" i="12"/>
  <c r="I6" i="12" l="1"/>
  <c r="H4" i="12"/>
  <c r="G4" i="12"/>
  <c r="I4" i="12" s="1"/>
  <c r="J11" i="12"/>
  <c r="G11" i="12"/>
  <c r="K11" i="12"/>
  <c r="H11" i="12"/>
  <c r="I11" i="12" s="1"/>
  <c r="K14" i="12"/>
  <c r="J14" i="12"/>
  <c r="H14" i="12"/>
  <c r="G14" i="12"/>
  <c r="J10" i="12"/>
  <c r="I14" i="12" l="1"/>
  <c r="G10" i="12"/>
  <c r="K10" i="12"/>
  <c r="H10" i="12"/>
  <c r="I10" i="12" s="1"/>
  <c r="K3" i="12"/>
  <c r="J3" i="12"/>
  <c r="H3" i="12"/>
  <c r="G3" i="12"/>
  <c r="I3" i="12" s="1"/>
  <c r="K8" i="12"/>
  <c r="J8" i="12"/>
  <c r="H8" i="12"/>
  <c r="G8" i="12"/>
  <c r="I8" i="12" s="1"/>
  <c r="K15" i="12"/>
  <c r="J15" i="12"/>
  <c r="H15" i="12"/>
  <c r="G15" i="12"/>
  <c r="K9" i="12"/>
  <c r="J9" i="12"/>
  <c r="I15" i="12" l="1"/>
  <c r="H9" i="12"/>
  <c r="G9" i="12"/>
  <c r="K16" i="12"/>
  <c r="J16" i="12"/>
  <c r="I9" i="12" l="1"/>
  <c r="H16" i="12"/>
  <c r="G16" i="12"/>
  <c r="I16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<sst xmlns="http://schemas.openxmlformats.org/spreadsheetml/2006/main" count="321" uniqueCount="169">
  <si>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</si>
  <si>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</si>
  <si>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</si>
  <si>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</si>
  <si>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</si>
  <si>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</si>
  <si>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</si>
  <si>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</si>
  <si>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</si>
  <si>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</si>
  <si>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</si>
  <si>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</si>
  <si>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</si>
  <si>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</si>
  <si>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</si>
  <si>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</si>
  <si>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</si>
  <si>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</si>
  <si>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</si>
  <si>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</si>
  <si>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</si>
  <si>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</si>
  <si>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</si>
  <si>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</si>
  <si>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</si>
  <si>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</si>
  <si>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</si>
  <si>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</si>
  <si>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</si>
  <si>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</si>
  <si>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</si>
  <si>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</si>
  <si>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</si>
  <si>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</si>
  <si>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</si>
  <si>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</si>
  <si>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</si>
  <si>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</si>
  <si>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</si>
  <si>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</si>
  <si>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</si>
  <si>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</si>
  <si>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</si>
  <si>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</si>
  <si>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</si>
  <si>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</si>
  <si>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</si>
  <si>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</si>
  <si>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</si>
  <si>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</si>
  <si>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</si>
  <si>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</si>
  <si>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</si>
  <si>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</si>
  <si>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</si>
  <si>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</si>
  <si>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</si>
  <si>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</si>
  <si>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</si>
  <si>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</si>
  <si>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</si>
  <si>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</si>
  <si>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</si>
  <si>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</si>
  <si>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</si>
  <si>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</si>
  <si>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</si>
  <si>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</si>
  <si>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</si>
  <si>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</si>
  <si>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</si>
  <si>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</si>
  <si>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</si>
  <si>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</si>
  <si>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</si>
  <si>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</si>
  <si>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</si>
  <si>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</si>
  <si>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</si>
  <si>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</si>
  <si>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</si>
  <si>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</si>
  <si>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</si>
  <si>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</si>
  <si>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</si>
  <si>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</si>
  <si>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</si>
  <si>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</si>
  <si>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</si>
  <si>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</si>
  <si>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</si>
  <si>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</si>
  <si>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</si>
  <si>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</si>
  <si>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</si>
  <si>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</si>
  <si>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</si>
  <si>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</si>
  <si>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</si>
  <si>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</si>
  <si>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</si>
  <si>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</si>
  <si>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</si>
  <si>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</si>
  <si>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</si>
  <si>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</si>
  <si>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</si>
  <si>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</si>
  <si>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</si>
  <si>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</si>
  <si>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</si>
  <si>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</si>
  <si>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</si>
  <si>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</si>
  <si>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</si>
  <si>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</si>
  <si>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</si>
  <si>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</si>
  <si>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</si>
  <si>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</si>
  <si>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</si>
  <si>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</si>
  <si>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</si>
  <si>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</si>
  <si>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</si>
  <si>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</si>
  <si>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</si>
  <si>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</si>
  <si>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</si>
  <si>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</si>
  <si>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</si>
  <si>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</si>
  <si>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</si>
  <si>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</si>
  <si>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</si>
  <si>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</si>
  <si>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</si>
  <si>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</si>
  <si>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</si>
  <si>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</si>
  <si>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</si>
  <si>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</si>
  <si>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</si>
  <si>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</si>
  <si>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</si>
  <si>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</si>
  <si>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</si>
  <si>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</si>
  <si>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</si>
  <si>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</si>
  <si>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</si>
  <si>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</si>
  <si>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</si>
  <si>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</si>
  <si>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</si>
  <si>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</si>
  <si>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</si>
  <si>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</si>
  <si>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</si>
  <si>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</si>
  <si>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</si>
  <si>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</si>
  <si>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</si>
  <si>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</si>
  <si>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</si>
  <si>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</si>
  <si>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JoinHolidays</t>
  </si>
  <si>
    <t>Join Calendar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</si>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</sst>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9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  <xf numFmtId="0" fontId="26" fillId="2" borderId="0" xfId="1" applyFont="1" applyFill="1" applyBorder="1" applyAlignment="1">
      <alignment horizontal="center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26" fillId="2" borderId="2" xfId="1" applyFont="1" applyFill="1" applyBorder="1" applyAlignment="1">
      <alignment horizontal="center"/>
    </xf>
    <xf numFmtId="0" fontId="26" fillId="2" borderId="7" xfId="1" applyFont="1" applyFill="1" applyBorder="1" applyAlignment="1">
      <alignment horizontal="center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42152</c:v>
                </c:pt>
                <c:pt idx="1">
                  <c:v>42153</c:v>
                </c:pt>
                <c:pt idx="2">
                  <c:v>42156</c:v>
                </c:pt>
                <c:pt idx="3">
                  <c:v>42157</c:v>
                </c:pt>
                <c:pt idx="4">
                  <c:v>42158</c:v>
                </c:pt>
                <c:pt idx="5">
                  <c:v>42159</c:v>
                </c:pt>
                <c:pt idx="6">
                  <c:v>42160</c:v>
                </c:pt>
                <c:pt idx="7">
                  <c:v>42163</c:v>
                </c:pt>
                <c:pt idx="8">
                  <c:v>42164</c:v>
                </c:pt>
                <c:pt idx="9">
                  <c:v>42165</c:v>
                </c:pt>
                <c:pt idx="10">
                  <c:v>42166</c:v>
                </c:pt>
                <c:pt idx="11">
                  <c:v>42167</c:v>
                </c:pt>
                <c:pt idx="12">
                  <c:v>42170</c:v>
                </c:pt>
                <c:pt idx="13">
                  <c:v>42171</c:v>
                </c:pt>
                <c:pt idx="14">
                  <c:v>42172</c:v>
                </c:pt>
                <c:pt idx="15">
                  <c:v>42173</c:v>
                </c:pt>
                <c:pt idx="16">
                  <c:v>42174</c:v>
                </c:pt>
                <c:pt idx="17">
                  <c:v>42177</c:v>
                </c:pt>
                <c:pt idx="18">
                  <c:v>42178</c:v>
                </c:pt>
                <c:pt idx="19">
                  <c:v>42179</c:v>
                </c:pt>
                <c:pt idx="20">
                  <c:v>42180</c:v>
                </c:pt>
                <c:pt idx="21">
                  <c:v>42181</c:v>
                </c:pt>
                <c:pt idx="22">
                  <c:v>42184</c:v>
                </c:pt>
                <c:pt idx="23">
                  <c:v>42185</c:v>
                </c:pt>
                <c:pt idx="24">
                  <c:v>42186</c:v>
                </c:pt>
                <c:pt idx="25">
                  <c:v>42187</c:v>
                </c:pt>
                <c:pt idx="26">
                  <c:v>42191</c:v>
                </c:pt>
                <c:pt idx="27">
                  <c:v>42191</c:v>
                </c:pt>
                <c:pt idx="28">
                  <c:v>42192</c:v>
                </c:pt>
                <c:pt idx="29">
                  <c:v>42193</c:v>
                </c:pt>
                <c:pt idx="30">
                  <c:v>42194</c:v>
                </c:pt>
                <c:pt idx="31">
                  <c:v>42195</c:v>
                </c:pt>
                <c:pt idx="32">
                  <c:v>42198</c:v>
                </c:pt>
                <c:pt idx="33">
                  <c:v>42199</c:v>
                </c:pt>
                <c:pt idx="34">
                  <c:v>42200</c:v>
                </c:pt>
                <c:pt idx="35">
                  <c:v>42201</c:v>
                </c:pt>
                <c:pt idx="36">
                  <c:v>42202</c:v>
                </c:pt>
                <c:pt idx="37">
                  <c:v>42205</c:v>
                </c:pt>
                <c:pt idx="38">
                  <c:v>42206</c:v>
                </c:pt>
                <c:pt idx="39">
                  <c:v>42207</c:v>
                </c:pt>
                <c:pt idx="40">
                  <c:v>42208</c:v>
                </c:pt>
                <c:pt idx="41">
                  <c:v>42209</c:v>
                </c:pt>
                <c:pt idx="42">
                  <c:v>42212</c:v>
                </c:pt>
                <c:pt idx="43">
                  <c:v>42213</c:v>
                </c:pt>
                <c:pt idx="44">
                  <c:v>42214</c:v>
                </c:pt>
                <c:pt idx="45">
                  <c:v>42215</c:v>
                </c:pt>
                <c:pt idx="46">
                  <c:v>42216</c:v>
                </c:pt>
                <c:pt idx="47">
                  <c:v>42219</c:v>
                </c:pt>
                <c:pt idx="48">
                  <c:v>42220</c:v>
                </c:pt>
                <c:pt idx="49">
                  <c:v>42221</c:v>
                </c:pt>
                <c:pt idx="50">
                  <c:v>42222</c:v>
                </c:pt>
                <c:pt idx="51">
                  <c:v>42223</c:v>
                </c:pt>
                <c:pt idx="52">
                  <c:v>42226</c:v>
                </c:pt>
                <c:pt idx="53">
                  <c:v>42227</c:v>
                </c:pt>
                <c:pt idx="54">
                  <c:v>42228</c:v>
                </c:pt>
                <c:pt idx="55">
                  <c:v>42229</c:v>
                </c:pt>
                <c:pt idx="56">
                  <c:v>42230</c:v>
                </c:pt>
                <c:pt idx="57">
                  <c:v>42233</c:v>
                </c:pt>
                <c:pt idx="58">
                  <c:v>42234</c:v>
                </c:pt>
                <c:pt idx="59">
                  <c:v>42235</c:v>
                </c:pt>
                <c:pt idx="60">
                  <c:v>42236</c:v>
                </c:pt>
                <c:pt idx="61">
                  <c:v>42237</c:v>
                </c:pt>
                <c:pt idx="62">
                  <c:v>42240</c:v>
                </c:pt>
                <c:pt idx="63">
                  <c:v>42241</c:v>
                </c:pt>
                <c:pt idx="64">
                  <c:v>42242</c:v>
                </c:pt>
                <c:pt idx="65">
                  <c:v>42243</c:v>
                </c:pt>
                <c:pt idx="66">
                  <c:v>42244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42255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42290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42320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42335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42388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42416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42556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42612</c:v>
                </c:pt>
                <c:pt idx="320">
                  <c:v>42613</c:v>
                </c:pt>
                <c:pt idx="321">
                  <c:v>42614</c:v>
                </c:pt>
                <c:pt idx="322">
                  <c:v>42615</c:v>
                </c:pt>
                <c:pt idx="323">
                  <c:v>42619</c:v>
                </c:pt>
                <c:pt idx="324">
                  <c:v>42619</c:v>
                </c:pt>
                <c:pt idx="325">
                  <c:v>42620</c:v>
                </c:pt>
                <c:pt idx="326">
                  <c:v>42621</c:v>
                </c:pt>
                <c:pt idx="327">
                  <c:v>42622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42639</c:v>
                </c:pt>
                <c:pt idx="339">
                  <c:v>42640</c:v>
                </c:pt>
                <c:pt idx="340">
                  <c:v>42641</c:v>
                </c:pt>
                <c:pt idx="341">
                  <c:v>42642</c:v>
                </c:pt>
                <c:pt idx="342">
                  <c:v>42643</c:v>
                </c:pt>
                <c:pt idx="343">
                  <c:v>42646</c:v>
                </c:pt>
                <c:pt idx="344">
                  <c:v>42647</c:v>
                </c:pt>
                <c:pt idx="345">
                  <c:v>42648</c:v>
                </c:pt>
                <c:pt idx="346">
                  <c:v>42649</c:v>
                </c:pt>
                <c:pt idx="347">
                  <c:v>42650</c:v>
                </c:pt>
                <c:pt idx="348">
                  <c:v>42654</c:v>
                </c:pt>
                <c:pt idx="349">
                  <c:v>42654</c:v>
                </c:pt>
                <c:pt idx="350">
                  <c:v>42655</c:v>
                </c:pt>
                <c:pt idx="351">
                  <c:v>42656</c:v>
                </c:pt>
                <c:pt idx="352">
                  <c:v>42657</c:v>
                </c:pt>
                <c:pt idx="353">
                  <c:v>42660</c:v>
                </c:pt>
                <c:pt idx="354">
                  <c:v>42661</c:v>
                </c:pt>
                <c:pt idx="355">
                  <c:v>42662</c:v>
                </c:pt>
                <c:pt idx="356">
                  <c:v>42663</c:v>
                </c:pt>
                <c:pt idx="357">
                  <c:v>42664</c:v>
                </c:pt>
                <c:pt idx="358">
                  <c:v>42667</c:v>
                </c:pt>
                <c:pt idx="359">
                  <c:v>42668</c:v>
                </c:pt>
                <c:pt idx="360">
                  <c:v>42669</c:v>
                </c:pt>
                <c:pt idx="361">
                  <c:v>42670</c:v>
                </c:pt>
                <c:pt idx="362">
                  <c:v>42671</c:v>
                </c:pt>
                <c:pt idx="363">
                  <c:v>42674</c:v>
                </c:pt>
                <c:pt idx="364">
                  <c:v>42675</c:v>
                </c:pt>
                <c:pt idx="365">
                  <c:v>42676</c:v>
                </c:pt>
                <c:pt idx="366">
                  <c:v>42677</c:v>
                </c:pt>
                <c:pt idx="367">
                  <c:v>42678</c:v>
                </c:pt>
                <c:pt idx="368">
                  <c:v>42681</c:v>
                </c:pt>
                <c:pt idx="369">
                  <c:v>42682</c:v>
                </c:pt>
                <c:pt idx="370">
                  <c:v>42683</c:v>
                </c:pt>
                <c:pt idx="371">
                  <c:v>42684</c:v>
                </c:pt>
                <c:pt idx="372">
                  <c:v>42688</c:v>
                </c:pt>
                <c:pt idx="373">
                  <c:v>42688</c:v>
                </c:pt>
                <c:pt idx="374">
                  <c:v>42689</c:v>
                </c:pt>
                <c:pt idx="375">
                  <c:v>42690</c:v>
                </c:pt>
                <c:pt idx="376">
                  <c:v>42691</c:v>
                </c:pt>
                <c:pt idx="377">
                  <c:v>42692</c:v>
                </c:pt>
                <c:pt idx="378">
                  <c:v>42695</c:v>
                </c:pt>
                <c:pt idx="379">
                  <c:v>42696</c:v>
                </c:pt>
                <c:pt idx="380">
                  <c:v>42697</c:v>
                </c:pt>
                <c:pt idx="381">
                  <c:v>42699</c:v>
                </c:pt>
                <c:pt idx="382">
                  <c:v>42699</c:v>
                </c:pt>
                <c:pt idx="383">
                  <c:v>42702</c:v>
                </c:pt>
                <c:pt idx="384">
                  <c:v>42703</c:v>
                </c:pt>
                <c:pt idx="385">
                  <c:v>42704</c:v>
                </c:pt>
                <c:pt idx="386">
                  <c:v>42705</c:v>
                </c:pt>
                <c:pt idx="387">
                  <c:v>42706</c:v>
                </c:pt>
                <c:pt idx="388">
                  <c:v>42709</c:v>
                </c:pt>
                <c:pt idx="389">
                  <c:v>42710</c:v>
                </c:pt>
                <c:pt idx="390">
                  <c:v>42711</c:v>
                </c:pt>
                <c:pt idx="391">
                  <c:v>42712</c:v>
                </c:pt>
                <c:pt idx="392">
                  <c:v>42713</c:v>
                </c:pt>
                <c:pt idx="393">
                  <c:v>42716</c:v>
                </c:pt>
                <c:pt idx="394">
                  <c:v>42717</c:v>
                </c:pt>
                <c:pt idx="395">
                  <c:v>42718</c:v>
                </c:pt>
                <c:pt idx="396">
                  <c:v>42719</c:v>
                </c:pt>
                <c:pt idx="397">
                  <c:v>42720</c:v>
                </c:pt>
                <c:pt idx="398">
                  <c:v>42723</c:v>
                </c:pt>
                <c:pt idx="399">
                  <c:v>42724</c:v>
                </c:pt>
                <c:pt idx="400">
                  <c:v>42725</c:v>
                </c:pt>
                <c:pt idx="401">
                  <c:v>42726</c:v>
                </c:pt>
                <c:pt idx="402">
                  <c:v>42727</c:v>
                </c:pt>
                <c:pt idx="403">
                  <c:v>42732</c:v>
                </c:pt>
                <c:pt idx="404">
                  <c:v>42733</c:v>
                </c:pt>
                <c:pt idx="405">
                  <c:v>42734</c:v>
                </c:pt>
                <c:pt idx="406">
                  <c:v>42738</c:v>
                </c:pt>
                <c:pt idx="407">
                  <c:v>42739</c:v>
                </c:pt>
                <c:pt idx="408">
                  <c:v>42740</c:v>
                </c:pt>
                <c:pt idx="409">
                  <c:v>42741</c:v>
                </c:pt>
                <c:pt idx="410">
                  <c:v>42744</c:v>
                </c:pt>
                <c:pt idx="411">
                  <c:v>42745</c:v>
                </c:pt>
                <c:pt idx="412">
                  <c:v>42746</c:v>
                </c:pt>
                <c:pt idx="413">
                  <c:v>42747</c:v>
                </c:pt>
                <c:pt idx="414">
                  <c:v>42748</c:v>
                </c:pt>
                <c:pt idx="415">
                  <c:v>42752</c:v>
                </c:pt>
                <c:pt idx="416">
                  <c:v>42752</c:v>
                </c:pt>
                <c:pt idx="417">
                  <c:v>42753</c:v>
                </c:pt>
                <c:pt idx="418">
                  <c:v>42754</c:v>
                </c:pt>
                <c:pt idx="419">
                  <c:v>42755</c:v>
                </c:pt>
                <c:pt idx="420">
                  <c:v>42758</c:v>
                </c:pt>
                <c:pt idx="421">
                  <c:v>42759</c:v>
                </c:pt>
                <c:pt idx="422">
                  <c:v>42760</c:v>
                </c:pt>
                <c:pt idx="423">
                  <c:v>42761</c:v>
                </c:pt>
                <c:pt idx="424">
                  <c:v>42762</c:v>
                </c:pt>
                <c:pt idx="425">
                  <c:v>42765</c:v>
                </c:pt>
                <c:pt idx="426">
                  <c:v>42766</c:v>
                </c:pt>
                <c:pt idx="427">
                  <c:v>42767</c:v>
                </c:pt>
                <c:pt idx="428">
                  <c:v>42768</c:v>
                </c:pt>
                <c:pt idx="429">
                  <c:v>42769</c:v>
                </c:pt>
                <c:pt idx="430">
                  <c:v>42772</c:v>
                </c:pt>
                <c:pt idx="431">
                  <c:v>42773</c:v>
                </c:pt>
                <c:pt idx="432">
                  <c:v>42774</c:v>
                </c:pt>
                <c:pt idx="433">
                  <c:v>42775</c:v>
                </c:pt>
                <c:pt idx="434">
                  <c:v>42776</c:v>
                </c:pt>
                <c:pt idx="435">
                  <c:v>42779</c:v>
                </c:pt>
                <c:pt idx="436">
                  <c:v>42780</c:v>
                </c:pt>
                <c:pt idx="437">
                  <c:v>42781</c:v>
                </c:pt>
                <c:pt idx="438">
                  <c:v>42782</c:v>
                </c:pt>
                <c:pt idx="439">
                  <c:v>42783</c:v>
                </c:pt>
                <c:pt idx="440">
                  <c:v>42787</c:v>
                </c:pt>
                <c:pt idx="441">
                  <c:v>42787</c:v>
                </c:pt>
                <c:pt idx="442">
                  <c:v>42788</c:v>
                </c:pt>
                <c:pt idx="443">
                  <c:v>42789</c:v>
                </c:pt>
                <c:pt idx="444">
                  <c:v>42790</c:v>
                </c:pt>
                <c:pt idx="445">
                  <c:v>42793</c:v>
                </c:pt>
                <c:pt idx="446">
                  <c:v>42794</c:v>
                </c:pt>
                <c:pt idx="447">
                  <c:v>42795</c:v>
                </c:pt>
                <c:pt idx="448">
                  <c:v>42796</c:v>
                </c:pt>
                <c:pt idx="449">
                  <c:v>42797</c:v>
                </c:pt>
                <c:pt idx="450">
                  <c:v>42800</c:v>
                </c:pt>
                <c:pt idx="451">
                  <c:v>42801</c:v>
                </c:pt>
                <c:pt idx="452">
                  <c:v>42802</c:v>
                </c:pt>
                <c:pt idx="453">
                  <c:v>42803</c:v>
                </c:pt>
                <c:pt idx="454">
                  <c:v>42804</c:v>
                </c:pt>
                <c:pt idx="455">
                  <c:v>42807</c:v>
                </c:pt>
                <c:pt idx="456">
                  <c:v>42808</c:v>
                </c:pt>
                <c:pt idx="457">
                  <c:v>42809</c:v>
                </c:pt>
                <c:pt idx="458">
                  <c:v>42810</c:v>
                </c:pt>
                <c:pt idx="459">
                  <c:v>42811</c:v>
                </c:pt>
                <c:pt idx="460">
                  <c:v>42814</c:v>
                </c:pt>
                <c:pt idx="461">
                  <c:v>42815</c:v>
                </c:pt>
                <c:pt idx="462">
                  <c:v>42816</c:v>
                </c:pt>
                <c:pt idx="463">
                  <c:v>42817</c:v>
                </c:pt>
                <c:pt idx="464">
                  <c:v>42818</c:v>
                </c:pt>
                <c:pt idx="465">
                  <c:v>42821</c:v>
                </c:pt>
                <c:pt idx="466">
                  <c:v>42822</c:v>
                </c:pt>
                <c:pt idx="467">
                  <c:v>42823</c:v>
                </c:pt>
                <c:pt idx="468">
                  <c:v>42824</c:v>
                </c:pt>
                <c:pt idx="469">
                  <c:v>42825</c:v>
                </c:pt>
                <c:pt idx="470">
                  <c:v>42828</c:v>
                </c:pt>
                <c:pt idx="471">
                  <c:v>42829</c:v>
                </c:pt>
                <c:pt idx="472">
                  <c:v>42830</c:v>
                </c:pt>
                <c:pt idx="473">
                  <c:v>42831</c:v>
                </c:pt>
                <c:pt idx="474">
                  <c:v>42832</c:v>
                </c:pt>
                <c:pt idx="475">
                  <c:v>42835</c:v>
                </c:pt>
                <c:pt idx="476">
                  <c:v>42836</c:v>
                </c:pt>
                <c:pt idx="477">
                  <c:v>42837</c:v>
                </c:pt>
                <c:pt idx="478">
                  <c:v>42838</c:v>
                </c:pt>
                <c:pt idx="479">
                  <c:v>42843</c:v>
                </c:pt>
                <c:pt idx="480">
                  <c:v>42844</c:v>
                </c:pt>
                <c:pt idx="481">
                  <c:v>42845</c:v>
                </c:pt>
                <c:pt idx="482">
                  <c:v>42846</c:v>
                </c:pt>
                <c:pt idx="483">
                  <c:v>42849</c:v>
                </c:pt>
                <c:pt idx="484">
                  <c:v>42850</c:v>
                </c:pt>
                <c:pt idx="485">
                  <c:v>42851</c:v>
                </c:pt>
                <c:pt idx="486">
                  <c:v>42852</c:v>
                </c:pt>
                <c:pt idx="487">
                  <c:v>42853</c:v>
                </c:pt>
                <c:pt idx="488">
                  <c:v>42857</c:v>
                </c:pt>
                <c:pt idx="489">
                  <c:v>42858</c:v>
                </c:pt>
                <c:pt idx="490">
                  <c:v>42859</c:v>
                </c:pt>
                <c:pt idx="491">
                  <c:v>42860</c:v>
                </c:pt>
                <c:pt idx="492">
                  <c:v>42863</c:v>
                </c:pt>
                <c:pt idx="493">
                  <c:v>42864</c:v>
                </c:pt>
                <c:pt idx="494">
                  <c:v>42865</c:v>
                </c:pt>
                <c:pt idx="495">
                  <c:v>42866</c:v>
                </c:pt>
                <c:pt idx="496">
                  <c:v>42867</c:v>
                </c:pt>
                <c:pt idx="497">
                  <c:v>42870</c:v>
                </c:pt>
                <c:pt idx="498">
                  <c:v>42871</c:v>
                </c:pt>
                <c:pt idx="499">
                  <c:v>42872</c:v>
                </c:pt>
                <c:pt idx="500">
                  <c:v>42873</c:v>
                </c:pt>
                <c:pt idx="501">
                  <c:v>42874</c:v>
                </c:pt>
                <c:pt idx="502">
                  <c:v>42877</c:v>
                </c:pt>
                <c:pt idx="503">
                  <c:v>42878</c:v>
                </c:pt>
                <c:pt idx="504">
                  <c:v>42879</c:v>
                </c:pt>
                <c:pt idx="505">
                  <c:v>42880</c:v>
                </c:pt>
                <c:pt idx="506">
                  <c:v>42881</c:v>
                </c:pt>
                <c:pt idx="507">
                  <c:v>42885</c:v>
                </c:pt>
                <c:pt idx="508">
                  <c:v>42886</c:v>
                </c:pt>
                <c:pt idx="509">
                  <c:v>42887</c:v>
                </c:pt>
                <c:pt idx="510">
                  <c:v>42888</c:v>
                </c:pt>
                <c:pt idx="511">
                  <c:v>42891</c:v>
                </c:pt>
                <c:pt idx="512">
                  <c:v>42892</c:v>
                </c:pt>
                <c:pt idx="513">
                  <c:v>42893</c:v>
                </c:pt>
                <c:pt idx="514">
                  <c:v>42894</c:v>
                </c:pt>
                <c:pt idx="515">
                  <c:v>42895</c:v>
                </c:pt>
                <c:pt idx="516">
                  <c:v>42898</c:v>
                </c:pt>
                <c:pt idx="517">
                  <c:v>42899</c:v>
                </c:pt>
                <c:pt idx="518">
                  <c:v>42906</c:v>
                </c:pt>
                <c:pt idx="519">
                  <c:v>42913</c:v>
                </c:pt>
                <c:pt idx="520">
                  <c:v>42921</c:v>
                </c:pt>
                <c:pt idx="521">
                  <c:v>42927</c:v>
                </c:pt>
                <c:pt idx="522">
                  <c:v>42934</c:v>
                </c:pt>
                <c:pt idx="523">
                  <c:v>42941</c:v>
                </c:pt>
                <c:pt idx="524">
                  <c:v>42948</c:v>
                </c:pt>
                <c:pt idx="525">
                  <c:v>42955</c:v>
                </c:pt>
                <c:pt idx="526">
                  <c:v>42962</c:v>
                </c:pt>
                <c:pt idx="527">
                  <c:v>42969</c:v>
                </c:pt>
                <c:pt idx="528">
                  <c:v>42977</c:v>
                </c:pt>
                <c:pt idx="529">
                  <c:v>42983</c:v>
                </c:pt>
                <c:pt idx="530">
                  <c:v>42990</c:v>
                </c:pt>
                <c:pt idx="531">
                  <c:v>42997</c:v>
                </c:pt>
                <c:pt idx="532">
                  <c:v>43004</c:v>
                </c:pt>
                <c:pt idx="533">
                  <c:v>43011</c:v>
                </c:pt>
                <c:pt idx="534">
                  <c:v>43018</c:v>
                </c:pt>
                <c:pt idx="535">
                  <c:v>43025</c:v>
                </c:pt>
                <c:pt idx="536">
                  <c:v>43032</c:v>
                </c:pt>
                <c:pt idx="537">
                  <c:v>43039</c:v>
                </c:pt>
                <c:pt idx="538">
                  <c:v>43046</c:v>
                </c:pt>
                <c:pt idx="539">
                  <c:v>43053</c:v>
                </c:pt>
                <c:pt idx="540">
                  <c:v>43060</c:v>
                </c:pt>
                <c:pt idx="541">
                  <c:v>43067</c:v>
                </c:pt>
                <c:pt idx="542">
                  <c:v>43074</c:v>
                </c:pt>
                <c:pt idx="543">
                  <c:v>43081</c:v>
                </c:pt>
                <c:pt idx="544">
                  <c:v>43088</c:v>
                </c:pt>
                <c:pt idx="545">
                  <c:v>43097</c:v>
                </c:pt>
                <c:pt idx="546">
                  <c:v>43103</c:v>
                </c:pt>
                <c:pt idx="547">
                  <c:v>43109</c:v>
                </c:pt>
                <c:pt idx="548">
                  <c:v>43116</c:v>
                </c:pt>
                <c:pt idx="549">
                  <c:v>43123</c:v>
                </c:pt>
                <c:pt idx="550">
                  <c:v>43130</c:v>
                </c:pt>
                <c:pt idx="551">
                  <c:v>43137</c:v>
                </c:pt>
                <c:pt idx="552">
                  <c:v>43144</c:v>
                </c:pt>
                <c:pt idx="553">
                  <c:v>43151</c:v>
                </c:pt>
                <c:pt idx="554">
                  <c:v>43158</c:v>
                </c:pt>
                <c:pt idx="555">
                  <c:v>43165</c:v>
                </c:pt>
                <c:pt idx="556">
                  <c:v>43172</c:v>
                </c:pt>
                <c:pt idx="557">
                  <c:v>43179</c:v>
                </c:pt>
                <c:pt idx="558">
                  <c:v>43186</c:v>
                </c:pt>
                <c:pt idx="559">
                  <c:v>43195</c:v>
                </c:pt>
                <c:pt idx="560">
                  <c:v>43202</c:v>
                </c:pt>
                <c:pt idx="561">
                  <c:v>43209</c:v>
                </c:pt>
                <c:pt idx="562">
                  <c:v>43216</c:v>
                </c:pt>
                <c:pt idx="563">
                  <c:v>43223</c:v>
                </c:pt>
                <c:pt idx="564">
                  <c:v>43230</c:v>
                </c:pt>
                <c:pt idx="565">
                  <c:v>43237</c:v>
                </c:pt>
                <c:pt idx="566">
                  <c:v>43244</c:v>
                </c:pt>
                <c:pt idx="567">
                  <c:v>43251</c:v>
                </c:pt>
                <c:pt idx="568">
                  <c:v>43258</c:v>
                </c:pt>
                <c:pt idx="569">
                  <c:v>43265</c:v>
                </c:pt>
                <c:pt idx="570">
                  <c:v>43272</c:v>
                </c:pt>
                <c:pt idx="571">
                  <c:v>43279</c:v>
                </c:pt>
                <c:pt idx="572">
                  <c:v>43286</c:v>
                </c:pt>
                <c:pt idx="573">
                  <c:v>43293</c:v>
                </c:pt>
                <c:pt idx="574">
                  <c:v>43300</c:v>
                </c:pt>
                <c:pt idx="575">
                  <c:v>43307</c:v>
                </c:pt>
                <c:pt idx="576">
                  <c:v>43314</c:v>
                </c:pt>
                <c:pt idx="577">
                  <c:v>43321</c:v>
                </c:pt>
                <c:pt idx="578">
                  <c:v>43328</c:v>
                </c:pt>
                <c:pt idx="579">
                  <c:v>43335</c:v>
                </c:pt>
                <c:pt idx="580">
                  <c:v>43342</c:v>
                </c:pt>
                <c:pt idx="581">
                  <c:v>43349</c:v>
                </c:pt>
                <c:pt idx="582">
                  <c:v>43356</c:v>
                </c:pt>
                <c:pt idx="583">
                  <c:v>43363</c:v>
                </c:pt>
                <c:pt idx="584">
                  <c:v>43370</c:v>
                </c:pt>
                <c:pt idx="585">
                  <c:v>43377</c:v>
                </c:pt>
                <c:pt idx="586">
                  <c:v>43384</c:v>
                </c:pt>
                <c:pt idx="587">
                  <c:v>43391</c:v>
                </c:pt>
                <c:pt idx="588">
                  <c:v>43398</c:v>
                </c:pt>
                <c:pt idx="589">
                  <c:v>43405</c:v>
                </c:pt>
                <c:pt idx="590">
                  <c:v>43412</c:v>
                </c:pt>
                <c:pt idx="591">
                  <c:v>43419</c:v>
                </c:pt>
                <c:pt idx="592">
                  <c:v>43427</c:v>
                </c:pt>
                <c:pt idx="593">
                  <c:v>43433</c:v>
                </c:pt>
                <c:pt idx="594">
                  <c:v>43440</c:v>
                </c:pt>
                <c:pt idx="595">
                  <c:v>43447</c:v>
                </c:pt>
                <c:pt idx="596">
                  <c:v>43454</c:v>
                </c:pt>
                <c:pt idx="597">
                  <c:v>43465</c:v>
                </c:pt>
                <c:pt idx="598">
                  <c:v>43472</c:v>
                </c:pt>
                <c:pt idx="599">
                  <c:v>43479</c:v>
                </c:pt>
                <c:pt idx="600">
                  <c:v>43487</c:v>
                </c:pt>
                <c:pt idx="601">
                  <c:v>43493</c:v>
                </c:pt>
                <c:pt idx="602">
                  <c:v>43500</c:v>
                </c:pt>
                <c:pt idx="603">
                  <c:v>43507</c:v>
                </c:pt>
                <c:pt idx="604">
                  <c:v>43515</c:v>
                </c:pt>
                <c:pt idx="605">
                  <c:v>43521</c:v>
                </c:pt>
                <c:pt idx="606">
                  <c:v>43528</c:v>
                </c:pt>
                <c:pt idx="607">
                  <c:v>43535</c:v>
                </c:pt>
                <c:pt idx="608">
                  <c:v>43542</c:v>
                </c:pt>
                <c:pt idx="609">
                  <c:v>43549</c:v>
                </c:pt>
                <c:pt idx="610">
                  <c:v>43556</c:v>
                </c:pt>
                <c:pt idx="611">
                  <c:v>43563</c:v>
                </c:pt>
                <c:pt idx="612">
                  <c:v>43570</c:v>
                </c:pt>
                <c:pt idx="613">
                  <c:v>43579</c:v>
                </c:pt>
                <c:pt idx="614">
                  <c:v>43584</c:v>
                </c:pt>
                <c:pt idx="615">
                  <c:v>43592</c:v>
                </c:pt>
                <c:pt idx="616">
                  <c:v>43598</c:v>
                </c:pt>
                <c:pt idx="617">
                  <c:v>43605</c:v>
                </c:pt>
                <c:pt idx="618">
                  <c:v>43613</c:v>
                </c:pt>
                <c:pt idx="619">
                  <c:v>43619</c:v>
                </c:pt>
                <c:pt idx="620">
                  <c:v>43626</c:v>
                </c:pt>
                <c:pt idx="621">
                  <c:v>43633</c:v>
                </c:pt>
                <c:pt idx="622">
                  <c:v>43640</c:v>
                </c:pt>
                <c:pt idx="623">
                  <c:v>43647</c:v>
                </c:pt>
                <c:pt idx="624">
                  <c:v>43654</c:v>
                </c:pt>
                <c:pt idx="625">
                  <c:v>43661</c:v>
                </c:pt>
                <c:pt idx="626">
                  <c:v>43668</c:v>
                </c:pt>
                <c:pt idx="627">
                  <c:v>43675</c:v>
                </c:pt>
                <c:pt idx="628">
                  <c:v>43682</c:v>
                </c:pt>
                <c:pt idx="629">
                  <c:v>43689</c:v>
                </c:pt>
                <c:pt idx="630">
                  <c:v>43696</c:v>
                </c:pt>
                <c:pt idx="631">
                  <c:v>43704</c:v>
                </c:pt>
                <c:pt idx="632">
                  <c:v>43711</c:v>
                </c:pt>
                <c:pt idx="633">
                  <c:v>43717</c:v>
                </c:pt>
                <c:pt idx="634">
                  <c:v>43724</c:v>
                </c:pt>
                <c:pt idx="635">
                  <c:v>43731</c:v>
                </c:pt>
                <c:pt idx="636">
                  <c:v>43738</c:v>
                </c:pt>
                <c:pt idx="637">
                  <c:v>43745</c:v>
                </c:pt>
                <c:pt idx="638">
                  <c:v>43753</c:v>
                </c:pt>
                <c:pt idx="639">
                  <c:v>43759</c:v>
                </c:pt>
                <c:pt idx="640">
                  <c:v>43766</c:v>
                </c:pt>
                <c:pt idx="641">
                  <c:v>43773</c:v>
                </c:pt>
                <c:pt idx="642">
                  <c:v>43781</c:v>
                </c:pt>
                <c:pt idx="643">
                  <c:v>43787</c:v>
                </c:pt>
                <c:pt idx="644">
                  <c:v>43794</c:v>
                </c:pt>
                <c:pt idx="645">
                  <c:v>43801</c:v>
                </c:pt>
                <c:pt idx="646">
                  <c:v>43808</c:v>
                </c:pt>
                <c:pt idx="647">
                  <c:v>43815</c:v>
                </c:pt>
                <c:pt idx="648">
                  <c:v>43822</c:v>
                </c:pt>
                <c:pt idx="649">
                  <c:v>43830</c:v>
                </c:pt>
                <c:pt idx="650">
                  <c:v>43837</c:v>
                </c:pt>
                <c:pt idx="651">
                  <c:v>43844</c:v>
                </c:pt>
                <c:pt idx="652">
                  <c:v>43851</c:v>
                </c:pt>
                <c:pt idx="653">
                  <c:v>43858</c:v>
                </c:pt>
                <c:pt idx="654">
                  <c:v>43865</c:v>
                </c:pt>
                <c:pt idx="655">
                  <c:v>43872</c:v>
                </c:pt>
                <c:pt idx="656">
                  <c:v>43879</c:v>
                </c:pt>
                <c:pt idx="657">
                  <c:v>43886</c:v>
                </c:pt>
                <c:pt idx="658">
                  <c:v>43893</c:v>
                </c:pt>
                <c:pt idx="659">
                  <c:v>43900</c:v>
                </c:pt>
                <c:pt idx="660">
                  <c:v>43907</c:v>
                </c:pt>
                <c:pt idx="661">
                  <c:v>43914</c:v>
                </c:pt>
                <c:pt idx="662">
                  <c:v>43921</c:v>
                </c:pt>
                <c:pt idx="663">
                  <c:v>43928</c:v>
                </c:pt>
                <c:pt idx="664">
                  <c:v>43937</c:v>
                </c:pt>
                <c:pt idx="665">
                  <c:v>43944</c:v>
                </c:pt>
                <c:pt idx="666">
                  <c:v>43951</c:v>
                </c:pt>
                <c:pt idx="667">
                  <c:v>43958</c:v>
                </c:pt>
                <c:pt idx="668">
                  <c:v>43965</c:v>
                </c:pt>
                <c:pt idx="669">
                  <c:v>43972</c:v>
                </c:pt>
                <c:pt idx="670">
                  <c:v>43979</c:v>
                </c:pt>
                <c:pt idx="671">
                  <c:v>43986</c:v>
                </c:pt>
                <c:pt idx="672">
                  <c:v>43993</c:v>
                </c:pt>
                <c:pt idx="673">
                  <c:v>44000</c:v>
                </c:pt>
                <c:pt idx="674">
                  <c:v>44007</c:v>
                </c:pt>
                <c:pt idx="675">
                  <c:v>44014</c:v>
                </c:pt>
                <c:pt idx="676">
                  <c:v>44021</c:v>
                </c:pt>
                <c:pt idx="677">
                  <c:v>44028</c:v>
                </c:pt>
                <c:pt idx="678">
                  <c:v>44035</c:v>
                </c:pt>
                <c:pt idx="679">
                  <c:v>44042</c:v>
                </c:pt>
                <c:pt idx="680">
                  <c:v>44049</c:v>
                </c:pt>
                <c:pt idx="681">
                  <c:v>44056</c:v>
                </c:pt>
                <c:pt idx="682">
                  <c:v>44063</c:v>
                </c:pt>
                <c:pt idx="683">
                  <c:v>44070</c:v>
                </c:pt>
                <c:pt idx="684">
                  <c:v>44077</c:v>
                </c:pt>
                <c:pt idx="685">
                  <c:v>44084</c:v>
                </c:pt>
                <c:pt idx="686">
                  <c:v>44091</c:v>
                </c:pt>
                <c:pt idx="687">
                  <c:v>44098</c:v>
                </c:pt>
                <c:pt idx="688">
                  <c:v>44105</c:v>
                </c:pt>
                <c:pt idx="689">
                  <c:v>44112</c:v>
                </c:pt>
                <c:pt idx="690">
                  <c:v>44119</c:v>
                </c:pt>
                <c:pt idx="691">
                  <c:v>44126</c:v>
                </c:pt>
                <c:pt idx="692">
                  <c:v>44133</c:v>
                </c:pt>
                <c:pt idx="693">
                  <c:v>44140</c:v>
                </c:pt>
                <c:pt idx="694">
                  <c:v>44147</c:v>
                </c:pt>
                <c:pt idx="695">
                  <c:v>44154</c:v>
                </c:pt>
                <c:pt idx="696">
                  <c:v>44162</c:v>
                </c:pt>
                <c:pt idx="697">
                  <c:v>44168</c:v>
                </c:pt>
                <c:pt idx="698">
                  <c:v>44175</c:v>
                </c:pt>
                <c:pt idx="699">
                  <c:v>44182</c:v>
                </c:pt>
                <c:pt idx="700">
                  <c:v>44189</c:v>
                </c:pt>
                <c:pt idx="701">
                  <c:v>44196</c:v>
                </c:pt>
                <c:pt idx="702">
                  <c:v>44203</c:v>
                </c:pt>
                <c:pt idx="703">
                  <c:v>44210</c:v>
                </c:pt>
                <c:pt idx="704">
                  <c:v>44217</c:v>
                </c:pt>
                <c:pt idx="705">
                  <c:v>44224</c:v>
                </c:pt>
                <c:pt idx="706">
                  <c:v>44231</c:v>
                </c:pt>
                <c:pt idx="707">
                  <c:v>44238</c:v>
                </c:pt>
                <c:pt idx="708">
                  <c:v>44245</c:v>
                </c:pt>
                <c:pt idx="709">
                  <c:v>44252</c:v>
                </c:pt>
                <c:pt idx="710">
                  <c:v>44259</c:v>
                </c:pt>
                <c:pt idx="711">
                  <c:v>44266</c:v>
                </c:pt>
                <c:pt idx="712">
                  <c:v>44273</c:v>
                </c:pt>
                <c:pt idx="713">
                  <c:v>44280</c:v>
                </c:pt>
                <c:pt idx="714">
                  <c:v>44287</c:v>
                </c:pt>
                <c:pt idx="715">
                  <c:v>44294</c:v>
                </c:pt>
                <c:pt idx="716">
                  <c:v>44301</c:v>
                </c:pt>
                <c:pt idx="717">
                  <c:v>44308</c:v>
                </c:pt>
                <c:pt idx="718">
                  <c:v>44315</c:v>
                </c:pt>
                <c:pt idx="719">
                  <c:v>44322</c:v>
                </c:pt>
                <c:pt idx="720">
                  <c:v>44329</c:v>
                </c:pt>
                <c:pt idx="721">
                  <c:v>44336</c:v>
                </c:pt>
                <c:pt idx="722">
                  <c:v>44343</c:v>
                </c:pt>
                <c:pt idx="723">
                  <c:v>44350</c:v>
                </c:pt>
                <c:pt idx="724">
                  <c:v>44357</c:v>
                </c:pt>
                <c:pt idx="725">
                  <c:v>44364</c:v>
                </c:pt>
                <c:pt idx="726">
                  <c:v>44371</c:v>
                </c:pt>
                <c:pt idx="727">
                  <c:v>44378</c:v>
                </c:pt>
                <c:pt idx="728">
                  <c:v>44385</c:v>
                </c:pt>
                <c:pt idx="729">
                  <c:v>44392</c:v>
                </c:pt>
                <c:pt idx="730">
                  <c:v>44399</c:v>
                </c:pt>
                <c:pt idx="731">
                  <c:v>44406</c:v>
                </c:pt>
                <c:pt idx="732">
                  <c:v>44413</c:v>
                </c:pt>
                <c:pt idx="733">
                  <c:v>44420</c:v>
                </c:pt>
                <c:pt idx="734">
                  <c:v>44427</c:v>
                </c:pt>
                <c:pt idx="735">
                  <c:v>44434</c:v>
                </c:pt>
                <c:pt idx="736">
                  <c:v>44441</c:v>
                </c:pt>
                <c:pt idx="737">
                  <c:v>44448</c:v>
                </c:pt>
                <c:pt idx="738">
                  <c:v>44455</c:v>
                </c:pt>
                <c:pt idx="739">
                  <c:v>44462</c:v>
                </c:pt>
                <c:pt idx="740">
                  <c:v>44469</c:v>
                </c:pt>
                <c:pt idx="741">
                  <c:v>44476</c:v>
                </c:pt>
                <c:pt idx="742">
                  <c:v>44483</c:v>
                </c:pt>
                <c:pt idx="743">
                  <c:v>44490</c:v>
                </c:pt>
                <c:pt idx="744">
                  <c:v>44497</c:v>
                </c:pt>
                <c:pt idx="745">
                  <c:v>44504</c:v>
                </c:pt>
                <c:pt idx="746">
                  <c:v>44512</c:v>
                </c:pt>
                <c:pt idx="747">
                  <c:v>44518</c:v>
                </c:pt>
                <c:pt idx="748">
                  <c:v>44526</c:v>
                </c:pt>
                <c:pt idx="749">
                  <c:v>44532</c:v>
                </c:pt>
                <c:pt idx="750">
                  <c:v>44539</c:v>
                </c:pt>
                <c:pt idx="751">
                  <c:v>44546</c:v>
                </c:pt>
                <c:pt idx="752">
                  <c:v>44553</c:v>
                </c:pt>
                <c:pt idx="753">
                  <c:v>44565</c:v>
                </c:pt>
                <c:pt idx="754">
                  <c:v>44568</c:v>
                </c:pt>
                <c:pt idx="755">
                  <c:v>44575</c:v>
                </c:pt>
                <c:pt idx="756">
                  <c:v>44582</c:v>
                </c:pt>
                <c:pt idx="757">
                  <c:v>44589</c:v>
                </c:pt>
                <c:pt idx="758">
                  <c:v>44596</c:v>
                </c:pt>
                <c:pt idx="759">
                  <c:v>44603</c:v>
                </c:pt>
                <c:pt idx="760">
                  <c:v>44610</c:v>
                </c:pt>
                <c:pt idx="761">
                  <c:v>44617</c:v>
                </c:pt>
                <c:pt idx="762">
                  <c:v>44624</c:v>
                </c:pt>
                <c:pt idx="763">
                  <c:v>44631</c:v>
                </c:pt>
                <c:pt idx="764">
                  <c:v>44638</c:v>
                </c:pt>
                <c:pt idx="765">
                  <c:v>44645</c:v>
                </c:pt>
                <c:pt idx="766">
                  <c:v>44652</c:v>
                </c:pt>
                <c:pt idx="767">
                  <c:v>44659</c:v>
                </c:pt>
                <c:pt idx="768">
                  <c:v>44670</c:v>
                </c:pt>
                <c:pt idx="769">
                  <c:v>44673</c:v>
                </c:pt>
                <c:pt idx="770">
                  <c:v>44680</c:v>
                </c:pt>
                <c:pt idx="771">
                  <c:v>44687</c:v>
                </c:pt>
                <c:pt idx="772">
                  <c:v>44694</c:v>
                </c:pt>
                <c:pt idx="773">
                  <c:v>44701</c:v>
                </c:pt>
                <c:pt idx="774">
                  <c:v>44708</c:v>
                </c:pt>
                <c:pt idx="775">
                  <c:v>44715</c:v>
                </c:pt>
                <c:pt idx="776">
                  <c:v>44722</c:v>
                </c:pt>
                <c:pt idx="777">
                  <c:v>44729</c:v>
                </c:pt>
                <c:pt idx="778">
                  <c:v>44736</c:v>
                </c:pt>
                <c:pt idx="779">
                  <c:v>44743</c:v>
                </c:pt>
                <c:pt idx="780">
                  <c:v>44750</c:v>
                </c:pt>
                <c:pt idx="781">
                  <c:v>44757</c:v>
                </c:pt>
                <c:pt idx="782">
                  <c:v>44764</c:v>
                </c:pt>
                <c:pt idx="783">
                  <c:v>44771</c:v>
                </c:pt>
                <c:pt idx="784">
                  <c:v>44778</c:v>
                </c:pt>
                <c:pt idx="785">
                  <c:v>44785</c:v>
                </c:pt>
                <c:pt idx="786">
                  <c:v>44792</c:v>
                </c:pt>
                <c:pt idx="787">
                  <c:v>44799</c:v>
                </c:pt>
                <c:pt idx="788">
                  <c:v>44806</c:v>
                </c:pt>
                <c:pt idx="789">
                  <c:v>44813</c:v>
                </c:pt>
                <c:pt idx="790">
                  <c:v>44820</c:v>
                </c:pt>
                <c:pt idx="791">
                  <c:v>44827</c:v>
                </c:pt>
                <c:pt idx="792">
                  <c:v>44834</c:v>
                </c:pt>
                <c:pt idx="793">
                  <c:v>44841</c:v>
                </c:pt>
                <c:pt idx="794">
                  <c:v>44848</c:v>
                </c:pt>
                <c:pt idx="795">
                  <c:v>44855</c:v>
                </c:pt>
                <c:pt idx="796">
                  <c:v>44862</c:v>
                </c:pt>
                <c:pt idx="797">
                  <c:v>44869</c:v>
                </c:pt>
                <c:pt idx="798">
                  <c:v>44879</c:v>
                </c:pt>
                <c:pt idx="799">
                  <c:v>44883</c:v>
                </c:pt>
                <c:pt idx="800">
                  <c:v>44890</c:v>
                </c:pt>
                <c:pt idx="801">
                  <c:v>44897</c:v>
                </c:pt>
                <c:pt idx="802">
                  <c:v>44904</c:v>
                </c:pt>
                <c:pt idx="803">
                  <c:v>44911</c:v>
                </c:pt>
                <c:pt idx="804">
                  <c:v>44918</c:v>
                </c:pt>
                <c:pt idx="805">
                  <c:v>44925</c:v>
                </c:pt>
                <c:pt idx="806">
                  <c:v>44932</c:v>
                </c:pt>
                <c:pt idx="807">
                  <c:v>44939</c:v>
                </c:pt>
                <c:pt idx="808">
                  <c:v>44946</c:v>
                </c:pt>
                <c:pt idx="809">
                  <c:v>44953</c:v>
                </c:pt>
                <c:pt idx="810">
                  <c:v>44960</c:v>
                </c:pt>
                <c:pt idx="811">
                  <c:v>44967</c:v>
                </c:pt>
                <c:pt idx="812">
                  <c:v>44974</c:v>
                </c:pt>
                <c:pt idx="813">
                  <c:v>44981</c:v>
                </c:pt>
                <c:pt idx="814">
                  <c:v>44988</c:v>
                </c:pt>
                <c:pt idx="815">
                  <c:v>44995</c:v>
                </c:pt>
                <c:pt idx="816">
                  <c:v>45002</c:v>
                </c:pt>
                <c:pt idx="817">
                  <c:v>45009</c:v>
                </c:pt>
                <c:pt idx="818">
                  <c:v>45016</c:v>
                </c:pt>
                <c:pt idx="819">
                  <c:v>45027</c:v>
                </c:pt>
                <c:pt idx="820">
                  <c:v>45030</c:v>
                </c:pt>
                <c:pt idx="821">
                  <c:v>45037</c:v>
                </c:pt>
                <c:pt idx="822">
                  <c:v>45044</c:v>
                </c:pt>
                <c:pt idx="823">
                  <c:v>45051</c:v>
                </c:pt>
                <c:pt idx="824">
                  <c:v>45058</c:v>
                </c:pt>
                <c:pt idx="825">
                  <c:v>45065</c:v>
                </c:pt>
                <c:pt idx="826">
                  <c:v>45072</c:v>
                </c:pt>
                <c:pt idx="827">
                  <c:v>45079</c:v>
                </c:pt>
                <c:pt idx="828">
                  <c:v>45086</c:v>
                </c:pt>
                <c:pt idx="829">
                  <c:v>45093</c:v>
                </c:pt>
                <c:pt idx="830">
                  <c:v>45100</c:v>
                </c:pt>
                <c:pt idx="831">
                  <c:v>45107</c:v>
                </c:pt>
                <c:pt idx="832">
                  <c:v>45114</c:v>
                </c:pt>
                <c:pt idx="833">
                  <c:v>45121</c:v>
                </c:pt>
                <c:pt idx="834">
                  <c:v>45128</c:v>
                </c:pt>
                <c:pt idx="835">
                  <c:v>45135</c:v>
                </c:pt>
                <c:pt idx="836">
                  <c:v>45142</c:v>
                </c:pt>
                <c:pt idx="837">
                  <c:v>45149</c:v>
                </c:pt>
                <c:pt idx="838">
                  <c:v>45156</c:v>
                </c:pt>
                <c:pt idx="839">
                  <c:v>45163</c:v>
                </c:pt>
                <c:pt idx="840">
                  <c:v>45170</c:v>
                </c:pt>
                <c:pt idx="841">
                  <c:v>45177</c:v>
                </c:pt>
                <c:pt idx="842">
                  <c:v>45184</c:v>
                </c:pt>
                <c:pt idx="843">
                  <c:v>45191</c:v>
                </c:pt>
                <c:pt idx="844">
                  <c:v>45198</c:v>
                </c:pt>
                <c:pt idx="845">
                  <c:v>45205</c:v>
                </c:pt>
                <c:pt idx="846">
                  <c:v>45212</c:v>
                </c:pt>
                <c:pt idx="847">
                  <c:v>45219</c:v>
                </c:pt>
                <c:pt idx="848">
                  <c:v>45226</c:v>
                </c:pt>
                <c:pt idx="849">
                  <c:v>45233</c:v>
                </c:pt>
                <c:pt idx="850">
                  <c:v>45243</c:v>
                </c:pt>
                <c:pt idx="851">
                  <c:v>45247</c:v>
                </c:pt>
                <c:pt idx="852">
                  <c:v>45254</c:v>
                </c:pt>
                <c:pt idx="853">
                  <c:v>45261</c:v>
                </c:pt>
                <c:pt idx="854">
                  <c:v>45268</c:v>
                </c:pt>
                <c:pt idx="855">
                  <c:v>45275</c:v>
                </c:pt>
                <c:pt idx="856">
                  <c:v>45282</c:v>
                </c:pt>
                <c:pt idx="857">
                  <c:v>45289</c:v>
                </c:pt>
                <c:pt idx="858">
                  <c:v>45296</c:v>
                </c:pt>
                <c:pt idx="859">
                  <c:v>45303</c:v>
                </c:pt>
                <c:pt idx="860">
                  <c:v>45310</c:v>
                </c:pt>
                <c:pt idx="861">
                  <c:v>45317</c:v>
                </c:pt>
                <c:pt idx="862">
                  <c:v>45324</c:v>
                </c:pt>
                <c:pt idx="863">
                  <c:v>45331</c:v>
                </c:pt>
                <c:pt idx="864">
                  <c:v>45338</c:v>
                </c:pt>
                <c:pt idx="865">
                  <c:v>45345</c:v>
                </c:pt>
                <c:pt idx="866">
                  <c:v>45352</c:v>
                </c:pt>
                <c:pt idx="867">
                  <c:v>45359</c:v>
                </c:pt>
                <c:pt idx="868">
                  <c:v>45366</c:v>
                </c:pt>
                <c:pt idx="869">
                  <c:v>45373</c:v>
                </c:pt>
                <c:pt idx="870">
                  <c:v>45384</c:v>
                </c:pt>
                <c:pt idx="871">
                  <c:v>45387</c:v>
                </c:pt>
                <c:pt idx="872">
                  <c:v>45394</c:v>
                </c:pt>
                <c:pt idx="873">
                  <c:v>45401</c:v>
                </c:pt>
                <c:pt idx="874">
                  <c:v>45408</c:v>
                </c:pt>
                <c:pt idx="875">
                  <c:v>45415</c:v>
                </c:pt>
                <c:pt idx="876">
                  <c:v>45422</c:v>
                </c:pt>
                <c:pt idx="877">
                  <c:v>45429</c:v>
                </c:pt>
                <c:pt idx="878">
                  <c:v>45436</c:v>
                </c:pt>
                <c:pt idx="879">
                  <c:v>45443</c:v>
                </c:pt>
                <c:pt idx="880">
                  <c:v>45450</c:v>
                </c:pt>
                <c:pt idx="881">
                  <c:v>45457</c:v>
                </c:pt>
                <c:pt idx="882">
                  <c:v>45464</c:v>
                </c:pt>
                <c:pt idx="883">
                  <c:v>45471</c:v>
                </c:pt>
                <c:pt idx="884">
                  <c:v>45478</c:v>
                </c:pt>
                <c:pt idx="885">
                  <c:v>45485</c:v>
                </c:pt>
                <c:pt idx="886">
                  <c:v>45492</c:v>
                </c:pt>
                <c:pt idx="887">
                  <c:v>45499</c:v>
                </c:pt>
                <c:pt idx="888">
                  <c:v>45506</c:v>
                </c:pt>
                <c:pt idx="889">
                  <c:v>45513</c:v>
                </c:pt>
                <c:pt idx="890">
                  <c:v>45520</c:v>
                </c:pt>
                <c:pt idx="891">
                  <c:v>45527</c:v>
                </c:pt>
                <c:pt idx="892">
                  <c:v>45534</c:v>
                </c:pt>
                <c:pt idx="893">
                  <c:v>45541</c:v>
                </c:pt>
                <c:pt idx="894">
                  <c:v>45548</c:v>
                </c:pt>
                <c:pt idx="895">
                  <c:v>45555</c:v>
                </c:pt>
                <c:pt idx="896">
                  <c:v>45562</c:v>
                </c:pt>
                <c:pt idx="897">
                  <c:v>45569</c:v>
                </c:pt>
                <c:pt idx="898">
                  <c:v>45576</c:v>
                </c:pt>
                <c:pt idx="899">
                  <c:v>45583</c:v>
                </c:pt>
                <c:pt idx="900">
                  <c:v>45590</c:v>
                </c:pt>
                <c:pt idx="901">
                  <c:v>45597</c:v>
                </c:pt>
                <c:pt idx="902">
                  <c:v>45604</c:v>
                </c:pt>
                <c:pt idx="903">
                  <c:v>45611</c:v>
                </c:pt>
                <c:pt idx="904">
                  <c:v>45618</c:v>
                </c:pt>
                <c:pt idx="905">
                  <c:v>45625</c:v>
                </c:pt>
                <c:pt idx="906">
                  <c:v>45632</c:v>
                </c:pt>
                <c:pt idx="907">
                  <c:v>45639</c:v>
                </c:pt>
                <c:pt idx="908">
                  <c:v>45646</c:v>
                </c:pt>
                <c:pt idx="909">
                  <c:v>45657</c:v>
                </c:pt>
                <c:pt idx="910">
                  <c:v>45664</c:v>
                </c:pt>
                <c:pt idx="911">
                  <c:v>45671</c:v>
                </c:pt>
                <c:pt idx="912">
                  <c:v>45678</c:v>
                </c:pt>
                <c:pt idx="913">
                  <c:v>45685</c:v>
                </c:pt>
                <c:pt idx="914">
                  <c:v>45692</c:v>
                </c:pt>
                <c:pt idx="915">
                  <c:v>45699</c:v>
                </c:pt>
                <c:pt idx="916">
                  <c:v>45706</c:v>
                </c:pt>
                <c:pt idx="917">
                  <c:v>45713</c:v>
                </c:pt>
                <c:pt idx="918">
                  <c:v>45720</c:v>
                </c:pt>
                <c:pt idx="919">
                  <c:v>45727</c:v>
                </c:pt>
                <c:pt idx="920">
                  <c:v>45734</c:v>
                </c:pt>
                <c:pt idx="921">
                  <c:v>45741</c:v>
                </c:pt>
                <c:pt idx="922">
                  <c:v>45748</c:v>
                </c:pt>
                <c:pt idx="923">
                  <c:v>45755</c:v>
                </c:pt>
                <c:pt idx="924">
                  <c:v>45762</c:v>
                </c:pt>
                <c:pt idx="925">
                  <c:v>45771</c:v>
                </c:pt>
                <c:pt idx="926">
                  <c:v>45778</c:v>
                </c:pt>
                <c:pt idx="927">
                  <c:v>45785</c:v>
                </c:pt>
                <c:pt idx="928">
                  <c:v>45792</c:v>
                </c:pt>
                <c:pt idx="929">
                  <c:v>45799</c:v>
                </c:pt>
                <c:pt idx="930">
                  <c:v>45806</c:v>
                </c:pt>
                <c:pt idx="931">
                  <c:v>45813</c:v>
                </c:pt>
                <c:pt idx="932">
                  <c:v>45820</c:v>
                </c:pt>
                <c:pt idx="933">
                  <c:v>45827</c:v>
                </c:pt>
                <c:pt idx="934">
                  <c:v>45834</c:v>
                </c:pt>
                <c:pt idx="935">
                  <c:v>45841</c:v>
                </c:pt>
                <c:pt idx="936">
                  <c:v>45848</c:v>
                </c:pt>
                <c:pt idx="937">
                  <c:v>45855</c:v>
                </c:pt>
                <c:pt idx="938">
                  <c:v>45862</c:v>
                </c:pt>
                <c:pt idx="939">
                  <c:v>45869</c:v>
                </c:pt>
                <c:pt idx="940">
                  <c:v>45876</c:v>
                </c:pt>
                <c:pt idx="941">
                  <c:v>45883</c:v>
                </c:pt>
                <c:pt idx="942">
                  <c:v>45890</c:v>
                </c:pt>
                <c:pt idx="943">
                  <c:v>45897</c:v>
                </c:pt>
                <c:pt idx="944">
                  <c:v>45904</c:v>
                </c:pt>
                <c:pt idx="945">
                  <c:v>45911</c:v>
                </c:pt>
                <c:pt idx="946">
                  <c:v>45918</c:v>
                </c:pt>
                <c:pt idx="947">
                  <c:v>45925</c:v>
                </c:pt>
                <c:pt idx="948">
                  <c:v>45932</c:v>
                </c:pt>
                <c:pt idx="949">
                  <c:v>45939</c:v>
                </c:pt>
                <c:pt idx="950">
                  <c:v>45946</c:v>
                </c:pt>
                <c:pt idx="951">
                  <c:v>45953</c:v>
                </c:pt>
                <c:pt idx="952">
                  <c:v>45960</c:v>
                </c:pt>
                <c:pt idx="953">
                  <c:v>45967</c:v>
                </c:pt>
                <c:pt idx="954">
                  <c:v>45974</c:v>
                </c:pt>
                <c:pt idx="955">
                  <c:v>45981</c:v>
                </c:pt>
                <c:pt idx="956">
                  <c:v>45989</c:v>
                </c:pt>
                <c:pt idx="957">
                  <c:v>45995</c:v>
                </c:pt>
                <c:pt idx="958">
                  <c:v>46002</c:v>
                </c:pt>
                <c:pt idx="959">
                  <c:v>46009</c:v>
                </c:pt>
                <c:pt idx="960">
                  <c:v>46020</c:v>
                </c:pt>
                <c:pt idx="961">
                  <c:v>46024</c:v>
                </c:pt>
                <c:pt idx="962">
                  <c:v>46030</c:v>
                </c:pt>
                <c:pt idx="963">
                  <c:v>46037</c:v>
                </c:pt>
                <c:pt idx="964">
                  <c:v>46044</c:v>
                </c:pt>
                <c:pt idx="965">
                  <c:v>46051</c:v>
                </c:pt>
                <c:pt idx="966">
                  <c:v>46058</c:v>
                </c:pt>
                <c:pt idx="967">
                  <c:v>46065</c:v>
                </c:pt>
                <c:pt idx="968">
                  <c:v>46072</c:v>
                </c:pt>
                <c:pt idx="969">
                  <c:v>46079</c:v>
                </c:pt>
                <c:pt idx="970">
                  <c:v>46086</c:v>
                </c:pt>
                <c:pt idx="971">
                  <c:v>46093</c:v>
                </c:pt>
                <c:pt idx="972">
                  <c:v>46100</c:v>
                </c:pt>
                <c:pt idx="973">
                  <c:v>46107</c:v>
                </c:pt>
                <c:pt idx="974">
                  <c:v>46114</c:v>
                </c:pt>
                <c:pt idx="975">
                  <c:v>46121</c:v>
                </c:pt>
                <c:pt idx="976">
                  <c:v>46128</c:v>
                </c:pt>
                <c:pt idx="977">
                  <c:v>46135</c:v>
                </c:pt>
                <c:pt idx="978">
                  <c:v>46142</c:v>
                </c:pt>
                <c:pt idx="979">
                  <c:v>46149</c:v>
                </c:pt>
                <c:pt idx="980">
                  <c:v>46156</c:v>
                </c:pt>
                <c:pt idx="981">
                  <c:v>46163</c:v>
                </c:pt>
                <c:pt idx="982">
                  <c:v>46170</c:v>
                </c:pt>
                <c:pt idx="983">
                  <c:v>46177</c:v>
                </c:pt>
                <c:pt idx="984">
                  <c:v>46184</c:v>
                </c:pt>
                <c:pt idx="985">
                  <c:v>46191</c:v>
                </c:pt>
                <c:pt idx="986">
                  <c:v>46198</c:v>
                </c:pt>
                <c:pt idx="987">
                  <c:v>46205</c:v>
                </c:pt>
                <c:pt idx="988">
                  <c:v>46212</c:v>
                </c:pt>
                <c:pt idx="989">
                  <c:v>46219</c:v>
                </c:pt>
                <c:pt idx="990">
                  <c:v>46226</c:v>
                </c:pt>
                <c:pt idx="991">
                  <c:v>46233</c:v>
                </c:pt>
                <c:pt idx="992">
                  <c:v>46240</c:v>
                </c:pt>
                <c:pt idx="993">
                  <c:v>46247</c:v>
                </c:pt>
                <c:pt idx="994">
                  <c:v>46254</c:v>
                </c:pt>
                <c:pt idx="995">
                  <c:v>46261</c:v>
                </c:pt>
                <c:pt idx="996">
                  <c:v>46268</c:v>
                </c:pt>
                <c:pt idx="997">
                  <c:v>46275</c:v>
                </c:pt>
                <c:pt idx="998">
                  <c:v>46282</c:v>
                </c:pt>
                <c:pt idx="999">
                  <c:v>46289</c:v>
                </c:pt>
                <c:pt idx="1000">
                  <c:v>46296</c:v>
                </c:pt>
                <c:pt idx="1001">
                  <c:v>46303</c:v>
                </c:pt>
                <c:pt idx="1002">
                  <c:v>46310</c:v>
                </c:pt>
                <c:pt idx="1003">
                  <c:v>46317</c:v>
                </c:pt>
                <c:pt idx="1004">
                  <c:v>46324</c:v>
                </c:pt>
                <c:pt idx="1005">
                  <c:v>46331</c:v>
                </c:pt>
                <c:pt idx="1006">
                  <c:v>46338</c:v>
                </c:pt>
                <c:pt idx="1007">
                  <c:v>46345</c:v>
                </c:pt>
                <c:pt idx="1008">
                  <c:v>46353</c:v>
                </c:pt>
                <c:pt idx="1009">
                  <c:v>46359</c:v>
                </c:pt>
                <c:pt idx="1010">
                  <c:v>46366</c:v>
                </c:pt>
                <c:pt idx="1011">
                  <c:v>46373</c:v>
                </c:pt>
                <c:pt idx="1012">
                  <c:v>46380</c:v>
                </c:pt>
                <c:pt idx="1013">
                  <c:v>46387</c:v>
                </c:pt>
                <c:pt idx="1014">
                  <c:v>46394</c:v>
                </c:pt>
                <c:pt idx="1015">
                  <c:v>46401</c:v>
                </c:pt>
                <c:pt idx="1016">
                  <c:v>46408</c:v>
                </c:pt>
                <c:pt idx="1017">
                  <c:v>46415</c:v>
                </c:pt>
                <c:pt idx="1018">
                  <c:v>46422</c:v>
                </c:pt>
                <c:pt idx="1019">
                  <c:v>46429</c:v>
                </c:pt>
                <c:pt idx="1020">
                  <c:v>46436</c:v>
                </c:pt>
                <c:pt idx="1021">
                  <c:v>46443</c:v>
                </c:pt>
                <c:pt idx="1022">
                  <c:v>46450</c:v>
                </c:pt>
                <c:pt idx="1023">
                  <c:v>46457</c:v>
                </c:pt>
                <c:pt idx="1024">
                  <c:v>46464</c:v>
                </c:pt>
                <c:pt idx="1025">
                  <c:v>46471</c:v>
                </c:pt>
                <c:pt idx="1026">
                  <c:v>46478</c:v>
                </c:pt>
                <c:pt idx="1027">
                  <c:v>46485</c:v>
                </c:pt>
                <c:pt idx="1028">
                  <c:v>46492</c:v>
                </c:pt>
                <c:pt idx="1029">
                  <c:v>46499</c:v>
                </c:pt>
                <c:pt idx="1030">
                  <c:v>46506</c:v>
                </c:pt>
                <c:pt idx="1031">
                  <c:v>46513</c:v>
                </c:pt>
                <c:pt idx="1032">
                  <c:v>46520</c:v>
                </c:pt>
                <c:pt idx="1033">
                  <c:v>46527</c:v>
                </c:pt>
                <c:pt idx="1034">
                  <c:v>46534</c:v>
                </c:pt>
                <c:pt idx="1035">
                  <c:v>46541</c:v>
                </c:pt>
                <c:pt idx="1036">
                  <c:v>46548</c:v>
                </c:pt>
                <c:pt idx="1037">
                  <c:v>46555</c:v>
                </c:pt>
                <c:pt idx="1038">
                  <c:v>46562</c:v>
                </c:pt>
                <c:pt idx="1039">
                  <c:v>46569</c:v>
                </c:pt>
                <c:pt idx="1040">
                  <c:v>46576</c:v>
                </c:pt>
                <c:pt idx="1041">
                  <c:v>46583</c:v>
                </c:pt>
                <c:pt idx="1042">
                  <c:v>46590</c:v>
                </c:pt>
                <c:pt idx="1043">
                  <c:v>46597</c:v>
                </c:pt>
                <c:pt idx="1044">
                  <c:v>46604</c:v>
                </c:pt>
                <c:pt idx="1045">
                  <c:v>46611</c:v>
                </c:pt>
                <c:pt idx="1046">
                  <c:v>46618</c:v>
                </c:pt>
                <c:pt idx="1047">
                  <c:v>46625</c:v>
                </c:pt>
                <c:pt idx="1048">
                  <c:v>46632</c:v>
                </c:pt>
                <c:pt idx="1049">
                  <c:v>46639</c:v>
                </c:pt>
                <c:pt idx="1050">
                  <c:v>46646</c:v>
                </c:pt>
                <c:pt idx="1051">
                  <c:v>46653</c:v>
                </c:pt>
                <c:pt idx="1052">
                  <c:v>46660</c:v>
                </c:pt>
                <c:pt idx="1053">
                  <c:v>46667</c:v>
                </c:pt>
                <c:pt idx="1054">
                  <c:v>46674</c:v>
                </c:pt>
                <c:pt idx="1055">
                  <c:v>46681</c:v>
                </c:pt>
                <c:pt idx="1056">
                  <c:v>46688</c:v>
                </c:pt>
                <c:pt idx="1057">
                  <c:v>46695</c:v>
                </c:pt>
                <c:pt idx="1058">
                  <c:v>46703</c:v>
                </c:pt>
                <c:pt idx="1059">
                  <c:v>46709</c:v>
                </c:pt>
                <c:pt idx="1060">
                  <c:v>46717</c:v>
                </c:pt>
                <c:pt idx="1061">
                  <c:v>46723</c:v>
                </c:pt>
                <c:pt idx="1062">
                  <c:v>46730</c:v>
                </c:pt>
                <c:pt idx="1063">
                  <c:v>46737</c:v>
                </c:pt>
                <c:pt idx="1064">
                  <c:v>46744</c:v>
                </c:pt>
                <c:pt idx="1065">
                  <c:v>46756</c:v>
                </c:pt>
                <c:pt idx="1066">
                  <c:v>46759</c:v>
                </c:pt>
                <c:pt idx="1067">
                  <c:v>46766</c:v>
                </c:pt>
                <c:pt idx="1068">
                  <c:v>46773</c:v>
                </c:pt>
                <c:pt idx="1069">
                  <c:v>46780</c:v>
                </c:pt>
                <c:pt idx="1070">
                  <c:v>46787</c:v>
                </c:pt>
                <c:pt idx="1071">
                  <c:v>46794</c:v>
                </c:pt>
                <c:pt idx="1072">
                  <c:v>46801</c:v>
                </c:pt>
                <c:pt idx="1073">
                  <c:v>46808</c:v>
                </c:pt>
                <c:pt idx="1074">
                  <c:v>46815</c:v>
                </c:pt>
                <c:pt idx="1075">
                  <c:v>46822</c:v>
                </c:pt>
                <c:pt idx="1076">
                  <c:v>46829</c:v>
                </c:pt>
                <c:pt idx="1077">
                  <c:v>46836</c:v>
                </c:pt>
                <c:pt idx="1078">
                  <c:v>46843</c:v>
                </c:pt>
                <c:pt idx="1079">
                  <c:v>46850</c:v>
                </c:pt>
                <c:pt idx="1080">
                  <c:v>46861</c:v>
                </c:pt>
                <c:pt idx="1081">
                  <c:v>46864</c:v>
                </c:pt>
                <c:pt idx="1082">
                  <c:v>46871</c:v>
                </c:pt>
                <c:pt idx="1083">
                  <c:v>46878</c:v>
                </c:pt>
                <c:pt idx="1084">
                  <c:v>46885</c:v>
                </c:pt>
                <c:pt idx="1085">
                  <c:v>46892</c:v>
                </c:pt>
                <c:pt idx="1086">
                  <c:v>46899</c:v>
                </c:pt>
                <c:pt idx="1087">
                  <c:v>46906</c:v>
                </c:pt>
                <c:pt idx="1088">
                  <c:v>46913</c:v>
                </c:pt>
                <c:pt idx="1089">
                  <c:v>46920</c:v>
                </c:pt>
                <c:pt idx="1090">
                  <c:v>46927</c:v>
                </c:pt>
                <c:pt idx="1091">
                  <c:v>46934</c:v>
                </c:pt>
                <c:pt idx="1092">
                  <c:v>46941</c:v>
                </c:pt>
                <c:pt idx="1093">
                  <c:v>46948</c:v>
                </c:pt>
                <c:pt idx="1094">
                  <c:v>46955</c:v>
                </c:pt>
                <c:pt idx="1095">
                  <c:v>46962</c:v>
                </c:pt>
                <c:pt idx="1096">
                  <c:v>46969</c:v>
                </c:pt>
                <c:pt idx="1097">
                  <c:v>46976</c:v>
                </c:pt>
                <c:pt idx="1098">
                  <c:v>46983</c:v>
                </c:pt>
                <c:pt idx="1099">
                  <c:v>46990</c:v>
                </c:pt>
                <c:pt idx="1100">
                  <c:v>46997</c:v>
                </c:pt>
                <c:pt idx="1101">
                  <c:v>47004</c:v>
                </c:pt>
                <c:pt idx="1102">
                  <c:v>47011</c:v>
                </c:pt>
                <c:pt idx="1103">
                  <c:v>47018</c:v>
                </c:pt>
                <c:pt idx="1104">
                  <c:v>47025</c:v>
                </c:pt>
                <c:pt idx="1105">
                  <c:v>47032</c:v>
                </c:pt>
                <c:pt idx="1106">
                  <c:v>47039</c:v>
                </c:pt>
                <c:pt idx="1107">
                  <c:v>47046</c:v>
                </c:pt>
                <c:pt idx="1108">
                  <c:v>47053</c:v>
                </c:pt>
                <c:pt idx="1109">
                  <c:v>47060</c:v>
                </c:pt>
                <c:pt idx="1110">
                  <c:v>47070</c:v>
                </c:pt>
                <c:pt idx="1111">
                  <c:v>47074</c:v>
                </c:pt>
                <c:pt idx="1112">
                  <c:v>47081</c:v>
                </c:pt>
                <c:pt idx="1113">
                  <c:v>47088</c:v>
                </c:pt>
                <c:pt idx="1114">
                  <c:v>47095</c:v>
                </c:pt>
                <c:pt idx="1115">
                  <c:v>47102</c:v>
                </c:pt>
                <c:pt idx="1116">
                  <c:v>47109</c:v>
                </c:pt>
                <c:pt idx="1117">
                  <c:v>47116</c:v>
                </c:pt>
                <c:pt idx="1118">
                  <c:v>47123</c:v>
                </c:pt>
                <c:pt idx="1119">
                  <c:v>47130</c:v>
                </c:pt>
                <c:pt idx="1120">
                  <c:v>47137</c:v>
                </c:pt>
                <c:pt idx="1121">
                  <c:v>47144</c:v>
                </c:pt>
                <c:pt idx="1122">
                  <c:v>47151</c:v>
                </c:pt>
                <c:pt idx="1123">
                  <c:v>47158</c:v>
                </c:pt>
                <c:pt idx="1124">
                  <c:v>47165</c:v>
                </c:pt>
                <c:pt idx="1125">
                  <c:v>47172</c:v>
                </c:pt>
                <c:pt idx="1126">
                  <c:v>47179</c:v>
                </c:pt>
                <c:pt idx="1127">
                  <c:v>47186</c:v>
                </c:pt>
                <c:pt idx="1128">
                  <c:v>47193</c:v>
                </c:pt>
                <c:pt idx="1129">
                  <c:v>47200</c:v>
                </c:pt>
                <c:pt idx="1130">
                  <c:v>47211</c:v>
                </c:pt>
                <c:pt idx="1131">
                  <c:v>47214</c:v>
                </c:pt>
                <c:pt idx="1132">
                  <c:v>47221</c:v>
                </c:pt>
                <c:pt idx="1133">
                  <c:v>47228</c:v>
                </c:pt>
                <c:pt idx="1134">
                  <c:v>47235</c:v>
                </c:pt>
                <c:pt idx="1135">
                  <c:v>47242</c:v>
                </c:pt>
                <c:pt idx="1136">
                  <c:v>47249</c:v>
                </c:pt>
                <c:pt idx="1137">
                  <c:v>47256</c:v>
                </c:pt>
                <c:pt idx="1138">
                  <c:v>47263</c:v>
                </c:pt>
                <c:pt idx="1139">
                  <c:v>47270</c:v>
                </c:pt>
                <c:pt idx="1140">
                  <c:v>47277</c:v>
                </c:pt>
                <c:pt idx="1141">
                  <c:v>47284</c:v>
                </c:pt>
                <c:pt idx="1142">
                  <c:v>47291</c:v>
                </c:pt>
                <c:pt idx="1143">
                  <c:v>47298</c:v>
                </c:pt>
                <c:pt idx="1144">
                  <c:v>47305</c:v>
                </c:pt>
                <c:pt idx="1145">
                  <c:v>47312</c:v>
                </c:pt>
                <c:pt idx="1146">
                  <c:v>47319</c:v>
                </c:pt>
                <c:pt idx="1147">
                  <c:v>47326</c:v>
                </c:pt>
                <c:pt idx="1148">
                  <c:v>47333</c:v>
                </c:pt>
                <c:pt idx="1149">
                  <c:v>47340</c:v>
                </c:pt>
                <c:pt idx="1150">
                  <c:v>47347</c:v>
                </c:pt>
                <c:pt idx="1151">
                  <c:v>47354</c:v>
                </c:pt>
                <c:pt idx="1152">
                  <c:v>47361</c:v>
                </c:pt>
                <c:pt idx="1153">
                  <c:v>47368</c:v>
                </c:pt>
                <c:pt idx="1154">
                  <c:v>47375</c:v>
                </c:pt>
                <c:pt idx="1155">
                  <c:v>47382</c:v>
                </c:pt>
                <c:pt idx="1156">
                  <c:v>47389</c:v>
                </c:pt>
                <c:pt idx="1157">
                  <c:v>47396</c:v>
                </c:pt>
                <c:pt idx="1158">
                  <c:v>47403</c:v>
                </c:pt>
                <c:pt idx="1159">
                  <c:v>47410</c:v>
                </c:pt>
                <c:pt idx="1160">
                  <c:v>47417</c:v>
                </c:pt>
                <c:pt idx="1161">
                  <c:v>47424</c:v>
                </c:pt>
                <c:pt idx="1162">
                  <c:v>47431</c:v>
                </c:pt>
                <c:pt idx="1163">
                  <c:v>47438</c:v>
                </c:pt>
                <c:pt idx="1164">
                  <c:v>47445</c:v>
                </c:pt>
                <c:pt idx="1165">
                  <c:v>47452</c:v>
                </c:pt>
                <c:pt idx="1166">
                  <c:v>47459</c:v>
                </c:pt>
                <c:pt idx="1167">
                  <c:v>47466</c:v>
                </c:pt>
                <c:pt idx="1168">
                  <c:v>47473</c:v>
                </c:pt>
                <c:pt idx="1169">
                  <c:v>47483</c:v>
                </c:pt>
                <c:pt idx="1170">
                  <c:v>47490</c:v>
                </c:pt>
                <c:pt idx="1171">
                  <c:v>47497</c:v>
                </c:pt>
                <c:pt idx="1172">
                  <c:v>47505</c:v>
                </c:pt>
                <c:pt idx="1173">
                  <c:v>47511</c:v>
                </c:pt>
                <c:pt idx="1174">
                  <c:v>47518</c:v>
                </c:pt>
                <c:pt idx="1175">
                  <c:v>47525</c:v>
                </c:pt>
                <c:pt idx="1176">
                  <c:v>47533</c:v>
                </c:pt>
                <c:pt idx="1177">
                  <c:v>47539</c:v>
                </c:pt>
                <c:pt idx="1178">
                  <c:v>47546</c:v>
                </c:pt>
                <c:pt idx="1179">
                  <c:v>47553</c:v>
                </c:pt>
                <c:pt idx="1180">
                  <c:v>47560</c:v>
                </c:pt>
                <c:pt idx="1181">
                  <c:v>47567</c:v>
                </c:pt>
                <c:pt idx="1182">
                  <c:v>47574</c:v>
                </c:pt>
                <c:pt idx="1183">
                  <c:v>47581</c:v>
                </c:pt>
                <c:pt idx="1184">
                  <c:v>47588</c:v>
                </c:pt>
                <c:pt idx="1185">
                  <c:v>47597</c:v>
                </c:pt>
                <c:pt idx="1186">
                  <c:v>47602</c:v>
                </c:pt>
                <c:pt idx="1187">
                  <c:v>47610</c:v>
                </c:pt>
                <c:pt idx="1188">
                  <c:v>47616</c:v>
                </c:pt>
                <c:pt idx="1189">
                  <c:v>47623</c:v>
                </c:pt>
                <c:pt idx="1190">
                  <c:v>47631</c:v>
                </c:pt>
                <c:pt idx="1191">
                  <c:v>47637</c:v>
                </c:pt>
                <c:pt idx="1192">
                  <c:v>47644</c:v>
                </c:pt>
                <c:pt idx="1193">
                  <c:v>47651</c:v>
                </c:pt>
                <c:pt idx="1194">
                  <c:v>47658</c:v>
                </c:pt>
                <c:pt idx="1195">
                  <c:v>47665</c:v>
                </c:pt>
                <c:pt idx="1196">
                  <c:v>47672</c:v>
                </c:pt>
                <c:pt idx="1197">
                  <c:v>47679</c:v>
                </c:pt>
                <c:pt idx="1198">
                  <c:v>47686</c:v>
                </c:pt>
                <c:pt idx="1199">
                  <c:v>47693</c:v>
                </c:pt>
                <c:pt idx="1200">
                  <c:v>47700</c:v>
                </c:pt>
                <c:pt idx="1201">
                  <c:v>47707</c:v>
                </c:pt>
                <c:pt idx="1202">
                  <c:v>47714</c:v>
                </c:pt>
                <c:pt idx="1203">
                  <c:v>47722</c:v>
                </c:pt>
                <c:pt idx="1204">
                  <c:v>47729</c:v>
                </c:pt>
                <c:pt idx="1205">
                  <c:v>47735</c:v>
                </c:pt>
                <c:pt idx="1206">
                  <c:v>47742</c:v>
                </c:pt>
                <c:pt idx="1207">
                  <c:v>47749</c:v>
                </c:pt>
                <c:pt idx="1208">
                  <c:v>47756</c:v>
                </c:pt>
                <c:pt idx="1209">
                  <c:v>47763</c:v>
                </c:pt>
                <c:pt idx="1210">
                  <c:v>47771</c:v>
                </c:pt>
                <c:pt idx="1211">
                  <c:v>47777</c:v>
                </c:pt>
                <c:pt idx="1212">
                  <c:v>47784</c:v>
                </c:pt>
                <c:pt idx="1213">
                  <c:v>47791</c:v>
                </c:pt>
                <c:pt idx="1214">
                  <c:v>47799</c:v>
                </c:pt>
                <c:pt idx="1215">
                  <c:v>47805</c:v>
                </c:pt>
                <c:pt idx="1216">
                  <c:v>47812</c:v>
                </c:pt>
                <c:pt idx="1217">
                  <c:v>47819</c:v>
                </c:pt>
                <c:pt idx="1218">
                  <c:v>47826</c:v>
                </c:pt>
                <c:pt idx="1219">
                  <c:v>47833</c:v>
                </c:pt>
                <c:pt idx="1220">
                  <c:v>47840</c:v>
                </c:pt>
                <c:pt idx="1221">
                  <c:v>47848</c:v>
                </c:pt>
                <c:pt idx="1222">
                  <c:v>47855</c:v>
                </c:pt>
                <c:pt idx="1223">
                  <c:v>47862</c:v>
                </c:pt>
                <c:pt idx="1224">
                  <c:v>47869</c:v>
                </c:pt>
                <c:pt idx="1225">
                  <c:v>47876</c:v>
                </c:pt>
                <c:pt idx="1226">
                  <c:v>47883</c:v>
                </c:pt>
                <c:pt idx="1227">
                  <c:v>47890</c:v>
                </c:pt>
                <c:pt idx="1228">
                  <c:v>47897</c:v>
                </c:pt>
                <c:pt idx="1229">
                  <c:v>47904</c:v>
                </c:pt>
                <c:pt idx="1230">
                  <c:v>47911</c:v>
                </c:pt>
                <c:pt idx="1231">
                  <c:v>47918</c:v>
                </c:pt>
                <c:pt idx="1232">
                  <c:v>47925</c:v>
                </c:pt>
                <c:pt idx="1233">
                  <c:v>47932</c:v>
                </c:pt>
                <c:pt idx="1234">
                  <c:v>47939</c:v>
                </c:pt>
                <c:pt idx="1235">
                  <c:v>47946</c:v>
                </c:pt>
                <c:pt idx="1236">
                  <c:v>47955</c:v>
                </c:pt>
                <c:pt idx="1237">
                  <c:v>47962</c:v>
                </c:pt>
                <c:pt idx="1238">
                  <c:v>47969</c:v>
                </c:pt>
                <c:pt idx="1239">
                  <c:v>47976</c:v>
                </c:pt>
                <c:pt idx="1240">
                  <c:v>47983</c:v>
                </c:pt>
                <c:pt idx="1241">
                  <c:v>47990</c:v>
                </c:pt>
                <c:pt idx="1242">
                  <c:v>47997</c:v>
                </c:pt>
                <c:pt idx="1243">
                  <c:v>48004</c:v>
                </c:pt>
                <c:pt idx="1244">
                  <c:v>48011</c:v>
                </c:pt>
                <c:pt idx="1245">
                  <c:v>48018</c:v>
                </c:pt>
                <c:pt idx="1246">
                  <c:v>48025</c:v>
                </c:pt>
                <c:pt idx="1247">
                  <c:v>48032</c:v>
                </c:pt>
                <c:pt idx="1248">
                  <c:v>48039</c:v>
                </c:pt>
                <c:pt idx="1249">
                  <c:v>48046</c:v>
                </c:pt>
                <c:pt idx="1250">
                  <c:v>48053</c:v>
                </c:pt>
                <c:pt idx="1251">
                  <c:v>48060</c:v>
                </c:pt>
                <c:pt idx="1252">
                  <c:v>48067</c:v>
                </c:pt>
                <c:pt idx="1253">
                  <c:v>48074</c:v>
                </c:pt>
                <c:pt idx="1254">
                  <c:v>48081</c:v>
                </c:pt>
                <c:pt idx="1255">
                  <c:v>48088</c:v>
                </c:pt>
                <c:pt idx="1256">
                  <c:v>48095</c:v>
                </c:pt>
                <c:pt idx="1257">
                  <c:v>48102</c:v>
                </c:pt>
                <c:pt idx="1258">
                  <c:v>48109</c:v>
                </c:pt>
                <c:pt idx="1259">
                  <c:v>48116</c:v>
                </c:pt>
                <c:pt idx="1260">
                  <c:v>48123</c:v>
                </c:pt>
                <c:pt idx="1261">
                  <c:v>48130</c:v>
                </c:pt>
                <c:pt idx="1262">
                  <c:v>48137</c:v>
                </c:pt>
                <c:pt idx="1263">
                  <c:v>48144</c:v>
                </c:pt>
                <c:pt idx="1264">
                  <c:v>48151</c:v>
                </c:pt>
                <c:pt idx="1265">
                  <c:v>48158</c:v>
                </c:pt>
                <c:pt idx="1266">
                  <c:v>48165</c:v>
                </c:pt>
                <c:pt idx="1267">
                  <c:v>48172</c:v>
                </c:pt>
                <c:pt idx="1268">
                  <c:v>48180</c:v>
                </c:pt>
                <c:pt idx="1269">
                  <c:v>48186</c:v>
                </c:pt>
                <c:pt idx="1270">
                  <c:v>48193</c:v>
                </c:pt>
                <c:pt idx="1271">
                  <c:v>48200</c:v>
                </c:pt>
                <c:pt idx="1272">
                  <c:v>48211</c:v>
                </c:pt>
                <c:pt idx="1273">
                  <c:v>48215</c:v>
                </c:pt>
                <c:pt idx="1274">
                  <c:v>48221</c:v>
                </c:pt>
                <c:pt idx="1275">
                  <c:v>48228</c:v>
                </c:pt>
                <c:pt idx="1276">
                  <c:v>48235</c:v>
                </c:pt>
                <c:pt idx="1277">
                  <c:v>48242</c:v>
                </c:pt>
                <c:pt idx="1278">
                  <c:v>48249</c:v>
                </c:pt>
                <c:pt idx="1279">
                  <c:v>48256</c:v>
                </c:pt>
                <c:pt idx="1280">
                  <c:v>48263</c:v>
                </c:pt>
                <c:pt idx="1281">
                  <c:v>48270</c:v>
                </c:pt>
                <c:pt idx="1282">
                  <c:v>48277</c:v>
                </c:pt>
                <c:pt idx="1283">
                  <c:v>48284</c:v>
                </c:pt>
                <c:pt idx="1284">
                  <c:v>48291</c:v>
                </c:pt>
                <c:pt idx="1285">
                  <c:v>48298</c:v>
                </c:pt>
                <c:pt idx="1286">
                  <c:v>48305</c:v>
                </c:pt>
                <c:pt idx="1287">
                  <c:v>48312</c:v>
                </c:pt>
                <c:pt idx="1288">
                  <c:v>48319</c:v>
                </c:pt>
                <c:pt idx="1289">
                  <c:v>48326</c:v>
                </c:pt>
                <c:pt idx="1290">
                  <c:v>48333</c:v>
                </c:pt>
                <c:pt idx="1291">
                  <c:v>48340</c:v>
                </c:pt>
                <c:pt idx="1292">
                  <c:v>48347</c:v>
                </c:pt>
                <c:pt idx="1293">
                  <c:v>48354</c:v>
                </c:pt>
                <c:pt idx="1294">
                  <c:v>48361</c:v>
                </c:pt>
                <c:pt idx="1295">
                  <c:v>48368</c:v>
                </c:pt>
                <c:pt idx="1296">
                  <c:v>48375</c:v>
                </c:pt>
                <c:pt idx="1297">
                  <c:v>48382</c:v>
                </c:pt>
                <c:pt idx="1298">
                  <c:v>48389</c:v>
                </c:pt>
                <c:pt idx="1299">
                  <c:v>48396</c:v>
                </c:pt>
                <c:pt idx="1300">
                  <c:v>48403</c:v>
                </c:pt>
                <c:pt idx="1301">
                  <c:v>48410</c:v>
                </c:pt>
                <c:pt idx="1302">
                  <c:v>48417</c:v>
                </c:pt>
                <c:pt idx="1303">
                  <c:v>48424</c:v>
                </c:pt>
                <c:pt idx="1304">
                  <c:v>48431</c:v>
                </c:pt>
                <c:pt idx="1305">
                  <c:v>48438</c:v>
                </c:pt>
                <c:pt idx="1306">
                  <c:v>48445</c:v>
                </c:pt>
                <c:pt idx="1307">
                  <c:v>48452</c:v>
                </c:pt>
                <c:pt idx="1308">
                  <c:v>48459</c:v>
                </c:pt>
                <c:pt idx="1309">
                  <c:v>48466</c:v>
                </c:pt>
                <c:pt idx="1310">
                  <c:v>48473</c:v>
                </c:pt>
                <c:pt idx="1311">
                  <c:v>48480</c:v>
                </c:pt>
                <c:pt idx="1312">
                  <c:v>48487</c:v>
                </c:pt>
                <c:pt idx="1313">
                  <c:v>48494</c:v>
                </c:pt>
                <c:pt idx="1314">
                  <c:v>48501</c:v>
                </c:pt>
                <c:pt idx="1315">
                  <c:v>48508</c:v>
                </c:pt>
                <c:pt idx="1316">
                  <c:v>48515</c:v>
                </c:pt>
                <c:pt idx="1317">
                  <c:v>48522</c:v>
                </c:pt>
                <c:pt idx="1318">
                  <c:v>48530</c:v>
                </c:pt>
                <c:pt idx="1319">
                  <c:v>48536</c:v>
                </c:pt>
                <c:pt idx="1320">
                  <c:v>48544</c:v>
                </c:pt>
                <c:pt idx="1321">
                  <c:v>48550</c:v>
                </c:pt>
                <c:pt idx="1322">
                  <c:v>48557</c:v>
                </c:pt>
                <c:pt idx="1323">
                  <c:v>48564</c:v>
                </c:pt>
                <c:pt idx="1324">
                  <c:v>48571</c:v>
                </c:pt>
                <c:pt idx="1325">
                  <c:v>48583</c:v>
                </c:pt>
                <c:pt idx="1326">
                  <c:v>48586</c:v>
                </c:pt>
                <c:pt idx="1327">
                  <c:v>48593</c:v>
                </c:pt>
                <c:pt idx="1328">
                  <c:v>48600</c:v>
                </c:pt>
                <c:pt idx="1329">
                  <c:v>48607</c:v>
                </c:pt>
                <c:pt idx="1330">
                  <c:v>48614</c:v>
                </c:pt>
                <c:pt idx="1331">
                  <c:v>48621</c:v>
                </c:pt>
                <c:pt idx="1332">
                  <c:v>48628</c:v>
                </c:pt>
                <c:pt idx="1333">
                  <c:v>48635</c:v>
                </c:pt>
                <c:pt idx="1334">
                  <c:v>48642</c:v>
                </c:pt>
                <c:pt idx="1335">
                  <c:v>48649</c:v>
                </c:pt>
                <c:pt idx="1336">
                  <c:v>48656</c:v>
                </c:pt>
                <c:pt idx="1337">
                  <c:v>48663</c:v>
                </c:pt>
                <c:pt idx="1338">
                  <c:v>48670</c:v>
                </c:pt>
                <c:pt idx="1339">
                  <c:v>48677</c:v>
                </c:pt>
                <c:pt idx="1340">
                  <c:v>48688</c:v>
                </c:pt>
                <c:pt idx="1341">
                  <c:v>48691</c:v>
                </c:pt>
                <c:pt idx="1342">
                  <c:v>48698</c:v>
                </c:pt>
                <c:pt idx="1343">
                  <c:v>48705</c:v>
                </c:pt>
                <c:pt idx="1344">
                  <c:v>48712</c:v>
                </c:pt>
                <c:pt idx="1345">
                  <c:v>48719</c:v>
                </c:pt>
                <c:pt idx="1346">
                  <c:v>48726</c:v>
                </c:pt>
                <c:pt idx="1347">
                  <c:v>48733</c:v>
                </c:pt>
                <c:pt idx="1348">
                  <c:v>48740</c:v>
                </c:pt>
                <c:pt idx="1349">
                  <c:v>48747</c:v>
                </c:pt>
                <c:pt idx="1350">
                  <c:v>48754</c:v>
                </c:pt>
                <c:pt idx="1351">
                  <c:v>48761</c:v>
                </c:pt>
                <c:pt idx="1352">
                  <c:v>48768</c:v>
                </c:pt>
                <c:pt idx="1353">
                  <c:v>48775</c:v>
                </c:pt>
                <c:pt idx="1354">
                  <c:v>48782</c:v>
                </c:pt>
                <c:pt idx="1355">
                  <c:v>48789</c:v>
                </c:pt>
                <c:pt idx="1356">
                  <c:v>48796</c:v>
                </c:pt>
                <c:pt idx="1357">
                  <c:v>48803</c:v>
                </c:pt>
                <c:pt idx="1358">
                  <c:v>48810</c:v>
                </c:pt>
                <c:pt idx="1359">
                  <c:v>48817</c:v>
                </c:pt>
                <c:pt idx="1360">
                  <c:v>48824</c:v>
                </c:pt>
                <c:pt idx="1361">
                  <c:v>48831</c:v>
                </c:pt>
                <c:pt idx="1362">
                  <c:v>48838</c:v>
                </c:pt>
                <c:pt idx="1363">
                  <c:v>48845</c:v>
                </c:pt>
                <c:pt idx="1364">
                  <c:v>48852</c:v>
                </c:pt>
                <c:pt idx="1365">
                  <c:v>48859</c:v>
                </c:pt>
                <c:pt idx="1366">
                  <c:v>48866</c:v>
                </c:pt>
                <c:pt idx="1367">
                  <c:v>48873</c:v>
                </c:pt>
                <c:pt idx="1368">
                  <c:v>48880</c:v>
                </c:pt>
                <c:pt idx="1369">
                  <c:v>48887</c:v>
                </c:pt>
                <c:pt idx="1370">
                  <c:v>48897</c:v>
                </c:pt>
                <c:pt idx="1371">
                  <c:v>48901</c:v>
                </c:pt>
                <c:pt idx="1372">
                  <c:v>48908</c:v>
                </c:pt>
                <c:pt idx="1373">
                  <c:v>48915</c:v>
                </c:pt>
                <c:pt idx="1374">
                  <c:v>48922</c:v>
                </c:pt>
                <c:pt idx="1375">
                  <c:v>48929</c:v>
                </c:pt>
                <c:pt idx="1376">
                  <c:v>48936</c:v>
                </c:pt>
                <c:pt idx="1377">
                  <c:v>48943</c:v>
                </c:pt>
                <c:pt idx="1378">
                  <c:v>48950</c:v>
                </c:pt>
                <c:pt idx="1379">
                  <c:v>48957</c:v>
                </c:pt>
                <c:pt idx="1380">
                  <c:v>48964</c:v>
                </c:pt>
                <c:pt idx="1381">
                  <c:v>48971</c:v>
                </c:pt>
                <c:pt idx="1382">
                  <c:v>48978</c:v>
                </c:pt>
                <c:pt idx="1383">
                  <c:v>48985</c:v>
                </c:pt>
                <c:pt idx="1384">
                  <c:v>48992</c:v>
                </c:pt>
                <c:pt idx="1385">
                  <c:v>48999</c:v>
                </c:pt>
                <c:pt idx="1386">
                  <c:v>49006</c:v>
                </c:pt>
                <c:pt idx="1387">
                  <c:v>49013</c:v>
                </c:pt>
                <c:pt idx="1388">
                  <c:v>49020</c:v>
                </c:pt>
                <c:pt idx="1389">
                  <c:v>49027</c:v>
                </c:pt>
                <c:pt idx="1390">
                  <c:v>49034</c:v>
                </c:pt>
                <c:pt idx="1391">
                  <c:v>49045</c:v>
                </c:pt>
                <c:pt idx="1392">
                  <c:v>49048</c:v>
                </c:pt>
                <c:pt idx="1393">
                  <c:v>49055</c:v>
                </c:pt>
                <c:pt idx="1394">
                  <c:v>49062</c:v>
                </c:pt>
                <c:pt idx="1395">
                  <c:v>49069</c:v>
                </c:pt>
                <c:pt idx="1396">
                  <c:v>49076</c:v>
                </c:pt>
                <c:pt idx="1397">
                  <c:v>49083</c:v>
                </c:pt>
                <c:pt idx="1398">
                  <c:v>49090</c:v>
                </c:pt>
                <c:pt idx="1399">
                  <c:v>49097</c:v>
                </c:pt>
                <c:pt idx="1400">
                  <c:v>49104</c:v>
                </c:pt>
                <c:pt idx="1401">
                  <c:v>49111</c:v>
                </c:pt>
                <c:pt idx="1402">
                  <c:v>49118</c:v>
                </c:pt>
                <c:pt idx="1403">
                  <c:v>49125</c:v>
                </c:pt>
                <c:pt idx="1404">
                  <c:v>49132</c:v>
                </c:pt>
                <c:pt idx="1405">
                  <c:v>49139</c:v>
                </c:pt>
                <c:pt idx="1406">
                  <c:v>49146</c:v>
                </c:pt>
                <c:pt idx="1407">
                  <c:v>49153</c:v>
                </c:pt>
                <c:pt idx="1408">
                  <c:v>49160</c:v>
                </c:pt>
                <c:pt idx="1409">
                  <c:v>49167</c:v>
                </c:pt>
                <c:pt idx="1410">
                  <c:v>49174</c:v>
                </c:pt>
                <c:pt idx="1411">
                  <c:v>49181</c:v>
                </c:pt>
                <c:pt idx="1412">
                  <c:v>49188</c:v>
                </c:pt>
                <c:pt idx="1413">
                  <c:v>49195</c:v>
                </c:pt>
                <c:pt idx="1414">
                  <c:v>49202</c:v>
                </c:pt>
                <c:pt idx="1415">
                  <c:v>49209</c:v>
                </c:pt>
                <c:pt idx="1416">
                  <c:v>49216</c:v>
                </c:pt>
                <c:pt idx="1417">
                  <c:v>49223</c:v>
                </c:pt>
                <c:pt idx="1418">
                  <c:v>49230</c:v>
                </c:pt>
                <c:pt idx="1419">
                  <c:v>49237</c:v>
                </c:pt>
                <c:pt idx="1420">
                  <c:v>49244</c:v>
                </c:pt>
                <c:pt idx="1421">
                  <c:v>49251</c:v>
                </c:pt>
                <c:pt idx="1422">
                  <c:v>49261</c:v>
                </c:pt>
                <c:pt idx="1423">
                  <c:v>49265</c:v>
                </c:pt>
                <c:pt idx="1424">
                  <c:v>49272</c:v>
                </c:pt>
                <c:pt idx="1425">
                  <c:v>49279</c:v>
                </c:pt>
                <c:pt idx="1426">
                  <c:v>49286</c:v>
                </c:pt>
                <c:pt idx="1427">
                  <c:v>49293</c:v>
                </c:pt>
                <c:pt idx="1428">
                  <c:v>49300</c:v>
                </c:pt>
                <c:pt idx="1429">
                  <c:v>49307</c:v>
                </c:pt>
                <c:pt idx="1430">
                  <c:v>49314</c:v>
                </c:pt>
                <c:pt idx="1431">
                  <c:v>49321</c:v>
                </c:pt>
                <c:pt idx="1432">
                  <c:v>49328</c:v>
                </c:pt>
                <c:pt idx="1433">
                  <c:v>49335</c:v>
                </c:pt>
                <c:pt idx="1434">
                  <c:v>49342</c:v>
                </c:pt>
                <c:pt idx="1435">
                  <c:v>49349</c:v>
                </c:pt>
                <c:pt idx="1436">
                  <c:v>49356</c:v>
                </c:pt>
                <c:pt idx="1437">
                  <c:v>49363</c:v>
                </c:pt>
                <c:pt idx="1438">
                  <c:v>49370</c:v>
                </c:pt>
                <c:pt idx="1439">
                  <c:v>49377</c:v>
                </c:pt>
                <c:pt idx="1440">
                  <c:v>49384</c:v>
                </c:pt>
                <c:pt idx="1441">
                  <c:v>49395</c:v>
                </c:pt>
                <c:pt idx="1442">
                  <c:v>49398</c:v>
                </c:pt>
                <c:pt idx="1443">
                  <c:v>49405</c:v>
                </c:pt>
                <c:pt idx="1444">
                  <c:v>49412</c:v>
                </c:pt>
                <c:pt idx="1445">
                  <c:v>49419</c:v>
                </c:pt>
                <c:pt idx="1446">
                  <c:v>49426</c:v>
                </c:pt>
                <c:pt idx="1447">
                  <c:v>49433</c:v>
                </c:pt>
                <c:pt idx="1448">
                  <c:v>49440</c:v>
                </c:pt>
                <c:pt idx="1449">
                  <c:v>49447</c:v>
                </c:pt>
                <c:pt idx="1450">
                  <c:v>49454</c:v>
                </c:pt>
                <c:pt idx="1451">
                  <c:v>49461</c:v>
                </c:pt>
                <c:pt idx="1452">
                  <c:v>49468</c:v>
                </c:pt>
                <c:pt idx="1453">
                  <c:v>49475</c:v>
                </c:pt>
                <c:pt idx="1454">
                  <c:v>49482</c:v>
                </c:pt>
                <c:pt idx="1455">
                  <c:v>49489</c:v>
                </c:pt>
                <c:pt idx="1456">
                  <c:v>49496</c:v>
                </c:pt>
                <c:pt idx="1457">
                  <c:v>49503</c:v>
                </c:pt>
                <c:pt idx="1458">
                  <c:v>49510</c:v>
                </c:pt>
                <c:pt idx="1459">
                  <c:v>49517</c:v>
                </c:pt>
                <c:pt idx="1460">
                  <c:v>49524</c:v>
                </c:pt>
                <c:pt idx="1461">
                  <c:v>49531</c:v>
                </c:pt>
                <c:pt idx="1462">
                  <c:v>49538</c:v>
                </c:pt>
                <c:pt idx="1463">
                  <c:v>49545</c:v>
                </c:pt>
                <c:pt idx="1464">
                  <c:v>49552</c:v>
                </c:pt>
                <c:pt idx="1465">
                  <c:v>49559</c:v>
                </c:pt>
                <c:pt idx="1466">
                  <c:v>49566</c:v>
                </c:pt>
                <c:pt idx="1467">
                  <c:v>49573</c:v>
                </c:pt>
                <c:pt idx="1468">
                  <c:v>49580</c:v>
                </c:pt>
                <c:pt idx="1469">
                  <c:v>49587</c:v>
                </c:pt>
                <c:pt idx="1470">
                  <c:v>49594</c:v>
                </c:pt>
                <c:pt idx="1471">
                  <c:v>49601</c:v>
                </c:pt>
                <c:pt idx="1472">
                  <c:v>49608</c:v>
                </c:pt>
                <c:pt idx="1473">
                  <c:v>49615</c:v>
                </c:pt>
                <c:pt idx="1474">
                  <c:v>49622</c:v>
                </c:pt>
                <c:pt idx="1475">
                  <c:v>49629</c:v>
                </c:pt>
                <c:pt idx="1476">
                  <c:v>49636</c:v>
                </c:pt>
                <c:pt idx="1477">
                  <c:v>49643</c:v>
                </c:pt>
                <c:pt idx="1478">
                  <c:v>49650</c:v>
                </c:pt>
                <c:pt idx="1479">
                  <c:v>49657</c:v>
                </c:pt>
                <c:pt idx="1480">
                  <c:v>49664</c:v>
                </c:pt>
                <c:pt idx="1481">
                  <c:v>49674</c:v>
                </c:pt>
                <c:pt idx="1482">
                  <c:v>49681</c:v>
                </c:pt>
                <c:pt idx="1483">
                  <c:v>49688</c:v>
                </c:pt>
                <c:pt idx="1484">
                  <c:v>49696</c:v>
                </c:pt>
                <c:pt idx="1485">
                  <c:v>49702</c:v>
                </c:pt>
                <c:pt idx="1486">
                  <c:v>49709</c:v>
                </c:pt>
                <c:pt idx="1487">
                  <c:v>49716</c:v>
                </c:pt>
                <c:pt idx="1488">
                  <c:v>49724</c:v>
                </c:pt>
                <c:pt idx="1489">
                  <c:v>49730</c:v>
                </c:pt>
                <c:pt idx="1490">
                  <c:v>49737</c:v>
                </c:pt>
                <c:pt idx="1491">
                  <c:v>49744</c:v>
                </c:pt>
                <c:pt idx="1492">
                  <c:v>49751</c:v>
                </c:pt>
                <c:pt idx="1493">
                  <c:v>49758</c:v>
                </c:pt>
                <c:pt idx="1494">
                  <c:v>49765</c:v>
                </c:pt>
                <c:pt idx="1495">
                  <c:v>49772</c:v>
                </c:pt>
                <c:pt idx="1496">
                  <c:v>49781</c:v>
                </c:pt>
                <c:pt idx="1497">
                  <c:v>49786</c:v>
                </c:pt>
                <c:pt idx="1498">
                  <c:v>49793</c:v>
                </c:pt>
                <c:pt idx="1499">
                  <c:v>49801</c:v>
                </c:pt>
                <c:pt idx="1500">
                  <c:v>49807</c:v>
                </c:pt>
                <c:pt idx="1501">
                  <c:v>49814</c:v>
                </c:pt>
                <c:pt idx="1502">
                  <c:v>49822</c:v>
                </c:pt>
                <c:pt idx="1503">
                  <c:v>49828</c:v>
                </c:pt>
                <c:pt idx="1504">
                  <c:v>49835</c:v>
                </c:pt>
                <c:pt idx="1505">
                  <c:v>49842</c:v>
                </c:pt>
                <c:pt idx="1506">
                  <c:v>49849</c:v>
                </c:pt>
                <c:pt idx="1507">
                  <c:v>49856</c:v>
                </c:pt>
                <c:pt idx="1508">
                  <c:v>49863</c:v>
                </c:pt>
                <c:pt idx="1509">
                  <c:v>49870</c:v>
                </c:pt>
                <c:pt idx="1510">
                  <c:v>49877</c:v>
                </c:pt>
                <c:pt idx="1511">
                  <c:v>49884</c:v>
                </c:pt>
                <c:pt idx="1512">
                  <c:v>49891</c:v>
                </c:pt>
                <c:pt idx="1513">
                  <c:v>49898</c:v>
                </c:pt>
                <c:pt idx="1514">
                  <c:v>49905</c:v>
                </c:pt>
                <c:pt idx="1515">
                  <c:v>49913</c:v>
                </c:pt>
                <c:pt idx="1516">
                  <c:v>49920</c:v>
                </c:pt>
                <c:pt idx="1517">
                  <c:v>49926</c:v>
                </c:pt>
                <c:pt idx="1518">
                  <c:v>49933</c:v>
                </c:pt>
                <c:pt idx="1519">
                  <c:v>49940</c:v>
                </c:pt>
                <c:pt idx="1520">
                  <c:v>49947</c:v>
                </c:pt>
                <c:pt idx="1521">
                  <c:v>49954</c:v>
                </c:pt>
                <c:pt idx="1522">
                  <c:v>49962</c:v>
                </c:pt>
                <c:pt idx="1523">
                  <c:v>49968</c:v>
                </c:pt>
                <c:pt idx="1524">
                  <c:v>49975</c:v>
                </c:pt>
                <c:pt idx="1525">
                  <c:v>49982</c:v>
                </c:pt>
                <c:pt idx="1526">
                  <c:v>49989</c:v>
                </c:pt>
                <c:pt idx="1527">
                  <c:v>49996</c:v>
                </c:pt>
                <c:pt idx="1528">
                  <c:v>50003</c:v>
                </c:pt>
                <c:pt idx="1529">
                  <c:v>50010</c:v>
                </c:pt>
                <c:pt idx="1530">
                  <c:v>50017</c:v>
                </c:pt>
                <c:pt idx="1531">
                  <c:v>50024</c:v>
                </c:pt>
                <c:pt idx="1532">
                  <c:v>50031</c:v>
                </c:pt>
                <c:pt idx="1533">
                  <c:v>50040</c:v>
                </c:pt>
                <c:pt idx="1534">
                  <c:v>50047</c:v>
                </c:pt>
                <c:pt idx="1535">
                  <c:v>50054</c:v>
                </c:pt>
                <c:pt idx="1536">
                  <c:v>50061</c:v>
                </c:pt>
                <c:pt idx="1537">
                  <c:v>50068</c:v>
                </c:pt>
                <c:pt idx="1538">
                  <c:v>50075</c:v>
                </c:pt>
                <c:pt idx="1539">
                  <c:v>50082</c:v>
                </c:pt>
                <c:pt idx="1540">
                  <c:v>50089</c:v>
                </c:pt>
                <c:pt idx="1541">
                  <c:v>50096</c:v>
                </c:pt>
                <c:pt idx="1542">
                  <c:v>50103</c:v>
                </c:pt>
                <c:pt idx="1543">
                  <c:v>50110</c:v>
                </c:pt>
                <c:pt idx="1544">
                  <c:v>50117</c:v>
                </c:pt>
                <c:pt idx="1545">
                  <c:v>50124</c:v>
                </c:pt>
                <c:pt idx="1546">
                  <c:v>50131</c:v>
                </c:pt>
                <c:pt idx="1547">
                  <c:v>50139</c:v>
                </c:pt>
                <c:pt idx="1548">
                  <c:v>50146</c:v>
                </c:pt>
                <c:pt idx="1549">
                  <c:v>50153</c:v>
                </c:pt>
                <c:pt idx="1550">
                  <c:v>50160</c:v>
                </c:pt>
                <c:pt idx="1551">
                  <c:v>50167</c:v>
                </c:pt>
                <c:pt idx="1552">
                  <c:v>50174</c:v>
                </c:pt>
                <c:pt idx="1553">
                  <c:v>50181</c:v>
                </c:pt>
                <c:pt idx="1554">
                  <c:v>50188</c:v>
                </c:pt>
                <c:pt idx="1555">
                  <c:v>50195</c:v>
                </c:pt>
                <c:pt idx="1556">
                  <c:v>50202</c:v>
                </c:pt>
                <c:pt idx="1557">
                  <c:v>50209</c:v>
                </c:pt>
                <c:pt idx="1558">
                  <c:v>50216</c:v>
                </c:pt>
                <c:pt idx="1559">
                  <c:v>50223</c:v>
                </c:pt>
                <c:pt idx="1560">
                  <c:v>50230</c:v>
                </c:pt>
                <c:pt idx="1561">
                  <c:v>50237</c:v>
                </c:pt>
                <c:pt idx="1562">
                  <c:v>50244</c:v>
                </c:pt>
                <c:pt idx="1563">
                  <c:v>50251</c:v>
                </c:pt>
                <c:pt idx="1564">
                  <c:v>50258</c:v>
                </c:pt>
                <c:pt idx="1565">
                  <c:v>50265</c:v>
                </c:pt>
                <c:pt idx="1566">
                  <c:v>50272</c:v>
                </c:pt>
                <c:pt idx="1567">
                  <c:v>50279</c:v>
                </c:pt>
                <c:pt idx="1568">
                  <c:v>50286</c:v>
                </c:pt>
                <c:pt idx="1569">
                  <c:v>50293</c:v>
                </c:pt>
                <c:pt idx="1570">
                  <c:v>50300</c:v>
                </c:pt>
                <c:pt idx="1571">
                  <c:v>50307</c:v>
                </c:pt>
                <c:pt idx="1572">
                  <c:v>50314</c:v>
                </c:pt>
                <c:pt idx="1573">
                  <c:v>50321</c:v>
                </c:pt>
                <c:pt idx="1574">
                  <c:v>50328</c:v>
                </c:pt>
                <c:pt idx="1575">
                  <c:v>50335</c:v>
                </c:pt>
                <c:pt idx="1576">
                  <c:v>50342</c:v>
                </c:pt>
                <c:pt idx="1577">
                  <c:v>50349</c:v>
                </c:pt>
                <c:pt idx="1578">
                  <c:v>50356</c:v>
                </c:pt>
                <c:pt idx="1579">
                  <c:v>50363</c:v>
                </c:pt>
                <c:pt idx="1580">
                  <c:v>50371</c:v>
                </c:pt>
                <c:pt idx="1581">
                  <c:v>50377</c:v>
                </c:pt>
                <c:pt idx="1582">
                  <c:v>50384</c:v>
                </c:pt>
                <c:pt idx="1583">
                  <c:v>50391</c:v>
                </c:pt>
                <c:pt idx="1584">
                  <c:v>50398</c:v>
                </c:pt>
                <c:pt idx="1585">
                  <c:v>50405</c:v>
                </c:pt>
                <c:pt idx="1586">
                  <c:v>50412</c:v>
                </c:pt>
                <c:pt idx="1587">
                  <c:v>50419</c:v>
                </c:pt>
                <c:pt idx="1588">
                  <c:v>50426</c:v>
                </c:pt>
                <c:pt idx="1589">
                  <c:v>50433</c:v>
                </c:pt>
                <c:pt idx="1590">
                  <c:v>50440</c:v>
                </c:pt>
                <c:pt idx="1591">
                  <c:v>50447</c:v>
                </c:pt>
                <c:pt idx="1592">
                  <c:v>50454</c:v>
                </c:pt>
                <c:pt idx="1593">
                  <c:v>50461</c:v>
                </c:pt>
                <c:pt idx="1594">
                  <c:v>50468</c:v>
                </c:pt>
                <c:pt idx="1595">
                  <c:v>50475</c:v>
                </c:pt>
                <c:pt idx="1596">
                  <c:v>50482</c:v>
                </c:pt>
                <c:pt idx="1597">
                  <c:v>50489</c:v>
                </c:pt>
                <c:pt idx="1598">
                  <c:v>50496</c:v>
                </c:pt>
                <c:pt idx="1599">
                  <c:v>50503</c:v>
                </c:pt>
                <c:pt idx="1600">
                  <c:v>50510</c:v>
                </c:pt>
                <c:pt idx="1601">
                  <c:v>50517</c:v>
                </c:pt>
                <c:pt idx="1602">
                  <c:v>50524</c:v>
                </c:pt>
                <c:pt idx="1603">
                  <c:v>50531</c:v>
                </c:pt>
                <c:pt idx="1604">
                  <c:v>50538</c:v>
                </c:pt>
                <c:pt idx="1605">
                  <c:v>50545</c:v>
                </c:pt>
                <c:pt idx="1606">
                  <c:v>50552</c:v>
                </c:pt>
                <c:pt idx="1607">
                  <c:v>50559</c:v>
                </c:pt>
                <c:pt idx="1608">
                  <c:v>50566</c:v>
                </c:pt>
                <c:pt idx="1609">
                  <c:v>50573</c:v>
                </c:pt>
                <c:pt idx="1610">
                  <c:v>50580</c:v>
                </c:pt>
                <c:pt idx="1611">
                  <c:v>50587</c:v>
                </c:pt>
                <c:pt idx="1612">
                  <c:v>50594</c:v>
                </c:pt>
                <c:pt idx="1613">
                  <c:v>50601</c:v>
                </c:pt>
                <c:pt idx="1614">
                  <c:v>50608</c:v>
                </c:pt>
                <c:pt idx="1615">
                  <c:v>50615</c:v>
                </c:pt>
                <c:pt idx="1616">
                  <c:v>50622</c:v>
                </c:pt>
                <c:pt idx="1617">
                  <c:v>50629</c:v>
                </c:pt>
                <c:pt idx="1618">
                  <c:v>50636</c:v>
                </c:pt>
                <c:pt idx="1619">
                  <c:v>50643</c:v>
                </c:pt>
                <c:pt idx="1620">
                  <c:v>50650</c:v>
                </c:pt>
                <c:pt idx="1621">
                  <c:v>50657</c:v>
                </c:pt>
                <c:pt idx="1622">
                  <c:v>50664</c:v>
                </c:pt>
                <c:pt idx="1623">
                  <c:v>50671</c:v>
                </c:pt>
                <c:pt idx="1624">
                  <c:v>50678</c:v>
                </c:pt>
                <c:pt idx="1625">
                  <c:v>50685</c:v>
                </c:pt>
                <c:pt idx="1626">
                  <c:v>50692</c:v>
                </c:pt>
                <c:pt idx="1627">
                  <c:v>50699</c:v>
                </c:pt>
                <c:pt idx="1628">
                  <c:v>50706</c:v>
                </c:pt>
                <c:pt idx="1629">
                  <c:v>50713</c:v>
                </c:pt>
                <c:pt idx="1630">
                  <c:v>50721</c:v>
                </c:pt>
                <c:pt idx="1631">
                  <c:v>50727</c:v>
                </c:pt>
                <c:pt idx="1632">
                  <c:v>50735</c:v>
                </c:pt>
                <c:pt idx="1633">
                  <c:v>50741</c:v>
                </c:pt>
                <c:pt idx="1634">
                  <c:v>50748</c:v>
                </c:pt>
                <c:pt idx="1635">
                  <c:v>50755</c:v>
                </c:pt>
                <c:pt idx="1636">
                  <c:v>50762</c:v>
                </c:pt>
                <c:pt idx="1637">
                  <c:v>50774</c:v>
                </c:pt>
                <c:pt idx="1638">
                  <c:v>50777</c:v>
                </c:pt>
                <c:pt idx="1639">
                  <c:v>50784</c:v>
                </c:pt>
                <c:pt idx="1640">
                  <c:v>50791</c:v>
                </c:pt>
                <c:pt idx="1641">
                  <c:v>50798</c:v>
                </c:pt>
                <c:pt idx="1642">
                  <c:v>50805</c:v>
                </c:pt>
                <c:pt idx="1643">
                  <c:v>50812</c:v>
                </c:pt>
                <c:pt idx="1644">
                  <c:v>50819</c:v>
                </c:pt>
                <c:pt idx="1645">
                  <c:v>50826</c:v>
                </c:pt>
                <c:pt idx="1646">
                  <c:v>50833</c:v>
                </c:pt>
                <c:pt idx="1647">
                  <c:v>50840</c:v>
                </c:pt>
                <c:pt idx="1648">
                  <c:v>50847</c:v>
                </c:pt>
                <c:pt idx="1649">
                  <c:v>50854</c:v>
                </c:pt>
                <c:pt idx="1650">
                  <c:v>50861</c:v>
                </c:pt>
                <c:pt idx="1651">
                  <c:v>50872</c:v>
                </c:pt>
                <c:pt idx="1652">
                  <c:v>50875</c:v>
                </c:pt>
                <c:pt idx="1653">
                  <c:v>50882</c:v>
                </c:pt>
                <c:pt idx="1654">
                  <c:v>50889</c:v>
                </c:pt>
                <c:pt idx="1655">
                  <c:v>50896</c:v>
                </c:pt>
                <c:pt idx="1656">
                  <c:v>50903</c:v>
                </c:pt>
                <c:pt idx="1657">
                  <c:v>50910</c:v>
                </c:pt>
                <c:pt idx="1658">
                  <c:v>50917</c:v>
                </c:pt>
                <c:pt idx="1659">
                  <c:v>50924</c:v>
                </c:pt>
                <c:pt idx="1660">
                  <c:v>50931</c:v>
                </c:pt>
                <c:pt idx="1661">
                  <c:v>50938</c:v>
                </c:pt>
                <c:pt idx="1662">
                  <c:v>50945</c:v>
                </c:pt>
                <c:pt idx="1663">
                  <c:v>50952</c:v>
                </c:pt>
                <c:pt idx="1664">
                  <c:v>50959</c:v>
                </c:pt>
                <c:pt idx="1665">
                  <c:v>50966</c:v>
                </c:pt>
                <c:pt idx="1666">
                  <c:v>50973</c:v>
                </c:pt>
                <c:pt idx="1667">
                  <c:v>50980</c:v>
                </c:pt>
                <c:pt idx="1668">
                  <c:v>50987</c:v>
                </c:pt>
                <c:pt idx="1669">
                  <c:v>50994</c:v>
                </c:pt>
                <c:pt idx="1670">
                  <c:v>51001</c:v>
                </c:pt>
                <c:pt idx="1671">
                  <c:v>51008</c:v>
                </c:pt>
                <c:pt idx="1672">
                  <c:v>51015</c:v>
                </c:pt>
                <c:pt idx="1673">
                  <c:v>51022</c:v>
                </c:pt>
                <c:pt idx="1674">
                  <c:v>51029</c:v>
                </c:pt>
                <c:pt idx="1675">
                  <c:v>51036</c:v>
                </c:pt>
                <c:pt idx="1676">
                  <c:v>51043</c:v>
                </c:pt>
                <c:pt idx="1677">
                  <c:v>51050</c:v>
                </c:pt>
                <c:pt idx="1678">
                  <c:v>51057</c:v>
                </c:pt>
                <c:pt idx="1679">
                  <c:v>51064</c:v>
                </c:pt>
                <c:pt idx="1680">
                  <c:v>51071</c:v>
                </c:pt>
                <c:pt idx="1681">
                  <c:v>51078</c:v>
                </c:pt>
                <c:pt idx="1682">
                  <c:v>51088</c:v>
                </c:pt>
                <c:pt idx="1683">
                  <c:v>51092</c:v>
                </c:pt>
                <c:pt idx="1684">
                  <c:v>51099</c:v>
                </c:pt>
                <c:pt idx="1685">
                  <c:v>51106</c:v>
                </c:pt>
                <c:pt idx="1686">
                  <c:v>51113</c:v>
                </c:pt>
                <c:pt idx="1687">
                  <c:v>51120</c:v>
                </c:pt>
                <c:pt idx="1688">
                  <c:v>51127</c:v>
                </c:pt>
                <c:pt idx="1689">
                  <c:v>51134</c:v>
                </c:pt>
                <c:pt idx="1690">
                  <c:v>51141</c:v>
                </c:pt>
                <c:pt idx="1691">
                  <c:v>51148</c:v>
                </c:pt>
                <c:pt idx="1692">
                  <c:v>51155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51232</c:v>
                </c:pt>
                <c:pt idx="1704">
                  <c:v>51239</c:v>
                </c:pt>
                <c:pt idx="1705">
                  <c:v>51246</c:v>
                </c:pt>
                <c:pt idx="1706">
                  <c:v>51253</c:v>
                </c:pt>
                <c:pt idx="1707">
                  <c:v>51260</c:v>
                </c:pt>
                <c:pt idx="1708">
                  <c:v>51267</c:v>
                </c:pt>
                <c:pt idx="1709">
                  <c:v>51274</c:v>
                </c:pt>
                <c:pt idx="1710">
                  <c:v>51281</c:v>
                </c:pt>
                <c:pt idx="1711">
                  <c:v>51288</c:v>
                </c:pt>
                <c:pt idx="1712">
                  <c:v>51295</c:v>
                </c:pt>
                <c:pt idx="1713">
                  <c:v>51302</c:v>
                </c:pt>
                <c:pt idx="1714">
                  <c:v>51309</c:v>
                </c:pt>
                <c:pt idx="1715">
                  <c:v>51316</c:v>
                </c:pt>
                <c:pt idx="1716">
                  <c:v>51323</c:v>
                </c:pt>
                <c:pt idx="1717">
                  <c:v>51330</c:v>
                </c:pt>
                <c:pt idx="1718">
                  <c:v>51337</c:v>
                </c:pt>
                <c:pt idx="1719">
                  <c:v>51344</c:v>
                </c:pt>
                <c:pt idx="1720">
                  <c:v>51351</c:v>
                </c:pt>
                <c:pt idx="1721">
                  <c:v>51358</c:v>
                </c:pt>
                <c:pt idx="1722">
                  <c:v>51365</c:v>
                </c:pt>
                <c:pt idx="1723">
                  <c:v>51372</c:v>
                </c:pt>
                <c:pt idx="1724">
                  <c:v>51379</c:v>
                </c:pt>
                <c:pt idx="1725">
                  <c:v>51386</c:v>
                </c:pt>
                <c:pt idx="1726">
                  <c:v>51393</c:v>
                </c:pt>
                <c:pt idx="1727">
                  <c:v>51400</c:v>
                </c:pt>
                <c:pt idx="1728">
                  <c:v>51407</c:v>
                </c:pt>
                <c:pt idx="1729">
                  <c:v>51414</c:v>
                </c:pt>
                <c:pt idx="1730">
                  <c:v>51421</c:v>
                </c:pt>
                <c:pt idx="1731">
                  <c:v>51428</c:v>
                </c:pt>
                <c:pt idx="1732">
                  <c:v>51435</c:v>
                </c:pt>
                <c:pt idx="1733">
                  <c:v>51442</c:v>
                </c:pt>
                <c:pt idx="1734">
                  <c:v>51449</c:v>
                </c:pt>
                <c:pt idx="1735">
                  <c:v>51456</c:v>
                </c:pt>
                <c:pt idx="1736">
                  <c:v>51463</c:v>
                </c:pt>
                <c:pt idx="1737">
                  <c:v>51470</c:v>
                </c:pt>
                <c:pt idx="1738">
                  <c:v>51477</c:v>
                </c:pt>
                <c:pt idx="1739">
                  <c:v>51484</c:v>
                </c:pt>
                <c:pt idx="1740">
                  <c:v>51491</c:v>
                </c:pt>
                <c:pt idx="1741">
                  <c:v>51501</c:v>
                </c:pt>
                <c:pt idx="1742">
                  <c:v>51508</c:v>
                </c:pt>
                <c:pt idx="1743">
                  <c:v>51515</c:v>
                </c:pt>
                <c:pt idx="1744">
                  <c:v>51523</c:v>
                </c:pt>
                <c:pt idx="1745">
                  <c:v>51529</c:v>
                </c:pt>
                <c:pt idx="1746">
                  <c:v>51536</c:v>
                </c:pt>
                <c:pt idx="1747">
                  <c:v>51543</c:v>
                </c:pt>
                <c:pt idx="1748">
                  <c:v>51551</c:v>
                </c:pt>
                <c:pt idx="1749">
                  <c:v>51557</c:v>
                </c:pt>
                <c:pt idx="1750">
                  <c:v>51564</c:v>
                </c:pt>
                <c:pt idx="1751">
                  <c:v>51571</c:v>
                </c:pt>
                <c:pt idx="1752">
                  <c:v>51578</c:v>
                </c:pt>
                <c:pt idx="1753">
                  <c:v>51585</c:v>
                </c:pt>
                <c:pt idx="1754">
                  <c:v>51592</c:v>
                </c:pt>
                <c:pt idx="1755">
                  <c:v>51599</c:v>
                </c:pt>
                <c:pt idx="1756">
                  <c:v>51606</c:v>
                </c:pt>
                <c:pt idx="1757">
                  <c:v>51615</c:v>
                </c:pt>
                <c:pt idx="1758">
                  <c:v>51620</c:v>
                </c:pt>
                <c:pt idx="1759">
                  <c:v>51628</c:v>
                </c:pt>
                <c:pt idx="1760">
                  <c:v>51634</c:v>
                </c:pt>
                <c:pt idx="1761">
                  <c:v>51641</c:v>
                </c:pt>
                <c:pt idx="1762">
                  <c:v>51649</c:v>
                </c:pt>
                <c:pt idx="1763">
                  <c:v>51655</c:v>
                </c:pt>
                <c:pt idx="1764">
                  <c:v>51662</c:v>
                </c:pt>
                <c:pt idx="1765">
                  <c:v>51669</c:v>
                </c:pt>
                <c:pt idx="1766">
                  <c:v>51676</c:v>
                </c:pt>
                <c:pt idx="1767">
                  <c:v>51683</c:v>
                </c:pt>
                <c:pt idx="1768">
                  <c:v>51690</c:v>
                </c:pt>
                <c:pt idx="1769">
                  <c:v>51697</c:v>
                </c:pt>
                <c:pt idx="1770">
                  <c:v>51704</c:v>
                </c:pt>
                <c:pt idx="1771">
                  <c:v>51711</c:v>
                </c:pt>
                <c:pt idx="1772">
                  <c:v>51718</c:v>
                </c:pt>
                <c:pt idx="1773">
                  <c:v>51725</c:v>
                </c:pt>
                <c:pt idx="1774">
                  <c:v>51732</c:v>
                </c:pt>
                <c:pt idx="1775">
                  <c:v>51740</c:v>
                </c:pt>
                <c:pt idx="1776">
                  <c:v>51747</c:v>
                </c:pt>
                <c:pt idx="1777">
                  <c:v>51753</c:v>
                </c:pt>
                <c:pt idx="1778">
                  <c:v>51760</c:v>
                </c:pt>
                <c:pt idx="1779">
                  <c:v>51767</c:v>
                </c:pt>
                <c:pt idx="1780">
                  <c:v>51774</c:v>
                </c:pt>
                <c:pt idx="1781">
                  <c:v>51781</c:v>
                </c:pt>
                <c:pt idx="1782">
                  <c:v>51789</c:v>
                </c:pt>
                <c:pt idx="1783">
                  <c:v>51795</c:v>
                </c:pt>
                <c:pt idx="1784">
                  <c:v>51802</c:v>
                </c:pt>
                <c:pt idx="1785">
                  <c:v>51809</c:v>
                </c:pt>
                <c:pt idx="1786">
                  <c:v>51817</c:v>
                </c:pt>
                <c:pt idx="1787">
                  <c:v>51823</c:v>
                </c:pt>
                <c:pt idx="1788">
                  <c:v>51830</c:v>
                </c:pt>
                <c:pt idx="1789">
                  <c:v>51837</c:v>
                </c:pt>
                <c:pt idx="1790">
                  <c:v>51844</c:v>
                </c:pt>
                <c:pt idx="1791">
                  <c:v>51851</c:v>
                </c:pt>
                <c:pt idx="1792">
                  <c:v>51858</c:v>
                </c:pt>
                <c:pt idx="1793">
                  <c:v>51866</c:v>
                </c:pt>
                <c:pt idx="1794">
                  <c:v>51873</c:v>
                </c:pt>
                <c:pt idx="1795">
                  <c:v>51880</c:v>
                </c:pt>
                <c:pt idx="1796">
                  <c:v>51887</c:v>
                </c:pt>
                <c:pt idx="1797">
                  <c:v>51894</c:v>
                </c:pt>
                <c:pt idx="1798">
                  <c:v>51901</c:v>
                </c:pt>
                <c:pt idx="1799">
                  <c:v>51908</c:v>
                </c:pt>
                <c:pt idx="1800">
                  <c:v>51915</c:v>
                </c:pt>
                <c:pt idx="1801">
                  <c:v>51922</c:v>
                </c:pt>
                <c:pt idx="1802">
                  <c:v>51929</c:v>
                </c:pt>
                <c:pt idx="1803">
                  <c:v>51936</c:v>
                </c:pt>
                <c:pt idx="1804">
                  <c:v>51943</c:v>
                </c:pt>
                <c:pt idx="1805">
                  <c:v>51950</c:v>
                </c:pt>
                <c:pt idx="1806">
                  <c:v>51957</c:v>
                </c:pt>
                <c:pt idx="1807">
                  <c:v>51966</c:v>
                </c:pt>
                <c:pt idx="1808">
                  <c:v>51973</c:v>
                </c:pt>
                <c:pt idx="1809">
                  <c:v>51980</c:v>
                </c:pt>
                <c:pt idx="1810">
                  <c:v>51987</c:v>
                </c:pt>
                <c:pt idx="1811">
                  <c:v>51994</c:v>
                </c:pt>
                <c:pt idx="1812">
                  <c:v>52001</c:v>
                </c:pt>
                <c:pt idx="1813">
                  <c:v>52008</c:v>
                </c:pt>
                <c:pt idx="1814">
                  <c:v>52015</c:v>
                </c:pt>
                <c:pt idx="1815">
                  <c:v>52022</c:v>
                </c:pt>
                <c:pt idx="1816">
                  <c:v>52029</c:v>
                </c:pt>
                <c:pt idx="1817">
                  <c:v>52036</c:v>
                </c:pt>
                <c:pt idx="1818">
                  <c:v>52043</c:v>
                </c:pt>
                <c:pt idx="1819">
                  <c:v>52050</c:v>
                </c:pt>
                <c:pt idx="1820">
                  <c:v>52057</c:v>
                </c:pt>
                <c:pt idx="1821">
                  <c:v>52064</c:v>
                </c:pt>
                <c:pt idx="1822">
                  <c:v>52071</c:v>
                </c:pt>
                <c:pt idx="1823">
                  <c:v>52078</c:v>
                </c:pt>
                <c:pt idx="1824">
                  <c:v>52085</c:v>
                </c:pt>
                <c:pt idx="1825">
                  <c:v>52092</c:v>
                </c:pt>
                <c:pt idx="1826">
                  <c:v>52099</c:v>
                </c:pt>
                <c:pt idx="1827">
                  <c:v>52106</c:v>
                </c:pt>
                <c:pt idx="1828">
                  <c:v>52113</c:v>
                </c:pt>
                <c:pt idx="1829">
                  <c:v>52120</c:v>
                </c:pt>
                <c:pt idx="1830">
                  <c:v>52127</c:v>
                </c:pt>
                <c:pt idx="1831">
                  <c:v>52134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52198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52233</c:v>
                </c:pt>
                <c:pt idx="1846">
                  <c:v>52239</c:v>
                </c:pt>
                <c:pt idx="1847">
                  <c:v>52246</c:v>
                </c:pt>
                <c:pt idx="1848">
                  <c:v>52253</c:v>
                </c:pt>
                <c:pt idx="1849">
                  <c:v>52260</c:v>
                </c:pt>
                <c:pt idx="1850">
                  <c:v>52267</c:v>
                </c:pt>
                <c:pt idx="1851">
                  <c:v>52274</c:v>
                </c:pt>
                <c:pt idx="1852">
                  <c:v>52281</c:v>
                </c:pt>
                <c:pt idx="1853">
                  <c:v>52288</c:v>
                </c:pt>
                <c:pt idx="1854">
                  <c:v>52295</c:v>
                </c:pt>
                <c:pt idx="1855">
                  <c:v>52302</c:v>
                </c:pt>
                <c:pt idx="1856">
                  <c:v>52309</c:v>
                </c:pt>
                <c:pt idx="1857">
                  <c:v>52316</c:v>
                </c:pt>
                <c:pt idx="1858">
                  <c:v>52323</c:v>
                </c:pt>
                <c:pt idx="1859">
                  <c:v>52330</c:v>
                </c:pt>
                <c:pt idx="1860">
                  <c:v>52337</c:v>
                </c:pt>
                <c:pt idx="1861">
                  <c:v>52344</c:v>
                </c:pt>
                <c:pt idx="1862">
                  <c:v>52351</c:v>
                </c:pt>
                <c:pt idx="1863">
                  <c:v>52358</c:v>
                </c:pt>
                <c:pt idx="1864">
                  <c:v>52365</c:v>
                </c:pt>
                <c:pt idx="1865">
                  <c:v>52372</c:v>
                </c:pt>
                <c:pt idx="1866">
                  <c:v>52379</c:v>
                </c:pt>
                <c:pt idx="1867">
                  <c:v>52386</c:v>
                </c:pt>
                <c:pt idx="1868">
                  <c:v>52393</c:v>
                </c:pt>
                <c:pt idx="1869">
                  <c:v>52400</c:v>
                </c:pt>
                <c:pt idx="1870">
                  <c:v>52407</c:v>
                </c:pt>
                <c:pt idx="1871">
                  <c:v>52414</c:v>
                </c:pt>
                <c:pt idx="1872">
                  <c:v>52421</c:v>
                </c:pt>
                <c:pt idx="1873">
                  <c:v>52428</c:v>
                </c:pt>
                <c:pt idx="1874">
                  <c:v>52435</c:v>
                </c:pt>
                <c:pt idx="1875">
                  <c:v>52442</c:v>
                </c:pt>
                <c:pt idx="1876">
                  <c:v>52449</c:v>
                </c:pt>
                <c:pt idx="1877">
                  <c:v>52456</c:v>
                </c:pt>
                <c:pt idx="1878">
                  <c:v>52463</c:v>
                </c:pt>
                <c:pt idx="1879">
                  <c:v>52470</c:v>
                </c:pt>
                <c:pt idx="1880">
                  <c:v>52477</c:v>
                </c:pt>
                <c:pt idx="1881">
                  <c:v>52484</c:v>
                </c:pt>
                <c:pt idx="1882">
                  <c:v>52491</c:v>
                </c:pt>
                <c:pt idx="1883">
                  <c:v>52498</c:v>
                </c:pt>
                <c:pt idx="1884">
                  <c:v>52505</c:v>
                </c:pt>
                <c:pt idx="1885">
                  <c:v>52512</c:v>
                </c:pt>
                <c:pt idx="1886">
                  <c:v>52519</c:v>
                </c:pt>
                <c:pt idx="1887">
                  <c:v>52526</c:v>
                </c:pt>
                <c:pt idx="1888">
                  <c:v>52533</c:v>
                </c:pt>
                <c:pt idx="1889">
                  <c:v>52540</c:v>
                </c:pt>
                <c:pt idx="1890">
                  <c:v>52547</c:v>
                </c:pt>
                <c:pt idx="1891">
                  <c:v>52554</c:v>
                </c:pt>
                <c:pt idx="1892">
                  <c:v>52562</c:v>
                </c:pt>
                <c:pt idx="1893">
                  <c:v>52568</c:v>
                </c:pt>
                <c:pt idx="1894">
                  <c:v>52575</c:v>
                </c:pt>
                <c:pt idx="1895">
                  <c:v>52582</c:v>
                </c:pt>
                <c:pt idx="1896">
                  <c:v>52589</c:v>
                </c:pt>
                <c:pt idx="1897">
                  <c:v>52596</c:v>
                </c:pt>
                <c:pt idx="1898">
                  <c:v>52603</c:v>
                </c:pt>
                <c:pt idx="1899">
                  <c:v>52610</c:v>
                </c:pt>
                <c:pt idx="1900">
                  <c:v>52617</c:v>
                </c:pt>
                <c:pt idx="1901">
                  <c:v>52624</c:v>
                </c:pt>
                <c:pt idx="1902">
                  <c:v>52631</c:v>
                </c:pt>
                <c:pt idx="1903">
                  <c:v>52638</c:v>
                </c:pt>
                <c:pt idx="1904">
                  <c:v>52645</c:v>
                </c:pt>
                <c:pt idx="1905">
                  <c:v>52652</c:v>
                </c:pt>
                <c:pt idx="1906">
                  <c:v>52659</c:v>
                </c:pt>
                <c:pt idx="1907">
                  <c:v>52666</c:v>
                </c:pt>
                <c:pt idx="1908">
                  <c:v>52673</c:v>
                </c:pt>
                <c:pt idx="1909">
                  <c:v>52680</c:v>
                </c:pt>
                <c:pt idx="1910">
                  <c:v>52687</c:v>
                </c:pt>
                <c:pt idx="1911">
                  <c:v>52694</c:v>
                </c:pt>
                <c:pt idx="1912">
                  <c:v>52701</c:v>
                </c:pt>
                <c:pt idx="1913">
                  <c:v>52708</c:v>
                </c:pt>
                <c:pt idx="1914">
                  <c:v>52715</c:v>
                </c:pt>
                <c:pt idx="1915">
                  <c:v>52722</c:v>
                </c:pt>
                <c:pt idx="1916">
                  <c:v>52729</c:v>
                </c:pt>
                <c:pt idx="1917">
                  <c:v>52736</c:v>
                </c:pt>
                <c:pt idx="1918">
                  <c:v>52743</c:v>
                </c:pt>
                <c:pt idx="1919">
                  <c:v>52750</c:v>
                </c:pt>
                <c:pt idx="1920">
                  <c:v>52757</c:v>
                </c:pt>
                <c:pt idx="1921">
                  <c:v>52764</c:v>
                </c:pt>
                <c:pt idx="1922">
                  <c:v>52771</c:v>
                </c:pt>
                <c:pt idx="1923">
                  <c:v>52778</c:v>
                </c:pt>
                <c:pt idx="1924">
                  <c:v>52785</c:v>
                </c:pt>
                <c:pt idx="1925">
                  <c:v>52792</c:v>
                </c:pt>
                <c:pt idx="1926">
                  <c:v>52799</c:v>
                </c:pt>
                <c:pt idx="1927">
                  <c:v>52806</c:v>
                </c:pt>
                <c:pt idx="1928">
                  <c:v>52813</c:v>
                </c:pt>
                <c:pt idx="1929">
                  <c:v>52820</c:v>
                </c:pt>
                <c:pt idx="1930">
                  <c:v>52827</c:v>
                </c:pt>
                <c:pt idx="1931">
                  <c:v>52834</c:v>
                </c:pt>
                <c:pt idx="1932">
                  <c:v>52841</c:v>
                </c:pt>
                <c:pt idx="1933">
                  <c:v>52848</c:v>
                </c:pt>
                <c:pt idx="1934">
                  <c:v>52855</c:v>
                </c:pt>
                <c:pt idx="1935">
                  <c:v>52862</c:v>
                </c:pt>
                <c:pt idx="1936">
                  <c:v>52869</c:v>
                </c:pt>
                <c:pt idx="1937">
                  <c:v>52876</c:v>
                </c:pt>
                <c:pt idx="1938">
                  <c:v>52883</c:v>
                </c:pt>
                <c:pt idx="1939">
                  <c:v>52890</c:v>
                </c:pt>
                <c:pt idx="1940">
                  <c:v>52897</c:v>
                </c:pt>
                <c:pt idx="1941">
                  <c:v>52904</c:v>
                </c:pt>
                <c:pt idx="1942">
                  <c:v>52911</c:v>
                </c:pt>
                <c:pt idx="1943">
                  <c:v>52918</c:v>
                </c:pt>
                <c:pt idx="1944">
                  <c:v>52926</c:v>
                </c:pt>
                <c:pt idx="1945">
                  <c:v>52932</c:v>
                </c:pt>
                <c:pt idx="1946">
                  <c:v>52939</c:v>
                </c:pt>
                <c:pt idx="1947">
                  <c:v>52946</c:v>
                </c:pt>
                <c:pt idx="1948">
                  <c:v>52953</c:v>
                </c:pt>
                <c:pt idx="1949">
                  <c:v>52961</c:v>
                </c:pt>
                <c:pt idx="1950">
                  <c:v>52968</c:v>
                </c:pt>
                <c:pt idx="1951">
                  <c:v>52975</c:v>
                </c:pt>
                <c:pt idx="1952">
                  <c:v>52982</c:v>
                </c:pt>
                <c:pt idx="1953">
                  <c:v>52989</c:v>
                </c:pt>
                <c:pt idx="1954">
                  <c:v>52996</c:v>
                </c:pt>
                <c:pt idx="1955">
                  <c:v>53003</c:v>
                </c:pt>
                <c:pt idx="1956">
                  <c:v>53010</c:v>
                </c:pt>
                <c:pt idx="1957">
                  <c:v>53017</c:v>
                </c:pt>
                <c:pt idx="1958">
                  <c:v>53024</c:v>
                </c:pt>
                <c:pt idx="1959">
                  <c:v>53031</c:v>
                </c:pt>
                <c:pt idx="1960">
                  <c:v>53038</c:v>
                </c:pt>
                <c:pt idx="1961">
                  <c:v>53045</c:v>
                </c:pt>
                <c:pt idx="1962">
                  <c:v>53052</c:v>
                </c:pt>
                <c:pt idx="1963">
                  <c:v>53063</c:v>
                </c:pt>
                <c:pt idx="1964">
                  <c:v>53066</c:v>
                </c:pt>
                <c:pt idx="1965">
                  <c:v>53073</c:v>
                </c:pt>
                <c:pt idx="1966">
                  <c:v>53080</c:v>
                </c:pt>
                <c:pt idx="1967">
                  <c:v>53087</c:v>
                </c:pt>
                <c:pt idx="1968">
                  <c:v>53094</c:v>
                </c:pt>
                <c:pt idx="1969">
                  <c:v>53101</c:v>
                </c:pt>
                <c:pt idx="1970">
                  <c:v>53108</c:v>
                </c:pt>
                <c:pt idx="1971">
                  <c:v>53115</c:v>
                </c:pt>
                <c:pt idx="1972">
                  <c:v>53122</c:v>
                </c:pt>
                <c:pt idx="1973">
                  <c:v>53129</c:v>
                </c:pt>
                <c:pt idx="1974">
                  <c:v>53136</c:v>
                </c:pt>
                <c:pt idx="1975">
                  <c:v>53143</c:v>
                </c:pt>
                <c:pt idx="1976">
                  <c:v>53150</c:v>
                </c:pt>
                <c:pt idx="1977">
                  <c:v>53157</c:v>
                </c:pt>
                <c:pt idx="1978">
                  <c:v>53164</c:v>
                </c:pt>
                <c:pt idx="1979">
                  <c:v>53171</c:v>
                </c:pt>
                <c:pt idx="1980">
                  <c:v>53178</c:v>
                </c:pt>
                <c:pt idx="1981">
                  <c:v>53185</c:v>
                </c:pt>
                <c:pt idx="1982">
                  <c:v>53192</c:v>
                </c:pt>
                <c:pt idx="1983">
                  <c:v>53199</c:v>
                </c:pt>
                <c:pt idx="1984">
                  <c:v>53206</c:v>
                </c:pt>
                <c:pt idx="1985">
                  <c:v>53213</c:v>
                </c:pt>
                <c:pt idx="1986">
                  <c:v>53220</c:v>
                </c:pt>
                <c:pt idx="1987">
                  <c:v>53227</c:v>
                </c:pt>
                <c:pt idx="1988">
                  <c:v>53234</c:v>
                </c:pt>
                <c:pt idx="1989">
                  <c:v>53241</c:v>
                </c:pt>
                <c:pt idx="1990">
                  <c:v>53248</c:v>
                </c:pt>
                <c:pt idx="1991">
                  <c:v>53255</c:v>
                </c:pt>
                <c:pt idx="1992">
                  <c:v>53262</c:v>
                </c:pt>
                <c:pt idx="1993">
                  <c:v>53269</c:v>
                </c:pt>
                <c:pt idx="1994">
                  <c:v>53279</c:v>
                </c:pt>
                <c:pt idx="1995">
                  <c:v>53283</c:v>
                </c:pt>
                <c:pt idx="1996">
                  <c:v>53290</c:v>
                </c:pt>
                <c:pt idx="1997">
                  <c:v>53297</c:v>
                </c:pt>
                <c:pt idx="1998">
                  <c:v>53304</c:v>
                </c:pt>
                <c:pt idx="1999">
                  <c:v>53311</c:v>
                </c:pt>
                <c:pt idx="2000">
                  <c:v>53318</c:v>
                </c:pt>
                <c:pt idx="2001">
                  <c:v>53325</c:v>
                </c:pt>
                <c:pt idx="2002">
                  <c:v>53332</c:v>
                </c:pt>
                <c:pt idx="2003">
                  <c:v>53339</c:v>
                </c:pt>
                <c:pt idx="2004">
                  <c:v>53346</c:v>
                </c:pt>
                <c:pt idx="2005">
                  <c:v>53353</c:v>
                </c:pt>
                <c:pt idx="2006">
                  <c:v>53360</c:v>
                </c:pt>
                <c:pt idx="2007">
                  <c:v>53367</c:v>
                </c:pt>
                <c:pt idx="2008">
                  <c:v>53374</c:v>
                </c:pt>
                <c:pt idx="2009">
                  <c:v>53381</c:v>
                </c:pt>
                <c:pt idx="2010">
                  <c:v>53388</c:v>
                </c:pt>
                <c:pt idx="2011">
                  <c:v>53395</c:v>
                </c:pt>
                <c:pt idx="2012">
                  <c:v>53402</c:v>
                </c:pt>
                <c:pt idx="2013">
                  <c:v>53413</c:v>
                </c:pt>
                <c:pt idx="2014">
                  <c:v>53416</c:v>
                </c:pt>
                <c:pt idx="2015">
                  <c:v>53423</c:v>
                </c:pt>
                <c:pt idx="2016">
                  <c:v>53430</c:v>
                </c:pt>
                <c:pt idx="2017">
                  <c:v>53437</c:v>
                </c:pt>
                <c:pt idx="2018">
                  <c:v>53444</c:v>
                </c:pt>
                <c:pt idx="2019">
                  <c:v>53451</c:v>
                </c:pt>
                <c:pt idx="2020">
                  <c:v>53458</c:v>
                </c:pt>
                <c:pt idx="2021">
                  <c:v>53465</c:v>
                </c:pt>
                <c:pt idx="2022">
                  <c:v>53472</c:v>
                </c:pt>
                <c:pt idx="2023">
                  <c:v>53479</c:v>
                </c:pt>
                <c:pt idx="2024">
                  <c:v>53486</c:v>
                </c:pt>
                <c:pt idx="2025">
                  <c:v>53493</c:v>
                </c:pt>
                <c:pt idx="2026">
                  <c:v>53500</c:v>
                </c:pt>
                <c:pt idx="2027">
                  <c:v>53507</c:v>
                </c:pt>
                <c:pt idx="2028">
                  <c:v>53514</c:v>
                </c:pt>
                <c:pt idx="2029">
                  <c:v>53521</c:v>
                </c:pt>
                <c:pt idx="2030">
                  <c:v>53528</c:v>
                </c:pt>
                <c:pt idx="2031">
                  <c:v>53535</c:v>
                </c:pt>
                <c:pt idx="2032">
                  <c:v>53542</c:v>
                </c:pt>
                <c:pt idx="2033">
                  <c:v>53549</c:v>
                </c:pt>
                <c:pt idx="2034">
                  <c:v>53556</c:v>
                </c:pt>
                <c:pt idx="2035">
                  <c:v>53563</c:v>
                </c:pt>
                <c:pt idx="2036">
                  <c:v>53570</c:v>
                </c:pt>
                <c:pt idx="2037">
                  <c:v>53577</c:v>
                </c:pt>
                <c:pt idx="2038">
                  <c:v>53584</c:v>
                </c:pt>
                <c:pt idx="2039">
                  <c:v>53591</c:v>
                </c:pt>
                <c:pt idx="2040">
                  <c:v>53598</c:v>
                </c:pt>
                <c:pt idx="2041">
                  <c:v>53605</c:v>
                </c:pt>
                <c:pt idx="2042">
                  <c:v>53612</c:v>
                </c:pt>
                <c:pt idx="2043">
                  <c:v>53619</c:v>
                </c:pt>
                <c:pt idx="2044">
                  <c:v>53626</c:v>
                </c:pt>
                <c:pt idx="2045">
                  <c:v>53633</c:v>
                </c:pt>
                <c:pt idx="2046">
                  <c:v>53640</c:v>
                </c:pt>
                <c:pt idx="2047">
                  <c:v>53647</c:v>
                </c:pt>
                <c:pt idx="2048">
                  <c:v>53654</c:v>
                </c:pt>
                <c:pt idx="2049">
                  <c:v>53661</c:v>
                </c:pt>
                <c:pt idx="2050">
                  <c:v>53668</c:v>
                </c:pt>
                <c:pt idx="2051">
                  <c:v>53675</c:v>
                </c:pt>
                <c:pt idx="2052">
                  <c:v>53682</c:v>
                </c:pt>
                <c:pt idx="2053">
                  <c:v>53692</c:v>
                </c:pt>
                <c:pt idx="2054">
                  <c:v>53699</c:v>
                </c:pt>
                <c:pt idx="2055">
                  <c:v>53706</c:v>
                </c:pt>
                <c:pt idx="2056">
                  <c:v>53714</c:v>
                </c:pt>
                <c:pt idx="2057">
                  <c:v>53720</c:v>
                </c:pt>
                <c:pt idx="2058">
                  <c:v>53727</c:v>
                </c:pt>
                <c:pt idx="2059">
                  <c:v>53734</c:v>
                </c:pt>
                <c:pt idx="2060">
                  <c:v>53742</c:v>
                </c:pt>
                <c:pt idx="2061">
                  <c:v>53748</c:v>
                </c:pt>
                <c:pt idx="2062">
                  <c:v>53755</c:v>
                </c:pt>
                <c:pt idx="2063">
                  <c:v>53762</c:v>
                </c:pt>
                <c:pt idx="2064">
                  <c:v>53769</c:v>
                </c:pt>
                <c:pt idx="2065">
                  <c:v>53776</c:v>
                </c:pt>
                <c:pt idx="2066">
                  <c:v>53783</c:v>
                </c:pt>
                <c:pt idx="2067">
                  <c:v>53790</c:v>
                </c:pt>
                <c:pt idx="2068">
                  <c:v>53799</c:v>
                </c:pt>
                <c:pt idx="2069">
                  <c:v>53804</c:v>
                </c:pt>
                <c:pt idx="2070">
                  <c:v>53811</c:v>
                </c:pt>
                <c:pt idx="2071">
                  <c:v>53819</c:v>
                </c:pt>
                <c:pt idx="2072">
                  <c:v>53825</c:v>
                </c:pt>
                <c:pt idx="2073">
                  <c:v>53832</c:v>
                </c:pt>
                <c:pt idx="2074">
                  <c:v>53840</c:v>
                </c:pt>
                <c:pt idx="2075">
                  <c:v>53846</c:v>
                </c:pt>
                <c:pt idx="2076">
                  <c:v>53853</c:v>
                </c:pt>
                <c:pt idx="2077">
                  <c:v>53860</c:v>
                </c:pt>
                <c:pt idx="2078">
                  <c:v>53867</c:v>
                </c:pt>
                <c:pt idx="2079">
                  <c:v>53874</c:v>
                </c:pt>
                <c:pt idx="2080">
                  <c:v>53881</c:v>
                </c:pt>
                <c:pt idx="2081">
                  <c:v>53888</c:v>
                </c:pt>
                <c:pt idx="2082">
                  <c:v>53895</c:v>
                </c:pt>
                <c:pt idx="2083">
                  <c:v>53902</c:v>
                </c:pt>
                <c:pt idx="2084">
                  <c:v>53909</c:v>
                </c:pt>
                <c:pt idx="2085">
                  <c:v>53916</c:v>
                </c:pt>
                <c:pt idx="2086">
                  <c:v>53923</c:v>
                </c:pt>
                <c:pt idx="2087">
                  <c:v>53931</c:v>
                </c:pt>
                <c:pt idx="2088">
                  <c:v>53938</c:v>
                </c:pt>
                <c:pt idx="2089">
                  <c:v>53944</c:v>
                </c:pt>
                <c:pt idx="2090">
                  <c:v>53951</c:v>
                </c:pt>
                <c:pt idx="2091">
                  <c:v>53958</c:v>
                </c:pt>
                <c:pt idx="2092">
                  <c:v>53965</c:v>
                </c:pt>
                <c:pt idx="2093">
                  <c:v>53972</c:v>
                </c:pt>
                <c:pt idx="2094">
                  <c:v>53980</c:v>
                </c:pt>
                <c:pt idx="2095">
                  <c:v>53986</c:v>
                </c:pt>
                <c:pt idx="2096">
                  <c:v>53993</c:v>
                </c:pt>
                <c:pt idx="2097">
                  <c:v>54000</c:v>
                </c:pt>
                <c:pt idx="2098">
                  <c:v>54008</c:v>
                </c:pt>
                <c:pt idx="2099">
                  <c:v>54014</c:v>
                </c:pt>
                <c:pt idx="2100">
                  <c:v>54021</c:v>
                </c:pt>
                <c:pt idx="2101">
                  <c:v>54028</c:v>
                </c:pt>
                <c:pt idx="2102">
                  <c:v>54035</c:v>
                </c:pt>
                <c:pt idx="2103">
                  <c:v>54042</c:v>
                </c:pt>
                <c:pt idx="2104">
                  <c:v>54049</c:v>
                </c:pt>
                <c:pt idx="2105">
                  <c:v>54057</c:v>
                </c:pt>
                <c:pt idx="2106">
                  <c:v>54064</c:v>
                </c:pt>
                <c:pt idx="2107">
                  <c:v>54071</c:v>
                </c:pt>
                <c:pt idx="2108">
                  <c:v>54078</c:v>
                </c:pt>
                <c:pt idx="2109">
                  <c:v>54085</c:v>
                </c:pt>
                <c:pt idx="2110">
                  <c:v>54092</c:v>
                </c:pt>
                <c:pt idx="2111">
                  <c:v>54099</c:v>
                </c:pt>
                <c:pt idx="2112">
                  <c:v>54106</c:v>
                </c:pt>
                <c:pt idx="2113">
                  <c:v>54113</c:v>
                </c:pt>
                <c:pt idx="2114">
                  <c:v>54120</c:v>
                </c:pt>
                <c:pt idx="2115">
                  <c:v>54127</c:v>
                </c:pt>
                <c:pt idx="2116">
                  <c:v>54134</c:v>
                </c:pt>
                <c:pt idx="2117">
                  <c:v>54141</c:v>
                </c:pt>
                <c:pt idx="2118">
                  <c:v>54148</c:v>
                </c:pt>
                <c:pt idx="2119">
                  <c:v>54157</c:v>
                </c:pt>
                <c:pt idx="2120">
                  <c:v>54164</c:v>
                </c:pt>
                <c:pt idx="2121">
                  <c:v>54171</c:v>
                </c:pt>
                <c:pt idx="2122">
                  <c:v>54178</c:v>
                </c:pt>
                <c:pt idx="2123">
                  <c:v>54185</c:v>
                </c:pt>
                <c:pt idx="2124">
                  <c:v>54192</c:v>
                </c:pt>
                <c:pt idx="2125">
                  <c:v>54199</c:v>
                </c:pt>
                <c:pt idx="2126">
                  <c:v>54206</c:v>
                </c:pt>
                <c:pt idx="2127">
                  <c:v>54213</c:v>
                </c:pt>
                <c:pt idx="2128">
                  <c:v>54220</c:v>
                </c:pt>
                <c:pt idx="2129">
                  <c:v>54227</c:v>
                </c:pt>
                <c:pt idx="2130">
                  <c:v>54234</c:v>
                </c:pt>
                <c:pt idx="2131">
                  <c:v>54241</c:v>
                </c:pt>
                <c:pt idx="2132">
                  <c:v>54248</c:v>
                </c:pt>
                <c:pt idx="2133">
                  <c:v>54255</c:v>
                </c:pt>
                <c:pt idx="2134">
                  <c:v>54262</c:v>
                </c:pt>
                <c:pt idx="2135">
                  <c:v>54269</c:v>
                </c:pt>
                <c:pt idx="2136">
                  <c:v>54276</c:v>
                </c:pt>
                <c:pt idx="2137">
                  <c:v>54283</c:v>
                </c:pt>
                <c:pt idx="2138">
                  <c:v>54290</c:v>
                </c:pt>
                <c:pt idx="2139">
                  <c:v>54297</c:v>
                </c:pt>
                <c:pt idx="2140">
                  <c:v>54304</c:v>
                </c:pt>
                <c:pt idx="2141">
                  <c:v>54311</c:v>
                </c:pt>
                <c:pt idx="2142">
                  <c:v>54318</c:v>
                </c:pt>
                <c:pt idx="2143">
                  <c:v>54325</c:v>
                </c:pt>
                <c:pt idx="2144">
                  <c:v>54332</c:v>
                </c:pt>
                <c:pt idx="2145">
                  <c:v>54339</c:v>
                </c:pt>
                <c:pt idx="2146">
                  <c:v>54346</c:v>
                </c:pt>
                <c:pt idx="2147">
                  <c:v>54353</c:v>
                </c:pt>
                <c:pt idx="2148">
                  <c:v>54360</c:v>
                </c:pt>
                <c:pt idx="2149">
                  <c:v>54367</c:v>
                </c:pt>
                <c:pt idx="2150">
                  <c:v>54374</c:v>
                </c:pt>
                <c:pt idx="2151">
                  <c:v>54381</c:v>
                </c:pt>
                <c:pt idx="2152">
                  <c:v>54389</c:v>
                </c:pt>
                <c:pt idx="2153">
                  <c:v>54395</c:v>
                </c:pt>
                <c:pt idx="2154">
                  <c:v>54402</c:v>
                </c:pt>
                <c:pt idx="2155">
                  <c:v>54409</c:v>
                </c:pt>
                <c:pt idx="2156">
                  <c:v>54416</c:v>
                </c:pt>
                <c:pt idx="2157">
                  <c:v>54423</c:v>
                </c:pt>
                <c:pt idx="2158">
                  <c:v>54430</c:v>
                </c:pt>
                <c:pt idx="2159">
                  <c:v>54437</c:v>
                </c:pt>
                <c:pt idx="2160">
                  <c:v>54444</c:v>
                </c:pt>
                <c:pt idx="2161">
                  <c:v>54451</c:v>
                </c:pt>
                <c:pt idx="2162">
                  <c:v>54458</c:v>
                </c:pt>
                <c:pt idx="2163">
                  <c:v>54465</c:v>
                </c:pt>
                <c:pt idx="2164">
                  <c:v>54472</c:v>
                </c:pt>
                <c:pt idx="2165">
                  <c:v>54479</c:v>
                </c:pt>
                <c:pt idx="2166">
                  <c:v>54486</c:v>
                </c:pt>
                <c:pt idx="2167">
                  <c:v>54493</c:v>
                </c:pt>
                <c:pt idx="2168">
                  <c:v>54500</c:v>
                </c:pt>
                <c:pt idx="2169">
                  <c:v>54507</c:v>
                </c:pt>
                <c:pt idx="2170">
                  <c:v>54514</c:v>
                </c:pt>
                <c:pt idx="2171">
                  <c:v>54521</c:v>
                </c:pt>
                <c:pt idx="2172">
                  <c:v>54528</c:v>
                </c:pt>
                <c:pt idx="2173">
                  <c:v>54535</c:v>
                </c:pt>
                <c:pt idx="2174">
                  <c:v>54542</c:v>
                </c:pt>
                <c:pt idx="2175">
                  <c:v>54549</c:v>
                </c:pt>
                <c:pt idx="2176">
                  <c:v>54556</c:v>
                </c:pt>
                <c:pt idx="2177">
                  <c:v>54563</c:v>
                </c:pt>
                <c:pt idx="2178">
                  <c:v>54570</c:v>
                </c:pt>
                <c:pt idx="2179">
                  <c:v>54577</c:v>
                </c:pt>
                <c:pt idx="2180">
                  <c:v>54584</c:v>
                </c:pt>
                <c:pt idx="2181">
                  <c:v>54591</c:v>
                </c:pt>
                <c:pt idx="2182">
                  <c:v>54598</c:v>
                </c:pt>
                <c:pt idx="2183">
                  <c:v>54605</c:v>
                </c:pt>
                <c:pt idx="2184">
                  <c:v>54612</c:v>
                </c:pt>
                <c:pt idx="2185">
                  <c:v>54619</c:v>
                </c:pt>
                <c:pt idx="2186">
                  <c:v>54626</c:v>
                </c:pt>
                <c:pt idx="2187">
                  <c:v>54633</c:v>
                </c:pt>
                <c:pt idx="2188">
                  <c:v>54640</c:v>
                </c:pt>
                <c:pt idx="2189">
                  <c:v>54647</c:v>
                </c:pt>
                <c:pt idx="2190">
                  <c:v>54654</c:v>
                </c:pt>
                <c:pt idx="2191">
                  <c:v>54661</c:v>
                </c:pt>
                <c:pt idx="2192">
                  <c:v>54668</c:v>
                </c:pt>
                <c:pt idx="2193">
                  <c:v>54675</c:v>
                </c:pt>
                <c:pt idx="2194">
                  <c:v>54682</c:v>
                </c:pt>
                <c:pt idx="2195">
                  <c:v>54689</c:v>
                </c:pt>
                <c:pt idx="2196">
                  <c:v>54696</c:v>
                </c:pt>
                <c:pt idx="2197">
                  <c:v>54703</c:v>
                </c:pt>
                <c:pt idx="2198">
                  <c:v>54710</c:v>
                </c:pt>
                <c:pt idx="2199">
                  <c:v>54717</c:v>
                </c:pt>
                <c:pt idx="2200">
                  <c:v>54724</c:v>
                </c:pt>
                <c:pt idx="2201">
                  <c:v>54731</c:v>
                </c:pt>
                <c:pt idx="2202">
                  <c:v>54739</c:v>
                </c:pt>
                <c:pt idx="2203">
                  <c:v>54745</c:v>
                </c:pt>
                <c:pt idx="2204">
                  <c:v>54753</c:v>
                </c:pt>
                <c:pt idx="2205">
                  <c:v>54759</c:v>
                </c:pt>
                <c:pt idx="2206">
                  <c:v>54766</c:v>
                </c:pt>
                <c:pt idx="2207">
                  <c:v>54773</c:v>
                </c:pt>
                <c:pt idx="2208">
                  <c:v>54780</c:v>
                </c:pt>
                <c:pt idx="2209">
                  <c:v>54792</c:v>
                </c:pt>
                <c:pt idx="2210">
                  <c:v>54795</c:v>
                </c:pt>
                <c:pt idx="2211">
                  <c:v>54802</c:v>
                </c:pt>
                <c:pt idx="2212">
                  <c:v>54809</c:v>
                </c:pt>
                <c:pt idx="2213">
                  <c:v>54816</c:v>
                </c:pt>
                <c:pt idx="2214">
                  <c:v>54823</c:v>
                </c:pt>
                <c:pt idx="2215">
                  <c:v>54830</c:v>
                </c:pt>
                <c:pt idx="2216">
                  <c:v>54837</c:v>
                </c:pt>
                <c:pt idx="2217">
                  <c:v>54844</c:v>
                </c:pt>
                <c:pt idx="2218">
                  <c:v>54851</c:v>
                </c:pt>
                <c:pt idx="2219">
                  <c:v>54858</c:v>
                </c:pt>
                <c:pt idx="2220">
                  <c:v>54865</c:v>
                </c:pt>
                <c:pt idx="2221">
                  <c:v>54872</c:v>
                </c:pt>
                <c:pt idx="2222">
                  <c:v>54879</c:v>
                </c:pt>
                <c:pt idx="2223">
                  <c:v>54890</c:v>
                </c:pt>
                <c:pt idx="2224">
                  <c:v>54893</c:v>
                </c:pt>
                <c:pt idx="2225">
                  <c:v>54900</c:v>
                </c:pt>
                <c:pt idx="2226">
                  <c:v>54907</c:v>
                </c:pt>
                <c:pt idx="2227">
                  <c:v>54914</c:v>
                </c:pt>
                <c:pt idx="2228">
                  <c:v>54921</c:v>
                </c:pt>
                <c:pt idx="2229">
                  <c:v>54928</c:v>
                </c:pt>
                <c:pt idx="2230">
                  <c:v>54935</c:v>
                </c:pt>
                <c:pt idx="2231">
                  <c:v>54942</c:v>
                </c:pt>
                <c:pt idx="2232">
                  <c:v>54949</c:v>
                </c:pt>
                <c:pt idx="2233">
                  <c:v>54956</c:v>
                </c:pt>
                <c:pt idx="2234">
                  <c:v>54963</c:v>
                </c:pt>
                <c:pt idx="2235">
                  <c:v>54970</c:v>
                </c:pt>
                <c:pt idx="2236">
                  <c:v>54977</c:v>
                </c:pt>
                <c:pt idx="2237">
                  <c:v>54984</c:v>
                </c:pt>
                <c:pt idx="2238">
                  <c:v>54991</c:v>
                </c:pt>
                <c:pt idx="2239">
                  <c:v>54998</c:v>
                </c:pt>
                <c:pt idx="2240">
                  <c:v>55005</c:v>
                </c:pt>
                <c:pt idx="2241">
                  <c:v>55012</c:v>
                </c:pt>
                <c:pt idx="2242">
                  <c:v>55019</c:v>
                </c:pt>
                <c:pt idx="2243">
                  <c:v>55026</c:v>
                </c:pt>
                <c:pt idx="2244">
                  <c:v>55033</c:v>
                </c:pt>
                <c:pt idx="2245">
                  <c:v>55040</c:v>
                </c:pt>
                <c:pt idx="2246">
                  <c:v>55047</c:v>
                </c:pt>
                <c:pt idx="2247">
                  <c:v>55054</c:v>
                </c:pt>
                <c:pt idx="2248">
                  <c:v>55061</c:v>
                </c:pt>
                <c:pt idx="2249">
                  <c:v>55068</c:v>
                </c:pt>
                <c:pt idx="2250">
                  <c:v>55075</c:v>
                </c:pt>
                <c:pt idx="2251">
                  <c:v>55082</c:v>
                </c:pt>
                <c:pt idx="2252">
                  <c:v>55089</c:v>
                </c:pt>
                <c:pt idx="2253">
                  <c:v>55096</c:v>
                </c:pt>
                <c:pt idx="2254">
                  <c:v>55106</c:v>
                </c:pt>
                <c:pt idx="2255">
                  <c:v>55110</c:v>
                </c:pt>
                <c:pt idx="2256">
                  <c:v>55117</c:v>
                </c:pt>
                <c:pt idx="2257">
                  <c:v>55124</c:v>
                </c:pt>
                <c:pt idx="2258">
                  <c:v>55131</c:v>
                </c:pt>
                <c:pt idx="2259">
                  <c:v>55138</c:v>
                </c:pt>
                <c:pt idx="2260">
                  <c:v>55145</c:v>
                </c:pt>
                <c:pt idx="2261">
                  <c:v>55152</c:v>
                </c:pt>
                <c:pt idx="2262">
                  <c:v>55159</c:v>
                </c:pt>
                <c:pt idx="2263">
                  <c:v>55166</c:v>
                </c:pt>
                <c:pt idx="2264">
                  <c:v>55173</c:v>
                </c:pt>
                <c:pt idx="2265">
                  <c:v>55180</c:v>
                </c:pt>
                <c:pt idx="2266">
                  <c:v>55187</c:v>
                </c:pt>
                <c:pt idx="2267">
                  <c:v>55194</c:v>
                </c:pt>
                <c:pt idx="2268">
                  <c:v>55201</c:v>
                </c:pt>
                <c:pt idx="2269">
                  <c:v>55208</c:v>
                </c:pt>
                <c:pt idx="2270">
                  <c:v>55215</c:v>
                </c:pt>
                <c:pt idx="2271">
                  <c:v>55222</c:v>
                </c:pt>
                <c:pt idx="2272">
                  <c:v>55229</c:v>
                </c:pt>
                <c:pt idx="2273">
                  <c:v>55236</c:v>
                </c:pt>
                <c:pt idx="2274">
                  <c:v>55247</c:v>
                </c:pt>
                <c:pt idx="2275">
                  <c:v>55250</c:v>
                </c:pt>
                <c:pt idx="2276">
                  <c:v>55257</c:v>
                </c:pt>
                <c:pt idx="2277">
                  <c:v>55264</c:v>
                </c:pt>
                <c:pt idx="2278">
                  <c:v>55271</c:v>
                </c:pt>
                <c:pt idx="2279">
                  <c:v>55278</c:v>
                </c:pt>
                <c:pt idx="2280">
                  <c:v>55285</c:v>
                </c:pt>
                <c:pt idx="2281">
                  <c:v>55292</c:v>
                </c:pt>
                <c:pt idx="2282">
                  <c:v>55299</c:v>
                </c:pt>
                <c:pt idx="2283">
                  <c:v>55306</c:v>
                </c:pt>
                <c:pt idx="2284">
                  <c:v>55313</c:v>
                </c:pt>
                <c:pt idx="2285">
                  <c:v>55320</c:v>
                </c:pt>
                <c:pt idx="2286">
                  <c:v>55327</c:v>
                </c:pt>
                <c:pt idx="2287">
                  <c:v>55334</c:v>
                </c:pt>
                <c:pt idx="2288">
                  <c:v>55341</c:v>
                </c:pt>
                <c:pt idx="2289">
                  <c:v>55348</c:v>
                </c:pt>
                <c:pt idx="2290">
                  <c:v>55355</c:v>
                </c:pt>
                <c:pt idx="2291">
                  <c:v>55362</c:v>
                </c:pt>
                <c:pt idx="2292">
                  <c:v>55369</c:v>
                </c:pt>
                <c:pt idx="2293">
                  <c:v>55376</c:v>
                </c:pt>
                <c:pt idx="2294">
                  <c:v>55383</c:v>
                </c:pt>
                <c:pt idx="2295">
                  <c:v>55390</c:v>
                </c:pt>
                <c:pt idx="2296">
                  <c:v>55397</c:v>
                </c:pt>
                <c:pt idx="2297">
                  <c:v>55404</c:v>
                </c:pt>
                <c:pt idx="2298">
                  <c:v>55411</c:v>
                </c:pt>
                <c:pt idx="2299">
                  <c:v>55418</c:v>
                </c:pt>
                <c:pt idx="2300">
                  <c:v>55425</c:v>
                </c:pt>
                <c:pt idx="2301">
                  <c:v>55432</c:v>
                </c:pt>
                <c:pt idx="2302">
                  <c:v>55439</c:v>
                </c:pt>
                <c:pt idx="2303">
                  <c:v>55446</c:v>
                </c:pt>
                <c:pt idx="2304">
                  <c:v>55453</c:v>
                </c:pt>
                <c:pt idx="2305">
                  <c:v>55460</c:v>
                </c:pt>
                <c:pt idx="2306">
                  <c:v>55470</c:v>
                </c:pt>
                <c:pt idx="2307">
                  <c:v>55474</c:v>
                </c:pt>
                <c:pt idx="2308">
                  <c:v>55481</c:v>
                </c:pt>
                <c:pt idx="2309">
                  <c:v>55488</c:v>
                </c:pt>
                <c:pt idx="2310">
                  <c:v>55495</c:v>
                </c:pt>
                <c:pt idx="2311">
                  <c:v>55502</c:v>
                </c:pt>
                <c:pt idx="2312">
                  <c:v>55509</c:v>
                </c:pt>
                <c:pt idx="2313">
                  <c:v>55516</c:v>
                </c:pt>
                <c:pt idx="2314">
                  <c:v>55523</c:v>
                </c:pt>
                <c:pt idx="2315">
                  <c:v>55530</c:v>
                </c:pt>
                <c:pt idx="2316">
                  <c:v>55537</c:v>
                </c:pt>
                <c:pt idx="2317">
                  <c:v>55544</c:v>
                </c:pt>
                <c:pt idx="2318">
                  <c:v>55551</c:v>
                </c:pt>
                <c:pt idx="2319">
                  <c:v>55558</c:v>
                </c:pt>
                <c:pt idx="2320">
                  <c:v>55565</c:v>
                </c:pt>
                <c:pt idx="2321">
                  <c:v>55572</c:v>
                </c:pt>
                <c:pt idx="2322">
                  <c:v>55579</c:v>
                </c:pt>
                <c:pt idx="2323">
                  <c:v>55586</c:v>
                </c:pt>
                <c:pt idx="2324">
                  <c:v>55593</c:v>
                </c:pt>
                <c:pt idx="2325">
                  <c:v>55600</c:v>
                </c:pt>
                <c:pt idx="2326">
                  <c:v>55607</c:v>
                </c:pt>
                <c:pt idx="2327">
                  <c:v>55614</c:v>
                </c:pt>
                <c:pt idx="2328">
                  <c:v>55621</c:v>
                </c:pt>
                <c:pt idx="2329">
                  <c:v>55632</c:v>
                </c:pt>
                <c:pt idx="2330">
                  <c:v>55635</c:v>
                </c:pt>
                <c:pt idx="2331">
                  <c:v>55642</c:v>
                </c:pt>
                <c:pt idx="2332">
                  <c:v>55649</c:v>
                </c:pt>
                <c:pt idx="2333">
                  <c:v>55656</c:v>
                </c:pt>
                <c:pt idx="2334">
                  <c:v>55663</c:v>
                </c:pt>
                <c:pt idx="2335">
                  <c:v>55670</c:v>
                </c:pt>
                <c:pt idx="2336">
                  <c:v>55677</c:v>
                </c:pt>
                <c:pt idx="2337">
                  <c:v>55684</c:v>
                </c:pt>
                <c:pt idx="2338">
                  <c:v>55691</c:v>
                </c:pt>
                <c:pt idx="2339">
                  <c:v>55698</c:v>
                </c:pt>
                <c:pt idx="2340">
                  <c:v>55705</c:v>
                </c:pt>
                <c:pt idx="2341">
                  <c:v>55712</c:v>
                </c:pt>
                <c:pt idx="2342">
                  <c:v>55719</c:v>
                </c:pt>
                <c:pt idx="2343">
                  <c:v>55726</c:v>
                </c:pt>
                <c:pt idx="2344">
                  <c:v>55733</c:v>
                </c:pt>
                <c:pt idx="2345">
                  <c:v>55740</c:v>
                </c:pt>
                <c:pt idx="2346">
                  <c:v>55747</c:v>
                </c:pt>
                <c:pt idx="2347">
                  <c:v>55754</c:v>
                </c:pt>
                <c:pt idx="2348">
                  <c:v>55761</c:v>
                </c:pt>
                <c:pt idx="2349">
                  <c:v>55768</c:v>
                </c:pt>
                <c:pt idx="2350">
                  <c:v>55775</c:v>
                </c:pt>
                <c:pt idx="2351">
                  <c:v>55782</c:v>
                </c:pt>
                <c:pt idx="2352">
                  <c:v>55789</c:v>
                </c:pt>
                <c:pt idx="2353">
                  <c:v>55796</c:v>
                </c:pt>
                <c:pt idx="2354">
                  <c:v>55803</c:v>
                </c:pt>
                <c:pt idx="2355">
                  <c:v>55810</c:v>
                </c:pt>
                <c:pt idx="2356">
                  <c:v>55817</c:v>
                </c:pt>
                <c:pt idx="2357">
                  <c:v>55824</c:v>
                </c:pt>
                <c:pt idx="2358">
                  <c:v>55831</c:v>
                </c:pt>
                <c:pt idx="2359">
                  <c:v>55838</c:v>
                </c:pt>
                <c:pt idx="2360">
                  <c:v>55845</c:v>
                </c:pt>
                <c:pt idx="2361">
                  <c:v>55852</c:v>
                </c:pt>
                <c:pt idx="2362">
                  <c:v>55859</c:v>
                </c:pt>
                <c:pt idx="2363">
                  <c:v>55866</c:v>
                </c:pt>
                <c:pt idx="2364">
                  <c:v>55873</c:v>
                </c:pt>
                <c:pt idx="2365">
                  <c:v>55884</c:v>
                </c:pt>
                <c:pt idx="2366">
                  <c:v>55891</c:v>
                </c:pt>
                <c:pt idx="2367">
                  <c:v>55898</c:v>
                </c:pt>
                <c:pt idx="2368">
                  <c:v>55905</c:v>
                </c:pt>
                <c:pt idx="2369">
                  <c:v>55912</c:v>
                </c:pt>
                <c:pt idx="2370">
                  <c:v>55919</c:v>
                </c:pt>
                <c:pt idx="2371">
                  <c:v>55926</c:v>
                </c:pt>
                <c:pt idx="2372">
                  <c:v>55933</c:v>
                </c:pt>
                <c:pt idx="2373">
                  <c:v>55940</c:v>
                </c:pt>
                <c:pt idx="2374">
                  <c:v>55947</c:v>
                </c:pt>
                <c:pt idx="2375">
                  <c:v>55954</c:v>
                </c:pt>
                <c:pt idx="2376">
                  <c:v>55961</c:v>
                </c:pt>
                <c:pt idx="2377">
                  <c:v>55968</c:v>
                </c:pt>
                <c:pt idx="2378">
                  <c:v>55975</c:v>
                </c:pt>
                <c:pt idx="2379">
                  <c:v>55984</c:v>
                </c:pt>
                <c:pt idx="2380">
                  <c:v>55991</c:v>
                </c:pt>
                <c:pt idx="2381">
                  <c:v>55998</c:v>
                </c:pt>
                <c:pt idx="2382">
                  <c:v>56005</c:v>
                </c:pt>
                <c:pt idx="2383">
                  <c:v>56012</c:v>
                </c:pt>
                <c:pt idx="2384">
                  <c:v>56019</c:v>
                </c:pt>
                <c:pt idx="2385">
                  <c:v>56026</c:v>
                </c:pt>
                <c:pt idx="2386">
                  <c:v>56033</c:v>
                </c:pt>
                <c:pt idx="2387">
                  <c:v>56040</c:v>
                </c:pt>
                <c:pt idx="2388">
                  <c:v>56047</c:v>
                </c:pt>
                <c:pt idx="2389">
                  <c:v>56054</c:v>
                </c:pt>
                <c:pt idx="2390">
                  <c:v>56061</c:v>
                </c:pt>
                <c:pt idx="2391">
                  <c:v>56068</c:v>
                </c:pt>
                <c:pt idx="2392">
                  <c:v>56075</c:v>
                </c:pt>
                <c:pt idx="2393">
                  <c:v>56082</c:v>
                </c:pt>
                <c:pt idx="2394">
                  <c:v>56089</c:v>
                </c:pt>
                <c:pt idx="2395">
                  <c:v>56096</c:v>
                </c:pt>
                <c:pt idx="2396">
                  <c:v>56103</c:v>
                </c:pt>
                <c:pt idx="2397">
                  <c:v>56110</c:v>
                </c:pt>
                <c:pt idx="2398">
                  <c:v>56117</c:v>
                </c:pt>
                <c:pt idx="2399">
                  <c:v>56124</c:v>
                </c:pt>
                <c:pt idx="2400">
                  <c:v>56131</c:v>
                </c:pt>
                <c:pt idx="2401">
                  <c:v>56138</c:v>
                </c:pt>
                <c:pt idx="2402">
                  <c:v>56145</c:v>
                </c:pt>
                <c:pt idx="2403">
                  <c:v>56152</c:v>
                </c:pt>
                <c:pt idx="2404">
                  <c:v>56159</c:v>
                </c:pt>
                <c:pt idx="2405">
                  <c:v>56166</c:v>
                </c:pt>
                <c:pt idx="2406">
                  <c:v>56173</c:v>
                </c:pt>
                <c:pt idx="2407">
                  <c:v>56180</c:v>
                </c:pt>
                <c:pt idx="2408">
                  <c:v>56187</c:v>
                </c:pt>
                <c:pt idx="2409">
                  <c:v>56194</c:v>
                </c:pt>
                <c:pt idx="2410">
                  <c:v>56201</c:v>
                </c:pt>
                <c:pt idx="2411">
                  <c:v>56208</c:v>
                </c:pt>
                <c:pt idx="2412">
                  <c:v>56216</c:v>
                </c:pt>
                <c:pt idx="2413">
                  <c:v>56222</c:v>
                </c:pt>
                <c:pt idx="2414">
                  <c:v>56229</c:v>
                </c:pt>
                <c:pt idx="2415">
                  <c:v>56236</c:v>
                </c:pt>
                <c:pt idx="2416">
                  <c:v>56247</c:v>
                </c:pt>
                <c:pt idx="2417">
                  <c:v>56251</c:v>
                </c:pt>
                <c:pt idx="2418">
                  <c:v>56257</c:v>
                </c:pt>
                <c:pt idx="2419">
                  <c:v>56264</c:v>
                </c:pt>
                <c:pt idx="2420">
                  <c:v>56271</c:v>
                </c:pt>
                <c:pt idx="2421">
                  <c:v>56278</c:v>
                </c:pt>
                <c:pt idx="2422">
                  <c:v>56285</c:v>
                </c:pt>
                <c:pt idx="2423">
                  <c:v>56292</c:v>
                </c:pt>
                <c:pt idx="2424">
                  <c:v>56299</c:v>
                </c:pt>
                <c:pt idx="2425">
                  <c:v>56306</c:v>
                </c:pt>
                <c:pt idx="2426">
                  <c:v>56313</c:v>
                </c:pt>
                <c:pt idx="2427">
                  <c:v>56320</c:v>
                </c:pt>
                <c:pt idx="2428">
                  <c:v>56327</c:v>
                </c:pt>
                <c:pt idx="2429">
                  <c:v>56334</c:v>
                </c:pt>
                <c:pt idx="2430">
                  <c:v>56341</c:v>
                </c:pt>
                <c:pt idx="2431">
                  <c:v>56348</c:v>
                </c:pt>
                <c:pt idx="2432">
                  <c:v>56355</c:v>
                </c:pt>
                <c:pt idx="2433">
                  <c:v>56362</c:v>
                </c:pt>
                <c:pt idx="2434">
                  <c:v>56369</c:v>
                </c:pt>
                <c:pt idx="2435">
                  <c:v>56376</c:v>
                </c:pt>
                <c:pt idx="2436">
                  <c:v>56383</c:v>
                </c:pt>
                <c:pt idx="2437">
                  <c:v>56390</c:v>
                </c:pt>
                <c:pt idx="2438">
                  <c:v>56397</c:v>
                </c:pt>
                <c:pt idx="2439">
                  <c:v>56404</c:v>
                </c:pt>
                <c:pt idx="2440">
                  <c:v>56411</c:v>
                </c:pt>
                <c:pt idx="2441">
                  <c:v>56418</c:v>
                </c:pt>
                <c:pt idx="2442">
                  <c:v>56425</c:v>
                </c:pt>
                <c:pt idx="2443">
                  <c:v>56432</c:v>
                </c:pt>
                <c:pt idx="2444">
                  <c:v>56439</c:v>
                </c:pt>
                <c:pt idx="2445">
                  <c:v>56446</c:v>
                </c:pt>
                <c:pt idx="2446">
                  <c:v>56453</c:v>
                </c:pt>
                <c:pt idx="2447">
                  <c:v>56460</c:v>
                </c:pt>
                <c:pt idx="2448">
                  <c:v>56467</c:v>
                </c:pt>
                <c:pt idx="2449">
                  <c:v>56474</c:v>
                </c:pt>
                <c:pt idx="2450">
                  <c:v>56481</c:v>
                </c:pt>
                <c:pt idx="2451">
                  <c:v>56488</c:v>
                </c:pt>
                <c:pt idx="2452">
                  <c:v>56495</c:v>
                </c:pt>
                <c:pt idx="2453">
                  <c:v>56502</c:v>
                </c:pt>
                <c:pt idx="2454">
                  <c:v>56509</c:v>
                </c:pt>
                <c:pt idx="2455">
                  <c:v>56516</c:v>
                </c:pt>
                <c:pt idx="2456">
                  <c:v>56523</c:v>
                </c:pt>
                <c:pt idx="2457">
                  <c:v>56530</c:v>
                </c:pt>
                <c:pt idx="2458">
                  <c:v>56537</c:v>
                </c:pt>
                <c:pt idx="2459">
                  <c:v>56544</c:v>
                </c:pt>
                <c:pt idx="2460">
                  <c:v>56551</c:v>
                </c:pt>
                <c:pt idx="2461">
                  <c:v>56558</c:v>
                </c:pt>
                <c:pt idx="2462">
                  <c:v>56565</c:v>
                </c:pt>
                <c:pt idx="2463">
                  <c:v>56572</c:v>
                </c:pt>
                <c:pt idx="2464">
                  <c:v>56580</c:v>
                </c:pt>
                <c:pt idx="2465">
                  <c:v>56586</c:v>
                </c:pt>
                <c:pt idx="2466">
                  <c:v>56593</c:v>
                </c:pt>
                <c:pt idx="2467">
                  <c:v>56600</c:v>
                </c:pt>
                <c:pt idx="2468">
                  <c:v>56607</c:v>
                </c:pt>
                <c:pt idx="2469">
                  <c:v>56614</c:v>
                </c:pt>
                <c:pt idx="2470">
                  <c:v>56621</c:v>
                </c:pt>
                <c:pt idx="2471">
                  <c:v>56628</c:v>
                </c:pt>
                <c:pt idx="2472">
                  <c:v>56635</c:v>
                </c:pt>
                <c:pt idx="2473">
                  <c:v>56642</c:v>
                </c:pt>
                <c:pt idx="2474">
                  <c:v>56649</c:v>
                </c:pt>
                <c:pt idx="2475">
                  <c:v>56656</c:v>
                </c:pt>
                <c:pt idx="2476">
                  <c:v>56663</c:v>
                </c:pt>
                <c:pt idx="2477">
                  <c:v>56670</c:v>
                </c:pt>
                <c:pt idx="2478">
                  <c:v>56677</c:v>
                </c:pt>
                <c:pt idx="2479">
                  <c:v>56684</c:v>
                </c:pt>
                <c:pt idx="2480">
                  <c:v>56691</c:v>
                </c:pt>
                <c:pt idx="2481">
                  <c:v>56698</c:v>
                </c:pt>
                <c:pt idx="2482">
                  <c:v>56705</c:v>
                </c:pt>
                <c:pt idx="2483">
                  <c:v>56712</c:v>
                </c:pt>
                <c:pt idx="2484">
                  <c:v>56719</c:v>
                </c:pt>
                <c:pt idx="2485">
                  <c:v>56726</c:v>
                </c:pt>
                <c:pt idx="2486">
                  <c:v>56733</c:v>
                </c:pt>
                <c:pt idx="2487">
                  <c:v>56740</c:v>
                </c:pt>
                <c:pt idx="2488">
                  <c:v>56747</c:v>
                </c:pt>
                <c:pt idx="2489">
                  <c:v>56754</c:v>
                </c:pt>
                <c:pt idx="2490">
                  <c:v>56761</c:v>
                </c:pt>
                <c:pt idx="2491">
                  <c:v>56768</c:v>
                </c:pt>
                <c:pt idx="2492">
                  <c:v>56775</c:v>
                </c:pt>
                <c:pt idx="2493">
                  <c:v>56782</c:v>
                </c:pt>
                <c:pt idx="2494">
                  <c:v>56789</c:v>
                </c:pt>
                <c:pt idx="2495">
                  <c:v>56796</c:v>
                </c:pt>
                <c:pt idx="2496">
                  <c:v>56803</c:v>
                </c:pt>
                <c:pt idx="2497">
                  <c:v>56810</c:v>
                </c:pt>
                <c:pt idx="2498">
                  <c:v>56817</c:v>
                </c:pt>
                <c:pt idx="2499">
                  <c:v>56824</c:v>
                </c:pt>
                <c:pt idx="2500">
                  <c:v>56831</c:v>
                </c:pt>
                <c:pt idx="2501">
                  <c:v>56838</c:v>
                </c:pt>
                <c:pt idx="2502">
                  <c:v>56845</c:v>
                </c:pt>
                <c:pt idx="2503">
                  <c:v>56852</c:v>
                </c:pt>
                <c:pt idx="2504">
                  <c:v>56859</c:v>
                </c:pt>
                <c:pt idx="2505">
                  <c:v>56866</c:v>
                </c:pt>
                <c:pt idx="2506">
                  <c:v>56873</c:v>
                </c:pt>
                <c:pt idx="2507">
                  <c:v>56880</c:v>
                </c:pt>
                <c:pt idx="2508">
                  <c:v>56887</c:v>
                </c:pt>
                <c:pt idx="2509">
                  <c:v>56894</c:v>
                </c:pt>
                <c:pt idx="2510">
                  <c:v>56901</c:v>
                </c:pt>
                <c:pt idx="2511">
                  <c:v>56908</c:v>
                </c:pt>
                <c:pt idx="2512">
                  <c:v>56915</c:v>
                </c:pt>
                <c:pt idx="2513">
                  <c:v>56922</c:v>
                </c:pt>
                <c:pt idx="2514">
                  <c:v>56930</c:v>
                </c:pt>
                <c:pt idx="2515">
                  <c:v>56936</c:v>
                </c:pt>
                <c:pt idx="2516">
                  <c:v>56944</c:v>
                </c:pt>
                <c:pt idx="2517">
                  <c:v>56950</c:v>
                </c:pt>
                <c:pt idx="2518">
                  <c:v>56957</c:v>
                </c:pt>
                <c:pt idx="2519">
                  <c:v>56964</c:v>
                </c:pt>
                <c:pt idx="2520">
                  <c:v>56971</c:v>
                </c:pt>
                <c:pt idx="2521">
                  <c:v>56983</c:v>
                </c:pt>
                <c:pt idx="2522">
                  <c:v>56986</c:v>
                </c:pt>
                <c:pt idx="2523">
                  <c:v>56993</c:v>
                </c:pt>
                <c:pt idx="2524">
                  <c:v>57000</c:v>
                </c:pt>
                <c:pt idx="2525">
                  <c:v>57007</c:v>
                </c:pt>
                <c:pt idx="2526">
                  <c:v>57014</c:v>
                </c:pt>
                <c:pt idx="2527">
                  <c:v>57021</c:v>
                </c:pt>
                <c:pt idx="2528">
                  <c:v>57028</c:v>
                </c:pt>
                <c:pt idx="2529">
                  <c:v>57035</c:v>
                </c:pt>
                <c:pt idx="2530">
                  <c:v>57042</c:v>
                </c:pt>
                <c:pt idx="2531">
                  <c:v>57049</c:v>
                </c:pt>
                <c:pt idx="2532">
                  <c:v>57056</c:v>
                </c:pt>
                <c:pt idx="2533">
                  <c:v>57063</c:v>
                </c:pt>
                <c:pt idx="2534">
                  <c:v>57074</c:v>
                </c:pt>
                <c:pt idx="2535">
                  <c:v>57077</c:v>
                </c:pt>
                <c:pt idx="2536">
                  <c:v>57084</c:v>
                </c:pt>
                <c:pt idx="2537">
                  <c:v>57091</c:v>
                </c:pt>
                <c:pt idx="2538">
                  <c:v>57098</c:v>
                </c:pt>
                <c:pt idx="2539">
                  <c:v>57105</c:v>
                </c:pt>
                <c:pt idx="2540">
                  <c:v>57112</c:v>
                </c:pt>
                <c:pt idx="2541">
                  <c:v>57119</c:v>
                </c:pt>
                <c:pt idx="2542">
                  <c:v>57126</c:v>
                </c:pt>
                <c:pt idx="2543">
                  <c:v>57133</c:v>
                </c:pt>
                <c:pt idx="2544">
                  <c:v>57140</c:v>
                </c:pt>
                <c:pt idx="2545">
                  <c:v>57147</c:v>
                </c:pt>
                <c:pt idx="2546">
                  <c:v>57154</c:v>
                </c:pt>
                <c:pt idx="2547">
                  <c:v>57161</c:v>
                </c:pt>
                <c:pt idx="2548">
                  <c:v>57168</c:v>
                </c:pt>
                <c:pt idx="2549">
                  <c:v>57175</c:v>
                </c:pt>
                <c:pt idx="2550">
                  <c:v>57182</c:v>
                </c:pt>
                <c:pt idx="2551">
                  <c:v>57189</c:v>
                </c:pt>
                <c:pt idx="2552">
                  <c:v>57196</c:v>
                </c:pt>
                <c:pt idx="2553">
                  <c:v>57203</c:v>
                </c:pt>
                <c:pt idx="2554">
                  <c:v>57210</c:v>
                </c:pt>
                <c:pt idx="2555">
                  <c:v>57217</c:v>
                </c:pt>
                <c:pt idx="2556">
                  <c:v>57224</c:v>
                </c:pt>
                <c:pt idx="2557">
                  <c:v>57231</c:v>
                </c:pt>
                <c:pt idx="2558">
                  <c:v>57238</c:v>
                </c:pt>
                <c:pt idx="2559">
                  <c:v>57245</c:v>
                </c:pt>
                <c:pt idx="2560">
                  <c:v>57252</c:v>
                </c:pt>
                <c:pt idx="2561">
                  <c:v>57259</c:v>
                </c:pt>
                <c:pt idx="2562">
                  <c:v>57266</c:v>
                </c:pt>
                <c:pt idx="2563">
                  <c:v>57273</c:v>
                </c:pt>
                <c:pt idx="2564">
                  <c:v>57280</c:v>
                </c:pt>
                <c:pt idx="2565">
                  <c:v>57287</c:v>
                </c:pt>
                <c:pt idx="2566">
                  <c:v>57297</c:v>
                </c:pt>
                <c:pt idx="2567">
                  <c:v>57301</c:v>
                </c:pt>
                <c:pt idx="2568">
                  <c:v>57308</c:v>
                </c:pt>
                <c:pt idx="2569">
                  <c:v>57315</c:v>
                </c:pt>
                <c:pt idx="2570">
                  <c:v>57322</c:v>
                </c:pt>
                <c:pt idx="2571">
                  <c:v>57329</c:v>
                </c:pt>
                <c:pt idx="2572">
                  <c:v>57336</c:v>
                </c:pt>
                <c:pt idx="2573">
                  <c:v>57343</c:v>
                </c:pt>
                <c:pt idx="2574">
                  <c:v>57350</c:v>
                </c:pt>
                <c:pt idx="2575">
                  <c:v>57357</c:v>
                </c:pt>
                <c:pt idx="2576">
                  <c:v>57364</c:v>
                </c:pt>
                <c:pt idx="2577">
                  <c:v>57371</c:v>
                </c:pt>
                <c:pt idx="2578">
                  <c:v>57378</c:v>
                </c:pt>
                <c:pt idx="2579">
                  <c:v>57385</c:v>
                </c:pt>
                <c:pt idx="2580">
                  <c:v>57392</c:v>
                </c:pt>
                <c:pt idx="2581">
                  <c:v>57399</c:v>
                </c:pt>
                <c:pt idx="2582">
                  <c:v>57406</c:v>
                </c:pt>
                <c:pt idx="2583">
                  <c:v>57413</c:v>
                </c:pt>
                <c:pt idx="2584">
                  <c:v>57420</c:v>
                </c:pt>
                <c:pt idx="2585">
                  <c:v>57427</c:v>
                </c:pt>
                <c:pt idx="2586">
                  <c:v>57434</c:v>
                </c:pt>
                <c:pt idx="2587">
                  <c:v>57441</c:v>
                </c:pt>
                <c:pt idx="2588">
                  <c:v>57448</c:v>
                </c:pt>
                <c:pt idx="2589">
                  <c:v>57459</c:v>
                </c:pt>
                <c:pt idx="2590">
                  <c:v>57462</c:v>
                </c:pt>
                <c:pt idx="2591">
                  <c:v>57469</c:v>
                </c:pt>
                <c:pt idx="2592">
                  <c:v>57476</c:v>
                </c:pt>
                <c:pt idx="2593">
                  <c:v>57483</c:v>
                </c:pt>
                <c:pt idx="2594">
                  <c:v>57490</c:v>
                </c:pt>
                <c:pt idx="2595">
                  <c:v>57497</c:v>
                </c:pt>
                <c:pt idx="2596">
                  <c:v>57504</c:v>
                </c:pt>
                <c:pt idx="2597">
                  <c:v>57511</c:v>
                </c:pt>
                <c:pt idx="2598">
                  <c:v>57518</c:v>
                </c:pt>
                <c:pt idx="2599">
                  <c:v>57525</c:v>
                </c:pt>
                <c:pt idx="2600">
                  <c:v>57532</c:v>
                </c:pt>
                <c:pt idx="2601">
                  <c:v>57539</c:v>
                </c:pt>
                <c:pt idx="2602">
                  <c:v>57546</c:v>
                </c:pt>
                <c:pt idx="2603">
                  <c:v>57553</c:v>
                </c:pt>
                <c:pt idx="2604">
                  <c:v>57560</c:v>
                </c:pt>
                <c:pt idx="2605">
                  <c:v>57567</c:v>
                </c:pt>
                <c:pt idx="2606">
                  <c:v>57574</c:v>
                </c:pt>
                <c:pt idx="2607">
                  <c:v>57581</c:v>
                </c:pt>
                <c:pt idx="2608">
                  <c:v>57588</c:v>
                </c:pt>
                <c:pt idx="2609">
                  <c:v>57595</c:v>
                </c:pt>
                <c:pt idx="2610">
                  <c:v>57602</c:v>
                </c:pt>
                <c:pt idx="2611">
                  <c:v>57609</c:v>
                </c:pt>
                <c:pt idx="2612">
                  <c:v>57616</c:v>
                </c:pt>
                <c:pt idx="2613">
                  <c:v>57623</c:v>
                </c:pt>
                <c:pt idx="2614">
                  <c:v>57630</c:v>
                </c:pt>
                <c:pt idx="2615">
                  <c:v>57637</c:v>
                </c:pt>
                <c:pt idx="2616">
                  <c:v>57644</c:v>
                </c:pt>
                <c:pt idx="2617">
                  <c:v>57651</c:v>
                </c:pt>
                <c:pt idx="2618">
                  <c:v>57658</c:v>
                </c:pt>
                <c:pt idx="2619">
                  <c:v>57665</c:v>
                </c:pt>
                <c:pt idx="2620">
                  <c:v>57672</c:v>
                </c:pt>
                <c:pt idx="2621">
                  <c:v>57679</c:v>
                </c:pt>
                <c:pt idx="2622">
                  <c:v>57686</c:v>
                </c:pt>
                <c:pt idx="2623">
                  <c:v>57693</c:v>
                </c:pt>
                <c:pt idx="2624">
                  <c:v>57700</c:v>
                </c:pt>
                <c:pt idx="2625">
                  <c:v>57710</c:v>
                </c:pt>
                <c:pt idx="2626">
                  <c:v>57717</c:v>
                </c:pt>
                <c:pt idx="2627">
                  <c:v>57724</c:v>
                </c:pt>
                <c:pt idx="2628">
                  <c:v>57732</c:v>
                </c:pt>
                <c:pt idx="2629">
                  <c:v>57738</c:v>
                </c:pt>
                <c:pt idx="2630">
                  <c:v>57745</c:v>
                </c:pt>
                <c:pt idx="2631">
                  <c:v>57752</c:v>
                </c:pt>
                <c:pt idx="2632">
                  <c:v>57760</c:v>
                </c:pt>
                <c:pt idx="2633">
                  <c:v>57766</c:v>
                </c:pt>
                <c:pt idx="2634">
                  <c:v>57773</c:v>
                </c:pt>
                <c:pt idx="2635">
                  <c:v>57780</c:v>
                </c:pt>
                <c:pt idx="2636">
                  <c:v>57787</c:v>
                </c:pt>
                <c:pt idx="2637">
                  <c:v>57794</c:v>
                </c:pt>
                <c:pt idx="2638">
                  <c:v>57801</c:v>
                </c:pt>
                <c:pt idx="2639">
                  <c:v>57808</c:v>
                </c:pt>
                <c:pt idx="2640">
                  <c:v>57817</c:v>
                </c:pt>
                <c:pt idx="2641">
                  <c:v>57822</c:v>
                </c:pt>
                <c:pt idx="2642">
                  <c:v>57829</c:v>
                </c:pt>
                <c:pt idx="2643">
                  <c:v>57837</c:v>
                </c:pt>
                <c:pt idx="2644">
                  <c:v>57843</c:v>
                </c:pt>
                <c:pt idx="2645">
                  <c:v>57850</c:v>
                </c:pt>
                <c:pt idx="2646">
                  <c:v>57858</c:v>
                </c:pt>
                <c:pt idx="2647">
                  <c:v>57864</c:v>
                </c:pt>
                <c:pt idx="2648">
                  <c:v>57871</c:v>
                </c:pt>
                <c:pt idx="2649">
                  <c:v>57878</c:v>
                </c:pt>
                <c:pt idx="2650">
                  <c:v>57885</c:v>
                </c:pt>
                <c:pt idx="2651">
                  <c:v>57892</c:v>
                </c:pt>
                <c:pt idx="2652">
                  <c:v>57899</c:v>
                </c:pt>
                <c:pt idx="2653">
                  <c:v>57906</c:v>
                </c:pt>
                <c:pt idx="2654">
                  <c:v>57913</c:v>
                </c:pt>
                <c:pt idx="2655">
                  <c:v>57920</c:v>
                </c:pt>
                <c:pt idx="2656">
                  <c:v>57927</c:v>
                </c:pt>
                <c:pt idx="2657">
                  <c:v>57934</c:v>
                </c:pt>
                <c:pt idx="2658">
                  <c:v>57941</c:v>
                </c:pt>
                <c:pt idx="2659">
                  <c:v>57949</c:v>
                </c:pt>
                <c:pt idx="2660">
                  <c:v>57956</c:v>
                </c:pt>
                <c:pt idx="2661">
                  <c:v>57962</c:v>
                </c:pt>
                <c:pt idx="2662">
                  <c:v>57969</c:v>
                </c:pt>
                <c:pt idx="2663">
                  <c:v>57976</c:v>
                </c:pt>
                <c:pt idx="2664">
                  <c:v>57983</c:v>
                </c:pt>
                <c:pt idx="2665">
                  <c:v>57990</c:v>
                </c:pt>
                <c:pt idx="2666">
                  <c:v>57998</c:v>
                </c:pt>
                <c:pt idx="2667">
                  <c:v>58004</c:v>
                </c:pt>
                <c:pt idx="2668">
                  <c:v>58011</c:v>
                </c:pt>
                <c:pt idx="2669">
                  <c:v>58018</c:v>
                </c:pt>
                <c:pt idx="2670">
                  <c:v>58026</c:v>
                </c:pt>
                <c:pt idx="2671">
                  <c:v>58032</c:v>
                </c:pt>
                <c:pt idx="2672">
                  <c:v>58039</c:v>
                </c:pt>
                <c:pt idx="2673">
                  <c:v>58046</c:v>
                </c:pt>
                <c:pt idx="2674">
                  <c:v>58053</c:v>
                </c:pt>
                <c:pt idx="2675">
                  <c:v>58060</c:v>
                </c:pt>
                <c:pt idx="2676">
                  <c:v>58067</c:v>
                </c:pt>
                <c:pt idx="2677">
                  <c:v>58075</c:v>
                </c:pt>
                <c:pt idx="2678">
                  <c:v>58082</c:v>
                </c:pt>
                <c:pt idx="2679">
                  <c:v>58089</c:v>
                </c:pt>
                <c:pt idx="2680">
                  <c:v>58096</c:v>
                </c:pt>
                <c:pt idx="2681">
                  <c:v>58103</c:v>
                </c:pt>
                <c:pt idx="2682">
                  <c:v>58110</c:v>
                </c:pt>
                <c:pt idx="2683">
                  <c:v>58117</c:v>
                </c:pt>
                <c:pt idx="2684">
                  <c:v>58124</c:v>
                </c:pt>
                <c:pt idx="2685">
                  <c:v>58131</c:v>
                </c:pt>
                <c:pt idx="2686">
                  <c:v>58138</c:v>
                </c:pt>
                <c:pt idx="2687">
                  <c:v>58145</c:v>
                </c:pt>
                <c:pt idx="2688">
                  <c:v>58152</c:v>
                </c:pt>
                <c:pt idx="2689">
                  <c:v>58159</c:v>
                </c:pt>
                <c:pt idx="2690">
                  <c:v>58168</c:v>
                </c:pt>
                <c:pt idx="2691">
                  <c:v>58175</c:v>
                </c:pt>
                <c:pt idx="2692">
                  <c:v>58182</c:v>
                </c:pt>
                <c:pt idx="2693">
                  <c:v>58189</c:v>
                </c:pt>
                <c:pt idx="2694">
                  <c:v>58196</c:v>
                </c:pt>
                <c:pt idx="2695">
                  <c:v>58203</c:v>
                </c:pt>
                <c:pt idx="2696">
                  <c:v>58210</c:v>
                </c:pt>
                <c:pt idx="2697">
                  <c:v>58217</c:v>
                </c:pt>
                <c:pt idx="2698">
                  <c:v>58224</c:v>
                </c:pt>
                <c:pt idx="2699">
                  <c:v>58231</c:v>
                </c:pt>
                <c:pt idx="2700">
                  <c:v>58238</c:v>
                </c:pt>
                <c:pt idx="2701">
                  <c:v>58245</c:v>
                </c:pt>
                <c:pt idx="2702">
                  <c:v>58252</c:v>
                </c:pt>
                <c:pt idx="2703">
                  <c:v>58259</c:v>
                </c:pt>
                <c:pt idx="2704">
                  <c:v>58266</c:v>
                </c:pt>
                <c:pt idx="2705">
                  <c:v>58273</c:v>
                </c:pt>
                <c:pt idx="2706">
                  <c:v>58280</c:v>
                </c:pt>
                <c:pt idx="2707">
                  <c:v>58287</c:v>
                </c:pt>
                <c:pt idx="2708">
                  <c:v>58294</c:v>
                </c:pt>
                <c:pt idx="2709">
                  <c:v>58301</c:v>
                </c:pt>
                <c:pt idx="2710">
                  <c:v>58308</c:v>
                </c:pt>
                <c:pt idx="2711">
                  <c:v>58315</c:v>
                </c:pt>
                <c:pt idx="2712">
                  <c:v>58322</c:v>
                </c:pt>
                <c:pt idx="2713">
                  <c:v>58329</c:v>
                </c:pt>
                <c:pt idx="2714">
                  <c:v>58336</c:v>
                </c:pt>
                <c:pt idx="2715">
                  <c:v>58343</c:v>
                </c:pt>
                <c:pt idx="2716">
                  <c:v>58350</c:v>
                </c:pt>
                <c:pt idx="2717">
                  <c:v>58357</c:v>
                </c:pt>
                <c:pt idx="2718">
                  <c:v>58364</c:v>
                </c:pt>
                <c:pt idx="2719">
                  <c:v>58371</c:v>
                </c:pt>
                <c:pt idx="2720">
                  <c:v>58378</c:v>
                </c:pt>
                <c:pt idx="2721">
                  <c:v>58385</c:v>
                </c:pt>
                <c:pt idx="2722">
                  <c:v>58392</c:v>
                </c:pt>
                <c:pt idx="2723">
                  <c:v>58399</c:v>
                </c:pt>
                <c:pt idx="2724">
                  <c:v>58407</c:v>
                </c:pt>
                <c:pt idx="2725">
                  <c:v>58413</c:v>
                </c:pt>
                <c:pt idx="2726">
                  <c:v>58420</c:v>
                </c:pt>
                <c:pt idx="2727">
                  <c:v>58427</c:v>
                </c:pt>
                <c:pt idx="2728">
                  <c:v>58438</c:v>
                </c:pt>
                <c:pt idx="2729">
                  <c:v>58442</c:v>
                </c:pt>
                <c:pt idx="2730">
                  <c:v>58448</c:v>
                </c:pt>
                <c:pt idx="2731">
                  <c:v>58455</c:v>
                </c:pt>
                <c:pt idx="2732">
                  <c:v>58462</c:v>
                </c:pt>
                <c:pt idx="2733">
                  <c:v>58469</c:v>
                </c:pt>
                <c:pt idx="2734">
                  <c:v>58476</c:v>
                </c:pt>
                <c:pt idx="2735">
                  <c:v>58483</c:v>
                </c:pt>
                <c:pt idx="2736">
                  <c:v>58490</c:v>
                </c:pt>
                <c:pt idx="2737">
                  <c:v>58497</c:v>
                </c:pt>
                <c:pt idx="2738">
                  <c:v>58504</c:v>
                </c:pt>
                <c:pt idx="2739">
                  <c:v>58511</c:v>
                </c:pt>
                <c:pt idx="2740">
                  <c:v>58518</c:v>
                </c:pt>
                <c:pt idx="2741">
                  <c:v>58525</c:v>
                </c:pt>
                <c:pt idx="2742">
                  <c:v>58532</c:v>
                </c:pt>
                <c:pt idx="2743">
                  <c:v>58539</c:v>
                </c:pt>
                <c:pt idx="2744">
                  <c:v>58546</c:v>
                </c:pt>
                <c:pt idx="2745">
                  <c:v>58553</c:v>
                </c:pt>
                <c:pt idx="2746">
                  <c:v>58560</c:v>
                </c:pt>
                <c:pt idx="2747">
                  <c:v>58567</c:v>
                </c:pt>
                <c:pt idx="2748">
                  <c:v>58574</c:v>
                </c:pt>
                <c:pt idx="2749">
                  <c:v>58581</c:v>
                </c:pt>
                <c:pt idx="2750">
                  <c:v>58588</c:v>
                </c:pt>
                <c:pt idx="2751">
                  <c:v>58595</c:v>
                </c:pt>
                <c:pt idx="2752">
                  <c:v>58602</c:v>
                </c:pt>
                <c:pt idx="2753">
                  <c:v>58609</c:v>
                </c:pt>
                <c:pt idx="2754">
                  <c:v>58616</c:v>
                </c:pt>
                <c:pt idx="2755">
                  <c:v>58623</c:v>
                </c:pt>
                <c:pt idx="2756">
                  <c:v>58630</c:v>
                </c:pt>
                <c:pt idx="2757">
                  <c:v>58637</c:v>
                </c:pt>
                <c:pt idx="2758">
                  <c:v>58644</c:v>
                </c:pt>
                <c:pt idx="2759">
                  <c:v>58651</c:v>
                </c:pt>
                <c:pt idx="2760">
                  <c:v>58658</c:v>
                </c:pt>
                <c:pt idx="2761">
                  <c:v>58665</c:v>
                </c:pt>
                <c:pt idx="2762">
                  <c:v>58672</c:v>
                </c:pt>
                <c:pt idx="2763">
                  <c:v>58679</c:v>
                </c:pt>
                <c:pt idx="2764">
                  <c:v>58686</c:v>
                </c:pt>
                <c:pt idx="2765">
                  <c:v>58693</c:v>
                </c:pt>
                <c:pt idx="2766">
                  <c:v>58700</c:v>
                </c:pt>
                <c:pt idx="2767">
                  <c:v>58707</c:v>
                </c:pt>
                <c:pt idx="2768">
                  <c:v>58714</c:v>
                </c:pt>
                <c:pt idx="2769">
                  <c:v>58721</c:v>
                </c:pt>
                <c:pt idx="2770">
                  <c:v>58728</c:v>
                </c:pt>
                <c:pt idx="2771">
                  <c:v>58735</c:v>
                </c:pt>
                <c:pt idx="2772">
                  <c:v>58742</c:v>
                </c:pt>
                <c:pt idx="2773">
                  <c:v>58749</c:v>
                </c:pt>
                <c:pt idx="2774">
                  <c:v>58757</c:v>
                </c:pt>
                <c:pt idx="2775">
                  <c:v>58763</c:v>
                </c:pt>
                <c:pt idx="2776">
                  <c:v>58771</c:v>
                </c:pt>
                <c:pt idx="2777">
                  <c:v>58777</c:v>
                </c:pt>
                <c:pt idx="2778">
                  <c:v>58784</c:v>
                </c:pt>
                <c:pt idx="2779">
                  <c:v>58791</c:v>
                </c:pt>
                <c:pt idx="2780">
                  <c:v>58798</c:v>
                </c:pt>
                <c:pt idx="2781">
                  <c:v>58810</c:v>
                </c:pt>
                <c:pt idx="2782">
                  <c:v>58813</c:v>
                </c:pt>
                <c:pt idx="2783">
                  <c:v>58820</c:v>
                </c:pt>
                <c:pt idx="2784">
                  <c:v>58827</c:v>
                </c:pt>
                <c:pt idx="2785">
                  <c:v>58834</c:v>
                </c:pt>
                <c:pt idx="2786">
                  <c:v>58841</c:v>
                </c:pt>
                <c:pt idx="2787">
                  <c:v>58848</c:v>
                </c:pt>
                <c:pt idx="2788">
                  <c:v>58855</c:v>
                </c:pt>
                <c:pt idx="2789">
                  <c:v>58862</c:v>
                </c:pt>
                <c:pt idx="2790">
                  <c:v>58869</c:v>
                </c:pt>
                <c:pt idx="2791">
                  <c:v>58876</c:v>
                </c:pt>
                <c:pt idx="2792">
                  <c:v>58883</c:v>
                </c:pt>
                <c:pt idx="2793">
                  <c:v>58890</c:v>
                </c:pt>
                <c:pt idx="2794">
                  <c:v>58897</c:v>
                </c:pt>
                <c:pt idx="2795">
                  <c:v>58908</c:v>
                </c:pt>
                <c:pt idx="2796">
                  <c:v>58911</c:v>
                </c:pt>
                <c:pt idx="2797">
                  <c:v>58918</c:v>
                </c:pt>
                <c:pt idx="2798">
                  <c:v>58925</c:v>
                </c:pt>
                <c:pt idx="2799">
                  <c:v>58932</c:v>
                </c:pt>
                <c:pt idx="2800">
                  <c:v>58939</c:v>
                </c:pt>
                <c:pt idx="2801">
                  <c:v>58946</c:v>
                </c:pt>
                <c:pt idx="2802">
                  <c:v>58953</c:v>
                </c:pt>
                <c:pt idx="2803">
                  <c:v>58960</c:v>
                </c:pt>
                <c:pt idx="2804">
                  <c:v>58967</c:v>
                </c:pt>
                <c:pt idx="2805">
                  <c:v>58974</c:v>
                </c:pt>
                <c:pt idx="2806">
                  <c:v>58981</c:v>
                </c:pt>
                <c:pt idx="2807">
                  <c:v>58988</c:v>
                </c:pt>
                <c:pt idx="2808">
                  <c:v>58995</c:v>
                </c:pt>
                <c:pt idx="2809">
                  <c:v>59002</c:v>
                </c:pt>
                <c:pt idx="2810">
                  <c:v>59009</c:v>
                </c:pt>
                <c:pt idx="2811">
                  <c:v>59016</c:v>
                </c:pt>
                <c:pt idx="2812">
                  <c:v>59023</c:v>
                </c:pt>
                <c:pt idx="2813">
                  <c:v>59030</c:v>
                </c:pt>
                <c:pt idx="2814">
                  <c:v>59037</c:v>
                </c:pt>
                <c:pt idx="2815">
                  <c:v>59044</c:v>
                </c:pt>
                <c:pt idx="2816">
                  <c:v>59051</c:v>
                </c:pt>
                <c:pt idx="2817">
                  <c:v>59058</c:v>
                </c:pt>
                <c:pt idx="2818">
                  <c:v>59065</c:v>
                </c:pt>
                <c:pt idx="2819">
                  <c:v>59072</c:v>
                </c:pt>
                <c:pt idx="2820">
                  <c:v>59079</c:v>
                </c:pt>
                <c:pt idx="2821">
                  <c:v>59086</c:v>
                </c:pt>
                <c:pt idx="2822">
                  <c:v>59093</c:v>
                </c:pt>
                <c:pt idx="2823">
                  <c:v>59100</c:v>
                </c:pt>
                <c:pt idx="2824">
                  <c:v>59107</c:v>
                </c:pt>
                <c:pt idx="2825">
                  <c:v>59114</c:v>
                </c:pt>
                <c:pt idx="2826">
                  <c:v>59124</c:v>
                </c:pt>
                <c:pt idx="2827">
                  <c:v>59128</c:v>
                </c:pt>
                <c:pt idx="2828">
                  <c:v>59135</c:v>
                </c:pt>
                <c:pt idx="2829">
                  <c:v>59142</c:v>
                </c:pt>
                <c:pt idx="2830">
                  <c:v>59149</c:v>
                </c:pt>
                <c:pt idx="2831">
                  <c:v>59156</c:v>
                </c:pt>
                <c:pt idx="2832">
                  <c:v>59163</c:v>
                </c:pt>
                <c:pt idx="2833">
                  <c:v>59170</c:v>
                </c:pt>
                <c:pt idx="2834">
                  <c:v>59177</c:v>
                </c:pt>
                <c:pt idx="2835">
                  <c:v>59184</c:v>
                </c:pt>
                <c:pt idx="2836">
                  <c:v>59191</c:v>
                </c:pt>
                <c:pt idx="2837">
                  <c:v>59198</c:v>
                </c:pt>
                <c:pt idx="2838">
                  <c:v>59205</c:v>
                </c:pt>
                <c:pt idx="2839">
                  <c:v>59212</c:v>
                </c:pt>
                <c:pt idx="2840">
                  <c:v>59219</c:v>
                </c:pt>
                <c:pt idx="2841">
                  <c:v>59226</c:v>
                </c:pt>
                <c:pt idx="2842">
                  <c:v>59233</c:v>
                </c:pt>
                <c:pt idx="2843">
                  <c:v>59240</c:v>
                </c:pt>
                <c:pt idx="2844">
                  <c:v>59247</c:v>
                </c:pt>
                <c:pt idx="2845">
                  <c:v>59258</c:v>
                </c:pt>
                <c:pt idx="2846">
                  <c:v>59261</c:v>
                </c:pt>
                <c:pt idx="2847">
                  <c:v>59268</c:v>
                </c:pt>
                <c:pt idx="2848">
                  <c:v>59275</c:v>
                </c:pt>
                <c:pt idx="2849">
                  <c:v>59282</c:v>
                </c:pt>
                <c:pt idx="2850">
                  <c:v>59289</c:v>
                </c:pt>
                <c:pt idx="2851">
                  <c:v>59296</c:v>
                </c:pt>
                <c:pt idx="2852">
                  <c:v>59303</c:v>
                </c:pt>
                <c:pt idx="2853">
                  <c:v>59310</c:v>
                </c:pt>
                <c:pt idx="2854">
                  <c:v>59317</c:v>
                </c:pt>
                <c:pt idx="2855">
                  <c:v>59324</c:v>
                </c:pt>
                <c:pt idx="2856">
                  <c:v>59331</c:v>
                </c:pt>
                <c:pt idx="2857">
                  <c:v>59338</c:v>
                </c:pt>
                <c:pt idx="2858">
                  <c:v>59345</c:v>
                </c:pt>
                <c:pt idx="2859">
                  <c:v>59352</c:v>
                </c:pt>
                <c:pt idx="2860">
                  <c:v>59359</c:v>
                </c:pt>
                <c:pt idx="2861">
                  <c:v>59366</c:v>
                </c:pt>
                <c:pt idx="2862">
                  <c:v>59373</c:v>
                </c:pt>
                <c:pt idx="2863">
                  <c:v>59380</c:v>
                </c:pt>
                <c:pt idx="2864">
                  <c:v>59387</c:v>
                </c:pt>
                <c:pt idx="2865">
                  <c:v>59394</c:v>
                </c:pt>
                <c:pt idx="2866">
                  <c:v>59401</c:v>
                </c:pt>
                <c:pt idx="2867">
                  <c:v>59408</c:v>
                </c:pt>
                <c:pt idx="2868">
                  <c:v>59415</c:v>
                </c:pt>
                <c:pt idx="2869">
                  <c:v>59422</c:v>
                </c:pt>
                <c:pt idx="2870">
                  <c:v>59429</c:v>
                </c:pt>
                <c:pt idx="2871">
                  <c:v>59436</c:v>
                </c:pt>
                <c:pt idx="2872">
                  <c:v>59443</c:v>
                </c:pt>
                <c:pt idx="2873">
                  <c:v>59450</c:v>
                </c:pt>
                <c:pt idx="2874">
                  <c:v>59457</c:v>
                </c:pt>
                <c:pt idx="2875">
                  <c:v>59464</c:v>
                </c:pt>
                <c:pt idx="2876">
                  <c:v>59471</c:v>
                </c:pt>
                <c:pt idx="2877">
                  <c:v>59478</c:v>
                </c:pt>
                <c:pt idx="2878">
                  <c:v>59488</c:v>
                </c:pt>
                <c:pt idx="2879">
                  <c:v>59492</c:v>
                </c:pt>
                <c:pt idx="2880">
                  <c:v>59499</c:v>
                </c:pt>
                <c:pt idx="2881">
                  <c:v>59506</c:v>
                </c:pt>
                <c:pt idx="2882">
                  <c:v>59513</c:v>
                </c:pt>
                <c:pt idx="2883">
                  <c:v>59520</c:v>
                </c:pt>
                <c:pt idx="2884">
                  <c:v>59527</c:v>
                </c:pt>
                <c:pt idx="2885">
                  <c:v>59534</c:v>
                </c:pt>
                <c:pt idx="2886">
                  <c:v>59541</c:v>
                </c:pt>
                <c:pt idx="2887">
                  <c:v>59548</c:v>
                </c:pt>
                <c:pt idx="2888">
                  <c:v>59555</c:v>
                </c:pt>
                <c:pt idx="2889">
                  <c:v>59562</c:v>
                </c:pt>
                <c:pt idx="2890">
                  <c:v>59569</c:v>
                </c:pt>
                <c:pt idx="2891">
                  <c:v>59576</c:v>
                </c:pt>
                <c:pt idx="2892">
                  <c:v>59583</c:v>
                </c:pt>
                <c:pt idx="2893">
                  <c:v>59590</c:v>
                </c:pt>
                <c:pt idx="2894">
                  <c:v>59597</c:v>
                </c:pt>
                <c:pt idx="2895">
                  <c:v>59604</c:v>
                </c:pt>
                <c:pt idx="2896">
                  <c:v>59611</c:v>
                </c:pt>
                <c:pt idx="2897">
                  <c:v>59618</c:v>
                </c:pt>
                <c:pt idx="2898">
                  <c:v>59625</c:v>
                </c:pt>
                <c:pt idx="2899">
                  <c:v>59632</c:v>
                </c:pt>
                <c:pt idx="2900">
                  <c:v>59643</c:v>
                </c:pt>
                <c:pt idx="2901">
                  <c:v>59646</c:v>
                </c:pt>
                <c:pt idx="2902">
                  <c:v>59653</c:v>
                </c:pt>
                <c:pt idx="2903">
                  <c:v>59660</c:v>
                </c:pt>
                <c:pt idx="2904">
                  <c:v>59667</c:v>
                </c:pt>
                <c:pt idx="2905">
                  <c:v>59674</c:v>
                </c:pt>
                <c:pt idx="2906">
                  <c:v>59681</c:v>
                </c:pt>
                <c:pt idx="2907">
                  <c:v>59688</c:v>
                </c:pt>
                <c:pt idx="2908">
                  <c:v>59695</c:v>
                </c:pt>
                <c:pt idx="2909">
                  <c:v>59702</c:v>
                </c:pt>
                <c:pt idx="2910">
                  <c:v>59709</c:v>
                </c:pt>
                <c:pt idx="2911">
                  <c:v>59716</c:v>
                </c:pt>
                <c:pt idx="2912">
                  <c:v>59723</c:v>
                </c:pt>
                <c:pt idx="2913">
                  <c:v>59730</c:v>
                </c:pt>
                <c:pt idx="2914">
                  <c:v>59737</c:v>
                </c:pt>
                <c:pt idx="2915">
                  <c:v>59744</c:v>
                </c:pt>
                <c:pt idx="2916">
                  <c:v>59751</c:v>
                </c:pt>
                <c:pt idx="2917">
                  <c:v>59758</c:v>
                </c:pt>
                <c:pt idx="2918">
                  <c:v>59765</c:v>
                </c:pt>
                <c:pt idx="2919">
                  <c:v>59772</c:v>
                </c:pt>
                <c:pt idx="2920">
                  <c:v>59779</c:v>
                </c:pt>
                <c:pt idx="2921">
                  <c:v>59786</c:v>
                </c:pt>
                <c:pt idx="2922">
                  <c:v>59793</c:v>
                </c:pt>
                <c:pt idx="2923">
                  <c:v>59800</c:v>
                </c:pt>
                <c:pt idx="2924">
                  <c:v>59807</c:v>
                </c:pt>
                <c:pt idx="2925">
                  <c:v>59814</c:v>
                </c:pt>
                <c:pt idx="2926">
                  <c:v>59821</c:v>
                </c:pt>
                <c:pt idx="2927">
                  <c:v>59828</c:v>
                </c:pt>
                <c:pt idx="2928">
                  <c:v>59835</c:v>
                </c:pt>
                <c:pt idx="2929">
                  <c:v>59842</c:v>
                </c:pt>
                <c:pt idx="2930">
                  <c:v>59849</c:v>
                </c:pt>
                <c:pt idx="2931">
                  <c:v>59856</c:v>
                </c:pt>
                <c:pt idx="2932">
                  <c:v>59863</c:v>
                </c:pt>
                <c:pt idx="2933">
                  <c:v>59870</c:v>
                </c:pt>
                <c:pt idx="2934">
                  <c:v>59877</c:v>
                </c:pt>
                <c:pt idx="2935">
                  <c:v>59884</c:v>
                </c:pt>
                <c:pt idx="2936">
                  <c:v>59891</c:v>
                </c:pt>
                <c:pt idx="2937">
                  <c:v>59901</c:v>
                </c:pt>
                <c:pt idx="2938">
                  <c:v>59908</c:v>
                </c:pt>
                <c:pt idx="2939">
                  <c:v>59915</c:v>
                </c:pt>
                <c:pt idx="2940">
                  <c:v>59923</c:v>
                </c:pt>
                <c:pt idx="2941">
                  <c:v>59929</c:v>
                </c:pt>
                <c:pt idx="2942">
                  <c:v>59936</c:v>
                </c:pt>
                <c:pt idx="2943">
                  <c:v>59943</c:v>
                </c:pt>
                <c:pt idx="2944">
                  <c:v>59951</c:v>
                </c:pt>
                <c:pt idx="2945">
                  <c:v>59957</c:v>
                </c:pt>
                <c:pt idx="2946">
                  <c:v>59964</c:v>
                </c:pt>
                <c:pt idx="2947">
                  <c:v>59971</c:v>
                </c:pt>
                <c:pt idx="2948">
                  <c:v>59978</c:v>
                </c:pt>
                <c:pt idx="2949">
                  <c:v>59985</c:v>
                </c:pt>
                <c:pt idx="2950">
                  <c:v>59992</c:v>
                </c:pt>
                <c:pt idx="2951">
                  <c:v>60001</c:v>
                </c:pt>
                <c:pt idx="2952">
                  <c:v>60006</c:v>
                </c:pt>
                <c:pt idx="2953">
                  <c:v>60013</c:v>
                </c:pt>
                <c:pt idx="2954">
                  <c:v>60020</c:v>
                </c:pt>
                <c:pt idx="2955">
                  <c:v>60028</c:v>
                </c:pt>
                <c:pt idx="2956">
                  <c:v>60034</c:v>
                </c:pt>
                <c:pt idx="2957">
                  <c:v>60041</c:v>
                </c:pt>
                <c:pt idx="2958">
                  <c:v>60049</c:v>
                </c:pt>
                <c:pt idx="2959">
                  <c:v>60055</c:v>
                </c:pt>
                <c:pt idx="2960">
                  <c:v>60062</c:v>
                </c:pt>
                <c:pt idx="2961">
                  <c:v>60069</c:v>
                </c:pt>
                <c:pt idx="2962">
                  <c:v>60076</c:v>
                </c:pt>
                <c:pt idx="2963">
                  <c:v>60083</c:v>
                </c:pt>
                <c:pt idx="2964">
                  <c:v>60090</c:v>
                </c:pt>
                <c:pt idx="2965">
                  <c:v>60097</c:v>
                </c:pt>
                <c:pt idx="2966">
                  <c:v>60104</c:v>
                </c:pt>
                <c:pt idx="2967">
                  <c:v>60111</c:v>
                </c:pt>
                <c:pt idx="2968">
                  <c:v>60118</c:v>
                </c:pt>
                <c:pt idx="2969">
                  <c:v>60125</c:v>
                </c:pt>
                <c:pt idx="2970">
                  <c:v>60132</c:v>
                </c:pt>
                <c:pt idx="2971">
                  <c:v>60140</c:v>
                </c:pt>
                <c:pt idx="2972">
                  <c:v>60147</c:v>
                </c:pt>
                <c:pt idx="2973">
                  <c:v>60153</c:v>
                </c:pt>
                <c:pt idx="2974">
                  <c:v>60160</c:v>
                </c:pt>
                <c:pt idx="2975">
                  <c:v>60167</c:v>
                </c:pt>
                <c:pt idx="2976">
                  <c:v>60174</c:v>
                </c:pt>
                <c:pt idx="2977">
                  <c:v>60181</c:v>
                </c:pt>
                <c:pt idx="2978">
                  <c:v>60189</c:v>
                </c:pt>
                <c:pt idx="2979">
                  <c:v>60195</c:v>
                </c:pt>
                <c:pt idx="2980">
                  <c:v>60202</c:v>
                </c:pt>
                <c:pt idx="2981">
                  <c:v>60209</c:v>
                </c:pt>
                <c:pt idx="2982">
                  <c:v>60216</c:v>
                </c:pt>
                <c:pt idx="2983">
                  <c:v>60223</c:v>
                </c:pt>
                <c:pt idx="2984">
                  <c:v>60230</c:v>
                </c:pt>
                <c:pt idx="2985">
                  <c:v>60237</c:v>
                </c:pt>
                <c:pt idx="2986">
                  <c:v>60244</c:v>
                </c:pt>
                <c:pt idx="2987">
                  <c:v>60251</c:v>
                </c:pt>
                <c:pt idx="2988">
                  <c:v>60258</c:v>
                </c:pt>
                <c:pt idx="2989">
                  <c:v>60267</c:v>
                </c:pt>
                <c:pt idx="2990">
                  <c:v>60274</c:v>
                </c:pt>
                <c:pt idx="2991">
                  <c:v>60281</c:v>
                </c:pt>
                <c:pt idx="2992">
                  <c:v>60288</c:v>
                </c:pt>
                <c:pt idx="2993">
                  <c:v>60295</c:v>
                </c:pt>
                <c:pt idx="2994">
                  <c:v>60302</c:v>
                </c:pt>
                <c:pt idx="2995">
                  <c:v>60309</c:v>
                </c:pt>
                <c:pt idx="2996">
                  <c:v>60316</c:v>
                </c:pt>
                <c:pt idx="2997">
                  <c:v>60323</c:v>
                </c:pt>
                <c:pt idx="2998">
                  <c:v>60330</c:v>
                </c:pt>
                <c:pt idx="2999">
                  <c:v>60337</c:v>
                </c:pt>
                <c:pt idx="3000">
                  <c:v>60344</c:v>
                </c:pt>
                <c:pt idx="3001">
                  <c:v>60351</c:v>
                </c:pt>
                <c:pt idx="3002">
                  <c:v>60359</c:v>
                </c:pt>
                <c:pt idx="3003">
                  <c:v>60366</c:v>
                </c:pt>
                <c:pt idx="3004">
                  <c:v>60373</c:v>
                </c:pt>
                <c:pt idx="3005">
                  <c:v>60380</c:v>
                </c:pt>
                <c:pt idx="3006">
                  <c:v>60387</c:v>
                </c:pt>
                <c:pt idx="3007">
                  <c:v>60394</c:v>
                </c:pt>
                <c:pt idx="3008">
                  <c:v>60401</c:v>
                </c:pt>
                <c:pt idx="3009">
                  <c:v>60408</c:v>
                </c:pt>
                <c:pt idx="3010">
                  <c:v>60415</c:v>
                </c:pt>
                <c:pt idx="3011">
                  <c:v>60422</c:v>
                </c:pt>
                <c:pt idx="3012">
                  <c:v>60429</c:v>
                </c:pt>
                <c:pt idx="3013">
                  <c:v>60436</c:v>
                </c:pt>
                <c:pt idx="3014">
                  <c:v>60443</c:v>
                </c:pt>
                <c:pt idx="3015">
                  <c:v>60450</c:v>
                </c:pt>
                <c:pt idx="3016">
                  <c:v>60457</c:v>
                </c:pt>
                <c:pt idx="3017">
                  <c:v>60464</c:v>
                </c:pt>
                <c:pt idx="3018">
                  <c:v>60471</c:v>
                </c:pt>
                <c:pt idx="3019">
                  <c:v>60478</c:v>
                </c:pt>
                <c:pt idx="3020">
                  <c:v>60485</c:v>
                </c:pt>
                <c:pt idx="3021">
                  <c:v>60492</c:v>
                </c:pt>
                <c:pt idx="3022">
                  <c:v>60499</c:v>
                </c:pt>
                <c:pt idx="3023">
                  <c:v>60506</c:v>
                </c:pt>
                <c:pt idx="3024">
                  <c:v>60513</c:v>
                </c:pt>
                <c:pt idx="3025">
                  <c:v>60520</c:v>
                </c:pt>
                <c:pt idx="3026">
                  <c:v>60527</c:v>
                </c:pt>
                <c:pt idx="3027">
                  <c:v>60534</c:v>
                </c:pt>
                <c:pt idx="3028">
                  <c:v>60541</c:v>
                </c:pt>
                <c:pt idx="3029">
                  <c:v>60548</c:v>
                </c:pt>
                <c:pt idx="3030">
                  <c:v>60555</c:v>
                </c:pt>
                <c:pt idx="3031">
                  <c:v>60562</c:v>
                </c:pt>
                <c:pt idx="3032">
                  <c:v>60569</c:v>
                </c:pt>
                <c:pt idx="3033">
                  <c:v>60576</c:v>
                </c:pt>
                <c:pt idx="3034">
                  <c:v>60583</c:v>
                </c:pt>
                <c:pt idx="3035">
                  <c:v>60590</c:v>
                </c:pt>
                <c:pt idx="3036">
                  <c:v>60598</c:v>
                </c:pt>
                <c:pt idx="3037">
                  <c:v>60604</c:v>
                </c:pt>
                <c:pt idx="3038">
                  <c:v>60611</c:v>
                </c:pt>
                <c:pt idx="3039">
                  <c:v>60618</c:v>
                </c:pt>
                <c:pt idx="3040">
                  <c:v>60625</c:v>
                </c:pt>
                <c:pt idx="3041">
                  <c:v>60632</c:v>
                </c:pt>
                <c:pt idx="3042">
                  <c:v>60639</c:v>
                </c:pt>
                <c:pt idx="3043">
                  <c:v>60646</c:v>
                </c:pt>
                <c:pt idx="3044">
                  <c:v>60653</c:v>
                </c:pt>
                <c:pt idx="3045">
                  <c:v>60660</c:v>
                </c:pt>
                <c:pt idx="3046">
                  <c:v>60667</c:v>
                </c:pt>
                <c:pt idx="3047">
                  <c:v>60674</c:v>
                </c:pt>
                <c:pt idx="3048">
                  <c:v>60681</c:v>
                </c:pt>
                <c:pt idx="3049">
                  <c:v>60688</c:v>
                </c:pt>
                <c:pt idx="3050">
                  <c:v>60695</c:v>
                </c:pt>
                <c:pt idx="3051">
                  <c:v>60702</c:v>
                </c:pt>
                <c:pt idx="3052">
                  <c:v>60709</c:v>
                </c:pt>
                <c:pt idx="3053">
                  <c:v>60716</c:v>
                </c:pt>
                <c:pt idx="3054">
                  <c:v>60723</c:v>
                </c:pt>
                <c:pt idx="3055">
                  <c:v>60730</c:v>
                </c:pt>
                <c:pt idx="3056">
                  <c:v>60737</c:v>
                </c:pt>
                <c:pt idx="3057">
                  <c:v>60744</c:v>
                </c:pt>
                <c:pt idx="3058">
                  <c:v>60751</c:v>
                </c:pt>
                <c:pt idx="3059">
                  <c:v>60758</c:v>
                </c:pt>
                <c:pt idx="3060">
                  <c:v>60765</c:v>
                </c:pt>
                <c:pt idx="3061">
                  <c:v>60772</c:v>
                </c:pt>
                <c:pt idx="3062">
                  <c:v>60779</c:v>
                </c:pt>
                <c:pt idx="3063">
                  <c:v>60786</c:v>
                </c:pt>
                <c:pt idx="3064">
                  <c:v>60793</c:v>
                </c:pt>
                <c:pt idx="3065">
                  <c:v>60800</c:v>
                </c:pt>
                <c:pt idx="3066">
                  <c:v>60807</c:v>
                </c:pt>
                <c:pt idx="3067">
                  <c:v>60814</c:v>
                </c:pt>
                <c:pt idx="3068">
                  <c:v>60821</c:v>
                </c:pt>
                <c:pt idx="3069">
                  <c:v>60828</c:v>
                </c:pt>
                <c:pt idx="3070">
                  <c:v>60835</c:v>
                </c:pt>
                <c:pt idx="3071">
                  <c:v>60842</c:v>
                </c:pt>
                <c:pt idx="3072">
                  <c:v>60849</c:v>
                </c:pt>
                <c:pt idx="3073">
                  <c:v>60856</c:v>
                </c:pt>
                <c:pt idx="3074">
                  <c:v>60863</c:v>
                </c:pt>
                <c:pt idx="3075">
                  <c:v>60870</c:v>
                </c:pt>
                <c:pt idx="3076">
                  <c:v>60877</c:v>
                </c:pt>
                <c:pt idx="3077">
                  <c:v>60884</c:v>
                </c:pt>
                <c:pt idx="3078">
                  <c:v>60891</c:v>
                </c:pt>
                <c:pt idx="3079">
                  <c:v>60898</c:v>
                </c:pt>
                <c:pt idx="3080">
                  <c:v>60905</c:v>
                </c:pt>
                <c:pt idx="3081">
                  <c:v>60912</c:v>
                </c:pt>
                <c:pt idx="3082">
                  <c:v>60919</c:v>
                </c:pt>
                <c:pt idx="3083">
                  <c:v>60926</c:v>
                </c:pt>
                <c:pt idx="3084">
                  <c:v>60933</c:v>
                </c:pt>
                <c:pt idx="3085">
                  <c:v>60940</c:v>
                </c:pt>
                <c:pt idx="3086">
                  <c:v>60948</c:v>
                </c:pt>
                <c:pt idx="3087">
                  <c:v>60954</c:v>
                </c:pt>
                <c:pt idx="3088">
                  <c:v>60962</c:v>
                </c:pt>
                <c:pt idx="3089">
                  <c:v>60968</c:v>
                </c:pt>
                <c:pt idx="3090">
                  <c:v>60975</c:v>
                </c:pt>
                <c:pt idx="3091">
                  <c:v>60982</c:v>
                </c:pt>
                <c:pt idx="3092">
                  <c:v>60989</c:v>
                </c:pt>
                <c:pt idx="3093">
                  <c:v>61001</c:v>
                </c:pt>
                <c:pt idx="3094">
                  <c:v>61004</c:v>
                </c:pt>
                <c:pt idx="3095">
                  <c:v>61011</c:v>
                </c:pt>
                <c:pt idx="3096">
                  <c:v>61018</c:v>
                </c:pt>
                <c:pt idx="3097">
                  <c:v>61025</c:v>
                </c:pt>
                <c:pt idx="3098">
                  <c:v>61032</c:v>
                </c:pt>
                <c:pt idx="3099">
                  <c:v>61039</c:v>
                </c:pt>
                <c:pt idx="3100">
                  <c:v>61046</c:v>
                </c:pt>
                <c:pt idx="3101">
                  <c:v>61053</c:v>
                </c:pt>
                <c:pt idx="3102">
                  <c:v>61060</c:v>
                </c:pt>
                <c:pt idx="3103">
                  <c:v>61067</c:v>
                </c:pt>
                <c:pt idx="3104">
                  <c:v>61074</c:v>
                </c:pt>
                <c:pt idx="3105">
                  <c:v>61081</c:v>
                </c:pt>
                <c:pt idx="3106">
                  <c:v>61092</c:v>
                </c:pt>
                <c:pt idx="3107">
                  <c:v>61095</c:v>
                </c:pt>
                <c:pt idx="3108">
                  <c:v>61102</c:v>
                </c:pt>
                <c:pt idx="3109">
                  <c:v>61109</c:v>
                </c:pt>
                <c:pt idx="3110">
                  <c:v>61116</c:v>
                </c:pt>
                <c:pt idx="3111">
                  <c:v>61123</c:v>
                </c:pt>
                <c:pt idx="3112">
                  <c:v>61130</c:v>
                </c:pt>
                <c:pt idx="3113">
                  <c:v>61137</c:v>
                </c:pt>
                <c:pt idx="3114">
                  <c:v>61144</c:v>
                </c:pt>
                <c:pt idx="3115">
                  <c:v>61151</c:v>
                </c:pt>
                <c:pt idx="3116">
                  <c:v>61158</c:v>
                </c:pt>
                <c:pt idx="3117">
                  <c:v>61165</c:v>
                </c:pt>
                <c:pt idx="3118">
                  <c:v>61172</c:v>
                </c:pt>
                <c:pt idx="3119">
                  <c:v>61179</c:v>
                </c:pt>
                <c:pt idx="3120">
                  <c:v>61186</c:v>
                </c:pt>
                <c:pt idx="3121">
                  <c:v>61193</c:v>
                </c:pt>
                <c:pt idx="3122">
                  <c:v>61200</c:v>
                </c:pt>
                <c:pt idx="3123">
                  <c:v>61207</c:v>
                </c:pt>
                <c:pt idx="3124">
                  <c:v>61214</c:v>
                </c:pt>
                <c:pt idx="3125">
                  <c:v>61221</c:v>
                </c:pt>
                <c:pt idx="3126">
                  <c:v>61228</c:v>
                </c:pt>
                <c:pt idx="3127">
                  <c:v>61235</c:v>
                </c:pt>
                <c:pt idx="3128">
                  <c:v>61242</c:v>
                </c:pt>
                <c:pt idx="3129">
                  <c:v>61249</c:v>
                </c:pt>
                <c:pt idx="3130">
                  <c:v>61256</c:v>
                </c:pt>
                <c:pt idx="3131">
                  <c:v>61263</c:v>
                </c:pt>
                <c:pt idx="3132">
                  <c:v>61270</c:v>
                </c:pt>
                <c:pt idx="3133">
                  <c:v>61277</c:v>
                </c:pt>
                <c:pt idx="3134">
                  <c:v>61284</c:v>
                </c:pt>
                <c:pt idx="3135">
                  <c:v>61291</c:v>
                </c:pt>
                <c:pt idx="3136">
                  <c:v>61298</c:v>
                </c:pt>
                <c:pt idx="3137">
                  <c:v>61305</c:v>
                </c:pt>
                <c:pt idx="3138">
                  <c:v>61315</c:v>
                </c:pt>
                <c:pt idx="3139">
                  <c:v>61319</c:v>
                </c:pt>
                <c:pt idx="3140">
                  <c:v>61326</c:v>
                </c:pt>
                <c:pt idx="3141">
                  <c:v>61333</c:v>
                </c:pt>
                <c:pt idx="3142">
                  <c:v>61340</c:v>
                </c:pt>
                <c:pt idx="3143">
                  <c:v>61347</c:v>
                </c:pt>
                <c:pt idx="3144">
                  <c:v>61354</c:v>
                </c:pt>
                <c:pt idx="3145">
                  <c:v>61361</c:v>
                </c:pt>
                <c:pt idx="3146">
                  <c:v>61368</c:v>
                </c:pt>
                <c:pt idx="3147">
                  <c:v>61375</c:v>
                </c:pt>
                <c:pt idx="3148">
                  <c:v>61382</c:v>
                </c:pt>
                <c:pt idx="3149">
                  <c:v>61389</c:v>
                </c:pt>
                <c:pt idx="3150">
                  <c:v>61396</c:v>
                </c:pt>
                <c:pt idx="3151">
                  <c:v>61403</c:v>
                </c:pt>
                <c:pt idx="3152">
                  <c:v>61410</c:v>
                </c:pt>
                <c:pt idx="3153">
                  <c:v>61417</c:v>
                </c:pt>
                <c:pt idx="3154">
                  <c:v>61424</c:v>
                </c:pt>
                <c:pt idx="3155">
                  <c:v>61431</c:v>
                </c:pt>
                <c:pt idx="3156">
                  <c:v>61438</c:v>
                </c:pt>
                <c:pt idx="3157">
                  <c:v>61445</c:v>
                </c:pt>
                <c:pt idx="3158">
                  <c:v>61452</c:v>
                </c:pt>
                <c:pt idx="3159">
                  <c:v>61459</c:v>
                </c:pt>
                <c:pt idx="3160">
                  <c:v>61466</c:v>
                </c:pt>
                <c:pt idx="3161">
                  <c:v>61477</c:v>
                </c:pt>
                <c:pt idx="3162">
                  <c:v>61480</c:v>
                </c:pt>
                <c:pt idx="3163">
                  <c:v>61487</c:v>
                </c:pt>
                <c:pt idx="3164">
                  <c:v>61494</c:v>
                </c:pt>
                <c:pt idx="3165">
                  <c:v>61501</c:v>
                </c:pt>
                <c:pt idx="3166">
                  <c:v>61508</c:v>
                </c:pt>
                <c:pt idx="3167">
                  <c:v>61515</c:v>
                </c:pt>
                <c:pt idx="3168">
                  <c:v>61522</c:v>
                </c:pt>
                <c:pt idx="3169">
                  <c:v>61529</c:v>
                </c:pt>
                <c:pt idx="3170">
                  <c:v>61536</c:v>
                </c:pt>
                <c:pt idx="3171">
                  <c:v>61543</c:v>
                </c:pt>
                <c:pt idx="3172">
                  <c:v>61550</c:v>
                </c:pt>
                <c:pt idx="3173">
                  <c:v>61557</c:v>
                </c:pt>
                <c:pt idx="3174">
                  <c:v>61564</c:v>
                </c:pt>
                <c:pt idx="3175">
                  <c:v>61571</c:v>
                </c:pt>
                <c:pt idx="3176">
                  <c:v>61578</c:v>
                </c:pt>
                <c:pt idx="3177">
                  <c:v>61585</c:v>
                </c:pt>
                <c:pt idx="3178">
                  <c:v>61592</c:v>
                </c:pt>
                <c:pt idx="3179">
                  <c:v>61599</c:v>
                </c:pt>
                <c:pt idx="3180">
                  <c:v>61606</c:v>
                </c:pt>
                <c:pt idx="3181">
                  <c:v>61613</c:v>
                </c:pt>
                <c:pt idx="3182">
                  <c:v>61620</c:v>
                </c:pt>
                <c:pt idx="3183">
                  <c:v>61627</c:v>
                </c:pt>
                <c:pt idx="3184">
                  <c:v>61634</c:v>
                </c:pt>
                <c:pt idx="3185">
                  <c:v>61641</c:v>
                </c:pt>
                <c:pt idx="3186">
                  <c:v>61648</c:v>
                </c:pt>
                <c:pt idx="3187">
                  <c:v>61655</c:v>
                </c:pt>
                <c:pt idx="3188">
                  <c:v>61662</c:v>
                </c:pt>
                <c:pt idx="3189">
                  <c:v>61669</c:v>
                </c:pt>
                <c:pt idx="3190">
                  <c:v>61676</c:v>
                </c:pt>
                <c:pt idx="3191">
                  <c:v>61683</c:v>
                </c:pt>
                <c:pt idx="3192">
                  <c:v>61690</c:v>
                </c:pt>
                <c:pt idx="3193">
                  <c:v>61697</c:v>
                </c:pt>
                <c:pt idx="3194">
                  <c:v>61704</c:v>
                </c:pt>
                <c:pt idx="3195">
                  <c:v>61711</c:v>
                </c:pt>
                <c:pt idx="3196">
                  <c:v>61718</c:v>
                </c:pt>
                <c:pt idx="3197">
                  <c:v>61728</c:v>
                </c:pt>
                <c:pt idx="3198">
                  <c:v>61735</c:v>
                </c:pt>
                <c:pt idx="3199">
                  <c:v>61742</c:v>
                </c:pt>
                <c:pt idx="3200">
                  <c:v>61750</c:v>
                </c:pt>
                <c:pt idx="3201">
                  <c:v>61756</c:v>
                </c:pt>
                <c:pt idx="3202">
                  <c:v>61763</c:v>
                </c:pt>
                <c:pt idx="3203">
                  <c:v>61770</c:v>
                </c:pt>
                <c:pt idx="3204">
                  <c:v>61778</c:v>
                </c:pt>
                <c:pt idx="3205">
                  <c:v>61784</c:v>
                </c:pt>
                <c:pt idx="3206">
                  <c:v>61791</c:v>
                </c:pt>
                <c:pt idx="3207">
                  <c:v>61798</c:v>
                </c:pt>
                <c:pt idx="3208">
                  <c:v>61805</c:v>
                </c:pt>
                <c:pt idx="3209">
                  <c:v>61812</c:v>
                </c:pt>
                <c:pt idx="3210">
                  <c:v>61819</c:v>
                </c:pt>
                <c:pt idx="3211">
                  <c:v>61826</c:v>
                </c:pt>
                <c:pt idx="3212">
                  <c:v>61835</c:v>
                </c:pt>
                <c:pt idx="3213">
                  <c:v>61840</c:v>
                </c:pt>
                <c:pt idx="3214">
                  <c:v>61847</c:v>
                </c:pt>
                <c:pt idx="3215">
                  <c:v>61855</c:v>
                </c:pt>
                <c:pt idx="3216">
                  <c:v>61861</c:v>
                </c:pt>
                <c:pt idx="3217">
                  <c:v>61868</c:v>
                </c:pt>
                <c:pt idx="3218">
                  <c:v>61876</c:v>
                </c:pt>
                <c:pt idx="3219">
                  <c:v>61882</c:v>
                </c:pt>
                <c:pt idx="3220">
                  <c:v>61889</c:v>
                </c:pt>
                <c:pt idx="3221">
                  <c:v>61896</c:v>
                </c:pt>
                <c:pt idx="3222">
                  <c:v>61903</c:v>
                </c:pt>
                <c:pt idx="3223">
                  <c:v>61910</c:v>
                </c:pt>
                <c:pt idx="3224">
                  <c:v>61917</c:v>
                </c:pt>
                <c:pt idx="3225">
                  <c:v>61924</c:v>
                </c:pt>
                <c:pt idx="3226">
                  <c:v>61931</c:v>
                </c:pt>
                <c:pt idx="3227">
                  <c:v>61938</c:v>
                </c:pt>
                <c:pt idx="3228">
                  <c:v>61945</c:v>
                </c:pt>
                <c:pt idx="3229">
                  <c:v>61952</c:v>
                </c:pt>
                <c:pt idx="3230">
                  <c:v>61959</c:v>
                </c:pt>
                <c:pt idx="3231">
                  <c:v>61967</c:v>
                </c:pt>
                <c:pt idx="3232">
                  <c:v>61974</c:v>
                </c:pt>
                <c:pt idx="3233">
                  <c:v>61980</c:v>
                </c:pt>
                <c:pt idx="3234">
                  <c:v>61987</c:v>
                </c:pt>
                <c:pt idx="3235">
                  <c:v>61994</c:v>
                </c:pt>
                <c:pt idx="3236">
                  <c:v>62001</c:v>
                </c:pt>
                <c:pt idx="3237">
                  <c:v>62008</c:v>
                </c:pt>
                <c:pt idx="3238">
                  <c:v>62016</c:v>
                </c:pt>
                <c:pt idx="3239">
                  <c:v>62022</c:v>
                </c:pt>
                <c:pt idx="3240">
                  <c:v>62029</c:v>
                </c:pt>
                <c:pt idx="3241">
                  <c:v>62036</c:v>
                </c:pt>
                <c:pt idx="3242">
                  <c:v>62044</c:v>
                </c:pt>
                <c:pt idx="3243">
                  <c:v>62050</c:v>
                </c:pt>
                <c:pt idx="3244">
                  <c:v>62057</c:v>
                </c:pt>
                <c:pt idx="3245">
                  <c:v>62064</c:v>
                </c:pt>
                <c:pt idx="3246">
                  <c:v>62071</c:v>
                </c:pt>
                <c:pt idx="3247">
                  <c:v>62078</c:v>
                </c:pt>
                <c:pt idx="3248">
                  <c:v>62085</c:v>
                </c:pt>
                <c:pt idx="3249">
                  <c:v>62093</c:v>
                </c:pt>
                <c:pt idx="3250">
                  <c:v>62100</c:v>
                </c:pt>
                <c:pt idx="3251">
                  <c:v>62107</c:v>
                </c:pt>
                <c:pt idx="3252">
                  <c:v>62114</c:v>
                </c:pt>
                <c:pt idx="3253">
                  <c:v>62121</c:v>
                </c:pt>
                <c:pt idx="3254">
                  <c:v>62128</c:v>
                </c:pt>
                <c:pt idx="3255">
                  <c:v>62135</c:v>
                </c:pt>
                <c:pt idx="3256">
                  <c:v>62142</c:v>
                </c:pt>
                <c:pt idx="3257">
                  <c:v>62149</c:v>
                </c:pt>
                <c:pt idx="3258">
                  <c:v>62156</c:v>
                </c:pt>
                <c:pt idx="3259">
                  <c:v>62163</c:v>
                </c:pt>
                <c:pt idx="3260">
                  <c:v>62170</c:v>
                </c:pt>
                <c:pt idx="3261">
                  <c:v>62177</c:v>
                </c:pt>
                <c:pt idx="3262">
                  <c:v>62186</c:v>
                </c:pt>
                <c:pt idx="3263">
                  <c:v>62193</c:v>
                </c:pt>
                <c:pt idx="3264">
                  <c:v>62200</c:v>
                </c:pt>
                <c:pt idx="3265">
                  <c:v>62207</c:v>
                </c:pt>
                <c:pt idx="3266">
                  <c:v>62214</c:v>
                </c:pt>
                <c:pt idx="3267">
                  <c:v>62221</c:v>
                </c:pt>
                <c:pt idx="3268">
                  <c:v>62228</c:v>
                </c:pt>
                <c:pt idx="3269">
                  <c:v>62235</c:v>
                </c:pt>
                <c:pt idx="3270">
                  <c:v>62242</c:v>
                </c:pt>
                <c:pt idx="3271">
                  <c:v>62249</c:v>
                </c:pt>
                <c:pt idx="3272">
                  <c:v>62256</c:v>
                </c:pt>
                <c:pt idx="3273">
                  <c:v>62263</c:v>
                </c:pt>
                <c:pt idx="3274">
                  <c:v>62270</c:v>
                </c:pt>
                <c:pt idx="3275">
                  <c:v>62277</c:v>
                </c:pt>
                <c:pt idx="3276">
                  <c:v>62284</c:v>
                </c:pt>
                <c:pt idx="3277">
                  <c:v>62291</c:v>
                </c:pt>
                <c:pt idx="3278">
                  <c:v>62298</c:v>
                </c:pt>
                <c:pt idx="3279">
                  <c:v>62305</c:v>
                </c:pt>
                <c:pt idx="3280">
                  <c:v>62312</c:v>
                </c:pt>
                <c:pt idx="3281">
                  <c:v>62319</c:v>
                </c:pt>
                <c:pt idx="3282">
                  <c:v>62326</c:v>
                </c:pt>
                <c:pt idx="3283">
                  <c:v>62333</c:v>
                </c:pt>
                <c:pt idx="3284">
                  <c:v>62340</c:v>
                </c:pt>
                <c:pt idx="3285">
                  <c:v>62347</c:v>
                </c:pt>
                <c:pt idx="3286">
                  <c:v>62354</c:v>
                </c:pt>
                <c:pt idx="3287">
                  <c:v>62361</c:v>
                </c:pt>
                <c:pt idx="3288">
                  <c:v>62368</c:v>
                </c:pt>
                <c:pt idx="3289">
                  <c:v>62375</c:v>
                </c:pt>
                <c:pt idx="3290">
                  <c:v>62382</c:v>
                </c:pt>
                <c:pt idx="3291">
                  <c:v>62389</c:v>
                </c:pt>
                <c:pt idx="3292">
                  <c:v>62396</c:v>
                </c:pt>
                <c:pt idx="3293">
                  <c:v>62403</c:v>
                </c:pt>
                <c:pt idx="3294">
                  <c:v>62410</c:v>
                </c:pt>
                <c:pt idx="3295">
                  <c:v>62417</c:v>
                </c:pt>
                <c:pt idx="3296">
                  <c:v>62425</c:v>
                </c:pt>
                <c:pt idx="3297">
                  <c:v>62431</c:v>
                </c:pt>
                <c:pt idx="3298">
                  <c:v>62438</c:v>
                </c:pt>
                <c:pt idx="3299">
                  <c:v>62445</c:v>
                </c:pt>
                <c:pt idx="3300">
                  <c:v>62456</c:v>
                </c:pt>
                <c:pt idx="3301">
                  <c:v>62460</c:v>
                </c:pt>
                <c:pt idx="3302">
                  <c:v>62466</c:v>
                </c:pt>
                <c:pt idx="3303">
                  <c:v>62473</c:v>
                </c:pt>
                <c:pt idx="3304">
                  <c:v>62480</c:v>
                </c:pt>
                <c:pt idx="3305">
                  <c:v>62487</c:v>
                </c:pt>
                <c:pt idx="3306">
                  <c:v>62494</c:v>
                </c:pt>
                <c:pt idx="3307">
                  <c:v>62501</c:v>
                </c:pt>
                <c:pt idx="3308">
                  <c:v>62508</c:v>
                </c:pt>
                <c:pt idx="3309">
                  <c:v>62515</c:v>
                </c:pt>
                <c:pt idx="3310">
                  <c:v>62522</c:v>
                </c:pt>
                <c:pt idx="3311">
                  <c:v>62529</c:v>
                </c:pt>
                <c:pt idx="3312">
                  <c:v>62536</c:v>
                </c:pt>
                <c:pt idx="3313">
                  <c:v>62543</c:v>
                </c:pt>
                <c:pt idx="3314">
                  <c:v>62550</c:v>
                </c:pt>
                <c:pt idx="3315">
                  <c:v>62557</c:v>
                </c:pt>
                <c:pt idx="3316">
                  <c:v>62564</c:v>
                </c:pt>
                <c:pt idx="3317">
                  <c:v>62571</c:v>
                </c:pt>
                <c:pt idx="3318">
                  <c:v>62578</c:v>
                </c:pt>
                <c:pt idx="3319">
                  <c:v>62585</c:v>
                </c:pt>
                <c:pt idx="3320">
                  <c:v>62592</c:v>
                </c:pt>
                <c:pt idx="3321">
                  <c:v>62599</c:v>
                </c:pt>
                <c:pt idx="3322">
                  <c:v>62606</c:v>
                </c:pt>
                <c:pt idx="3323">
                  <c:v>62613</c:v>
                </c:pt>
                <c:pt idx="3324">
                  <c:v>62620</c:v>
                </c:pt>
                <c:pt idx="3325">
                  <c:v>62627</c:v>
                </c:pt>
                <c:pt idx="3326">
                  <c:v>62634</c:v>
                </c:pt>
                <c:pt idx="3327">
                  <c:v>62641</c:v>
                </c:pt>
                <c:pt idx="3328">
                  <c:v>62648</c:v>
                </c:pt>
                <c:pt idx="3329">
                  <c:v>62655</c:v>
                </c:pt>
                <c:pt idx="3330">
                  <c:v>62662</c:v>
                </c:pt>
                <c:pt idx="3331">
                  <c:v>62669</c:v>
                </c:pt>
                <c:pt idx="3332">
                  <c:v>62676</c:v>
                </c:pt>
                <c:pt idx="3333">
                  <c:v>62683</c:v>
                </c:pt>
                <c:pt idx="3334">
                  <c:v>62690</c:v>
                </c:pt>
                <c:pt idx="3335">
                  <c:v>62697</c:v>
                </c:pt>
                <c:pt idx="3336">
                  <c:v>62704</c:v>
                </c:pt>
                <c:pt idx="3337">
                  <c:v>62711</c:v>
                </c:pt>
                <c:pt idx="3338">
                  <c:v>62718</c:v>
                </c:pt>
                <c:pt idx="3339">
                  <c:v>62725</c:v>
                </c:pt>
                <c:pt idx="3340">
                  <c:v>62732</c:v>
                </c:pt>
                <c:pt idx="3341">
                  <c:v>62739</c:v>
                </c:pt>
                <c:pt idx="3342">
                  <c:v>62746</c:v>
                </c:pt>
                <c:pt idx="3343">
                  <c:v>62753</c:v>
                </c:pt>
                <c:pt idx="3344">
                  <c:v>62760</c:v>
                </c:pt>
                <c:pt idx="3345">
                  <c:v>62767</c:v>
                </c:pt>
                <c:pt idx="3346">
                  <c:v>62774</c:v>
                </c:pt>
                <c:pt idx="3347">
                  <c:v>62781</c:v>
                </c:pt>
                <c:pt idx="3348">
                  <c:v>62789</c:v>
                </c:pt>
                <c:pt idx="3349">
                  <c:v>62795</c:v>
                </c:pt>
                <c:pt idx="3350">
                  <c:v>62802</c:v>
                </c:pt>
                <c:pt idx="3351">
                  <c:v>62809</c:v>
                </c:pt>
                <c:pt idx="3352">
                  <c:v>62816</c:v>
                </c:pt>
                <c:pt idx="3353">
                  <c:v>62823</c:v>
                </c:pt>
                <c:pt idx="3354">
                  <c:v>62830</c:v>
                </c:pt>
                <c:pt idx="3355">
                  <c:v>62837</c:v>
                </c:pt>
                <c:pt idx="3356">
                  <c:v>62844</c:v>
                </c:pt>
                <c:pt idx="3357">
                  <c:v>62851</c:v>
                </c:pt>
                <c:pt idx="3358">
                  <c:v>62858</c:v>
                </c:pt>
                <c:pt idx="3359">
                  <c:v>62865</c:v>
                </c:pt>
                <c:pt idx="3360">
                  <c:v>62872</c:v>
                </c:pt>
                <c:pt idx="3361">
                  <c:v>62879</c:v>
                </c:pt>
                <c:pt idx="3362">
                  <c:v>62886</c:v>
                </c:pt>
                <c:pt idx="3363">
                  <c:v>62893</c:v>
                </c:pt>
                <c:pt idx="3364">
                  <c:v>62900</c:v>
                </c:pt>
                <c:pt idx="3365">
                  <c:v>62907</c:v>
                </c:pt>
                <c:pt idx="3366">
                  <c:v>62914</c:v>
                </c:pt>
                <c:pt idx="3367">
                  <c:v>62921</c:v>
                </c:pt>
                <c:pt idx="3368">
                  <c:v>62928</c:v>
                </c:pt>
                <c:pt idx="3369">
                  <c:v>62935</c:v>
                </c:pt>
                <c:pt idx="3370">
                  <c:v>62942</c:v>
                </c:pt>
                <c:pt idx="3371">
                  <c:v>62949</c:v>
                </c:pt>
                <c:pt idx="3372">
                  <c:v>62956</c:v>
                </c:pt>
                <c:pt idx="3373">
                  <c:v>62963</c:v>
                </c:pt>
                <c:pt idx="3374">
                  <c:v>62970</c:v>
                </c:pt>
                <c:pt idx="3375">
                  <c:v>62977</c:v>
                </c:pt>
                <c:pt idx="3376">
                  <c:v>62984</c:v>
                </c:pt>
                <c:pt idx="3377">
                  <c:v>62991</c:v>
                </c:pt>
                <c:pt idx="3378">
                  <c:v>62998</c:v>
                </c:pt>
                <c:pt idx="3379">
                  <c:v>63005</c:v>
                </c:pt>
                <c:pt idx="3380">
                  <c:v>63012</c:v>
                </c:pt>
                <c:pt idx="3381">
                  <c:v>63019</c:v>
                </c:pt>
                <c:pt idx="3382">
                  <c:v>63026</c:v>
                </c:pt>
                <c:pt idx="3383">
                  <c:v>63033</c:v>
                </c:pt>
                <c:pt idx="3384">
                  <c:v>63040</c:v>
                </c:pt>
                <c:pt idx="3385">
                  <c:v>63047</c:v>
                </c:pt>
                <c:pt idx="3386">
                  <c:v>63054</c:v>
                </c:pt>
                <c:pt idx="3387">
                  <c:v>63061</c:v>
                </c:pt>
                <c:pt idx="3388">
                  <c:v>63068</c:v>
                </c:pt>
                <c:pt idx="3389">
                  <c:v>63075</c:v>
                </c:pt>
                <c:pt idx="3390">
                  <c:v>63082</c:v>
                </c:pt>
                <c:pt idx="3391">
                  <c:v>63089</c:v>
                </c:pt>
                <c:pt idx="3392">
                  <c:v>63096</c:v>
                </c:pt>
                <c:pt idx="3393">
                  <c:v>63103</c:v>
                </c:pt>
                <c:pt idx="3394">
                  <c:v>63110</c:v>
                </c:pt>
                <c:pt idx="3395">
                  <c:v>63117</c:v>
                </c:pt>
                <c:pt idx="3396">
                  <c:v>63124</c:v>
                </c:pt>
                <c:pt idx="3397">
                  <c:v>63131</c:v>
                </c:pt>
                <c:pt idx="3398">
                  <c:v>63138</c:v>
                </c:pt>
                <c:pt idx="3399">
                  <c:v>63145</c:v>
                </c:pt>
                <c:pt idx="3400">
                  <c:v>63153</c:v>
                </c:pt>
                <c:pt idx="3401">
                  <c:v>63159</c:v>
                </c:pt>
                <c:pt idx="3402">
                  <c:v>63166</c:v>
                </c:pt>
                <c:pt idx="3403">
                  <c:v>63173</c:v>
                </c:pt>
                <c:pt idx="3404">
                  <c:v>63180</c:v>
                </c:pt>
                <c:pt idx="3405">
                  <c:v>63188</c:v>
                </c:pt>
                <c:pt idx="3406">
                  <c:v>63195</c:v>
                </c:pt>
                <c:pt idx="3407">
                  <c:v>63202</c:v>
                </c:pt>
                <c:pt idx="3408">
                  <c:v>63209</c:v>
                </c:pt>
                <c:pt idx="3409">
                  <c:v>63216</c:v>
                </c:pt>
                <c:pt idx="3410">
                  <c:v>63223</c:v>
                </c:pt>
                <c:pt idx="3411">
                  <c:v>63230</c:v>
                </c:pt>
                <c:pt idx="3412">
                  <c:v>63237</c:v>
                </c:pt>
                <c:pt idx="3413">
                  <c:v>63244</c:v>
                </c:pt>
                <c:pt idx="3414">
                  <c:v>63251</c:v>
                </c:pt>
                <c:pt idx="3415">
                  <c:v>63258</c:v>
                </c:pt>
                <c:pt idx="3416">
                  <c:v>63265</c:v>
                </c:pt>
                <c:pt idx="3417">
                  <c:v>63276</c:v>
                </c:pt>
                <c:pt idx="3418">
                  <c:v>63279</c:v>
                </c:pt>
                <c:pt idx="3419">
                  <c:v>63286</c:v>
                </c:pt>
                <c:pt idx="3420">
                  <c:v>63293</c:v>
                </c:pt>
                <c:pt idx="3421">
                  <c:v>63300</c:v>
                </c:pt>
                <c:pt idx="3422">
                  <c:v>63307</c:v>
                </c:pt>
                <c:pt idx="3423">
                  <c:v>63314</c:v>
                </c:pt>
                <c:pt idx="3424">
                  <c:v>63321</c:v>
                </c:pt>
                <c:pt idx="3425">
                  <c:v>63328</c:v>
                </c:pt>
                <c:pt idx="3426">
                  <c:v>63335</c:v>
                </c:pt>
                <c:pt idx="3427">
                  <c:v>63342</c:v>
                </c:pt>
                <c:pt idx="3428">
                  <c:v>63349</c:v>
                </c:pt>
                <c:pt idx="3429">
                  <c:v>63356</c:v>
                </c:pt>
                <c:pt idx="3430">
                  <c:v>63363</c:v>
                </c:pt>
                <c:pt idx="3431">
                  <c:v>63370</c:v>
                </c:pt>
                <c:pt idx="3432">
                  <c:v>63377</c:v>
                </c:pt>
                <c:pt idx="3433">
                  <c:v>63384</c:v>
                </c:pt>
                <c:pt idx="3434">
                  <c:v>63391</c:v>
                </c:pt>
                <c:pt idx="3435">
                  <c:v>63398</c:v>
                </c:pt>
                <c:pt idx="3436">
                  <c:v>63405</c:v>
                </c:pt>
                <c:pt idx="3437">
                  <c:v>63412</c:v>
                </c:pt>
                <c:pt idx="3438">
                  <c:v>63419</c:v>
                </c:pt>
                <c:pt idx="3439">
                  <c:v>63426</c:v>
                </c:pt>
                <c:pt idx="3440">
                  <c:v>63433</c:v>
                </c:pt>
                <c:pt idx="3441">
                  <c:v>63440</c:v>
                </c:pt>
                <c:pt idx="3442">
                  <c:v>63447</c:v>
                </c:pt>
                <c:pt idx="3443">
                  <c:v>63454</c:v>
                </c:pt>
                <c:pt idx="3444">
                  <c:v>63461</c:v>
                </c:pt>
                <c:pt idx="3445">
                  <c:v>63468</c:v>
                </c:pt>
                <c:pt idx="3446">
                  <c:v>63475</c:v>
                </c:pt>
                <c:pt idx="3447">
                  <c:v>63482</c:v>
                </c:pt>
                <c:pt idx="3448">
                  <c:v>63489</c:v>
                </c:pt>
                <c:pt idx="3449">
                  <c:v>63496</c:v>
                </c:pt>
                <c:pt idx="3450">
                  <c:v>63506</c:v>
                </c:pt>
                <c:pt idx="3451">
                  <c:v>63510</c:v>
                </c:pt>
                <c:pt idx="3452">
                  <c:v>63517</c:v>
                </c:pt>
                <c:pt idx="3453">
                  <c:v>63524</c:v>
                </c:pt>
                <c:pt idx="3454">
                  <c:v>63531</c:v>
                </c:pt>
                <c:pt idx="3455">
                  <c:v>63538</c:v>
                </c:pt>
                <c:pt idx="3456">
                  <c:v>63545</c:v>
                </c:pt>
                <c:pt idx="3457">
                  <c:v>63552</c:v>
                </c:pt>
                <c:pt idx="3458">
                  <c:v>63559</c:v>
                </c:pt>
                <c:pt idx="3459">
                  <c:v>63566</c:v>
                </c:pt>
                <c:pt idx="3460">
                  <c:v>63573</c:v>
                </c:pt>
                <c:pt idx="3461">
                  <c:v>63580</c:v>
                </c:pt>
                <c:pt idx="3462">
                  <c:v>63587</c:v>
                </c:pt>
                <c:pt idx="3463">
                  <c:v>63594</c:v>
                </c:pt>
                <c:pt idx="3464">
                  <c:v>63601</c:v>
                </c:pt>
                <c:pt idx="3465">
                  <c:v>63608</c:v>
                </c:pt>
                <c:pt idx="3466">
                  <c:v>63615</c:v>
                </c:pt>
                <c:pt idx="3467">
                  <c:v>63622</c:v>
                </c:pt>
                <c:pt idx="3468">
                  <c:v>63629</c:v>
                </c:pt>
                <c:pt idx="3469">
                  <c:v>63636</c:v>
                </c:pt>
                <c:pt idx="3470">
                  <c:v>63643</c:v>
                </c:pt>
                <c:pt idx="3471">
                  <c:v>63650</c:v>
                </c:pt>
                <c:pt idx="3472">
                  <c:v>63661</c:v>
                </c:pt>
                <c:pt idx="3473">
                  <c:v>63664</c:v>
                </c:pt>
                <c:pt idx="3474">
                  <c:v>63671</c:v>
                </c:pt>
                <c:pt idx="3475">
                  <c:v>63678</c:v>
                </c:pt>
                <c:pt idx="3476">
                  <c:v>63685</c:v>
                </c:pt>
                <c:pt idx="3477">
                  <c:v>63692</c:v>
                </c:pt>
                <c:pt idx="3478">
                  <c:v>63699</c:v>
                </c:pt>
                <c:pt idx="3479">
                  <c:v>63706</c:v>
                </c:pt>
                <c:pt idx="3480">
                  <c:v>63713</c:v>
                </c:pt>
                <c:pt idx="3481">
                  <c:v>63720</c:v>
                </c:pt>
                <c:pt idx="3482">
                  <c:v>63727</c:v>
                </c:pt>
                <c:pt idx="3483">
                  <c:v>63734</c:v>
                </c:pt>
                <c:pt idx="3484">
                  <c:v>63741</c:v>
                </c:pt>
                <c:pt idx="3485">
                  <c:v>63748</c:v>
                </c:pt>
                <c:pt idx="3486">
                  <c:v>63755</c:v>
                </c:pt>
                <c:pt idx="3487">
                  <c:v>63762</c:v>
                </c:pt>
                <c:pt idx="3488">
                  <c:v>63769</c:v>
                </c:pt>
                <c:pt idx="3489">
                  <c:v>63776</c:v>
                </c:pt>
                <c:pt idx="3490">
                  <c:v>63783</c:v>
                </c:pt>
                <c:pt idx="3491">
                  <c:v>63790</c:v>
                </c:pt>
                <c:pt idx="3492">
                  <c:v>63797</c:v>
                </c:pt>
                <c:pt idx="3493">
                  <c:v>63804</c:v>
                </c:pt>
                <c:pt idx="3494">
                  <c:v>63811</c:v>
                </c:pt>
                <c:pt idx="3495">
                  <c:v>63818</c:v>
                </c:pt>
                <c:pt idx="3496">
                  <c:v>63825</c:v>
                </c:pt>
                <c:pt idx="3497">
                  <c:v>63832</c:v>
                </c:pt>
                <c:pt idx="3498">
                  <c:v>63839</c:v>
                </c:pt>
                <c:pt idx="3499">
                  <c:v>63846</c:v>
                </c:pt>
                <c:pt idx="3500">
                  <c:v>63853</c:v>
                </c:pt>
                <c:pt idx="3501">
                  <c:v>63860</c:v>
                </c:pt>
                <c:pt idx="3502">
                  <c:v>63867</c:v>
                </c:pt>
                <c:pt idx="3503">
                  <c:v>63874</c:v>
                </c:pt>
                <c:pt idx="3504">
                  <c:v>63881</c:v>
                </c:pt>
                <c:pt idx="3505">
                  <c:v>63888</c:v>
                </c:pt>
                <c:pt idx="3506">
                  <c:v>63895</c:v>
                </c:pt>
                <c:pt idx="3507">
                  <c:v>63902</c:v>
                </c:pt>
                <c:pt idx="3508">
                  <c:v>63909</c:v>
                </c:pt>
                <c:pt idx="3509">
                  <c:v>63919</c:v>
                </c:pt>
                <c:pt idx="3510">
                  <c:v>63926</c:v>
                </c:pt>
                <c:pt idx="3511">
                  <c:v>63933</c:v>
                </c:pt>
                <c:pt idx="3512">
                  <c:v>63941</c:v>
                </c:pt>
                <c:pt idx="3513">
                  <c:v>63947</c:v>
                </c:pt>
                <c:pt idx="3514">
                  <c:v>63954</c:v>
                </c:pt>
                <c:pt idx="3515">
                  <c:v>63961</c:v>
                </c:pt>
                <c:pt idx="3516">
                  <c:v>63969</c:v>
                </c:pt>
                <c:pt idx="3517">
                  <c:v>63975</c:v>
                </c:pt>
                <c:pt idx="3518">
                  <c:v>63982</c:v>
                </c:pt>
                <c:pt idx="3519">
                  <c:v>63989</c:v>
                </c:pt>
                <c:pt idx="3520">
                  <c:v>63996</c:v>
                </c:pt>
                <c:pt idx="3521">
                  <c:v>64003</c:v>
                </c:pt>
                <c:pt idx="3522">
                  <c:v>64010</c:v>
                </c:pt>
                <c:pt idx="3523">
                  <c:v>64019</c:v>
                </c:pt>
                <c:pt idx="3524">
                  <c:v>64024</c:v>
                </c:pt>
                <c:pt idx="3525">
                  <c:v>64031</c:v>
                </c:pt>
                <c:pt idx="3526">
                  <c:v>64038</c:v>
                </c:pt>
                <c:pt idx="3527">
                  <c:v>64046</c:v>
                </c:pt>
                <c:pt idx="3528">
                  <c:v>64052</c:v>
                </c:pt>
                <c:pt idx="3529">
                  <c:v>64059</c:v>
                </c:pt>
                <c:pt idx="3530">
                  <c:v>64067</c:v>
                </c:pt>
                <c:pt idx="3531">
                  <c:v>64073</c:v>
                </c:pt>
                <c:pt idx="3532">
                  <c:v>64080</c:v>
                </c:pt>
                <c:pt idx="3533">
                  <c:v>64087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1.8629999999986158E-3</c:v>
                </c:pt>
                <c:pt idx="1">
                  <c:v>1.8724515129434072E-3</c:v>
                </c:pt>
                <c:pt idx="2">
                  <c:v>1.8953792307385697E-3</c:v>
                </c:pt>
                <c:pt idx="3">
                  <c:v>1.9040470297824186E-3</c:v>
                </c:pt>
                <c:pt idx="4">
                  <c:v>1.9147702879397277E-3</c:v>
                </c:pt>
                <c:pt idx="5">
                  <c:v>1.9205379732095684E-3</c:v>
                </c:pt>
                <c:pt idx="6">
                  <c:v>1.9259560239503679E-3</c:v>
                </c:pt>
                <c:pt idx="7">
                  <c:v>1.9396160492375358E-3</c:v>
                </c:pt>
                <c:pt idx="8">
                  <c:v>1.9428500100726609E-3</c:v>
                </c:pt>
                <c:pt idx="9">
                  <c:v>1.9454327470302957E-3</c:v>
                </c:pt>
                <c:pt idx="10">
                  <c:v>1.9460060495424258E-3</c:v>
                </c:pt>
                <c:pt idx="11">
                  <c:v>1.9480461018849655E-3</c:v>
                </c:pt>
                <c:pt idx="12">
                  <c:v>1.9502572295424514E-3</c:v>
                </c:pt>
                <c:pt idx="13">
                  <c:v>1.9499401180667064E-3</c:v>
                </c:pt>
                <c:pt idx="14">
                  <c:v>1.9493076150247646E-3</c:v>
                </c:pt>
                <c:pt idx="15">
                  <c:v>1.9469102289237927E-3</c:v>
                </c:pt>
                <c:pt idx="16">
                  <c:v>1.9465677214449623E-3</c:v>
                </c:pt>
                <c:pt idx="17">
                  <c:v>1.9430933948489937E-3</c:v>
                </c:pt>
                <c:pt idx="18">
                  <c:v>1.9415760434124962E-3</c:v>
                </c:pt>
                <c:pt idx="19">
                  <c:v>1.9400791339547752E-3</c:v>
                </c:pt>
                <c:pt idx="20">
                  <c:v>1.9386779928334819E-3</c:v>
                </c:pt>
                <c:pt idx="21">
                  <c:v>1.9374459524841435E-3</c:v>
                </c:pt>
                <c:pt idx="22">
                  <c:v>1.934580380779316E-3</c:v>
                </c:pt>
                <c:pt idx="23">
                  <c:v>1.9349226519066274E-3</c:v>
                </c:pt>
                <c:pt idx="24">
                  <c:v>1.9370610290423622E-3</c:v>
                </c:pt>
                <c:pt idx="25">
                  <c:v>1.9365344445321231E-3</c:v>
                </c:pt>
                <c:pt idx="26">
                  <c:v>1.9400733163873582E-3</c:v>
                </c:pt>
                <c:pt idx="27">
                  <c:v>1.9400733163873582E-3</c:v>
                </c:pt>
                <c:pt idx="28">
                  <c:v>1.9420108122311206E-3</c:v>
                </c:pt>
                <c:pt idx="29">
                  <c:v>1.9484655216992701E-3</c:v>
                </c:pt>
                <c:pt idx="30">
                  <c:v>1.9490179331524415E-3</c:v>
                </c:pt>
                <c:pt idx="31">
                  <c:v>1.9496731054980919E-3</c:v>
                </c:pt>
                <c:pt idx="32">
                  <c:v>1.9601101119081838E-3</c:v>
                </c:pt>
                <c:pt idx="33">
                  <c:v>1.964205718198424E-3</c:v>
                </c:pt>
                <c:pt idx="34">
                  <c:v>1.9749769466988324E-3</c:v>
                </c:pt>
                <c:pt idx="35">
                  <c:v>1.9766082756880743E-3</c:v>
                </c:pt>
                <c:pt idx="36">
                  <c:v>1.9783423541041762E-3</c:v>
                </c:pt>
                <c:pt idx="37">
                  <c:v>1.9952537236966167E-3</c:v>
                </c:pt>
                <c:pt idx="38">
                  <c:v>2.0015074564153886E-3</c:v>
                </c:pt>
                <c:pt idx="39">
                  <c:v>2.016595414156603E-3</c:v>
                </c:pt>
                <c:pt idx="40">
                  <c:v>2.0193055832701257E-3</c:v>
                </c:pt>
                <c:pt idx="41">
                  <c:v>2.0221184901209593E-3</c:v>
                </c:pt>
                <c:pt idx="42">
                  <c:v>2.0455042888816739E-3</c:v>
                </c:pt>
                <c:pt idx="43">
                  <c:v>2.0539161724326825E-3</c:v>
                </c:pt>
                <c:pt idx="44">
                  <c:v>2.0574482465436361E-3</c:v>
                </c:pt>
                <c:pt idx="45">
                  <c:v>2.0610830479790131E-3</c:v>
                </c:pt>
                <c:pt idx="46">
                  <c:v>2.064820574957858E-3</c:v>
                </c:pt>
                <c:pt idx="47">
                  <c:v>2.1105819229323202E-3</c:v>
                </c:pt>
                <c:pt idx="48">
                  <c:v>2.1209873127156767E-3</c:v>
                </c:pt>
                <c:pt idx="49">
                  <c:v>2.1501567771524156E-3</c:v>
                </c:pt>
                <c:pt idx="50">
                  <c:v>2.1550280900874763E-3</c:v>
                </c:pt>
                <c:pt idx="51">
                  <c:v>2.1599991358958737E-3</c:v>
                </c:pt>
                <c:pt idx="52">
                  <c:v>2.1884783204581806E-3</c:v>
                </c:pt>
                <c:pt idx="53">
                  <c:v>2.2004973257382411E-3</c:v>
                </c:pt>
                <c:pt idx="54">
                  <c:v>2.2261105347451153E-3</c:v>
                </c:pt>
                <c:pt idx="55">
                  <c:v>2.2318697581819036E-3</c:v>
                </c:pt>
                <c:pt idx="56">
                  <c:v>2.2377196170055417E-3</c:v>
                </c:pt>
                <c:pt idx="57">
                  <c:v>2.2765264518943167E-3</c:v>
                </c:pt>
                <c:pt idx="58">
                  <c:v>2.2897778797486934E-3</c:v>
                </c:pt>
                <c:pt idx="59">
                  <c:v>2.3173047926430069E-3</c:v>
                </c:pt>
                <c:pt idx="60">
                  <c:v>2.3238033748262943E-3</c:v>
                </c:pt>
                <c:pt idx="61">
                  <c:v>2.3303706972689318E-3</c:v>
                </c:pt>
                <c:pt idx="62">
                  <c:v>2.3720579419935165E-3</c:v>
                </c:pt>
                <c:pt idx="63">
                  <c:v>2.386160590704275E-3</c:v>
                </c:pt>
                <c:pt idx="64">
                  <c:v>2.4150122137399747E-3</c:v>
                </c:pt>
                <c:pt idx="65">
                  <c:v>2.4219815077772266E-3</c:v>
                </c:pt>
                <c:pt idx="66">
                  <c:v>2.443774116383776E-3</c:v>
                </c:pt>
                <c:pt idx="67">
                  <c:v>2.4795621298547843E-3</c:v>
                </c:pt>
                <c:pt idx="68">
                  <c:v>2.494216235940705E-3</c:v>
                </c:pt>
                <c:pt idx="69">
                  <c:v>2.5240903960493943E-3</c:v>
                </c:pt>
                <c:pt idx="70">
                  <c:v>2.531324768940941E-3</c:v>
                </c:pt>
                <c:pt idx="71">
                  <c:v>2.5835509080298635E-3</c:v>
                </c:pt>
                <c:pt idx="72">
                  <c:v>2.5835509080298635E-3</c:v>
                </c:pt>
                <c:pt idx="73">
                  <c:v>2.5986750283060189E-3</c:v>
                </c:pt>
                <c:pt idx="74">
                  <c:v>2.6373366965491067E-3</c:v>
                </c:pt>
                <c:pt idx="75">
                  <c:v>2.6448165174516869E-3</c:v>
                </c:pt>
                <c:pt idx="76">
                  <c:v>2.6753028231647491E-3</c:v>
                </c:pt>
                <c:pt idx="77">
                  <c:v>2.6908298226322458E-3</c:v>
                </c:pt>
                <c:pt idx="78">
                  <c:v>2.706423969534022E-3</c:v>
                </c:pt>
                <c:pt idx="79">
                  <c:v>2.7381813572335822E-3</c:v>
                </c:pt>
                <c:pt idx="80">
                  <c:v>2.7458841956619754E-3</c:v>
                </c:pt>
                <c:pt idx="81">
                  <c:v>2.7854019248056971E-3</c:v>
                </c:pt>
                <c:pt idx="82">
                  <c:v>2.8013989618660418E-3</c:v>
                </c:pt>
                <c:pt idx="83">
                  <c:v>2.8174631482151824E-3</c:v>
                </c:pt>
                <c:pt idx="84">
                  <c:v>2.8501623617177563E-3</c:v>
                </c:pt>
                <c:pt idx="85">
                  <c:v>2.858099356028414E-3</c:v>
                </c:pt>
                <c:pt idx="86">
                  <c:v>2.8987913288371914E-3</c:v>
                </c:pt>
                <c:pt idx="87">
                  <c:v>2.9152584166425299E-3</c:v>
                </c:pt>
                <c:pt idx="88">
                  <c:v>2.9317926556498008E-3</c:v>
                </c:pt>
                <c:pt idx="89">
                  <c:v>2.9654338454510043E-3</c:v>
                </c:pt>
                <c:pt idx="90">
                  <c:v>2.9736049405834539E-3</c:v>
                </c:pt>
                <c:pt idx="91">
                  <c:v>3.0241146308950285E-3</c:v>
                </c:pt>
                <c:pt idx="92">
                  <c:v>3.0410855027177088E-3</c:v>
                </c:pt>
                <c:pt idx="93">
                  <c:v>3.0756130107886552E-3</c:v>
                </c:pt>
                <c:pt idx="94">
                  <c:v>3.0839959095249614E-3</c:v>
                </c:pt>
                <c:pt idx="95">
                  <c:v>3.0924010474653678E-3</c:v>
                </c:pt>
                <c:pt idx="96">
                  <c:v>3.1617619532094713E-3</c:v>
                </c:pt>
                <c:pt idx="97">
                  <c:v>3.1617619532094713E-3</c:v>
                </c:pt>
                <c:pt idx="98">
                  <c:v>3.1972317681881117E-3</c:v>
                </c:pt>
                <c:pt idx="99">
                  <c:v>3.2058486579314427E-3</c:v>
                </c:pt>
                <c:pt idx="100">
                  <c:v>3.2144877776076096E-3</c:v>
                </c:pt>
                <c:pt idx="101">
                  <c:v>3.267818021212046E-3</c:v>
                </c:pt>
                <c:pt idx="102">
                  <c:v>3.2857290858950661E-3</c:v>
                </c:pt>
                <c:pt idx="103">
                  <c:v>3.3221413805336912E-3</c:v>
                </c:pt>
                <c:pt idx="104">
                  <c:v>3.3309921975324674E-3</c:v>
                </c:pt>
                <c:pt idx="105">
                  <c:v>3.3398652347388191E-3</c:v>
                </c:pt>
                <c:pt idx="106">
                  <c:v>3.4039803318039463E-3</c:v>
                </c:pt>
                <c:pt idx="107">
                  <c:v>3.4129870060966949E-3</c:v>
                </c:pt>
                <c:pt idx="108">
                  <c:v>3.4503419608016891E-3</c:v>
                </c:pt>
                <c:pt idx="109">
                  <c:v>3.459426638095231E-3</c:v>
                </c:pt>
                <c:pt idx="110">
                  <c:v>3.468533525385396E-3</c:v>
                </c:pt>
                <c:pt idx="111">
                  <c:v>3.5150925525480048E-3</c:v>
                </c:pt>
                <c:pt idx="112">
                  <c:v>3.5339013409600994E-3</c:v>
                </c:pt>
                <c:pt idx="113">
                  <c:v>3.552768988231314E-3</c:v>
                </c:pt>
                <c:pt idx="114">
                  <c:v>3.5910037646019743E-3</c:v>
                </c:pt>
                <c:pt idx="115">
                  <c:v>3.6003396478586028E-3</c:v>
                </c:pt>
                <c:pt idx="116">
                  <c:v>3.6478932516494922E-3</c:v>
                </c:pt>
                <c:pt idx="117">
                  <c:v>3.6670559383429335E-3</c:v>
                </c:pt>
                <c:pt idx="118">
                  <c:v>3.7249820401283329E-3</c:v>
                </c:pt>
                <c:pt idx="119">
                  <c:v>3.7249820401283329E-3</c:v>
                </c:pt>
                <c:pt idx="120">
                  <c:v>3.7345181449924001E-3</c:v>
                </c:pt>
                <c:pt idx="121">
                  <c:v>3.7827644351056122E-3</c:v>
                </c:pt>
                <c:pt idx="122">
                  <c:v>3.802145417751035E-3</c:v>
                </c:pt>
                <c:pt idx="123">
                  <c:v>3.8215465156046236E-3</c:v>
                </c:pt>
                <c:pt idx="124">
                  <c:v>3.8604715631118669E-3</c:v>
                </c:pt>
                <c:pt idx="125">
                  <c:v>3.8701504114968892E-3</c:v>
                </c:pt>
                <c:pt idx="126">
                  <c:v>3.9187568686624985E-3</c:v>
                </c:pt>
                <c:pt idx="127">
                  <c:v>3.9382205389140168E-3</c:v>
                </c:pt>
                <c:pt idx="128">
                  <c:v>3.9965625252766533E-3</c:v>
                </c:pt>
                <c:pt idx="129">
                  <c:v>4.0160256188981336E-3</c:v>
                </c:pt>
                <c:pt idx="130">
                  <c:v>4.0160256188981336E-3</c:v>
                </c:pt>
                <c:pt idx="131">
                  <c:v>4.0646114028993156E-3</c:v>
                </c:pt>
                <c:pt idx="132">
                  <c:v>4.1130317134481752E-3</c:v>
                </c:pt>
                <c:pt idx="133">
                  <c:v>4.1227367186232175E-3</c:v>
                </c:pt>
                <c:pt idx="134">
                  <c:v>4.1324362112013513E-3</c:v>
                </c:pt>
                <c:pt idx="135">
                  <c:v>4.1421301905566407E-3</c:v>
                </c:pt>
                <c:pt idx="136">
                  <c:v>4.2001027135013707E-3</c:v>
                </c:pt>
                <c:pt idx="137">
                  <c:v>4.21939516019446E-3</c:v>
                </c:pt>
                <c:pt idx="138">
                  <c:v>4.2578980362740675E-3</c:v>
                </c:pt>
                <c:pt idx="139">
                  <c:v>4.2675404359515667E-3</c:v>
                </c:pt>
                <c:pt idx="140">
                  <c:v>4.2771773162943215E-3</c:v>
                </c:pt>
                <c:pt idx="141">
                  <c:v>4.3348166947670425E-3</c:v>
                </c:pt>
                <c:pt idx="142">
                  <c:v>4.3539980921974437E-3</c:v>
                </c:pt>
                <c:pt idx="143">
                  <c:v>4.401833743508241E-3</c:v>
                </c:pt>
                <c:pt idx="144">
                  <c:v>4.4114163668455709E-3</c:v>
                </c:pt>
                <c:pt idx="145">
                  <c:v>4.4209934645955684E-3</c:v>
                </c:pt>
                <c:pt idx="146">
                  <c:v>4.4687533196186369E-3</c:v>
                </c:pt>
                <c:pt idx="147">
                  <c:v>4.4878236639287906E-3</c:v>
                </c:pt>
                <c:pt idx="148">
                  <c:v>4.5258888674126752E-3</c:v>
                </c:pt>
                <c:pt idx="149">
                  <c:v>4.5354169524428056E-3</c:v>
                </c:pt>
                <c:pt idx="150">
                  <c:v>4.6208718484913053E-3</c:v>
                </c:pt>
                <c:pt idx="151">
                  <c:v>4.630356171878347E-3</c:v>
                </c:pt>
                <c:pt idx="152">
                  <c:v>4.6398349596617153E-3</c:v>
                </c:pt>
                <c:pt idx="153">
                  <c:v>4.7342943925398097E-3</c:v>
                </c:pt>
                <c:pt idx="154">
                  <c:v>4.7531426191373526E-3</c:v>
                </c:pt>
                <c:pt idx="155">
                  <c:v>4.7907704354763977E-3</c:v>
                </c:pt>
                <c:pt idx="156">
                  <c:v>4.8001840399222728E-3</c:v>
                </c:pt>
                <c:pt idx="157">
                  <c:v>4.8095921018255893E-3</c:v>
                </c:pt>
                <c:pt idx="158">
                  <c:v>4.86589878723273E-3</c:v>
                </c:pt>
                <c:pt idx="159">
                  <c:v>4.8846359492791692E-3</c:v>
                </c:pt>
                <c:pt idx="160">
                  <c:v>4.9313815850520982E-3</c:v>
                </c:pt>
                <c:pt idx="161">
                  <c:v>4.9407352484876947E-3</c:v>
                </c:pt>
                <c:pt idx="162">
                  <c:v>4.9500833636384467E-3</c:v>
                </c:pt>
                <c:pt idx="163">
                  <c:v>5.0153518124862817E-3</c:v>
                </c:pt>
                <c:pt idx="164">
                  <c:v>5.0153518124862817E-3</c:v>
                </c:pt>
                <c:pt idx="165">
                  <c:v>5.0525425137520393E-3</c:v>
                </c:pt>
                <c:pt idx="166">
                  <c:v>5.0618414786357535E-3</c:v>
                </c:pt>
                <c:pt idx="167">
                  <c:v>5.0711348901195091E-3</c:v>
                </c:pt>
                <c:pt idx="168">
                  <c:v>5.1267751608148485E-3</c:v>
                </c:pt>
                <c:pt idx="169">
                  <c:v>5.1452901824803584E-3</c:v>
                </c:pt>
                <c:pt idx="170">
                  <c:v>5.1822624240999661E-3</c:v>
                </c:pt>
                <c:pt idx="171">
                  <c:v>5.191504011738679E-3</c:v>
                </c:pt>
                <c:pt idx="172">
                  <c:v>5.2007400407337546E-3</c:v>
                </c:pt>
                <c:pt idx="173">
                  <c:v>5.237630977893387E-3</c:v>
                </c:pt>
                <c:pt idx="174">
                  <c:v>5.2560531262794636E-3</c:v>
                </c:pt>
                <c:pt idx="175">
                  <c:v>5.2744643267526184E-3</c:v>
                </c:pt>
                <c:pt idx="176">
                  <c:v>5.2928670401058012E-3</c:v>
                </c:pt>
                <c:pt idx="177">
                  <c:v>5.3296992676231704E-3</c:v>
                </c:pt>
                <c:pt idx="178">
                  <c:v>5.3664422388503491E-3</c:v>
                </c:pt>
                <c:pt idx="179">
                  <c:v>5.3848394291236071E-3</c:v>
                </c:pt>
                <c:pt idx="180">
                  <c:v>5.4032428973846509E-3</c:v>
                </c:pt>
                <c:pt idx="181">
                  <c:v>5.4216551045339276E-3</c:v>
                </c:pt>
                <c:pt idx="182">
                  <c:v>5.4586705903208127E-3</c:v>
                </c:pt>
                <c:pt idx="183">
                  <c:v>5.5139333561917761E-3</c:v>
                </c:pt>
                <c:pt idx="184">
                  <c:v>5.5139333561917761E-3</c:v>
                </c:pt>
                <c:pt idx="185">
                  <c:v>5.5324496764316156E-3</c:v>
                </c:pt>
                <c:pt idx="186">
                  <c:v>5.5509919622818071E-3</c:v>
                </c:pt>
                <c:pt idx="187">
                  <c:v>5.588443667291749E-3</c:v>
                </c:pt>
                <c:pt idx="188">
                  <c:v>5.6254699824219287E-3</c:v>
                </c:pt>
                <c:pt idx="189">
                  <c:v>5.6441790119227311E-3</c:v>
                </c:pt>
                <c:pt idx="190">
                  <c:v>5.6629287733792723E-3</c:v>
                </c:pt>
                <c:pt idx="191">
                  <c:v>5.7201822040023591E-3</c:v>
                </c:pt>
                <c:pt idx="192">
                  <c:v>5.7294602915636261E-3</c:v>
                </c:pt>
                <c:pt idx="193">
                  <c:v>5.7767901569737469E-3</c:v>
                </c:pt>
                <c:pt idx="194">
                  <c:v>5.7958916972510001E-3</c:v>
                </c:pt>
                <c:pt idx="195">
                  <c:v>5.8346516840014255E-3</c:v>
                </c:pt>
                <c:pt idx="196">
                  <c:v>5.8440814153484788E-3</c:v>
                </c:pt>
                <c:pt idx="197">
                  <c:v>5.8535293382309906E-3</c:v>
                </c:pt>
                <c:pt idx="198">
                  <c:v>5.9116665152158E-3</c:v>
                </c:pt>
                <c:pt idx="199">
                  <c:v>5.931156583510554E-3</c:v>
                </c:pt>
                <c:pt idx="200">
                  <c:v>5.970698095614034E-3</c:v>
                </c:pt>
                <c:pt idx="201">
                  <c:v>5.9803198686472769E-3</c:v>
                </c:pt>
                <c:pt idx="202">
                  <c:v>5.989959820180189E-3</c:v>
                </c:pt>
                <c:pt idx="203">
                  <c:v>6.0492626104508901E-3</c:v>
                </c:pt>
                <c:pt idx="204">
                  <c:v>6.0691412204399459E-3</c:v>
                </c:pt>
                <c:pt idx="205">
                  <c:v>6.109464480484177E-3</c:v>
                </c:pt>
                <c:pt idx="206">
                  <c:v>6.119278204767542E-3</c:v>
                </c:pt>
                <c:pt idx="207">
                  <c:v>6.1291100940823323E-3</c:v>
                </c:pt>
                <c:pt idx="208">
                  <c:v>6.1895785392624041E-3</c:v>
                </c:pt>
                <c:pt idx="209">
                  <c:v>6.2098457049036288E-3</c:v>
                </c:pt>
                <c:pt idx="210">
                  <c:v>6.2509509423082999E-3</c:v>
                </c:pt>
                <c:pt idx="211">
                  <c:v>6.2609565243987308E-3</c:v>
                </c:pt>
                <c:pt idx="212">
                  <c:v>6.3532701356690483E-3</c:v>
                </c:pt>
                <c:pt idx="213">
                  <c:v>6.3634215918275672E-3</c:v>
                </c:pt>
                <c:pt idx="214">
                  <c:v>6.3735911873879858E-3</c:v>
                </c:pt>
                <c:pt idx="215">
                  <c:v>6.4262053278196785E-3</c:v>
                </c:pt>
                <c:pt idx="216">
                  <c:v>6.4676698641035202E-3</c:v>
                </c:pt>
                <c:pt idx="217">
                  <c:v>6.4886860491437659E-3</c:v>
                </c:pt>
                <c:pt idx="218">
                  <c:v>6.509757745051914E-3</c:v>
                </c:pt>
                <c:pt idx="219">
                  <c:v>6.5524735268238099E-3</c:v>
                </c:pt>
                <c:pt idx="220">
                  <c:v>6.5628806538322879E-3</c:v>
                </c:pt>
                <c:pt idx="221">
                  <c:v>6.6159488979362635E-3</c:v>
                </c:pt>
                <c:pt idx="222">
                  <c:v>6.637353665241541E-3</c:v>
                </c:pt>
                <c:pt idx="223">
                  <c:v>6.6588139454824002E-3</c:v>
                </c:pt>
                <c:pt idx="224">
                  <c:v>6.7023124208587248E-3</c:v>
                </c:pt>
                <c:pt idx="225">
                  <c:v>6.7129110914308744E-3</c:v>
                </c:pt>
                <c:pt idx="226">
                  <c:v>6.7669480511147739E-3</c:v>
                </c:pt>
                <c:pt idx="227">
                  <c:v>6.7887414152281167E-3</c:v>
                </c:pt>
                <c:pt idx="228">
                  <c:v>6.8105902943740304E-3</c:v>
                </c:pt>
                <c:pt idx="229">
                  <c:v>6.8548717208941068E-3</c:v>
                </c:pt>
                <c:pt idx="230">
                  <c:v>6.8656618284809647E-3</c:v>
                </c:pt>
                <c:pt idx="231">
                  <c:v>6.9206674262156653E-3</c:v>
                </c:pt>
                <c:pt idx="232">
                  <c:v>6.9428494019438958E-3</c:v>
                </c:pt>
                <c:pt idx="233">
                  <c:v>6.9650868948389899E-3</c:v>
                </c:pt>
                <c:pt idx="234">
                  <c:v>7.0215657722950591E-3</c:v>
                </c:pt>
                <c:pt idx="235">
                  <c:v>7.0325564579454269E-3</c:v>
                </c:pt>
                <c:pt idx="236">
                  <c:v>7.1111846770955554E-3</c:v>
                </c:pt>
                <c:pt idx="237">
                  <c:v>7.1569192489594584E-3</c:v>
                </c:pt>
                <c:pt idx="238">
                  <c:v>7.1680713991115197E-3</c:v>
                </c:pt>
                <c:pt idx="239">
                  <c:v>7.1792414498213089E-3</c:v>
                </c:pt>
                <c:pt idx="240">
                  <c:v>7.2476731549831275E-3</c:v>
                </c:pt>
                <c:pt idx="241">
                  <c:v>7.2705562599011614E-3</c:v>
                </c:pt>
                <c:pt idx="242">
                  <c:v>7.3167326342678382E-3</c:v>
                </c:pt>
                <c:pt idx="243">
                  <c:v>7.3280535165851091E-3</c:v>
                </c:pt>
                <c:pt idx="244">
                  <c:v>7.3393908382739011E-3</c:v>
                </c:pt>
                <c:pt idx="245">
                  <c:v>7.4084547921484598E-3</c:v>
                </c:pt>
                <c:pt idx="246">
                  <c:v>7.4315163000672523E-3</c:v>
                </c:pt>
                <c:pt idx="247">
                  <c:v>7.4778842300713619E-3</c:v>
                </c:pt>
                <c:pt idx="248">
                  <c:v>7.4893305421094847E-3</c:v>
                </c:pt>
                <c:pt idx="249">
                  <c:v>7.5007890459396955E-3</c:v>
                </c:pt>
                <c:pt idx="250">
                  <c:v>7.5701456024015743E-3</c:v>
                </c:pt>
                <c:pt idx="251">
                  <c:v>7.5932722961590295E-3</c:v>
                </c:pt>
                <c:pt idx="252">
                  <c:v>7.6396295280217238E-3</c:v>
                </c:pt>
                <c:pt idx="253">
                  <c:v>7.6511347114974204E-3</c:v>
                </c:pt>
                <c:pt idx="254">
                  <c:v>7.6626435526865894E-3</c:v>
                </c:pt>
                <c:pt idx="255">
                  <c:v>7.7434519850578809E-3</c:v>
                </c:pt>
                <c:pt idx="256">
                  <c:v>7.7665224767962115E-3</c:v>
                </c:pt>
                <c:pt idx="257">
                  <c:v>7.8242560609442791E-3</c:v>
                </c:pt>
                <c:pt idx="258">
                  <c:v>7.8357243727111836E-3</c:v>
                </c:pt>
                <c:pt idx="259">
                  <c:v>7.8816333318014742E-3</c:v>
                </c:pt>
                <c:pt idx="260">
                  <c:v>7.9046071814135033E-3</c:v>
                </c:pt>
                <c:pt idx="261">
                  <c:v>7.9275649236834056E-3</c:v>
                </c:pt>
                <c:pt idx="262">
                  <c:v>7.9735251958684694E-3</c:v>
                </c:pt>
                <c:pt idx="263">
                  <c:v>7.9849362912069507E-3</c:v>
                </c:pt>
                <c:pt idx="264">
                  <c:v>8.0421120216129793E-3</c:v>
                </c:pt>
                <c:pt idx="265">
                  <c:v>8.0649731178663586E-3</c:v>
                </c:pt>
                <c:pt idx="266">
                  <c:v>8.0878181061301291E-3</c:v>
                </c:pt>
                <c:pt idx="267">
                  <c:v>8.1335600247972595E-3</c:v>
                </c:pt>
                <c:pt idx="268">
                  <c:v>8.1449111678326188E-3</c:v>
                </c:pt>
                <c:pt idx="269">
                  <c:v>8.2018014243514514E-3</c:v>
                </c:pt>
                <c:pt idx="270">
                  <c:v>8.2245497627324582E-3</c:v>
                </c:pt>
                <c:pt idx="271">
                  <c:v>8.2472819924790386E-3</c:v>
                </c:pt>
                <c:pt idx="272">
                  <c:v>8.2928056544451234E-3</c:v>
                </c:pt>
                <c:pt idx="273">
                  <c:v>8.3040967899359053E-3</c:v>
                </c:pt>
                <c:pt idx="274">
                  <c:v>8.3607015084794511E-3</c:v>
                </c:pt>
                <c:pt idx="275">
                  <c:v>8.3833370844930144E-3</c:v>
                </c:pt>
                <c:pt idx="276">
                  <c:v>8.4059565512299983E-3</c:v>
                </c:pt>
                <c:pt idx="277">
                  <c:v>8.4172015701764382E-3</c:v>
                </c:pt>
                <c:pt idx="278">
                  <c:v>8.4624931250163529E-3</c:v>
                </c:pt>
                <c:pt idx="279">
                  <c:v>8.5526509302790901E-3</c:v>
                </c:pt>
                <c:pt idx="280">
                  <c:v>8.5526509302790901E-3</c:v>
                </c:pt>
                <c:pt idx="281">
                  <c:v>8.5977523124324377E-3</c:v>
                </c:pt>
                <c:pt idx="282">
                  <c:v>8.608929181855296E-3</c:v>
                </c:pt>
                <c:pt idx="283">
                  <c:v>8.6201001407462761E-3</c:v>
                </c:pt>
                <c:pt idx="284">
                  <c:v>8.6874043682794166E-3</c:v>
                </c:pt>
                <c:pt idx="285">
                  <c:v>8.7098068919246093E-3</c:v>
                </c:pt>
                <c:pt idx="286">
                  <c:v>8.7546903033576175E-3</c:v>
                </c:pt>
                <c:pt idx="287">
                  <c:v>8.7658070130033905E-3</c:v>
                </c:pt>
                <c:pt idx="288">
                  <c:v>8.7769178049501208E-3</c:v>
                </c:pt>
                <c:pt idx="289">
                  <c:v>8.8438837291649995E-3</c:v>
                </c:pt>
                <c:pt idx="290">
                  <c:v>8.8661734837309561E-3</c:v>
                </c:pt>
                <c:pt idx="291">
                  <c:v>8.9108390129709718E-3</c:v>
                </c:pt>
                <c:pt idx="292">
                  <c:v>8.9218955116571186E-3</c:v>
                </c:pt>
                <c:pt idx="293">
                  <c:v>8.9329460856199441E-3</c:v>
                </c:pt>
                <c:pt idx="294">
                  <c:v>8.9995736928423359E-3</c:v>
                </c:pt>
                <c:pt idx="295">
                  <c:v>9.0217506737804362E-3</c:v>
                </c:pt>
                <c:pt idx="296">
                  <c:v>9.0773346139105156E-3</c:v>
                </c:pt>
                <c:pt idx="297">
                  <c:v>9.088328170671775E-3</c:v>
                </c:pt>
                <c:pt idx="298">
                  <c:v>9.1104418247384637E-3</c:v>
                </c:pt>
                <c:pt idx="299">
                  <c:v>9.1544742275355556E-3</c:v>
                </c:pt>
                <c:pt idx="300">
                  <c:v>9.1765384303178089E-3</c:v>
                </c:pt>
                <c:pt idx="301">
                  <c:v>9.2318522028344459E-3</c:v>
                </c:pt>
                <c:pt idx="302">
                  <c:v>9.2427854491566371E-3</c:v>
                </c:pt>
                <c:pt idx="303">
                  <c:v>9.2537127568151356E-3</c:v>
                </c:pt>
                <c:pt idx="304">
                  <c:v>9.3085853016183408E-3</c:v>
                </c:pt>
                <c:pt idx="305">
                  <c:v>9.3305367217425446E-3</c:v>
                </c:pt>
                <c:pt idx="306">
                  <c:v>9.3745491155053633E-3</c:v>
                </c:pt>
                <c:pt idx="307">
                  <c:v>9.3854246845495592E-3</c:v>
                </c:pt>
                <c:pt idx="308">
                  <c:v>9.396294308705231E-3</c:v>
                </c:pt>
                <c:pt idx="309">
                  <c:v>9.4619068836319879E-3</c:v>
                </c:pt>
                <c:pt idx="310">
                  <c:v>9.4837455166191416E-3</c:v>
                </c:pt>
                <c:pt idx="311">
                  <c:v>9.5275403622917636E-3</c:v>
                </c:pt>
                <c:pt idx="312">
                  <c:v>9.5383555259700992E-3</c:v>
                </c:pt>
                <c:pt idx="313">
                  <c:v>9.5491647383337489E-3</c:v>
                </c:pt>
                <c:pt idx="314">
                  <c:v>9.6144389422802411E-3</c:v>
                </c:pt>
                <c:pt idx="315">
                  <c:v>9.6361647836668181E-3</c:v>
                </c:pt>
                <c:pt idx="316">
                  <c:v>9.6797421598327962E-3</c:v>
                </c:pt>
                <c:pt idx="317">
                  <c:v>9.690496872101495E-3</c:v>
                </c:pt>
                <c:pt idx="318">
                  <c:v>9.7012456267814469E-3</c:v>
                </c:pt>
                <c:pt idx="319">
                  <c:v>9.7877944917775551E-3</c:v>
                </c:pt>
                <c:pt idx="320">
                  <c:v>9.798502717350388E-3</c:v>
                </c:pt>
                <c:pt idx="321">
                  <c:v>9.8418486908843916E-3</c:v>
                </c:pt>
                <c:pt idx="322">
                  <c:v>9.8525369430021905E-3</c:v>
                </c:pt>
                <c:pt idx="323">
                  <c:v>9.9277907072163885E-3</c:v>
                </c:pt>
                <c:pt idx="324">
                  <c:v>9.9277907072163885E-3</c:v>
                </c:pt>
                <c:pt idx="325">
                  <c:v>9.9492823017790499E-3</c:v>
                </c:pt>
                <c:pt idx="326">
                  <c:v>1.0003230365771353E-2</c:v>
                </c:pt>
                <c:pt idx="327">
                  <c:v>1.0013855388984194E-2</c:v>
                </c:pt>
                <c:pt idx="328">
                  <c:v>1.0056498539014136E-2</c:v>
                </c:pt>
                <c:pt idx="329">
                  <c:v>1.0077893438743324E-2</c:v>
                </c:pt>
                <c:pt idx="330">
                  <c:v>1.0099272222366729E-2</c:v>
                </c:pt>
                <c:pt idx="331">
                  <c:v>1.0142183619006595E-2</c:v>
                </c:pt>
                <c:pt idx="332">
                  <c:v>1.0152750735382795E-2</c:v>
                </c:pt>
                <c:pt idx="333">
                  <c:v>1.0205924395848776E-2</c:v>
                </c:pt>
                <c:pt idx="334">
                  <c:v>1.0227206481020268E-2</c:v>
                </c:pt>
                <c:pt idx="335">
                  <c:v>1.0248472449481127E-2</c:v>
                </c:pt>
                <c:pt idx="336">
                  <c:v>1.0291166665056528E-2</c:v>
                </c:pt>
                <c:pt idx="337">
                  <c:v>1.0301673150257486E-2</c:v>
                </c:pt>
                <c:pt idx="338">
                  <c:v>1.0354560538141655E-2</c:v>
                </c:pt>
                <c:pt idx="339">
                  <c:v>1.0375729804545486E-2</c:v>
                </c:pt>
                <c:pt idx="340">
                  <c:v>1.0396882953644493E-2</c:v>
                </c:pt>
                <c:pt idx="341">
                  <c:v>1.0439360057181712E-2</c:v>
                </c:pt>
                <c:pt idx="342">
                  <c:v>1.0449805870327145E-2</c:v>
                </c:pt>
                <c:pt idx="343">
                  <c:v>1.051304957098039E-2</c:v>
                </c:pt>
                <c:pt idx="344">
                  <c:v>1.0534098570447683E-2</c:v>
                </c:pt>
                <c:pt idx="345">
                  <c:v>1.0576372670757003E-2</c:v>
                </c:pt>
                <c:pt idx="346">
                  <c:v>1.0586763764154627E-2</c:v>
                </c:pt>
                <c:pt idx="347">
                  <c:v>1.0597148865357894E-2</c:v>
                </c:pt>
                <c:pt idx="348">
                  <c:v>1.0712711062254087E-2</c:v>
                </c:pt>
                <c:pt idx="349">
                  <c:v>1.0712711062254087E-2</c:v>
                </c:pt>
                <c:pt idx="350">
                  <c:v>1.0723047407099012E-2</c:v>
                </c:pt>
                <c:pt idx="351">
                  <c:v>1.0733377754910123E-2</c:v>
                </c:pt>
                <c:pt idx="352">
                  <c:v>1.0743702105262829E-2</c:v>
                </c:pt>
                <c:pt idx="353">
                  <c:v>1.0806268867457237E-2</c:v>
                </c:pt>
                <c:pt idx="354">
                  <c:v>1.082709221832537E-2</c:v>
                </c:pt>
                <c:pt idx="355">
                  <c:v>1.0868932434403466E-2</c:v>
                </c:pt>
                <c:pt idx="356">
                  <c:v>1.0879201998552912E-2</c:v>
                </c:pt>
                <c:pt idx="357">
                  <c:v>1.0889465560122659E-2</c:v>
                </c:pt>
                <c:pt idx="358">
                  <c:v>1.0962175545611019E-2</c:v>
                </c:pt>
                <c:pt idx="359">
                  <c:v>1.0972404354076662E-2</c:v>
                </c:pt>
                <c:pt idx="360">
                  <c:v>1.1014027720962393E-2</c:v>
                </c:pt>
                <c:pt idx="361">
                  <c:v>1.1024236464355075E-2</c:v>
                </c:pt>
                <c:pt idx="362">
                  <c:v>1.103443920018312E-2</c:v>
                </c:pt>
                <c:pt idx="363">
                  <c:v>1.1085894509076155E-2</c:v>
                </c:pt>
                <c:pt idx="364">
                  <c:v>1.1106499619368826E-2</c:v>
                </c:pt>
                <c:pt idx="365">
                  <c:v>1.1127088609407032E-2</c:v>
                </c:pt>
                <c:pt idx="366">
                  <c:v>1.1168481121751062E-2</c:v>
                </c:pt>
                <c:pt idx="367">
                  <c:v>1.1178622995844665E-2</c:v>
                </c:pt>
                <c:pt idx="368">
                  <c:v>1.1229791752868756E-2</c:v>
                </c:pt>
                <c:pt idx="369">
                  <c:v>1.1250284019637569E-2</c:v>
                </c:pt>
                <c:pt idx="370">
                  <c:v>1.1270760165568383E-2</c:v>
                </c:pt>
                <c:pt idx="371">
                  <c:v>1.131193594034019E-2</c:v>
                </c:pt>
                <c:pt idx="372">
                  <c:v>1.1372899079825416E-2</c:v>
                </c:pt>
                <c:pt idx="373">
                  <c:v>1.1372899079825416E-2</c:v>
                </c:pt>
                <c:pt idx="374">
                  <c:v>1.1393278499020276E-2</c:v>
                </c:pt>
                <c:pt idx="375">
                  <c:v>1.1413641796804264E-2</c:v>
                </c:pt>
                <c:pt idx="376">
                  <c:v>1.145460088989414E-2</c:v>
                </c:pt>
                <c:pt idx="377">
                  <c:v>1.146462093638506E-2</c:v>
                </c:pt>
                <c:pt idx="378">
                  <c:v>1.1515216461675415E-2</c:v>
                </c:pt>
                <c:pt idx="379">
                  <c:v>1.1535483029267546E-2</c:v>
                </c:pt>
                <c:pt idx="380">
                  <c:v>1.1555733474875929E-2</c:v>
                </c:pt>
                <c:pt idx="381">
                  <c:v>1.1626918895700071E-2</c:v>
                </c:pt>
                <c:pt idx="382">
                  <c:v>1.1626918895700071E-2</c:v>
                </c:pt>
                <c:pt idx="383">
                  <c:v>1.1656743870294584E-2</c:v>
                </c:pt>
                <c:pt idx="384">
                  <c:v>1.1676897582284518E-2</c:v>
                </c:pt>
                <c:pt idx="385">
                  <c:v>1.1697035171715164E-2</c:v>
                </c:pt>
                <c:pt idx="386">
                  <c:v>1.1747756192324651E-2</c:v>
                </c:pt>
                <c:pt idx="387">
                  <c:v>1.1757651593403418E-2</c:v>
                </c:pt>
                <c:pt idx="388">
                  <c:v>1.1807656227035531E-2</c:v>
                </c:pt>
                <c:pt idx="389">
                  <c:v>1.1827689675110165E-2</c:v>
                </c:pt>
                <c:pt idx="390">
                  <c:v>1.1868013130937882E-2</c:v>
                </c:pt>
                <c:pt idx="391">
                  <c:v>1.187785622450227E-2</c:v>
                </c:pt>
                <c:pt idx="392">
                  <c:v>1.188769328351987E-2</c:v>
                </c:pt>
                <c:pt idx="393">
                  <c:v>1.1947551786469028E-2</c:v>
                </c:pt>
                <c:pt idx="394">
                  <c:v>1.1967472374739579E-2</c:v>
                </c:pt>
                <c:pt idx="395">
                  <c:v>1.2017673549069966E-2</c:v>
                </c:pt>
                <c:pt idx="396">
                  <c:v>1.2027452903454649E-2</c:v>
                </c:pt>
                <c:pt idx="397">
                  <c:v>1.2037226218981067E-2</c:v>
                </c:pt>
                <c:pt idx="398">
                  <c:v>1.2086657315077248E-2</c:v>
                </c:pt>
                <c:pt idx="399">
                  <c:v>1.2106465039482449E-2</c:v>
                </c:pt>
                <c:pt idx="400">
                  <c:v>1.2146355598867878E-2</c:v>
                </c:pt>
                <c:pt idx="401">
                  <c:v>1.2156076555615847E-2</c:v>
                </c:pt>
                <c:pt idx="402">
                  <c:v>1.2165791469916526E-2</c:v>
                </c:pt>
                <c:pt idx="403">
                  <c:v>1.2284341820371384E-2</c:v>
                </c:pt>
                <c:pt idx="404">
                  <c:v>1.2294001665381638E-2</c:v>
                </c:pt>
                <c:pt idx="405">
                  <c:v>1.2313640757166955E-2</c:v>
                </c:pt>
                <c:pt idx="406">
                  <c:v>1.2382080150933446E-2</c:v>
                </c:pt>
                <c:pt idx="407">
                  <c:v>1.2421537993528147E-2</c:v>
                </c:pt>
                <c:pt idx="408">
                  <c:v>1.2431136699142808E-2</c:v>
                </c:pt>
                <c:pt idx="409">
                  <c:v>1.2440729354945486E-2</c:v>
                </c:pt>
                <c:pt idx="410">
                  <c:v>1.2499233432752277E-2</c:v>
                </c:pt>
                <c:pt idx="411">
                  <c:v>1.2518702541376901E-2</c:v>
                </c:pt>
                <c:pt idx="412">
                  <c:v>1.2557944088514749E-2</c:v>
                </c:pt>
                <c:pt idx="413">
                  <c:v>1.2567481627994981E-2</c:v>
                </c:pt>
                <c:pt idx="414">
                  <c:v>1.2577013114175547E-2</c:v>
                </c:pt>
                <c:pt idx="415">
                  <c:v>1.2654534784381267E-2</c:v>
                </c:pt>
                <c:pt idx="416">
                  <c:v>1.2654534784381267E-2</c:v>
                </c:pt>
                <c:pt idx="417">
                  <c:v>1.2703395627149786E-2</c:v>
                </c:pt>
                <c:pt idx="418">
                  <c:v>1.2712869287826547E-2</c:v>
                </c:pt>
                <c:pt idx="419">
                  <c:v>1.272233689157215E-2</c:v>
                </c:pt>
                <c:pt idx="420">
                  <c:v>1.2770333507355652E-2</c:v>
                </c:pt>
                <c:pt idx="421">
                  <c:v>1.2789576852213885E-2</c:v>
                </c:pt>
                <c:pt idx="422">
                  <c:v>1.2828385925575217E-2</c:v>
                </c:pt>
                <c:pt idx="423">
                  <c:v>1.283780105619664E-2</c:v>
                </c:pt>
                <c:pt idx="424">
                  <c:v>1.2847210126944578E-2</c:v>
                </c:pt>
                <c:pt idx="425">
                  <c:v>1.288517142941659E-2</c:v>
                </c:pt>
                <c:pt idx="426">
                  <c:v>1.2894553570474341E-2</c:v>
                </c:pt>
                <c:pt idx="427">
                  <c:v>1.2913690034379271E-2</c:v>
                </c:pt>
                <c:pt idx="428">
                  <c:v>1.2932810369862744E-2</c:v>
                </c:pt>
                <c:pt idx="429">
                  <c:v>1.2951914576856245E-2</c:v>
                </c:pt>
                <c:pt idx="430">
                  <c:v>1.3009130426180349E-2</c:v>
                </c:pt>
                <c:pt idx="431">
                  <c:v>1.3028170118497391E-2</c:v>
                </c:pt>
                <c:pt idx="432">
                  <c:v>1.3047193681964751E-2</c:v>
                </c:pt>
                <c:pt idx="433">
                  <c:v>1.3066201116511054E-2</c:v>
                </c:pt>
                <c:pt idx="434">
                  <c:v>1.3085192422062075E-2</c:v>
                </c:pt>
                <c:pt idx="435">
                  <c:v>1.3142069564058279E-2</c:v>
                </c:pt>
                <c:pt idx="436">
                  <c:v>1.3160996352928729E-2</c:v>
                </c:pt>
                <c:pt idx="437">
                  <c:v>1.3179907012449896E-2</c:v>
                </c:pt>
                <c:pt idx="438">
                  <c:v>1.3198801542553262E-2</c:v>
                </c:pt>
                <c:pt idx="439">
                  <c:v>1.32176799431646E-2</c:v>
                </c:pt>
                <c:pt idx="440">
                  <c:v>1.3293032249270809E-2</c:v>
                </c:pt>
                <c:pt idx="441">
                  <c:v>1.3293032249270809E-2</c:v>
                </c:pt>
                <c:pt idx="442">
                  <c:v>1.3311830001359999E-2</c:v>
                </c:pt>
                <c:pt idx="443">
                  <c:v>1.333061162353179E-2</c:v>
                </c:pt>
                <c:pt idx="444">
                  <c:v>1.3349377115714807E-2</c:v>
                </c:pt>
                <c:pt idx="445">
                  <c:v>1.3405576811640341E-2</c:v>
                </c:pt>
                <c:pt idx="446">
                  <c:v>1.345293360439791E-2</c:v>
                </c:pt>
                <c:pt idx="447">
                  <c:v>1.3490662096059033E-2</c:v>
                </c:pt>
                <c:pt idx="448">
                  <c:v>1.3499770799667299E-2</c:v>
                </c:pt>
                <c:pt idx="449">
                  <c:v>1.350887342923732E-2</c:v>
                </c:pt>
                <c:pt idx="450">
                  <c:v>1.356466808781836E-2</c:v>
                </c:pt>
                <c:pt idx="451">
                  <c:v>1.3583234047813553E-2</c:v>
                </c:pt>
                <c:pt idx="452">
                  <c:v>1.3620746512844114E-2</c:v>
                </c:pt>
                <c:pt idx="453">
                  <c:v>1.3629793868733808E-2</c:v>
                </c:pt>
                <c:pt idx="454">
                  <c:v>1.3638835148133563E-2</c:v>
                </c:pt>
                <c:pt idx="455">
                  <c:v>1.3694291077319103E-2</c:v>
                </c:pt>
                <c:pt idx="456">
                  <c:v>1.3750473974501227E-2</c:v>
                </c:pt>
                <c:pt idx="457">
                  <c:v>1.375946335389772E-2</c:v>
                </c:pt>
                <c:pt idx="458">
                  <c:v>1.3768446654292403E-2</c:v>
                </c:pt>
                <c:pt idx="459">
                  <c:v>1.3777423875613037E-2</c:v>
                </c:pt>
                <c:pt idx="460">
                  <c:v>1.3823123679345666E-2</c:v>
                </c:pt>
                <c:pt idx="461">
                  <c:v>1.3841463813814838E-2</c:v>
                </c:pt>
                <c:pt idx="462">
                  <c:v>1.3878544301880232E-2</c:v>
                </c:pt>
                <c:pt idx="463">
                  <c:v>1.388746890699788E-2</c:v>
                </c:pt>
                <c:pt idx="464">
                  <c:v>1.3896387431097435E-2</c:v>
                </c:pt>
                <c:pt idx="465">
                  <c:v>1.3951165867591351E-2</c:v>
                </c:pt>
                <c:pt idx="466">
                  <c:v>1.3969393083671046E-2</c:v>
                </c:pt>
                <c:pt idx="467">
                  <c:v>1.3978270439860552E-2</c:v>
                </c:pt>
                <c:pt idx="468">
                  <c:v>1.3987141713747075E-2</c:v>
                </c:pt>
                <c:pt idx="469">
                  <c:v>1.3996006905288334E-2</c:v>
                </c:pt>
                <c:pt idx="470">
                  <c:v>1.406912068017796E-2</c:v>
                </c:pt>
                <c:pt idx="471">
                  <c:v>1.4087242331930483E-2</c:v>
                </c:pt>
                <c:pt idx="472">
                  <c:v>1.4105347851406158E-2</c:v>
                </c:pt>
                <c:pt idx="473">
                  <c:v>1.4141982298012945E-2</c:v>
                </c:pt>
                <c:pt idx="474">
                  <c:v>1.4150777999269394E-2</c:v>
                </c:pt>
                <c:pt idx="475">
                  <c:v>1.4195633462111168E-2</c:v>
                </c:pt>
                <c:pt idx="476">
                  <c:v>1.4213642186409636E-2</c:v>
                </c:pt>
                <c:pt idx="477">
                  <c:v>1.4231634777917002E-2</c:v>
                </c:pt>
                <c:pt idx="478">
                  <c:v>1.4268053308641448E-2</c:v>
                </c:pt>
                <c:pt idx="479">
                  <c:v>1.433925153445248E-2</c:v>
                </c:pt>
                <c:pt idx="480">
                  <c:v>1.4357131194445039E-2</c:v>
                </c:pt>
                <c:pt idx="481">
                  <c:v>1.4393333827198151E-2</c:v>
                </c:pt>
                <c:pt idx="482">
                  <c:v>1.4402006644867264E-2</c:v>
                </c:pt>
                <c:pt idx="483">
                  <c:v>1.4446287492511978E-2</c:v>
                </c:pt>
                <c:pt idx="484">
                  <c:v>1.4464070351244196E-2</c:v>
                </c:pt>
                <c:pt idx="485">
                  <c:v>1.4481837076180781E-2</c:v>
                </c:pt>
                <c:pt idx="486">
                  <c:v>1.4526934915163024E-2</c:v>
                </c:pt>
                <c:pt idx="487">
                  <c:v>1.4544647278317382E-2</c:v>
                </c:pt>
                <c:pt idx="488">
                  <c:v>1.4597181205971081E-2</c:v>
                </c:pt>
                <c:pt idx="489">
                  <c:v>1.4632959378192726E-2</c:v>
                </c:pt>
                <c:pt idx="490">
                  <c:v>1.4641515102316593E-2</c:v>
                </c:pt>
                <c:pt idx="491">
                  <c:v>1.4650064718825061E-2</c:v>
                </c:pt>
                <c:pt idx="492">
                  <c:v>1.470279035670659E-2</c:v>
                </c:pt>
                <c:pt idx="493">
                  <c:v>1.4720329391055329E-2</c:v>
                </c:pt>
                <c:pt idx="494">
                  <c:v>1.4755856993951998E-2</c:v>
                </c:pt>
                <c:pt idx="495">
                  <c:v>1.4764348961875395E-2</c:v>
                </c:pt>
                <c:pt idx="496">
                  <c:v>1.4772834674350669E-2</c:v>
                </c:pt>
                <c:pt idx="497">
                  <c:v>1.4825167300603796E-2</c:v>
                </c:pt>
                <c:pt idx="498">
                  <c:v>1.4842572046127314E-2</c:v>
                </c:pt>
                <c:pt idx="499">
                  <c:v>1.4877823653897015E-2</c:v>
                </c:pt>
                <c:pt idx="500">
                  <c:v>1.488624747382733E-2</c:v>
                </c:pt>
                <c:pt idx="501">
                  <c:v>1.4894664607975956E-2</c:v>
                </c:pt>
                <c:pt idx="502">
                  <c:v>1.4946569730127288E-2</c:v>
                </c:pt>
                <c:pt idx="503">
                  <c:v>1.4963828689207244E-2</c:v>
                </c:pt>
                <c:pt idx="504">
                  <c:v>1.4998783742872427E-2</c:v>
                </c:pt>
                <c:pt idx="505">
                  <c:v>1.5007132665016965E-2</c:v>
                </c:pt>
                <c:pt idx="506">
                  <c:v>1.5015474036375114E-2</c:v>
                </c:pt>
                <c:pt idx="507">
                  <c:v>1.50840188352004E-2</c:v>
                </c:pt>
                <c:pt idx="508">
                  <c:v>1.5092304243235155E-2</c:v>
                </c:pt>
                <c:pt idx="509">
                  <c:v>1.5126926862196466E-2</c:v>
                </c:pt>
                <c:pt idx="510">
                  <c:v>1.5135183528663047E-2</c:v>
                </c:pt>
                <c:pt idx="511">
                  <c:v>1.5177399596425722E-2</c:v>
                </c:pt>
                <c:pt idx="512">
                  <c:v>1.5194348442757466E-2</c:v>
                </c:pt>
                <c:pt idx="513">
                  <c:v>1.5211273880755272E-2</c:v>
                </c:pt>
                <c:pt idx="514">
                  <c:v>1.5245578787196623E-2</c:v>
                </c:pt>
                <c:pt idx="515">
                  <c:v>1.5253748522805692E-2</c:v>
                </c:pt>
                <c:pt idx="516">
                  <c:v>1.529554994227933E-2</c:v>
                </c:pt>
                <c:pt idx="517">
                  <c:v>1.5312334928197835E-2</c:v>
                </c:pt>
                <c:pt idx="518">
                  <c:v>1.5429174371499599E-2</c:v>
                </c:pt>
                <c:pt idx="519">
                  <c:v>1.5544866739177543E-2</c:v>
                </c:pt>
                <c:pt idx="520">
                  <c:v>1.5700885098430817E-2</c:v>
                </c:pt>
                <c:pt idx="521">
                  <c:v>1.5781152258405828E-2</c:v>
                </c:pt>
                <c:pt idx="522">
                  <c:v>1.5893326190107915E-2</c:v>
                </c:pt>
                <c:pt idx="523">
                  <c:v>1.6004352897187601E-2</c:v>
                </c:pt>
                <c:pt idx="524">
                  <c:v>1.6114232346765386E-2</c:v>
                </c:pt>
                <c:pt idx="525">
                  <c:v>1.6222964506296983E-2</c:v>
                </c:pt>
                <c:pt idx="526">
                  <c:v>1.6330549343588782E-2</c:v>
                </c:pt>
                <c:pt idx="527">
                  <c:v>1.6436986826774663E-2</c:v>
                </c:pt>
                <c:pt idx="528">
                  <c:v>1.6549433080864873E-2</c:v>
                </c:pt>
                <c:pt idx="529">
                  <c:v>1.6638694124837095E-2</c:v>
                </c:pt>
                <c:pt idx="530">
                  <c:v>1.6741766544615011E-2</c:v>
                </c:pt>
                <c:pt idx="531">
                  <c:v>1.6843691512582026E-2</c:v>
                </c:pt>
                <c:pt idx="532">
                  <c:v>1.6944468999521511E-2</c:v>
                </c:pt>
                <c:pt idx="533">
                  <c:v>1.7051515548222578E-2</c:v>
                </c:pt>
                <c:pt idx="534">
                  <c:v>1.7171895693675315E-2</c:v>
                </c:pt>
                <c:pt idx="535">
                  <c:v>1.724717823316194E-2</c:v>
                </c:pt>
                <c:pt idx="536">
                  <c:v>1.7343288151670827E-2</c:v>
                </c:pt>
                <c:pt idx="537">
                  <c:v>1.7431143219421408E-2</c:v>
                </c:pt>
                <c:pt idx="538">
                  <c:v>1.7525035225157026E-2</c:v>
                </c:pt>
                <c:pt idx="539">
                  <c:v>1.761777955458399E-2</c:v>
                </c:pt>
                <c:pt idx="540">
                  <c:v>1.770937618111823E-2</c:v>
                </c:pt>
                <c:pt idx="541">
                  <c:v>1.7799825078508746E-2</c:v>
                </c:pt>
                <c:pt idx="542">
                  <c:v>1.7895845955412919E-2</c:v>
                </c:pt>
                <c:pt idx="543">
                  <c:v>1.7983921716912453E-2</c:v>
                </c:pt>
                <c:pt idx="544">
                  <c:v>1.8070849634630674E-2</c:v>
                </c:pt>
                <c:pt idx="545">
                  <c:v>1.8187384861742817E-2</c:v>
                </c:pt>
                <c:pt idx="546">
                  <c:v>1.8266032851609024E-2</c:v>
                </c:pt>
                <c:pt idx="547">
                  <c:v>1.8324746069340744E-2</c:v>
                </c:pt>
                <c:pt idx="548">
                  <c:v>1.8407082357873708E-2</c:v>
                </c:pt>
                <c:pt idx="549">
                  <c:v>1.8488270677295936E-2</c:v>
                </c:pt>
                <c:pt idx="550">
                  <c:v>1.8556108130829647E-2</c:v>
                </c:pt>
                <c:pt idx="551">
                  <c:v>1.8629121940132758E-2</c:v>
                </c:pt>
                <c:pt idx="552">
                  <c:v>1.8707100098003564E-2</c:v>
                </c:pt>
                <c:pt idx="553">
                  <c:v>1.878393032647141E-2</c:v>
                </c:pt>
                <c:pt idx="554">
                  <c:v>1.8859612604981306E-2</c:v>
                </c:pt>
                <c:pt idx="555">
                  <c:v>1.8951291919598125E-2</c:v>
                </c:pt>
                <c:pt idx="556">
                  <c:v>1.9024443800942765E-2</c:v>
                </c:pt>
                <c:pt idx="557">
                  <c:v>1.9096447530316484E-2</c:v>
                </c:pt>
                <c:pt idx="558">
                  <c:v>1.9167303086389254E-2</c:v>
                </c:pt>
                <c:pt idx="559">
                  <c:v>1.9267439080637289E-2</c:v>
                </c:pt>
                <c:pt idx="560">
                  <c:v>1.9330233863456836E-2</c:v>
                </c:pt>
                <c:pt idx="561">
                  <c:v>1.9397238286691654E-2</c:v>
                </c:pt>
                <c:pt idx="562">
                  <c:v>1.9468217055847701E-2</c:v>
                </c:pt>
                <c:pt idx="563">
                  <c:v>1.9527821449417115E-2</c:v>
                </c:pt>
                <c:pt idx="564">
                  <c:v>1.959155762639081E-2</c:v>
                </c:pt>
                <c:pt idx="565">
                  <c:v>1.9654486443283214E-2</c:v>
                </c:pt>
                <c:pt idx="566">
                  <c:v>1.971679150789829E-2</c:v>
                </c:pt>
                <c:pt idx="567">
                  <c:v>1.9763848871512158E-2</c:v>
                </c:pt>
                <c:pt idx="568">
                  <c:v>1.9840199787928281E-2</c:v>
                </c:pt>
                <c:pt idx="569">
                  <c:v>1.9901434864212919E-2</c:v>
                </c:pt>
                <c:pt idx="570">
                  <c:v>1.9962360942245572E-2</c:v>
                </c:pt>
                <c:pt idx="571">
                  <c:v>2.0022978017012749E-2</c:v>
                </c:pt>
                <c:pt idx="572">
                  <c:v>2.0083286083525942E-2</c:v>
                </c:pt>
                <c:pt idx="573">
                  <c:v>2.014328513682162E-2</c:v>
                </c:pt>
                <c:pt idx="574">
                  <c:v>2.0202975171958737E-2</c:v>
                </c:pt>
                <c:pt idx="575">
                  <c:v>2.0267138894123349E-2</c:v>
                </c:pt>
                <c:pt idx="576">
                  <c:v>2.0326192130741626E-2</c:v>
                </c:pt>
                <c:pt idx="577">
                  <c:v>2.0380191119417912E-2</c:v>
                </c:pt>
                <c:pt idx="578">
                  <c:v>2.0438645033044878E-2</c:v>
                </c:pt>
                <c:pt idx="579">
                  <c:v>2.0496789904202728E-2</c:v>
                </c:pt>
                <c:pt idx="580">
                  <c:v>2.0540549385328725E-2</c:v>
                </c:pt>
                <c:pt idx="581">
                  <c:v>2.0616822599770695E-2</c:v>
                </c:pt>
                <c:pt idx="582">
                  <c:v>2.0669370215119776E-2</c:v>
                </c:pt>
                <c:pt idx="583">
                  <c:v>2.072627886878925E-2</c:v>
                </c:pt>
                <c:pt idx="584">
                  <c:v>2.0782878456311049E-2</c:v>
                </c:pt>
                <c:pt idx="585">
                  <c:v>2.0839168973026401E-2</c:v>
                </c:pt>
                <c:pt idx="586">
                  <c:v>2.0899726428798004E-2</c:v>
                </c:pt>
                <c:pt idx="587">
                  <c:v>2.0950822775530065E-2</c:v>
                </c:pt>
                <c:pt idx="588">
                  <c:v>2.1006186052130726E-2</c:v>
                </c:pt>
                <c:pt idx="589">
                  <c:v>2.1061240239539647E-2</c:v>
                </c:pt>
                <c:pt idx="590">
                  <c:v>2.1115985333227949E-2</c:v>
                </c:pt>
                <c:pt idx="591">
                  <c:v>2.1170421328691735E-2</c:v>
                </c:pt>
                <c:pt idx="592">
                  <c:v>2.1227793681884665E-2</c:v>
                </c:pt>
                <c:pt idx="593">
                  <c:v>2.1278366007035088E-2</c:v>
                </c:pt>
                <c:pt idx="594">
                  <c:v>2.1331874681031759E-2</c:v>
                </c:pt>
                <c:pt idx="595">
                  <c:v>2.1385074239030633E-2</c:v>
                </c:pt>
                <c:pt idx="596">
                  <c:v>2.1442351781724964E-2</c:v>
                </c:pt>
                <c:pt idx="597">
                  <c:v>2.1516094704921388E-2</c:v>
                </c:pt>
                <c:pt idx="598">
                  <c:v>2.1568209206979678E-2</c:v>
                </c:pt>
                <c:pt idx="599">
                  <c:v>2.1620014584551962E-2</c:v>
                </c:pt>
                <c:pt idx="600">
                  <c:v>2.1678842205264767E-2</c:v>
                </c:pt>
                <c:pt idx="601">
                  <c:v>2.1722697949725259E-2</c:v>
                </c:pt>
                <c:pt idx="602">
                  <c:v>2.1760774037596114E-2</c:v>
                </c:pt>
                <c:pt idx="603">
                  <c:v>2.1811399936934515E-2</c:v>
                </c:pt>
                <c:pt idx="604">
                  <c:v>2.1868879606467155E-2</c:v>
                </c:pt>
                <c:pt idx="605">
                  <c:v>2.1911724404710675E-2</c:v>
                </c:pt>
                <c:pt idx="606">
                  <c:v>2.1973996397933272E-2</c:v>
                </c:pt>
                <c:pt idx="607">
                  <c:v>2.202332863293224E-2</c:v>
                </c:pt>
                <c:pt idx="608">
                  <c:v>2.2072351707149072E-2</c:v>
                </c:pt>
                <c:pt idx="609">
                  <c:v>2.2121065616672059E-2</c:v>
                </c:pt>
                <c:pt idx="610">
                  <c:v>2.216535721702062E-2</c:v>
                </c:pt>
                <c:pt idx="611">
                  <c:v>2.221347190645595E-2</c:v>
                </c:pt>
                <c:pt idx="612">
                  <c:v>2.2261277432567006E-2</c:v>
                </c:pt>
                <c:pt idx="613">
                  <c:v>2.2322287393692797E-2</c:v>
                </c:pt>
                <c:pt idx="614">
                  <c:v>2.2355961011168546E-2</c:v>
                </c:pt>
                <c:pt idx="615">
                  <c:v>2.2413555353293799E-2</c:v>
                </c:pt>
                <c:pt idx="616">
                  <c:v>2.2453529231491017E-2</c:v>
                </c:pt>
                <c:pt idx="617">
                  <c:v>2.250001241384457E-2</c:v>
                </c:pt>
                <c:pt idx="618">
                  <c:v>2.2553010065407355E-2</c:v>
                </c:pt>
                <c:pt idx="619">
                  <c:v>2.2588702349658263E-2</c:v>
                </c:pt>
                <c:pt idx="620">
                  <c:v>2.2634993726941666E-2</c:v>
                </c:pt>
                <c:pt idx="621">
                  <c:v>2.2681249997731356E-2</c:v>
                </c:pt>
                <c:pt idx="622">
                  <c:v>2.2727471161627655E-2</c:v>
                </c:pt>
                <c:pt idx="623">
                  <c:v>2.277767314941985E-2</c:v>
                </c:pt>
                <c:pt idx="624">
                  <c:v>2.2823824510640252E-2</c:v>
                </c:pt>
                <c:pt idx="625">
                  <c:v>2.2869940767391645E-2</c:v>
                </c:pt>
                <c:pt idx="626">
                  <c:v>2.2916021919261453E-2</c:v>
                </c:pt>
                <c:pt idx="627">
                  <c:v>2.2962067965819056E-2</c:v>
                </c:pt>
                <c:pt idx="628">
                  <c:v>2.3008078906659617E-2</c:v>
                </c:pt>
                <c:pt idx="629">
                  <c:v>2.3054054741355093E-2</c:v>
                </c:pt>
                <c:pt idx="630">
                  <c:v>2.3099995469490327E-2</c:v>
                </c:pt>
                <c:pt idx="631">
                  <c:v>2.3152456170633502E-2</c:v>
                </c:pt>
                <c:pt idx="632">
                  <c:v>2.3194301833253661E-2</c:v>
                </c:pt>
                <c:pt idx="633">
                  <c:v>2.3233586793229399E-2</c:v>
                </c:pt>
                <c:pt idx="634">
                  <c:v>2.327938664275031E-2</c:v>
                </c:pt>
                <c:pt idx="635">
                  <c:v>2.3325151380112707E-2</c:v>
                </c:pt>
                <c:pt idx="636">
                  <c:v>2.3374902577228889E-2</c:v>
                </c:pt>
                <c:pt idx="637">
                  <c:v>2.3420597547787254E-2</c:v>
                </c:pt>
                <c:pt idx="638">
                  <c:v>2.3472777379561379E-2</c:v>
                </c:pt>
                <c:pt idx="639">
                  <c:v>2.3511882158826419E-2</c:v>
                </c:pt>
                <c:pt idx="640">
                  <c:v>2.3561495446184355E-2</c:v>
                </c:pt>
                <c:pt idx="641">
                  <c:v>2.3599002426525573E-2</c:v>
                </c:pt>
                <c:pt idx="642">
                  <c:v>2.3651021206864797E-2</c:v>
                </c:pt>
                <c:pt idx="643">
                  <c:v>2.3690005193218511E-2</c:v>
                </c:pt>
                <c:pt idx="644">
                  <c:v>2.3743504802635762E-2</c:v>
                </c:pt>
                <c:pt idx="645">
                  <c:v>2.3784893321489212E-2</c:v>
                </c:pt>
                <c:pt idx="646">
                  <c:v>2.3830272288150975E-2</c:v>
                </c:pt>
                <c:pt idx="647">
                  <c:v>2.3875616141202659E-2</c:v>
                </c:pt>
                <c:pt idx="648">
                  <c:v>2.3920924880236841E-2</c:v>
                </c:pt>
                <c:pt idx="649">
                  <c:v>2.3972663298983541E-2</c:v>
                </c:pt>
                <c:pt idx="650">
                  <c:v>2.4017896792300968E-2</c:v>
                </c:pt>
                <c:pt idx="651">
                  <c:v>2.4063095170303871E-2</c:v>
                </c:pt>
                <c:pt idx="652">
                  <c:v>2.4108258432582248E-2</c:v>
                </c:pt>
                <c:pt idx="653">
                  <c:v>2.4153386578726111E-2</c:v>
                </c:pt>
                <c:pt idx="654">
                  <c:v>2.4190418990330271E-2</c:v>
                </c:pt>
                <c:pt idx="655">
                  <c:v>2.4235475864333108E-2</c:v>
                </c:pt>
                <c:pt idx="656">
                  <c:v>2.4280497614509337E-2</c:v>
                </c:pt>
                <c:pt idx="657">
                  <c:v>2.4325484240473066E-2</c:v>
                </c:pt>
                <c:pt idx="658">
                  <c:v>2.4378500553106228E-2</c:v>
                </c:pt>
                <c:pt idx="659">
                  <c:v>2.4439552537718155E-2</c:v>
                </c:pt>
                <c:pt idx="660">
                  <c:v>2.446830031559934E-2</c:v>
                </c:pt>
                <c:pt idx="661">
                  <c:v>2.4513147517943368E-2</c:v>
                </c:pt>
                <c:pt idx="662">
                  <c:v>2.4553924929831439E-2</c:v>
                </c:pt>
                <c:pt idx="663">
                  <c:v>2.4598701346997487E-2</c:v>
                </c:pt>
                <c:pt idx="664">
                  <c:v>2.4664291494459478E-2</c:v>
                </c:pt>
                <c:pt idx="665">
                  <c:v>2.4713025680629389E-2</c:v>
                </c:pt>
                <c:pt idx="666">
                  <c:v>2.4741539701359234E-2</c:v>
                </c:pt>
                <c:pt idx="667">
                  <c:v>2.4798198685584971E-2</c:v>
                </c:pt>
                <c:pt idx="668">
                  <c:v>2.4842522840304027E-2</c:v>
                </c:pt>
                <c:pt idx="669">
                  <c:v>2.4886497094654403E-2</c:v>
                </c:pt>
                <c:pt idx="670">
                  <c:v>2.4929999030190719E-2</c:v>
                </c:pt>
                <c:pt idx="671">
                  <c:v>2.4972926629096281E-2</c:v>
                </c:pt>
                <c:pt idx="672">
                  <c:v>2.5015259482264185E-2</c:v>
                </c:pt>
                <c:pt idx="673">
                  <c:v>2.5056997582999785E-2</c:v>
                </c:pt>
                <c:pt idx="674">
                  <c:v>2.5098140924688372E-2</c:v>
                </c:pt>
                <c:pt idx="675">
                  <c:v>2.5138689500822653E-2</c:v>
                </c:pt>
                <c:pt idx="676">
                  <c:v>2.517864330498526E-2</c:v>
                </c:pt>
                <c:pt idx="677">
                  <c:v>2.5218002330848754E-2</c:v>
                </c:pt>
                <c:pt idx="678">
                  <c:v>2.5256766572188116E-2</c:v>
                </c:pt>
                <c:pt idx="679">
                  <c:v>2.5284237404615557E-2</c:v>
                </c:pt>
                <c:pt idx="680">
                  <c:v>2.5336029775148657E-2</c:v>
                </c:pt>
                <c:pt idx="681">
                  <c:v>2.5369490528157623E-2</c:v>
                </c:pt>
                <c:pt idx="682">
                  <c:v>2.5405875570976288E-2</c:v>
                </c:pt>
                <c:pt idx="683">
                  <c:v>2.5441665799529611E-2</c:v>
                </c:pt>
                <c:pt idx="684">
                  <c:v>2.5476861208154622E-2</c:v>
                </c:pt>
                <c:pt idx="685">
                  <c:v>2.551478106373169E-2</c:v>
                </c:pt>
                <c:pt idx="686">
                  <c:v>2.5545467543434952E-2</c:v>
                </c:pt>
                <c:pt idx="687">
                  <c:v>2.5578878459231458E-2</c:v>
                </c:pt>
                <c:pt idx="688">
                  <c:v>2.5611694533379525E-2</c:v>
                </c:pt>
                <c:pt idx="689">
                  <c:v>2.5643915760688307E-2</c:v>
                </c:pt>
                <c:pt idx="690">
                  <c:v>2.5675542136056884E-2</c:v>
                </c:pt>
                <c:pt idx="691">
                  <c:v>2.5706573654479259E-2</c:v>
                </c:pt>
                <c:pt idx="692">
                  <c:v>2.5737010311041864E-2</c:v>
                </c:pt>
                <c:pt idx="693">
                  <c:v>2.5766852100931048E-2</c:v>
                </c:pt>
                <c:pt idx="694">
                  <c:v>2.5796099019420593E-2</c:v>
                </c:pt>
                <c:pt idx="695">
                  <c:v>2.5824751061881701E-2</c:v>
                </c:pt>
                <c:pt idx="696">
                  <c:v>2.5856767827825144E-2</c:v>
                </c:pt>
                <c:pt idx="697">
                  <c:v>2.5880270500670544E-2</c:v>
                </c:pt>
                <c:pt idx="698">
                  <c:v>2.5907137888210308E-2</c:v>
                </c:pt>
                <c:pt idx="699">
                  <c:v>2.5936164862696162E-2</c:v>
                </c:pt>
                <c:pt idx="700">
                  <c:v>2.5959087978322526E-2</c:v>
                </c:pt>
                <c:pt idx="701">
                  <c:v>2.5976128733378099E-2</c:v>
                </c:pt>
                <c:pt idx="702">
                  <c:v>2.6008658461220968E-2</c:v>
                </c:pt>
                <c:pt idx="703">
                  <c:v>2.6035142982970525E-2</c:v>
                </c:pt>
                <c:pt idx="704">
                  <c:v>2.6055849305518242E-2</c:v>
                </c:pt>
                <c:pt idx="705">
                  <c:v>2.6070999785997466E-2</c:v>
                </c:pt>
                <c:pt idx="706">
                  <c:v>2.6090746375216117E-2</c:v>
                </c:pt>
                <c:pt idx="707">
                  <c:v>2.6112423276241716E-2</c:v>
                </c:pt>
                <c:pt idx="708">
                  <c:v>2.613350541792268E-2</c:v>
                </c:pt>
                <c:pt idx="709">
                  <c:v>2.6153992797338495E-2</c:v>
                </c:pt>
                <c:pt idx="710">
                  <c:v>2.6185448783103998E-2</c:v>
                </c:pt>
                <c:pt idx="711">
                  <c:v>2.6202277188816792E-2</c:v>
                </c:pt>
                <c:pt idx="712">
                  <c:v>2.6220815721748059E-2</c:v>
                </c:pt>
                <c:pt idx="713">
                  <c:v>2.6238759311422166E-2</c:v>
                </c:pt>
                <c:pt idx="714">
                  <c:v>2.6258248334582006E-2</c:v>
                </c:pt>
                <c:pt idx="715">
                  <c:v>2.6272861649742907E-2</c:v>
                </c:pt>
                <c:pt idx="716">
                  <c:v>2.6289020392986362E-2</c:v>
                </c:pt>
                <c:pt idx="717">
                  <c:v>2.630458418218129E-2</c:v>
                </c:pt>
                <c:pt idx="718">
                  <c:v>2.6313604881023155E-2</c:v>
                </c:pt>
                <c:pt idx="719">
                  <c:v>2.6334003906750281E-2</c:v>
                </c:pt>
                <c:pt idx="720">
                  <c:v>2.6348084191645804E-2</c:v>
                </c:pt>
                <c:pt idx="721">
                  <c:v>2.6361954451279146E-2</c:v>
                </c:pt>
                <c:pt idx="722">
                  <c:v>2.6375773188693497E-2</c:v>
                </c:pt>
                <c:pt idx="723">
                  <c:v>2.6391654481344225E-2</c:v>
                </c:pt>
                <c:pt idx="724">
                  <c:v>2.6403720903158678E-2</c:v>
                </c:pt>
                <c:pt idx="725">
                  <c:v>2.6417889160493535E-2</c:v>
                </c:pt>
                <c:pt idx="726">
                  <c:v>2.6432187044225508E-2</c:v>
                </c:pt>
                <c:pt idx="727">
                  <c:v>2.644661455483921E-2</c:v>
                </c:pt>
                <c:pt idx="728">
                  <c:v>2.6461171692836738E-2</c:v>
                </c:pt>
                <c:pt idx="729">
                  <c:v>2.6475858458720192E-2</c:v>
                </c:pt>
                <c:pt idx="730">
                  <c:v>2.6490674852994167E-2</c:v>
                </c:pt>
                <c:pt idx="731">
                  <c:v>2.6507675672270314E-2</c:v>
                </c:pt>
                <c:pt idx="732">
                  <c:v>2.6522761693887696E-2</c:v>
                </c:pt>
                <c:pt idx="733">
                  <c:v>2.6535901811302609E-2</c:v>
                </c:pt>
                <c:pt idx="734">
                  <c:v>2.6551236724297045E-2</c:v>
                </c:pt>
                <c:pt idx="735">
                  <c:v>2.656670126828492E-2</c:v>
                </c:pt>
                <c:pt idx="736">
                  <c:v>2.6582295443790815E-2</c:v>
                </c:pt>
                <c:pt idx="737">
                  <c:v>2.6600136415116635E-2</c:v>
                </c:pt>
                <c:pt idx="738">
                  <c:v>2.6613872691539919E-2</c:v>
                </c:pt>
                <c:pt idx="739">
                  <c:v>2.6629855764867261E-2</c:v>
                </c:pt>
                <c:pt idx="740">
                  <c:v>2.6639529625675448E-2</c:v>
                </c:pt>
                <c:pt idx="741">
                  <c:v>2.6662210813182818E-2</c:v>
                </c:pt>
                <c:pt idx="742">
                  <c:v>2.6678582789285143E-2</c:v>
                </c:pt>
                <c:pt idx="743">
                  <c:v>2.6695084400772395E-2</c:v>
                </c:pt>
                <c:pt idx="744">
                  <c:v>2.6711715648206624E-2</c:v>
                </c:pt>
                <c:pt idx="745">
                  <c:v>2.6728476532169865E-2</c:v>
                </c:pt>
                <c:pt idx="746">
                  <c:v>2.6745578765095909E-2</c:v>
                </c:pt>
                <c:pt idx="747">
                  <c:v>2.676238721198404E-2</c:v>
                </c:pt>
                <c:pt idx="748">
                  <c:v>2.6784231538647549E-2</c:v>
                </c:pt>
                <c:pt idx="749">
                  <c:v>2.6799059460001346E-2</c:v>
                </c:pt>
                <c:pt idx="750">
                  <c:v>2.6814225520232493E-2</c:v>
                </c:pt>
                <c:pt idx="751">
                  <c:v>2.6834028372339253E-2</c:v>
                </c:pt>
                <c:pt idx="752">
                  <c:v>2.6849432591705691E-2</c:v>
                </c:pt>
                <c:pt idx="753">
                  <c:v>2.687773107164923E-2</c:v>
                </c:pt>
                <c:pt idx="754">
                  <c:v>2.688543361428649E-2</c:v>
                </c:pt>
                <c:pt idx="755">
                  <c:v>2.6903498808127979E-2</c:v>
                </c:pt>
                <c:pt idx="756">
                  <c:v>2.6924011150144533E-2</c:v>
                </c:pt>
                <c:pt idx="757">
                  <c:v>2.6940018094174789E-2</c:v>
                </c:pt>
                <c:pt idx="758">
                  <c:v>2.6951462616510317E-2</c:v>
                </c:pt>
                <c:pt idx="759">
                  <c:v>2.6970014401284419E-2</c:v>
                </c:pt>
                <c:pt idx="760">
                  <c:v>2.6988695788984059E-2</c:v>
                </c:pt>
                <c:pt idx="761">
                  <c:v>2.700750678017164E-2</c:v>
                </c:pt>
                <c:pt idx="762">
                  <c:v>2.7033584911748676E-2</c:v>
                </c:pt>
                <c:pt idx="763">
                  <c:v>2.7052687183531109E-2</c:v>
                </c:pt>
                <c:pt idx="764">
                  <c:v>2.7074321945140256E-2</c:v>
                </c:pt>
                <c:pt idx="765">
                  <c:v>2.7091280640449106E-2</c:v>
                </c:pt>
                <c:pt idx="766">
                  <c:v>2.7113196121051064E-2</c:v>
                </c:pt>
                <c:pt idx="767">
                  <c:v>2.7130392652800539E-2</c:v>
                </c:pt>
                <c:pt idx="768">
                  <c:v>2.7159036527804048E-2</c:v>
                </c:pt>
                <c:pt idx="769">
                  <c:v>2.7170023225819923E-2</c:v>
                </c:pt>
                <c:pt idx="770">
                  <c:v>2.7192500282751109E-2</c:v>
                </c:pt>
                <c:pt idx="771">
                  <c:v>2.7210161882491878E-2</c:v>
                </c:pt>
                <c:pt idx="772">
                  <c:v>2.7230334779388035E-2</c:v>
                </c:pt>
                <c:pt idx="773">
                  <c:v>2.725045184026709E-2</c:v>
                </c:pt>
                <c:pt idx="774">
                  <c:v>2.7270413191262451E-2</c:v>
                </c:pt>
                <c:pt idx="775">
                  <c:v>2.7292533120354401E-2</c:v>
                </c:pt>
                <c:pt idx="776">
                  <c:v>2.7309517794327793E-2</c:v>
                </c:pt>
                <c:pt idx="777">
                  <c:v>2.7328602662449776E-2</c:v>
                </c:pt>
                <c:pt idx="778">
                  <c:v>2.7347374870944539E-2</c:v>
                </c:pt>
                <c:pt idx="779">
                  <c:v>2.7365834418298454E-2</c:v>
                </c:pt>
                <c:pt idx="780">
                  <c:v>2.7383981303023677E-2</c:v>
                </c:pt>
                <c:pt idx="781">
                  <c:v>2.7401815523658155E-2</c:v>
                </c:pt>
                <c:pt idx="782">
                  <c:v>2.7419337078760455E-2</c:v>
                </c:pt>
                <c:pt idx="783">
                  <c:v>2.7441034658740291E-2</c:v>
                </c:pt>
                <c:pt idx="784">
                  <c:v>2.7455666429895276E-2</c:v>
                </c:pt>
                <c:pt idx="785">
                  <c:v>2.7470025736913869E-2</c:v>
                </c:pt>
                <c:pt idx="786">
                  <c:v>2.7486296616037905E-2</c:v>
                </c:pt>
                <c:pt idx="787">
                  <c:v>2.7502254822824885E-2</c:v>
                </c:pt>
                <c:pt idx="788">
                  <c:v>2.7517900355993257E-2</c:v>
                </c:pt>
                <c:pt idx="789">
                  <c:v>2.7535351866794233E-2</c:v>
                </c:pt>
                <c:pt idx="790">
                  <c:v>2.7548253396440781E-2</c:v>
                </c:pt>
                <c:pt idx="791">
                  <c:v>2.7562960901275437E-2</c:v>
                </c:pt>
                <c:pt idx="792">
                  <c:v>2.7577355727594757E-2</c:v>
                </c:pt>
                <c:pt idx="793">
                  <c:v>2.7591437874243532E-2</c:v>
                </c:pt>
                <c:pt idx="794">
                  <c:v>2.7605207340082028E-2</c:v>
                </c:pt>
                <c:pt idx="795">
                  <c:v>2.7618664123998885E-2</c:v>
                </c:pt>
                <c:pt idx="796">
                  <c:v>2.7631808224913665E-2</c:v>
                </c:pt>
                <c:pt idx="797">
                  <c:v>2.7644639641766579E-2</c:v>
                </c:pt>
                <c:pt idx="798">
                  <c:v>2.7660507934974099E-2</c:v>
                </c:pt>
                <c:pt idx="799">
                  <c:v>2.7669364419171383E-2</c:v>
                </c:pt>
                <c:pt idx="800">
                  <c:v>2.768502441752025E-2</c:v>
                </c:pt>
                <c:pt idx="801">
                  <c:v>2.7694701294624646E-2</c:v>
                </c:pt>
                <c:pt idx="802">
                  <c:v>2.7704106429779121E-2</c:v>
                </c:pt>
                <c:pt idx="803">
                  <c:v>2.7716881602624921E-2</c:v>
                </c:pt>
                <c:pt idx="804">
                  <c:v>2.7725704322298712E-2</c:v>
                </c:pt>
                <c:pt idx="805">
                  <c:v>2.7737811052423178E-2</c:v>
                </c:pt>
                <c:pt idx="806">
                  <c:v>2.7746051448321481E-2</c:v>
                </c:pt>
                <c:pt idx="807">
                  <c:v>2.7755755971831431E-2</c:v>
                </c:pt>
                <c:pt idx="808">
                  <c:v>2.7766859852865755E-2</c:v>
                </c:pt>
                <c:pt idx="809">
                  <c:v>2.7774226935944498E-2</c:v>
                </c:pt>
                <c:pt idx="810">
                  <c:v>2.7777975240132084E-2</c:v>
                </c:pt>
                <c:pt idx="811">
                  <c:v>2.7786494019071486E-2</c:v>
                </c:pt>
                <c:pt idx="812">
                  <c:v>2.7794700172967892E-2</c:v>
                </c:pt>
                <c:pt idx="813">
                  <c:v>2.7802593701218927E-2</c:v>
                </c:pt>
                <c:pt idx="814">
                  <c:v>2.7814932162359831E-2</c:v>
                </c:pt>
                <c:pt idx="815">
                  <c:v>2.7823695199180043E-2</c:v>
                </c:pt>
                <c:pt idx="816">
                  <c:v>2.7829025365599086E-2</c:v>
                </c:pt>
                <c:pt idx="817">
                  <c:v>2.7835602917562825E-2</c:v>
                </c:pt>
                <c:pt idx="818">
                  <c:v>2.7837371938491833E-2</c:v>
                </c:pt>
                <c:pt idx="819">
                  <c:v>2.7849618532646225E-2</c:v>
                </c:pt>
                <c:pt idx="820">
                  <c:v>2.7853459368543897E-2</c:v>
                </c:pt>
                <c:pt idx="821">
                  <c:v>2.7858786115636344E-2</c:v>
                </c:pt>
                <c:pt idx="822">
                  <c:v>2.786661207116126E-2</c:v>
                </c:pt>
                <c:pt idx="823">
                  <c:v>2.7868512728575937E-2</c:v>
                </c:pt>
                <c:pt idx="824">
                  <c:v>2.7873004326482449E-2</c:v>
                </c:pt>
                <c:pt idx="825">
                  <c:v>2.7877381862908699E-2</c:v>
                </c:pt>
                <c:pt idx="826">
                  <c:v>2.7881752298810913E-2</c:v>
                </c:pt>
                <c:pt idx="827">
                  <c:v>2.7886221192019948E-2</c:v>
                </c:pt>
                <c:pt idx="828">
                  <c:v>2.789084774031023E-2</c:v>
                </c:pt>
                <c:pt idx="829">
                  <c:v>2.7895635270158918E-2</c:v>
                </c:pt>
                <c:pt idx="830">
                  <c:v>2.7900583781769722E-2</c:v>
                </c:pt>
                <c:pt idx="831">
                  <c:v>2.7905693275346345E-2</c:v>
                </c:pt>
                <c:pt idx="832">
                  <c:v>2.791096375109766E-2</c:v>
                </c:pt>
                <c:pt idx="833">
                  <c:v>2.7916395209247997E-2</c:v>
                </c:pt>
                <c:pt idx="834">
                  <c:v>2.7921987650016536E-2</c:v>
                </c:pt>
                <c:pt idx="835">
                  <c:v>2.7929249286083591E-2</c:v>
                </c:pt>
                <c:pt idx="836">
                  <c:v>2.7935175650840027E-2</c:v>
                </c:pt>
                <c:pt idx="837">
                  <c:v>2.7939730870408831E-2</c:v>
                </c:pt>
                <c:pt idx="838">
                  <c:v>2.7945967244050848E-2</c:v>
                </c:pt>
                <c:pt idx="839">
                  <c:v>2.795236460154105E-2</c:v>
                </c:pt>
                <c:pt idx="840">
                  <c:v>2.7958922943147613E-2</c:v>
                </c:pt>
                <c:pt idx="841">
                  <c:v>2.7967222418929238E-2</c:v>
                </c:pt>
                <c:pt idx="842">
                  <c:v>2.7972522579790243E-2</c:v>
                </c:pt>
                <c:pt idx="843">
                  <c:v>2.7979563875396182E-2</c:v>
                </c:pt>
                <c:pt idx="844">
                  <c:v>2.7988382445227888E-2</c:v>
                </c:pt>
                <c:pt idx="845">
                  <c:v>2.7994129422629032E-2</c:v>
                </c:pt>
                <c:pt idx="846">
                  <c:v>2.8001653674859336E-2</c:v>
                </c:pt>
                <c:pt idx="847">
                  <c:v>2.800933891325082E-2</c:v>
                </c:pt>
                <c:pt idx="848">
                  <c:v>2.8017185138123221E-2</c:v>
                </c:pt>
                <c:pt idx="849">
                  <c:v>2.8025192349793709E-2</c:v>
                </c:pt>
                <c:pt idx="850">
                  <c:v>2.8035217618098685E-2</c:v>
                </c:pt>
                <c:pt idx="851">
                  <c:v>2.8041689734880117E-2</c:v>
                </c:pt>
                <c:pt idx="852">
                  <c:v>2.805360759456154E-2</c:v>
                </c:pt>
                <c:pt idx="853">
                  <c:v>2.8060556463175013E-2</c:v>
                </c:pt>
                <c:pt idx="854">
                  <c:v>2.8067643222056269E-2</c:v>
                </c:pt>
                <c:pt idx="855">
                  <c:v>2.8078366138951649E-2</c:v>
                </c:pt>
                <c:pt idx="856">
                  <c:v>2.8085750490721383E-2</c:v>
                </c:pt>
                <c:pt idx="857">
                  <c:v>2.8098595294754541E-2</c:v>
                </c:pt>
                <c:pt idx="858">
                  <c:v>2.8104501717983912E-2</c:v>
                </c:pt>
                <c:pt idx="859">
                  <c:v>2.8114118817054563E-2</c:v>
                </c:pt>
                <c:pt idx="860">
                  <c:v>2.8125707871505812E-2</c:v>
                </c:pt>
                <c:pt idx="861">
                  <c:v>2.8133835988080776E-2</c:v>
                </c:pt>
                <c:pt idx="862">
                  <c:v>2.8143936060848591E-2</c:v>
                </c:pt>
                <c:pt idx="863">
                  <c:v>2.8154197125682536E-2</c:v>
                </c:pt>
                <c:pt idx="864">
                  <c:v>2.8164619183000342E-2</c:v>
                </c:pt>
                <c:pt idx="865">
                  <c:v>2.8175202233235209E-2</c:v>
                </c:pt>
                <c:pt idx="866">
                  <c:v>2.8187831090822069E-2</c:v>
                </c:pt>
                <c:pt idx="867">
                  <c:v>2.8196851314230196E-2</c:v>
                </c:pt>
                <c:pt idx="868">
                  <c:v>2.8207917345890239E-2</c:v>
                </c:pt>
                <c:pt idx="869">
                  <c:v>2.8219144372262039E-2</c:v>
                </c:pt>
                <c:pt idx="870">
                  <c:v>2.8235172009207332E-2</c:v>
                </c:pt>
                <c:pt idx="871">
                  <c:v>2.8244028122160481E-2</c:v>
                </c:pt>
                <c:pt idx="872">
                  <c:v>2.8253791424366778E-2</c:v>
                </c:pt>
                <c:pt idx="873">
                  <c:v>2.8265662434327612E-2</c:v>
                </c:pt>
                <c:pt idx="874">
                  <c:v>2.8279678447007683E-2</c:v>
                </c:pt>
                <c:pt idx="875">
                  <c:v>2.8289881418920915E-2</c:v>
                </c:pt>
                <c:pt idx="876">
                  <c:v>2.8302180144767684E-2</c:v>
                </c:pt>
                <c:pt idx="877">
                  <c:v>2.8314533221620728E-2</c:v>
                </c:pt>
                <c:pt idx="878">
                  <c:v>2.8326883224006644E-2</c:v>
                </c:pt>
                <c:pt idx="879">
                  <c:v>2.8333218684297404E-2</c:v>
                </c:pt>
                <c:pt idx="880">
                  <c:v>2.8351372205974078E-2</c:v>
                </c:pt>
                <c:pt idx="881">
                  <c:v>2.8363477616954798E-2</c:v>
                </c:pt>
                <c:pt idx="882">
                  <c:v>2.8375489712268068E-2</c:v>
                </c:pt>
                <c:pt idx="883">
                  <c:v>2.8391330417948495E-2</c:v>
                </c:pt>
                <c:pt idx="884">
                  <c:v>2.8399233954739624E-2</c:v>
                </c:pt>
                <c:pt idx="885">
                  <c:v>2.8410966101325465E-2</c:v>
                </c:pt>
                <c:pt idx="886">
                  <c:v>2.8422604931101547E-2</c:v>
                </c:pt>
                <c:pt idx="887">
                  <c:v>2.8436088649157754E-2</c:v>
                </c:pt>
                <c:pt idx="888">
                  <c:v>2.8447535082084252E-2</c:v>
                </c:pt>
                <c:pt idx="889">
                  <c:v>2.845696151678118E-2</c:v>
                </c:pt>
                <c:pt idx="890">
                  <c:v>2.8468227076543649E-2</c:v>
                </c:pt>
                <c:pt idx="891">
                  <c:v>2.8479399318116817E-2</c:v>
                </c:pt>
                <c:pt idx="892">
                  <c:v>2.8490478241232506E-2</c:v>
                </c:pt>
                <c:pt idx="893">
                  <c:v>2.8501463845627701E-2</c:v>
                </c:pt>
                <c:pt idx="894">
                  <c:v>2.8514253851840698E-2</c:v>
                </c:pt>
                <c:pt idx="895">
                  <c:v>2.8523155097196818E-2</c:v>
                </c:pt>
                <c:pt idx="896">
                  <c:v>2.8533860743847287E-2</c:v>
                </c:pt>
                <c:pt idx="897">
                  <c:v>2.8544473070732934E-2</c:v>
                </c:pt>
                <c:pt idx="898">
                  <c:v>2.8556866508896162E-2</c:v>
                </c:pt>
                <c:pt idx="899">
                  <c:v>2.8565417764191234E-2</c:v>
                </c:pt>
                <c:pt idx="900">
                  <c:v>2.8575750130261063E-2</c:v>
                </c:pt>
                <c:pt idx="901">
                  <c:v>2.8585989175555271E-2</c:v>
                </c:pt>
                <c:pt idx="902">
                  <c:v>2.8596134899831465E-2</c:v>
                </c:pt>
                <c:pt idx="903">
                  <c:v>2.8606187302842107E-2</c:v>
                </c:pt>
                <c:pt idx="904">
                  <c:v>2.8616146384349964E-2</c:v>
                </c:pt>
                <c:pt idx="905">
                  <c:v>2.8627845544814956E-2</c:v>
                </c:pt>
                <c:pt idx="906">
                  <c:v>2.8635784581895519E-2</c:v>
                </c:pt>
                <c:pt idx="907">
                  <c:v>2.8645463697461335E-2</c:v>
                </c:pt>
                <c:pt idx="908">
                  <c:v>2.865686519945676E-2</c:v>
                </c:pt>
                <c:pt idx="909">
                  <c:v>2.8669924329762928E-2</c:v>
                </c:pt>
                <c:pt idx="910">
                  <c:v>2.867927014980853E-2</c:v>
                </c:pt>
                <c:pt idx="911">
                  <c:v>2.8688522646595334E-2</c:v>
                </c:pt>
                <c:pt idx="912">
                  <c:v>2.8697681819898999E-2</c:v>
                </c:pt>
                <c:pt idx="913">
                  <c:v>2.8706747669490038E-2</c:v>
                </c:pt>
                <c:pt idx="914">
                  <c:v>2.8710387168484935E-2</c:v>
                </c:pt>
                <c:pt idx="915">
                  <c:v>2.8719284241214917E-2</c:v>
                </c:pt>
                <c:pt idx="916">
                  <c:v>2.8728088011290724E-2</c:v>
                </c:pt>
                <c:pt idx="917">
                  <c:v>2.8736798478523933E-2</c:v>
                </c:pt>
                <c:pt idx="918">
                  <c:v>2.8750677054334643E-2</c:v>
                </c:pt>
                <c:pt idx="919">
                  <c:v>2.875918295719412E-2</c:v>
                </c:pt>
                <c:pt idx="920">
                  <c:v>2.8774556124138023E-2</c:v>
                </c:pt>
                <c:pt idx="921">
                  <c:v>2.877591478716468E-2</c:v>
                </c:pt>
                <c:pt idx="922">
                  <c:v>2.8782411378696082E-2</c:v>
                </c:pt>
                <c:pt idx="923">
                  <c:v>2.8790549995721726E-2</c:v>
                </c:pt>
                <c:pt idx="924">
                  <c:v>2.8798595294055929E-2</c:v>
                </c:pt>
                <c:pt idx="925">
                  <c:v>2.8813929295891005E-2</c:v>
                </c:pt>
                <c:pt idx="926">
                  <c:v>2.8820040458813756E-2</c:v>
                </c:pt>
                <c:pt idx="927">
                  <c:v>2.882776470736953E-2</c:v>
                </c:pt>
                <c:pt idx="928">
                  <c:v>2.883539048463668E-2</c:v>
                </c:pt>
                <c:pt idx="929">
                  <c:v>2.8842914793729968E-2</c:v>
                </c:pt>
                <c:pt idx="930">
                  <c:v>2.8850334639207997E-2</c:v>
                </c:pt>
                <c:pt idx="931">
                  <c:v>2.8857647765337668E-2</c:v>
                </c:pt>
                <c:pt idx="932">
                  <c:v>2.886485385738824E-2</c:v>
                </c:pt>
                <c:pt idx="933">
                  <c:v>2.8871952915154875E-2</c:v>
                </c:pt>
                <c:pt idx="934">
                  <c:v>2.8878944938440232E-2</c:v>
                </c:pt>
                <c:pt idx="935">
                  <c:v>2.8885829927036977E-2</c:v>
                </c:pt>
                <c:pt idx="936">
                  <c:v>2.8892607880755261E-2</c:v>
                </c:pt>
                <c:pt idx="937">
                  <c:v>2.8899278799400241E-2</c:v>
                </c:pt>
                <c:pt idx="938">
                  <c:v>2.8907461077696667E-2</c:v>
                </c:pt>
                <c:pt idx="939">
                  <c:v>2.890746216907903E-2</c:v>
                </c:pt>
                <c:pt idx="940">
                  <c:v>2.8918649343006864E-2</c:v>
                </c:pt>
                <c:pt idx="941">
                  <c:v>2.8924892119487622E-2</c:v>
                </c:pt>
                <c:pt idx="942">
                  <c:v>2.8931027859978309E-2</c:v>
                </c:pt>
                <c:pt idx="943">
                  <c:v>2.8937056564301566E-2</c:v>
                </c:pt>
                <c:pt idx="944">
                  <c:v>2.8942978232285033E-2</c:v>
                </c:pt>
                <c:pt idx="945">
                  <c:v>2.8950361183283396E-2</c:v>
                </c:pt>
                <c:pt idx="946">
                  <c:v>2.8954500458563126E-2</c:v>
                </c:pt>
                <c:pt idx="947">
                  <c:v>2.8960101016528017E-2</c:v>
                </c:pt>
                <c:pt idx="948">
                  <c:v>2.896559453749864E-2</c:v>
                </c:pt>
                <c:pt idx="949">
                  <c:v>2.8970981021320119E-2</c:v>
                </c:pt>
                <c:pt idx="950">
                  <c:v>2.8976260467837578E-2</c:v>
                </c:pt>
                <c:pt idx="951">
                  <c:v>2.898143287689614E-2</c:v>
                </c:pt>
                <c:pt idx="952">
                  <c:v>2.8981941114534147E-2</c:v>
                </c:pt>
                <c:pt idx="953">
                  <c:v>2.8991456582067032E-2</c:v>
                </c:pt>
                <c:pt idx="954">
                  <c:v>2.8996307877892091E-2</c:v>
                </c:pt>
                <c:pt idx="955">
                  <c:v>2.900105213568871E-2</c:v>
                </c:pt>
                <c:pt idx="956">
                  <c:v>2.900783082365602E-2</c:v>
                </c:pt>
                <c:pt idx="957">
                  <c:v>2.9010219536669546E-2</c:v>
                </c:pt>
                <c:pt idx="958">
                  <c:v>2.9014642679593972E-2</c:v>
                </c:pt>
                <c:pt idx="959">
                  <c:v>2.9020425699261505E-2</c:v>
                </c:pt>
                <c:pt idx="960">
                  <c:v>2.9024068924163871E-2</c:v>
                </c:pt>
                <c:pt idx="961">
                  <c:v>2.9026395276472081E-2</c:v>
                </c:pt>
                <c:pt idx="962">
                  <c:v>2.9031264864589901E-2</c:v>
                </c:pt>
                <c:pt idx="963">
                  <c:v>2.9036590447974416E-2</c:v>
                </c:pt>
                <c:pt idx="964">
                  <c:v>2.9038933723427862E-2</c:v>
                </c:pt>
                <c:pt idx="965">
                  <c:v>2.903833502016219E-2</c:v>
                </c:pt>
                <c:pt idx="966">
                  <c:v>2.9040505835296049E-2</c:v>
                </c:pt>
                <c:pt idx="967">
                  <c:v>2.9043995084973809E-2</c:v>
                </c:pt>
                <c:pt idx="968">
                  <c:v>2.9047377329501117E-2</c:v>
                </c:pt>
                <c:pt idx="969">
                  <c:v>2.9050652568795181E-2</c:v>
                </c:pt>
                <c:pt idx="970">
                  <c:v>2.9060757416984634E-2</c:v>
                </c:pt>
                <c:pt idx="971">
                  <c:v>2.906240298805457E-2</c:v>
                </c:pt>
                <c:pt idx="972">
                  <c:v>2.9065327581232203E-2</c:v>
                </c:pt>
                <c:pt idx="973">
                  <c:v>2.9068145134422962E-2</c:v>
                </c:pt>
                <c:pt idx="974">
                  <c:v>2.9072212050282271E-2</c:v>
                </c:pt>
                <c:pt idx="975">
                  <c:v>2.9073459120511624E-2</c:v>
                </c:pt>
                <c:pt idx="976">
                  <c:v>2.9075955553257149E-2</c:v>
                </c:pt>
                <c:pt idx="977">
                  <c:v>2.9079679013504552E-2</c:v>
                </c:pt>
                <c:pt idx="978">
                  <c:v>2.90766436400633E-2</c:v>
                </c:pt>
                <c:pt idx="979">
                  <c:v>2.9082802609469161E-2</c:v>
                </c:pt>
                <c:pt idx="980">
                  <c:v>2.9084870880645985E-2</c:v>
                </c:pt>
                <c:pt idx="981">
                  <c:v>2.9086832111278882E-2</c:v>
                </c:pt>
                <c:pt idx="982">
                  <c:v>2.90886863013054E-2</c:v>
                </c:pt>
                <c:pt idx="983">
                  <c:v>2.9090433450675579E-2</c:v>
                </c:pt>
                <c:pt idx="984">
                  <c:v>2.9092073559341958E-2</c:v>
                </c:pt>
                <c:pt idx="985">
                  <c:v>2.9093606627257074E-2</c:v>
                </c:pt>
                <c:pt idx="986">
                  <c:v>2.9095032654373465E-2</c:v>
                </c:pt>
                <c:pt idx="987">
                  <c:v>2.9096351640653662E-2</c:v>
                </c:pt>
                <c:pt idx="988">
                  <c:v>2.9097563586060193E-2</c:v>
                </c:pt>
                <c:pt idx="989">
                  <c:v>2.9098668490558088E-2</c:v>
                </c:pt>
                <c:pt idx="990">
                  <c:v>2.9099666354114873E-2</c:v>
                </c:pt>
                <c:pt idx="991">
                  <c:v>2.9096866807193172E-2</c:v>
                </c:pt>
                <c:pt idx="992">
                  <c:v>2.9102562186189767E-2</c:v>
                </c:pt>
                <c:pt idx="993">
                  <c:v>2.9102017698881266E-2</c:v>
                </c:pt>
                <c:pt idx="994">
                  <c:v>2.9102587398426305E-2</c:v>
                </c:pt>
                <c:pt idx="995">
                  <c:v>2.9103050056917823E-2</c:v>
                </c:pt>
                <c:pt idx="996">
                  <c:v>2.9103405674345828E-2</c:v>
                </c:pt>
                <c:pt idx="997">
                  <c:v>2.9104837433319861E-2</c:v>
                </c:pt>
                <c:pt idx="998">
                  <c:v>2.9103795785968833E-2</c:v>
                </c:pt>
                <c:pt idx="999">
                  <c:v>2.9103830280151344E-2</c:v>
                </c:pt>
                <c:pt idx="1000">
                  <c:v>2.9103757733250357E-2</c:v>
                </c:pt>
                <c:pt idx="1001">
                  <c:v>2.9103578145260878E-2</c:v>
                </c:pt>
                <c:pt idx="1002">
                  <c:v>2.9103291516195395E-2</c:v>
                </c:pt>
                <c:pt idx="1003">
                  <c:v>2.910289784605391E-2</c:v>
                </c:pt>
                <c:pt idx="1004">
                  <c:v>2.9102397134853908E-2</c:v>
                </c:pt>
                <c:pt idx="1005">
                  <c:v>2.9101789382607879E-2</c:v>
                </c:pt>
                <c:pt idx="1006">
                  <c:v>2.9101074589335807E-2</c:v>
                </c:pt>
                <c:pt idx="1007">
                  <c:v>2.9100252755050182E-2</c:v>
                </c:pt>
                <c:pt idx="1008">
                  <c:v>2.9099182445276872E-2</c:v>
                </c:pt>
                <c:pt idx="1009">
                  <c:v>2.909828796355568E-2</c:v>
                </c:pt>
                <c:pt idx="1010">
                  <c:v>2.9097145006399261E-2</c:v>
                </c:pt>
                <c:pt idx="1011">
                  <c:v>2.90969705148965E-2</c:v>
                </c:pt>
                <c:pt idx="1012">
                  <c:v>2.9094537969430456E-2</c:v>
                </c:pt>
                <c:pt idx="1013">
                  <c:v>2.90898898318371E-2</c:v>
                </c:pt>
                <c:pt idx="1014">
                  <c:v>2.9091502769174327E-2</c:v>
                </c:pt>
                <c:pt idx="1015">
                  <c:v>2.9090869038973208E-2</c:v>
                </c:pt>
                <c:pt idx="1016">
                  <c:v>2.9088039405980592E-2</c:v>
                </c:pt>
                <c:pt idx="1017">
                  <c:v>2.9083056509272755E-2</c:v>
                </c:pt>
                <c:pt idx="1018">
                  <c:v>2.908005685047042E-2</c:v>
                </c:pt>
                <c:pt idx="1019">
                  <c:v>2.9077981779583872E-2</c:v>
                </c:pt>
                <c:pt idx="1020">
                  <c:v>2.9075799702704686E-2</c:v>
                </c:pt>
                <c:pt idx="1021">
                  <c:v>2.9073510619881393E-2</c:v>
                </c:pt>
                <c:pt idx="1022">
                  <c:v>2.9075080342930437E-2</c:v>
                </c:pt>
                <c:pt idx="1023">
                  <c:v>2.9072545857763699E-2</c:v>
                </c:pt>
                <c:pt idx="1024">
                  <c:v>2.9069904332400254E-2</c:v>
                </c:pt>
                <c:pt idx="1025">
                  <c:v>2.9067155766915043E-2</c:v>
                </c:pt>
                <c:pt idx="1026">
                  <c:v>2.9065258423524237E-2</c:v>
                </c:pt>
                <c:pt idx="1027">
                  <c:v>2.9061337515901564E-2</c:v>
                </c:pt>
                <c:pt idx="1028">
                  <c:v>2.9058267830535667E-2</c:v>
                </c:pt>
                <c:pt idx="1029">
                  <c:v>2.9055091105380237E-2</c:v>
                </c:pt>
                <c:pt idx="1030">
                  <c:v>2.9049023104441879E-2</c:v>
                </c:pt>
                <c:pt idx="1031">
                  <c:v>2.9048431445901357E-2</c:v>
                </c:pt>
                <c:pt idx="1032">
                  <c:v>2.9044991944107978E-2</c:v>
                </c:pt>
                <c:pt idx="1033">
                  <c:v>2.9041519922193004E-2</c:v>
                </c:pt>
                <c:pt idx="1034">
                  <c:v>2.9038046064611411E-2</c:v>
                </c:pt>
                <c:pt idx="1035">
                  <c:v>2.9035524490613248E-2</c:v>
                </c:pt>
                <c:pt idx="1036">
                  <c:v>2.9031182823176238E-2</c:v>
                </c:pt>
                <c:pt idx="1037">
                  <c:v>2.9027801043282619E-2</c:v>
                </c:pt>
                <c:pt idx="1038">
                  <c:v>2.9024452495528541E-2</c:v>
                </c:pt>
                <c:pt idx="1039">
                  <c:v>2.9021137179891521E-2</c:v>
                </c:pt>
                <c:pt idx="1040">
                  <c:v>2.9017855096334089E-2</c:v>
                </c:pt>
                <c:pt idx="1041">
                  <c:v>2.9014606244833763E-2</c:v>
                </c:pt>
                <c:pt idx="1042">
                  <c:v>2.9011390625363065E-2</c:v>
                </c:pt>
                <c:pt idx="1043">
                  <c:v>2.9009151759811631E-2</c:v>
                </c:pt>
                <c:pt idx="1044">
                  <c:v>2.9006004724788752E-2</c:v>
                </c:pt>
                <c:pt idx="1045">
                  <c:v>2.9001943158818988E-2</c:v>
                </c:pt>
                <c:pt idx="1046">
                  <c:v>2.8998860467172038E-2</c:v>
                </c:pt>
                <c:pt idx="1047">
                  <c:v>2.8995811007412331E-2</c:v>
                </c:pt>
                <c:pt idx="1048">
                  <c:v>2.8992794779512387E-2</c:v>
                </c:pt>
                <c:pt idx="1049">
                  <c:v>2.8990768068723423E-2</c:v>
                </c:pt>
                <c:pt idx="1050">
                  <c:v>2.8986862019189374E-2</c:v>
                </c:pt>
                <c:pt idx="1051">
                  <c:v>2.8983945486711349E-2</c:v>
                </c:pt>
                <c:pt idx="1052">
                  <c:v>2.8978175611209828E-2</c:v>
                </c:pt>
                <c:pt idx="1053">
                  <c:v>2.8978212116997359E-2</c:v>
                </c:pt>
                <c:pt idx="1054">
                  <c:v>2.8975395279713934E-2</c:v>
                </c:pt>
                <c:pt idx="1055">
                  <c:v>2.8972611674107918E-2</c:v>
                </c:pt>
                <c:pt idx="1056">
                  <c:v>2.8969861300159327E-2</c:v>
                </c:pt>
                <c:pt idx="1057">
                  <c:v>2.8967144157838187E-2</c:v>
                </c:pt>
                <c:pt idx="1058">
                  <c:v>2.8963103881544501E-2</c:v>
                </c:pt>
                <c:pt idx="1059">
                  <c:v>2.8961809567995822E-2</c:v>
                </c:pt>
                <c:pt idx="1060">
                  <c:v>2.8959801158068291E-2</c:v>
                </c:pt>
                <c:pt idx="1061">
                  <c:v>2.8957590007295506E-2</c:v>
                </c:pt>
                <c:pt idx="1062">
                  <c:v>2.8954056919879845E-2</c:v>
                </c:pt>
                <c:pt idx="1063">
                  <c:v>2.8952525610330685E-2</c:v>
                </c:pt>
                <c:pt idx="1064">
                  <c:v>2.8949054645295291E-2</c:v>
                </c:pt>
                <c:pt idx="1065">
                  <c:v>2.8943880688960952E-2</c:v>
                </c:pt>
                <c:pt idx="1066">
                  <c:v>2.8942849547339833E-2</c:v>
                </c:pt>
                <c:pt idx="1067">
                  <c:v>2.8940467285019519E-2</c:v>
                </c:pt>
                <c:pt idx="1068">
                  <c:v>2.8939115643818458E-2</c:v>
                </c:pt>
                <c:pt idx="1069">
                  <c:v>2.8935802446449901E-2</c:v>
                </c:pt>
                <c:pt idx="1070">
                  <c:v>2.8933519870164497E-2</c:v>
                </c:pt>
                <c:pt idx="1071">
                  <c:v>2.8931270522514423E-2</c:v>
                </c:pt>
                <c:pt idx="1072">
                  <c:v>2.8929054403484204E-2</c:v>
                </c:pt>
                <c:pt idx="1073">
                  <c:v>2.8926871513058366E-2</c:v>
                </c:pt>
                <c:pt idx="1074">
                  <c:v>2.8924721851208549E-2</c:v>
                </c:pt>
                <c:pt idx="1075">
                  <c:v>2.8922605417927016E-2</c:v>
                </c:pt>
                <c:pt idx="1076">
                  <c:v>2.8921537182609314E-2</c:v>
                </c:pt>
                <c:pt idx="1077">
                  <c:v>2.8918472236978552E-2</c:v>
                </c:pt>
                <c:pt idx="1078">
                  <c:v>2.8913398910553414E-2</c:v>
                </c:pt>
                <c:pt idx="1079">
                  <c:v>2.8914471970065997E-2</c:v>
                </c:pt>
                <c:pt idx="1080">
                  <c:v>2.8910397322456483E-2</c:v>
                </c:pt>
                <c:pt idx="1081">
                  <c:v>2.8910604617060416E-2</c:v>
                </c:pt>
                <c:pt idx="1082">
                  <c:v>2.8910777579455947E-2</c:v>
                </c:pt>
                <c:pt idx="1083">
                  <c:v>2.890687017782257E-2</c:v>
                </c:pt>
                <c:pt idx="1084">
                  <c:v>2.890505280082787E-2</c:v>
                </c:pt>
                <c:pt idx="1085">
                  <c:v>2.8903268652226109E-2</c:v>
                </c:pt>
                <c:pt idx="1086">
                  <c:v>2.8901517732006974E-2</c:v>
                </c:pt>
                <c:pt idx="1087">
                  <c:v>2.8899800040149835E-2</c:v>
                </c:pt>
                <c:pt idx="1088">
                  <c:v>2.8898115576641802E-2</c:v>
                </c:pt>
                <c:pt idx="1089">
                  <c:v>2.8896464341472559E-2</c:v>
                </c:pt>
                <c:pt idx="1090">
                  <c:v>2.8894846334621478E-2</c:v>
                </c:pt>
                <c:pt idx="1091">
                  <c:v>2.8893261556078246E-2</c:v>
                </c:pt>
                <c:pt idx="1092">
                  <c:v>2.8891710005827385E-2</c:v>
                </c:pt>
                <c:pt idx="1093">
                  <c:v>2.8890191683861168E-2</c:v>
                </c:pt>
                <c:pt idx="1094">
                  <c:v>2.8888706590161538E-2</c:v>
                </c:pt>
                <c:pt idx="1095">
                  <c:v>2.888831212562365E-2</c:v>
                </c:pt>
                <c:pt idx="1096">
                  <c:v>2.8886895748360675E-2</c:v>
                </c:pt>
                <c:pt idx="1097">
                  <c:v>2.8884450678538419E-2</c:v>
                </c:pt>
                <c:pt idx="1098">
                  <c:v>2.8883098497786537E-2</c:v>
                </c:pt>
                <c:pt idx="1099">
                  <c:v>2.8881779545239357E-2</c:v>
                </c:pt>
                <c:pt idx="1100">
                  <c:v>2.8880493820886564E-2</c:v>
                </c:pt>
                <c:pt idx="1101">
                  <c:v>2.888031232527899E-2</c:v>
                </c:pt>
                <c:pt idx="1102">
                  <c:v>2.8878022056725475E-2</c:v>
                </c:pt>
                <c:pt idx="1103">
                  <c:v>2.8876836016893965E-2</c:v>
                </c:pt>
                <c:pt idx="1104">
                  <c:v>2.8876761041594368E-2</c:v>
                </c:pt>
                <c:pt idx="1105">
                  <c:v>2.8874563621682611E-2</c:v>
                </c:pt>
                <c:pt idx="1106">
                  <c:v>2.8873477266284715E-2</c:v>
                </c:pt>
                <c:pt idx="1107">
                  <c:v>2.8872424139009006E-2</c:v>
                </c:pt>
                <c:pt idx="1108">
                  <c:v>2.887140423985033E-2</c:v>
                </c:pt>
                <c:pt idx="1109">
                  <c:v>2.8870417568795794E-2</c:v>
                </c:pt>
                <c:pt idx="1110">
                  <c:v>2.8867973391520252E-2</c:v>
                </c:pt>
                <c:pt idx="1111">
                  <c:v>2.886854391097593E-2</c:v>
                </c:pt>
                <c:pt idx="1112">
                  <c:v>2.8869849567293542E-2</c:v>
                </c:pt>
                <c:pt idx="1113">
                  <c:v>2.8867901653193972E-2</c:v>
                </c:pt>
                <c:pt idx="1114">
                  <c:v>2.8865982634847968E-2</c:v>
                </c:pt>
                <c:pt idx="1115">
                  <c:v>2.8866298438453009E-2</c:v>
                </c:pt>
                <c:pt idx="1116">
                  <c:v>2.8864441257739439E-2</c:v>
                </c:pt>
                <c:pt idx="1117">
                  <c:v>2.886593616194346E-2</c:v>
                </c:pt>
                <c:pt idx="1118">
                  <c:v>2.8863032792820549E-2</c:v>
                </c:pt>
                <c:pt idx="1119">
                  <c:v>2.8862378402418037E-2</c:v>
                </c:pt>
                <c:pt idx="1120">
                  <c:v>2.8862871939011325E-2</c:v>
                </c:pt>
                <c:pt idx="1121">
                  <c:v>2.8861169305693362E-2</c:v>
                </c:pt>
                <c:pt idx="1122">
                  <c:v>2.8857258226272022E-2</c:v>
                </c:pt>
                <c:pt idx="1123">
                  <c:v>2.8856729754625578E-2</c:v>
                </c:pt>
                <c:pt idx="1124">
                  <c:v>2.8856234503003009E-2</c:v>
                </c:pt>
                <c:pt idx="1125">
                  <c:v>2.8855772471410024E-2</c:v>
                </c:pt>
                <c:pt idx="1126">
                  <c:v>2.8859856752273538E-2</c:v>
                </c:pt>
                <c:pt idx="1127">
                  <c:v>2.8858339487837191E-2</c:v>
                </c:pt>
                <c:pt idx="1128">
                  <c:v>2.8857984149531314E-2</c:v>
                </c:pt>
                <c:pt idx="1129">
                  <c:v>2.8857662039216119E-2</c:v>
                </c:pt>
                <c:pt idx="1130">
                  <c:v>2.885608385662497E-2</c:v>
                </c:pt>
                <c:pt idx="1131">
                  <c:v>2.8858257939828602E-2</c:v>
                </c:pt>
                <c:pt idx="1132">
                  <c:v>2.8856895076199152E-2</c:v>
                </c:pt>
                <c:pt idx="1133">
                  <c:v>2.8856705877826055E-2</c:v>
                </c:pt>
                <c:pt idx="1134">
                  <c:v>2.8857697420120454E-2</c:v>
                </c:pt>
                <c:pt idx="1135">
                  <c:v>2.885642716502354E-2</c:v>
                </c:pt>
                <c:pt idx="1136">
                  <c:v>2.8856337650588964E-2</c:v>
                </c:pt>
                <c:pt idx="1137">
                  <c:v>2.8856281364134758E-2</c:v>
                </c:pt>
                <c:pt idx="1138">
                  <c:v>2.8856258305658338E-2</c:v>
                </c:pt>
                <c:pt idx="1139">
                  <c:v>2.885626847515713E-2</c:v>
                </c:pt>
                <c:pt idx="1140">
                  <c:v>2.8856311872631133E-2</c:v>
                </c:pt>
                <c:pt idx="1141">
                  <c:v>2.88563884980855E-2</c:v>
                </c:pt>
                <c:pt idx="1142">
                  <c:v>2.885649835151766E-2</c:v>
                </c:pt>
                <c:pt idx="1143">
                  <c:v>2.8857810315493504E-2</c:v>
                </c:pt>
                <c:pt idx="1144">
                  <c:v>2.8856817742320497E-2</c:v>
                </c:pt>
                <c:pt idx="1145">
                  <c:v>2.8857027279693755E-2</c:v>
                </c:pt>
                <c:pt idx="1146">
                  <c:v>2.8857270045049961E-2</c:v>
                </c:pt>
                <c:pt idx="1147">
                  <c:v>2.8858724487853815E-2</c:v>
                </c:pt>
                <c:pt idx="1148">
                  <c:v>2.8859036107558855E-2</c:v>
                </c:pt>
                <c:pt idx="1149">
                  <c:v>2.8858197709042036E-2</c:v>
                </c:pt>
                <c:pt idx="1150">
                  <c:v>2.8858573386355807E-2</c:v>
                </c:pt>
                <c:pt idx="1151">
                  <c:v>2.8858982291668001E-2</c:v>
                </c:pt>
                <c:pt idx="1152">
                  <c:v>2.8855854780546673E-2</c:v>
                </c:pt>
                <c:pt idx="1153">
                  <c:v>2.8861092665924959E-2</c:v>
                </c:pt>
                <c:pt idx="1154">
                  <c:v>2.8860408375620861E-2</c:v>
                </c:pt>
                <c:pt idx="1155">
                  <c:v>2.8860950192957664E-2</c:v>
                </c:pt>
                <c:pt idx="1156">
                  <c:v>2.8863925794466123E-2</c:v>
                </c:pt>
                <c:pt idx="1157">
                  <c:v>2.8862133511688409E-2</c:v>
                </c:pt>
                <c:pt idx="1158">
                  <c:v>2.8863979991053945E-2</c:v>
                </c:pt>
                <c:pt idx="1159">
                  <c:v>2.8863449742526279E-2</c:v>
                </c:pt>
                <c:pt idx="1160">
                  <c:v>2.8864157700002148E-2</c:v>
                </c:pt>
                <c:pt idx="1161">
                  <c:v>2.8864898885522849E-2</c:v>
                </c:pt>
                <c:pt idx="1162">
                  <c:v>2.8865673299093536E-2</c:v>
                </c:pt>
                <c:pt idx="1163">
                  <c:v>2.8866480940721952E-2</c:v>
                </c:pt>
                <c:pt idx="1164">
                  <c:v>2.8867321810413248E-2</c:v>
                </c:pt>
                <c:pt idx="1165">
                  <c:v>2.8868195908177741E-2</c:v>
                </c:pt>
                <c:pt idx="1166">
                  <c:v>2.8869103234023162E-2</c:v>
                </c:pt>
                <c:pt idx="1167">
                  <c:v>2.8870043787954675E-2</c:v>
                </c:pt>
                <c:pt idx="1168">
                  <c:v>2.887224694432089E-2</c:v>
                </c:pt>
                <c:pt idx="1169">
                  <c:v>2.8872466327751829E-2</c:v>
                </c:pt>
                <c:pt idx="1170">
                  <c:v>2.8873520806612187E-2</c:v>
                </c:pt>
                <c:pt idx="1171">
                  <c:v>2.8874608513599891E-2</c:v>
                </c:pt>
                <c:pt idx="1172">
                  <c:v>2.8875892294815419E-2</c:v>
                </c:pt>
                <c:pt idx="1173">
                  <c:v>2.8876883611988282E-2</c:v>
                </c:pt>
                <c:pt idx="1174">
                  <c:v>2.8874337219426036E-2</c:v>
                </c:pt>
                <c:pt idx="1175">
                  <c:v>2.887555042705468E-2</c:v>
                </c:pt>
                <c:pt idx="1176">
                  <c:v>2.8876977627820821E-2</c:v>
                </c:pt>
                <c:pt idx="1177">
                  <c:v>2.8878076502837517E-2</c:v>
                </c:pt>
                <c:pt idx="1178">
                  <c:v>2.888315285083505E-2</c:v>
                </c:pt>
                <c:pt idx="1179">
                  <c:v>2.8884506383181897E-2</c:v>
                </c:pt>
                <c:pt idx="1180">
                  <c:v>2.8885893143746344E-2</c:v>
                </c:pt>
                <c:pt idx="1181">
                  <c:v>2.8887313132541281E-2</c:v>
                </c:pt>
                <c:pt idx="1182">
                  <c:v>2.8887501610042499E-2</c:v>
                </c:pt>
                <c:pt idx="1183">
                  <c:v>2.8888985562944391E-2</c:v>
                </c:pt>
                <c:pt idx="1184">
                  <c:v>2.8890502741449886E-2</c:v>
                </c:pt>
                <c:pt idx="1185">
                  <c:v>2.889250222083195E-2</c:v>
                </c:pt>
                <c:pt idx="1186">
                  <c:v>2.8893636768093423E-2</c:v>
                </c:pt>
                <c:pt idx="1187">
                  <c:v>2.8896757932461499E-2</c:v>
                </c:pt>
                <c:pt idx="1188">
                  <c:v>2.889815487257863E-2</c:v>
                </c:pt>
                <c:pt idx="1189">
                  <c:v>2.8899784385637312E-2</c:v>
                </c:pt>
                <c:pt idx="1190">
                  <c:v>2.8901628776929908E-2</c:v>
                </c:pt>
                <c:pt idx="1191">
                  <c:v>2.8901718578727476E-2</c:v>
                </c:pt>
                <c:pt idx="1192">
                  <c:v>2.8903279057726827E-2</c:v>
                </c:pt>
                <c:pt idx="1193">
                  <c:v>2.890480918960403E-2</c:v>
                </c:pt>
                <c:pt idx="1194">
                  <c:v>2.8906308974343098E-2</c:v>
                </c:pt>
                <c:pt idx="1195">
                  <c:v>2.8909040383133511E-2</c:v>
                </c:pt>
                <c:pt idx="1196">
                  <c:v>2.8910477421165311E-2</c:v>
                </c:pt>
                <c:pt idx="1197">
                  <c:v>2.8911884109600723E-2</c:v>
                </c:pt>
                <c:pt idx="1198">
                  <c:v>2.8913260448421699E-2</c:v>
                </c:pt>
                <c:pt idx="1199">
                  <c:v>2.8914606437623086E-2</c:v>
                </c:pt>
                <c:pt idx="1200">
                  <c:v>2.8915922077191986E-2</c:v>
                </c:pt>
                <c:pt idx="1201">
                  <c:v>2.891720736711809E-2</c:v>
                </c:pt>
                <c:pt idx="1202">
                  <c:v>2.8918462307396236E-2</c:v>
                </c:pt>
                <c:pt idx="1203">
                  <c:v>2.8919859362002431E-2</c:v>
                </c:pt>
                <c:pt idx="1204">
                  <c:v>2.8919806151353811E-2</c:v>
                </c:pt>
                <c:pt idx="1205">
                  <c:v>2.8920803692392916E-2</c:v>
                </c:pt>
                <c:pt idx="1206">
                  <c:v>2.8921939310674993E-2</c:v>
                </c:pt>
                <c:pt idx="1207">
                  <c:v>2.8923044581688373E-2</c:v>
                </c:pt>
                <c:pt idx="1208">
                  <c:v>2.8925354605828863E-2</c:v>
                </c:pt>
                <c:pt idx="1209">
                  <c:v>2.8926397098277358E-2</c:v>
                </c:pt>
                <c:pt idx="1210">
                  <c:v>2.8927551355297645E-2</c:v>
                </c:pt>
                <c:pt idx="1211">
                  <c:v>2.8928391034003565E-2</c:v>
                </c:pt>
                <c:pt idx="1212">
                  <c:v>2.8930569093198744E-2</c:v>
                </c:pt>
                <c:pt idx="1213">
                  <c:v>2.8929038914739635E-2</c:v>
                </c:pt>
                <c:pt idx="1214">
                  <c:v>2.893005682590033E-2</c:v>
                </c:pt>
                <c:pt idx="1215">
                  <c:v>2.8930794247277625E-2</c:v>
                </c:pt>
                <c:pt idx="1216">
                  <c:v>2.8934062977750419E-2</c:v>
                </c:pt>
                <c:pt idx="1217">
                  <c:v>2.8933644447199636E-2</c:v>
                </c:pt>
                <c:pt idx="1218">
                  <c:v>2.8934413791872768E-2</c:v>
                </c:pt>
                <c:pt idx="1219">
                  <c:v>2.8935152786756121E-2</c:v>
                </c:pt>
                <c:pt idx="1220">
                  <c:v>2.8935861431849692E-2</c:v>
                </c:pt>
                <c:pt idx="1221">
                  <c:v>2.8936634148940005E-2</c:v>
                </c:pt>
                <c:pt idx="1222">
                  <c:v>2.8937277758748034E-2</c:v>
                </c:pt>
                <c:pt idx="1223">
                  <c:v>2.893789101874308E-2</c:v>
                </c:pt>
                <c:pt idx="1224">
                  <c:v>2.8938473928927715E-2</c:v>
                </c:pt>
                <c:pt idx="1225">
                  <c:v>2.8939026489291631E-2</c:v>
                </c:pt>
                <c:pt idx="1226">
                  <c:v>2.8935957547965772E-2</c:v>
                </c:pt>
                <c:pt idx="1227">
                  <c:v>2.8936455792194504E-2</c:v>
                </c:pt>
                <c:pt idx="1228">
                  <c:v>2.8936923693897602E-2</c:v>
                </c:pt>
                <c:pt idx="1229">
                  <c:v>2.8937361253080773E-2</c:v>
                </c:pt>
                <c:pt idx="1230">
                  <c:v>2.894133404370499E-2</c:v>
                </c:pt>
                <c:pt idx="1231">
                  <c:v>2.8946448087457149E-2</c:v>
                </c:pt>
                <c:pt idx="1232">
                  <c:v>2.8942044616611311E-2</c:v>
                </c:pt>
                <c:pt idx="1233">
                  <c:v>2.8942354378290843E-2</c:v>
                </c:pt>
                <c:pt idx="1234">
                  <c:v>2.8941453971804698E-2</c:v>
                </c:pt>
                <c:pt idx="1235">
                  <c:v>2.8941705181460442E-2</c:v>
                </c:pt>
                <c:pt idx="1236">
                  <c:v>2.8944333242499065E-2</c:v>
                </c:pt>
                <c:pt idx="1237">
                  <c:v>2.8945683247111637E-2</c:v>
                </c:pt>
                <c:pt idx="1238">
                  <c:v>2.8944657964803111E-2</c:v>
                </c:pt>
                <c:pt idx="1239">
                  <c:v>2.8944774797516615E-2</c:v>
                </c:pt>
                <c:pt idx="1240">
                  <c:v>2.8944861277931944E-2</c:v>
                </c:pt>
                <c:pt idx="1241">
                  <c:v>2.8944917406051596E-2</c:v>
                </c:pt>
                <c:pt idx="1242">
                  <c:v>2.8944943181873073E-2</c:v>
                </c:pt>
                <c:pt idx="1243">
                  <c:v>2.8944938605396375E-2</c:v>
                </c:pt>
                <c:pt idx="1244">
                  <c:v>2.8944903676626499E-2</c:v>
                </c:pt>
                <c:pt idx="1245">
                  <c:v>2.8944838395558448E-2</c:v>
                </c:pt>
                <c:pt idx="1246">
                  <c:v>2.894474276219472E-2</c:v>
                </c:pt>
                <c:pt idx="1247">
                  <c:v>2.8944616776535315E-2</c:v>
                </c:pt>
                <c:pt idx="1248">
                  <c:v>2.8944460438585229E-2</c:v>
                </c:pt>
                <c:pt idx="1249">
                  <c:v>2.8944273748336968E-2</c:v>
                </c:pt>
                <c:pt idx="1250">
                  <c:v>2.8945200950111723E-2</c:v>
                </c:pt>
                <c:pt idx="1251">
                  <c:v>2.894038225733718E-2</c:v>
                </c:pt>
                <c:pt idx="1252">
                  <c:v>2.8943531563855596E-2</c:v>
                </c:pt>
                <c:pt idx="1253">
                  <c:v>2.8943223464457102E-2</c:v>
                </c:pt>
                <c:pt idx="1254">
                  <c:v>2.8942885012770425E-2</c:v>
                </c:pt>
                <c:pt idx="1255">
                  <c:v>2.8942516208808056E-2</c:v>
                </c:pt>
                <c:pt idx="1256">
                  <c:v>2.8942117052564997E-2</c:v>
                </c:pt>
                <c:pt idx="1257">
                  <c:v>2.8942816420769256E-2</c:v>
                </c:pt>
                <c:pt idx="1258">
                  <c:v>2.8941227683264292E-2</c:v>
                </c:pt>
                <c:pt idx="1259">
                  <c:v>2.8940737470211642E-2</c:v>
                </c:pt>
                <c:pt idx="1260">
                  <c:v>2.8940216904895788E-2</c:v>
                </c:pt>
                <c:pt idx="1261">
                  <c:v>2.8939665987321728E-2</c:v>
                </c:pt>
                <c:pt idx="1262">
                  <c:v>2.8939084717494457E-2</c:v>
                </c:pt>
                <c:pt idx="1263">
                  <c:v>2.8938473095411477E-2</c:v>
                </c:pt>
                <c:pt idx="1264">
                  <c:v>2.8934490039597253E-2</c:v>
                </c:pt>
                <c:pt idx="1265">
                  <c:v>2.893715879452835E-2</c:v>
                </c:pt>
                <c:pt idx="1266">
                  <c:v>2.8936456115730702E-2</c:v>
                </c:pt>
                <c:pt idx="1267">
                  <c:v>2.8935723084704823E-2</c:v>
                </c:pt>
                <c:pt idx="1268">
                  <c:v>2.893595233675535E-2</c:v>
                </c:pt>
                <c:pt idx="1269">
                  <c:v>2.8934165965995851E-2</c:v>
                </c:pt>
                <c:pt idx="1270">
                  <c:v>2.8933341878320251E-2</c:v>
                </c:pt>
                <c:pt idx="1271">
                  <c:v>2.8933585221899708E-2</c:v>
                </c:pt>
                <c:pt idx="1272">
                  <c:v>2.8929989004680638E-2</c:v>
                </c:pt>
                <c:pt idx="1273">
                  <c:v>2.8929461152010675E-2</c:v>
                </c:pt>
                <c:pt idx="1274">
                  <c:v>2.8929742005662784E-2</c:v>
                </c:pt>
                <c:pt idx="1275">
                  <c:v>2.892985496907308E-2</c:v>
                </c:pt>
                <c:pt idx="1276">
                  <c:v>2.8927759956263177E-2</c:v>
                </c:pt>
                <c:pt idx="1277">
                  <c:v>2.8923469528370903E-2</c:v>
                </c:pt>
                <c:pt idx="1278">
                  <c:v>2.8922409382562523E-2</c:v>
                </c:pt>
                <c:pt idx="1279">
                  <c:v>2.8921318891910262E-2</c:v>
                </c:pt>
                <c:pt idx="1280">
                  <c:v>2.8920198056416876E-2</c:v>
                </c:pt>
                <c:pt idx="1281">
                  <c:v>2.8923348952048563E-2</c:v>
                </c:pt>
                <c:pt idx="1282">
                  <c:v>2.8921085356535259E-2</c:v>
                </c:pt>
                <c:pt idx="1283">
                  <c:v>2.8919866690826912E-2</c:v>
                </c:pt>
                <c:pt idx="1284">
                  <c:v>2.8918617673022728E-2</c:v>
                </c:pt>
                <c:pt idx="1285">
                  <c:v>2.8917338303137696E-2</c:v>
                </c:pt>
                <c:pt idx="1286">
                  <c:v>2.8917092521140671E-2</c:v>
                </c:pt>
                <c:pt idx="1287">
                  <c:v>2.8914688507155062E-2</c:v>
                </c:pt>
                <c:pt idx="1288">
                  <c:v>2.8913318081074946E-2</c:v>
                </c:pt>
                <c:pt idx="1289">
                  <c:v>2.8911917302958945E-2</c:v>
                </c:pt>
                <c:pt idx="1290">
                  <c:v>2.8907320737285854E-2</c:v>
                </c:pt>
                <c:pt idx="1291">
                  <c:v>2.8909024690644269E-2</c:v>
                </c:pt>
                <c:pt idx="1292">
                  <c:v>2.8907532856470575E-2</c:v>
                </c:pt>
                <c:pt idx="1293">
                  <c:v>2.8906010670300963E-2</c:v>
                </c:pt>
                <c:pt idx="1294">
                  <c:v>2.8904458132150423E-2</c:v>
                </c:pt>
                <c:pt idx="1295">
                  <c:v>2.8903918613469255E-2</c:v>
                </c:pt>
                <c:pt idx="1296">
                  <c:v>2.8901261999949024E-2</c:v>
                </c:pt>
                <c:pt idx="1297">
                  <c:v>2.8899618405925642E-2</c:v>
                </c:pt>
                <c:pt idx="1298">
                  <c:v>2.889794445997379E-2</c:v>
                </c:pt>
                <c:pt idx="1299">
                  <c:v>2.8896240162100961E-2</c:v>
                </c:pt>
                <c:pt idx="1300">
                  <c:v>2.8894505512324642E-2</c:v>
                </c:pt>
                <c:pt idx="1301">
                  <c:v>2.889274051065982E-2</c:v>
                </c:pt>
                <c:pt idx="1302">
                  <c:v>2.8890945157121484E-2</c:v>
                </c:pt>
                <c:pt idx="1303">
                  <c:v>2.8890144375072101E-2</c:v>
                </c:pt>
                <c:pt idx="1304">
                  <c:v>2.8888286000909667E-2</c:v>
                </c:pt>
                <c:pt idx="1305">
                  <c:v>2.8885376985392786E-2</c:v>
                </c:pt>
                <c:pt idx="1306">
                  <c:v>2.8883460224497781E-2</c:v>
                </c:pt>
                <c:pt idx="1307">
                  <c:v>2.8881513111801704E-2</c:v>
                </c:pt>
                <c:pt idx="1308">
                  <c:v>2.8879535647322041E-2</c:v>
                </c:pt>
                <c:pt idx="1309">
                  <c:v>2.8878538816620877E-2</c:v>
                </c:pt>
                <c:pt idx="1310">
                  <c:v>2.8875489663071907E-2</c:v>
                </c:pt>
                <c:pt idx="1311">
                  <c:v>2.8873421143333911E-2</c:v>
                </c:pt>
                <c:pt idx="1312">
                  <c:v>2.886830930523971E-2</c:v>
                </c:pt>
                <c:pt idx="1313">
                  <c:v>2.8869193048719488E-2</c:v>
                </c:pt>
                <c:pt idx="1314">
                  <c:v>2.8867033473873038E-2</c:v>
                </c:pt>
                <c:pt idx="1315">
                  <c:v>2.8864843547360408E-2</c:v>
                </c:pt>
                <c:pt idx="1316">
                  <c:v>2.8862623269196586E-2</c:v>
                </c:pt>
                <c:pt idx="1317">
                  <c:v>2.8860372639401555E-2</c:v>
                </c:pt>
                <c:pt idx="1318">
                  <c:v>2.8856773574904966E-2</c:v>
                </c:pt>
                <c:pt idx="1319">
                  <c:v>2.8855780324982816E-2</c:v>
                </c:pt>
                <c:pt idx="1320">
                  <c:v>2.8854086506444207E-2</c:v>
                </c:pt>
                <c:pt idx="1321">
                  <c:v>2.8852049453050362E-2</c:v>
                </c:pt>
                <c:pt idx="1322">
                  <c:v>2.8848664216582776E-2</c:v>
                </c:pt>
                <c:pt idx="1323">
                  <c:v>2.8847209602912732E-2</c:v>
                </c:pt>
                <c:pt idx="1324">
                  <c:v>2.8843768386683788E-2</c:v>
                </c:pt>
                <c:pt idx="1325">
                  <c:v>2.8838503457798023E-2</c:v>
                </c:pt>
                <c:pt idx="1326">
                  <c:v>2.883741727322606E-2</c:v>
                </c:pt>
                <c:pt idx="1327">
                  <c:v>2.8834861164685744E-2</c:v>
                </c:pt>
                <c:pt idx="1328">
                  <c:v>2.8833240817837114E-2</c:v>
                </c:pt>
                <c:pt idx="1329">
                  <c:v>2.8829657900608079E-2</c:v>
                </c:pt>
                <c:pt idx="1330">
                  <c:v>2.8824125630288071E-2</c:v>
                </c:pt>
                <c:pt idx="1331">
                  <c:v>2.8821455269938082E-2</c:v>
                </c:pt>
                <c:pt idx="1332">
                  <c:v>2.8818754567873243E-2</c:v>
                </c:pt>
                <c:pt idx="1333">
                  <c:v>2.8816023524119241E-2</c:v>
                </c:pt>
                <c:pt idx="1334">
                  <c:v>2.8816118633847445E-2</c:v>
                </c:pt>
                <c:pt idx="1335">
                  <c:v>2.8813319733824727E-2</c:v>
                </c:pt>
                <c:pt idx="1336">
                  <c:v>2.8811437510115334E-2</c:v>
                </c:pt>
                <c:pt idx="1337">
                  <c:v>2.8807630887282502E-2</c:v>
                </c:pt>
                <c:pt idx="1338">
                  <c:v>2.8805683170547991E-2</c:v>
                </c:pt>
                <c:pt idx="1339">
                  <c:v>2.8801820645562491E-2</c:v>
                </c:pt>
                <c:pt idx="1340">
                  <c:v>2.8796234063783288E-2</c:v>
                </c:pt>
                <c:pt idx="1341">
                  <c:v>2.8795889008847782E-2</c:v>
                </c:pt>
                <c:pt idx="1342">
                  <c:v>2.8793810277521759E-2</c:v>
                </c:pt>
                <c:pt idx="1343">
                  <c:v>2.8789835977316294E-2</c:v>
                </c:pt>
                <c:pt idx="1344">
                  <c:v>2.878676393855872E-2</c:v>
                </c:pt>
                <c:pt idx="1345">
                  <c:v>2.8783661551166576E-2</c:v>
                </c:pt>
                <c:pt idx="1346">
                  <c:v>2.8780528815168221E-2</c:v>
                </c:pt>
                <c:pt idx="1347">
                  <c:v>2.8778286262213515E-2</c:v>
                </c:pt>
                <c:pt idx="1348">
                  <c:v>2.8774172297443137E-2</c:v>
                </c:pt>
                <c:pt idx="1349">
                  <c:v>2.8770948515770556E-2</c:v>
                </c:pt>
                <c:pt idx="1350">
                  <c:v>2.8767694385589754E-2</c:v>
                </c:pt>
                <c:pt idx="1351">
                  <c:v>2.8764409906926514E-2</c:v>
                </c:pt>
                <c:pt idx="1352">
                  <c:v>2.8761095079804046E-2</c:v>
                </c:pt>
                <c:pt idx="1353">
                  <c:v>2.8757749904250712E-2</c:v>
                </c:pt>
                <c:pt idx="1354">
                  <c:v>2.8754374380292297E-2</c:v>
                </c:pt>
                <c:pt idx="1355">
                  <c:v>2.875277048655776E-2</c:v>
                </c:pt>
                <c:pt idx="1356">
                  <c:v>2.8748430926942015E-2</c:v>
                </c:pt>
                <c:pt idx="1357">
                  <c:v>2.8744065718259913E-2</c:v>
                </c:pt>
                <c:pt idx="1358">
                  <c:v>2.8740568800949353E-2</c:v>
                </c:pt>
                <c:pt idx="1359">
                  <c:v>2.8737041535370381E-2</c:v>
                </c:pt>
                <c:pt idx="1360">
                  <c:v>2.8733483921546201E-2</c:v>
                </c:pt>
                <c:pt idx="1361">
                  <c:v>2.8730782353446893E-2</c:v>
                </c:pt>
                <c:pt idx="1362">
                  <c:v>2.8726277649283413E-2</c:v>
                </c:pt>
                <c:pt idx="1363">
                  <c:v>2.8722628990901534E-2</c:v>
                </c:pt>
                <c:pt idx="1364">
                  <c:v>2.8718949984387909E-2</c:v>
                </c:pt>
                <c:pt idx="1365">
                  <c:v>2.8715240629773472E-2</c:v>
                </c:pt>
                <c:pt idx="1366">
                  <c:v>2.8711500927086596E-2</c:v>
                </c:pt>
                <c:pt idx="1367">
                  <c:v>2.870773087635306E-2</c:v>
                </c:pt>
                <c:pt idx="1368">
                  <c:v>2.870393047761155E-2</c:v>
                </c:pt>
                <c:pt idx="1369">
                  <c:v>2.8700099730882691E-2</c:v>
                </c:pt>
                <c:pt idx="1370">
                  <c:v>2.8693711260746824E-2</c:v>
                </c:pt>
                <c:pt idx="1371">
                  <c:v>2.8692347193594432E-2</c:v>
                </c:pt>
                <c:pt idx="1372">
                  <c:v>2.8690143700127055E-2</c:v>
                </c:pt>
                <c:pt idx="1373">
                  <c:v>2.8685330026279876E-2</c:v>
                </c:pt>
                <c:pt idx="1374">
                  <c:v>2.8680490778542102E-2</c:v>
                </c:pt>
                <c:pt idx="1375">
                  <c:v>2.8677329734146106E-2</c:v>
                </c:pt>
                <c:pt idx="1376">
                  <c:v>2.8672434762785682E-2</c:v>
                </c:pt>
                <c:pt idx="1377">
                  <c:v>2.8669208041462724E-2</c:v>
                </c:pt>
                <c:pt idx="1378">
                  <c:v>2.8664257356077777E-2</c:v>
                </c:pt>
                <c:pt idx="1379">
                  <c:v>2.866012313119792E-2</c:v>
                </c:pt>
                <c:pt idx="1380">
                  <c:v>2.8656797876994156E-2</c:v>
                </c:pt>
                <c:pt idx="1381">
                  <c:v>2.8651763638546272E-2</c:v>
                </c:pt>
                <c:pt idx="1382">
                  <c:v>2.8645034264305202E-2</c:v>
                </c:pt>
                <c:pt idx="1383">
                  <c:v>2.8640786165072818E-2</c:v>
                </c:pt>
                <c:pt idx="1384">
                  <c:v>2.863650772540741E-2</c:v>
                </c:pt>
                <c:pt idx="1385">
                  <c:v>2.8632198945337528E-2</c:v>
                </c:pt>
                <c:pt idx="1386">
                  <c:v>2.8630333824924577E-2</c:v>
                </c:pt>
                <c:pt idx="1387">
                  <c:v>2.8626778579191603E-2</c:v>
                </c:pt>
                <c:pt idx="1388">
                  <c:v>2.8621549467378694E-2</c:v>
                </c:pt>
                <c:pt idx="1389">
                  <c:v>2.8617111767581385E-2</c:v>
                </c:pt>
                <c:pt idx="1390">
                  <c:v>2.8610199940011554E-2</c:v>
                </c:pt>
                <c:pt idx="1391">
                  <c:v>2.8604750761782149E-2</c:v>
                </c:pt>
                <c:pt idx="1392">
                  <c:v>2.8603616584496814E-2</c:v>
                </c:pt>
                <c:pt idx="1393">
                  <c:v>2.8599057495689691E-2</c:v>
                </c:pt>
                <c:pt idx="1394">
                  <c:v>2.8596076030877885E-2</c:v>
                </c:pt>
                <c:pt idx="1395">
                  <c:v>2.8589848276619784E-2</c:v>
                </c:pt>
                <c:pt idx="1396">
                  <c:v>2.8585198146426617E-2</c:v>
                </c:pt>
                <c:pt idx="1397">
                  <c:v>2.858051766918213E-2</c:v>
                </c:pt>
                <c:pt idx="1398">
                  <c:v>2.8575806844919841E-2</c:v>
                </c:pt>
                <c:pt idx="1399">
                  <c:v>2.8571065673670692E-2</c:v>
                </c:pt>
                <c:pt idx="1400">
                  <c:v>2.8566294155481096E-2</c:v>
                </c:pt>
                <c:pt idx="1401">
                  <c:v>2.8561492290382001E-2</c:v>
                </c:pt>
                <c:pt idx="1402">
                  <c:v>2.8556660078412083E-2</c:v>
                </c:pt>
                <c:pt idx="1403">
                  <c:v>2.85517975196126E-2</c:v>
                </c:pt>
                <c:pt idx="1404">
                  <c:v>2.8546904614017075E-2</c:v>
                </c:pt>
                <c:pt idx="1405">
                  <c:v>2.854198136166676E-2</c:v>
                </c:pt>
                <c:pt idx="1406">
                  <c:v>2.8537027762597762E-2</c:v>
                </c:pt>
                <c:pt idx="1407">
                  <c:v>2.8532814773467863E-2</c:v>
                </c:pt>
                <c:pt idx="1408">
                  <c:v>2.8527797916395592E-2</c:v>
                </c:pt>
                <c:pt idx="1409">
                  <c:v>2.8521984885480901E-2</c:v>
                </c:pt>
                <c:pt idx="1410">
                  <c:v>2.8516909899931681E-2</c:v>
                </c:pt>
                <c:pt idx="1411">
                  <c:v>2.8511804567864903E-2</c:v>
                </c:pt>
                <c:pt idx="1412">
                  <c:v>2.8506668889314087E-2</c:v>
                </c:pt>
                <c:pt idx="1413">
                  <c:v>2.8502258397915536E-2</c:v>
                </c:pt>
                <c:pt idx="1414">
                  <c:v>2.8496306492927961E-2</c:v>
                </c:pt>
                <c:pt idx="1415">
                  <c:v>2.849107977517774E-2</c:v>
                </c:pt>
                <c:pt idx="1416">
                  <c:v>2.8486570501818353E-2</c:v>
                </c:pt>
                <c:pt idx="1417">
                  <c:v>2.8480535300756383E-2</c:v>
                </c:pt>
                <c:pt idx="1418">
                  <c:v>2.8475217544172919E-2</c:v>
                </c:pt>
                <c:pt idx="1419">
                  <c:v>2.8469869441386485E-2</c:v>
                </c:pt>
                <c:pt idx="1420">
                  <c:v>2.8464490992453809E-2</c:v>
                </c:pt>
                <c:pt idx="1421">
                  <c:v>2.845908219741099E-2</c:v>
                </c:pt>
                <c:pt idx="1422">
                  <c:v>2.8450571368380473E-2</c:v>
                </c:pt>
                <c:pt idx="1423">
                  <c:v>2.8448173569149648E-2</c:v>
                </c:pt>
                <c:pt idx="1424">
                  <c:v>2.8444127608437147E-2</c:v>
                </c:pt>
                <c:pt idx="1425">
                  <c:v>2.8437867993991728E-2</c:v>
                </c:pt>
                <c:pt idx="1426">
                  <c:v>2.8431583031999112E-2</c:v>
                </c:pt>
                <c:pt idx="1427">
                  <c:v>2.8426711383101599E-2</c:v>
                </c:pt>
                <c:pt idx="1428">
                  <c:v>2.8420370944552249E-2</c:v>
                </c:pt>
                <c:pt idx="1429">
                  <c:v>2.8416147165705882E-2</c:v>
                </c:pt>
                <c:pt idx="1430">
                  <c:v>2.8409037474044361E-2</c:v>
                </c:pt>
                <c:pt idx="1431">
                  <c:v>2.8403325220249225E-2</c:v>
                </c:pt>
                <c:pt idx="1432">
                  <c:v>2.8398288764700241E-2</c:v>
                </c:pt>
                <c:pt idx="1433">
                  <c:v>2.8391809675811213E-2</c:v>
                </c:pt>
                <c:pt idx="1434">
                  <c:v>2.8383902415141105E-2</c:v>
                </c:pt>
                <c:pt idx="1435">
                  <c:v>2.8378076658169986E-2</c:v>
                </c:pt>
                <c:pt idx="1436">
                  <c:v>2.8372220562627209E-2</c:v>
                </c:pt>
                <c:pt idx="1437">
                  <c:v>2.8369107449218722E-2</c:v>
                </c:pt>
                <c:pt idx="1438">
                  <c:v>2.8362489768506596E-2</c:v>
                </c:pt>
                <c:pt idx="1439">
                  <c:v>2.8356534750920454E-2</c:v>
                </c:pt>
                <c:pt idx="1440">
                  <c:v>2.8350549388064788E-2</c:v>
                </c:pt>
                <c:pt idx="1441">
                  <c:v>2.8341082508157697E-2</c:v>
                </c:pt>
                <c:pt idx="1442">
                  <c:v>2.8338487626748596E-2</c:v>
                </c:pt>
                <c:pt idx="1443">
                  <c:v>2.8333088398796447E-2</c:v>
                </c:pt>
                <c:pt idx="1444">
                  <c:v>2.8326304484926759E-2</c:v>
                </c:pt>
                <c:pt idx="1445">
                  <c:v>2.8320167396445481E-2</c:v>
                </c:pt>
                <c:pt idx="1446">
                  <c:v>2.8314669183605867E-2</c:v>
                </c:pt>
                <c:pt idx="1447">
                  <c:v>2.8307803276660704E-2</c:v>
                </c:pt>
                <c:pt idx="1448">
                  <c:v>2.8301585169145365E-2</c:v>
                </c:pt>
                <c:pt idx="1449">
                  <c:v>2.8295356040484738E-2</c:v>
                </c:pt>
                <c:pt idx="1450">
                  <c:v>2.8289126295759495E-2</c:v>
                </c:pt>
                <c:pt idx="1451">
                  <c:v>2.8282906203522092E-2</c:v>
                </c:pt>
                <c:pt idx="1452">
                  <c:v>2.8276701522430593E-2</c:v>
                </c:pt>
                <c:pt idx="1453">
                  <c:v>2.8270512576037805E-2</c:v>
                </c:pt>
                <c:pt idx="1454">
                  <c:v>2.8264339364323088E-2</c:v>
                </c:pt>
                <c:pt idx="1455">
                  <c:v>2.8258851670706631E-2</c:v>
                </c:pt>
                <c:pt idx="1456">
                  <c:v>2.8252040144814434E-2</c:v>
                </c:pt>
                <c:pt idx="1457">
                  <c:v>2.8245914136974078E-2</c:v>
                </c:pt>
                <c:pt idx="1458">
                  <c:v>2.8239803863708654E-2</c:v>
                </c:pt>
                <c:pt idx="1459">
                  <c:v>2.8234381686532695E-2</c:v>
                </c:pt>
                <c:pt idx="1460">
                  <c:v>2.822830353019945E-2</c:v>
                </c:pt>
                <c:pt idx="1461">
                  <c:v>2.8221567451117022E-2</c:v>
                </c:pt>
                <c:pt idx="1462">
                  <c:v>2.8215520115908947E-2</c:v>
                </c:pt>
                <c:pt idx="1463">
                  <c:v>2.820948851515203E-2</c:v>
                </c:pt>
                <c:pt idx="1464">
                  <c:v>2.820144639189115E-2</c:v>
                </c:pt>
                <c:pt idx="1465">
                  <c:v>2.8198148785550659E-2</c:v>
                </c:pt>
                <c:pt idx="1466">
                  <c:v>2.8191488119348445E-2</c:v>
                </c:pt>
                <c:pt idx="1467">
                  <c:v>2.818551945615121E-2</c:v>
                </c:pt>
                <c:pt idx="1468">
                  <c:v>2.8180923105849007E-2</c:v>
                </c:pt>
                <c:pt idx="1469">
                  <c:v>2.8173629332731171E-2</c:v>
                </c:pt>
                <c:pt idx="1470">
                  <c:v>2.816838743359279E-2</c:v>
                </c:pt>
                <c:pt idx="1471">
                  <c:v>2.8161802146442771E-2</c:v>
                </c:pt>
                <c:pt idx="1472">
                  <c:v>2.8155912154660723E-2</c:v>
                </c:pt>
                <c:pt idx="1473">
                  <c:v>2.8150037897092608E-2</c:v>
                </c:pt>
                <c:pt idx="1474">
                  <c:v>2.8144179373707483E-2</c:v>
                </c:pt>
                <c:pt idx="1475">
                  <c:v>2.8138336584487295E-2</c:v>
                </c:pt>
                <c:pt idx="1476">
                  <c:v>2.8132509529406262E-2</c:v>
                </c:pt>
                <c:pt idx="1477">
                  <c:v>2.8126698208441173E-2</c:v>
                </c:pt>
                <c:pt idx="1478">
                  <c:v>2.8120902621568824E-2</c:v>
                </c:pt>
                <c:pt idx="1479">
                  <c:v>2.8115122768760846E-2</c:v>
                </c:pt>
                <c:pt idx="1480">
                  <c:v>2.8110044895359731E-2</c:v>
                </c:pt>
                <c:pt idx="1481">
                  <c:v>2.8101151488336661E-2</c:v>
                </c:pt>
                <c:pt idx="1482">
                  <c:v>2.8095425580730537E-2</c:v>
                </c:pt>
                <c:pt idx="1483">
                  <c:v>2.8089715407093381E-2</c:v>
                </c:pt>
                <c:pt idx="1484">
                  <c:v>2.8083208760411288E-2</c:v>
                </c:pt>
                <c:pt idx="1485">
                  <c:v>2.8078342261617668E-2</c:v>
                </c:pt>
                <c:pt idx="1486">
                  <c:v>2.8071298368890371E-2</c:v>
                </c:pt>
                <c:pt idx="1487">
                  <c:v>2.8065649763083827E-2</c:v>
                </c:pt>
                <c:pt idx="1488">
                  <c:v>2.8059213476314068E-2</c:v>
                </c:pt>
                <c:pt idx="1489">
                  <c:v>2.8054399745126617E-2</c:v>
                </c:pt>
                <c:pt idx="1490">
                  <c:v>2.8050184740709218E-2</c:v>
                </c:pt>
                <c:pt idx="1491">
                  <c:v>2.8044600437965125E-2</c:v>
                </c:pt>
                <c:pt idx="1492">
                  <c:v>2.8039031868978558E-2</c:v>
                </c:pt>
                <c:pt idx="1493">
                  <c:v>2.8033479033731459E-2</c:v>
                </c:pt>
                <c:pt idx="1494">
                  <c:v>2.8027245912773502E-2</c:v>
                </c:pt>
                <c:pt idx="1495">
                  <c:v>2.802172385048074E-2</c:v>
                </c:pt>
                <c:pt idx="1496">
                  <c:v>2.8014647173044693E-2</c:v>
                </c:pt>
                <c:pt idx="1497">
                  <c:v>2.8010726922965468E-2</c:v>
                </c:pt>
                <c:pt idx="1498">
                  <c:v>2.800525205769766E-2</c:v>
                </c:pt>
                <c:pt idx="1499">
                  <c:v>2.7999713937642036E-2</c:v>
                </c:pt>
                <c:pt idx="1500">
                  <c:v>2.7995049729729236E-2</c:v>
                </c:pt>
                <c:pt idx="1501">
                  <c:v>2.7989622763572773E-2</c:v>
                </c:pt>
                <c:pt idx="1502">
                  <c:v>2.7983439782083393E-2</c:v>
                </c:pt>
                <c:pt idx="1503">
                  <c:v>2.797811371542025E-2</c:v>
                </c:pt>
                <c:pt idx="1504">
                  <c:v>2.7972733243626813E-2</c:v>
                </c:pt>
                <c:pt idx="1505">
                  <c:v>2.7967368504003609E-2</c:v>
                </c:pt>
                <c:pt idx="1506">
                  <c:v>2.7962019496531987E-2</c:v>
                </c:pt>
                <c:pt idx="1507">
                  <c:v>2.7957391370106319E-2</c:v>
                </c:pt>
                <c:pt idx="1508">
                  <c:v>2.7952074538238642E-2</c:v>
                </c:pt>
                <c:pt idx="1509">
                  <c:v>2.7946773439759747E-2</c:v>
                </c:pt>
                <c:pt idx="1510">
                  <c:v>2.7941488074643858E-2</c:v>
                </c:pt>
                <c:pt idx="1511">
                  <c:v>2.7936218442865177E-2</c:v>
                </c:pt>
                <c:pt idx="1512">
                  <c:v>2.793096454440824E-2</c:v>
                </c:pt>
                <c:pt idx="1513">
                  <c:v>2.7925726379249838E-2</c:v>
                </c:pt>
                <c:pt idx="1514">
                  <c:v>2.7920503947369342E-2</c:v>
                </c:pt>
                <c:pt idx="1515">
                  <c:v>2.7914554719002626E-2</c:v>
                </c:pt>
                <c:pt idx="1516">
                  <c:v>2.7908654300136782E-2</c:v>
                </c:pt>
                <c:pt idx="1517">
                  <c:v>2.790421873029203E-2</c:v>
                </c:pt>
                <c:pt idx="1518">
                  <c:v>2.789905850700336E-2</c:v>
                </c:pt>
                <c:pt idx="1519">
                  <c:v>2.789391401559449E-2</c:v>
                </c:pt>
                <c:pt idx="1520">
                  <c:v>2.7888785256049431E-2</c:v>
                </c:pt>
                <c:pt idx="1521">
                  <c:v>2.7884387454197714E-2</c:v>
                </c:pt>
                <c:pt idx="1522">
                  <c:v>2.787856409119558E-2</c:v>
                </c:pt>
                <c:pt idx="1523">
                  <c:v>2.7874210054443793E-2</c:v>
                </c:pt>
                <c:pt idx="1524">
                  <c:v>2.7869862479146523E-2</c:v>
                </c:pt>
                <c:pt idx="1525">
                  <c:v>2.7863377435553893E-2</c:v>
                </c:pt>
                <c:pt idx="1526">
                  <c:v>2.7858343066757385E-2</c:v>
                </c:pt>
                <c:pt idx="1527">
                  <c:v>2.7853324429686133E-2</c:v>
                </c:pt>
                <c:pt idx="1528">
                  <c:v>2.784832152431882E-2</c:v>
                </c:pt>
                <c:pt idx="1529">
                  <c:v>2.7844776653367376E-2</c:v>
                </c:pt>
                <c:pt idx="1530">
                  <c:v>2.7839084745903311E-2</c:v>
                </c:pt>
                <c:pt idx="1531">
                  <c:v>2.783412977655236E-2</c:v>
                </c:pt>
                <c:pt idx="1532">
                  <c:v>2.7829190540102838E-2</c:v>
                </c:pt>
                <c:pt idx="1533">
                  <c:v>2.7822138934052276E-2</c:v>
                </c:pt>
                <c:pt idx="1534">
                  <c:v>2.7819410304954093E-2</c:v>
                </c:pt>
                <c:pt idx="1535">
                  <c:v>2.7815250350176721E-2</c:v>
                </c:pt>
                <c:pt idx="1536">
                  <c:v>2.7809653941787037E-2</c:v>
                </c:pt>
                <c:pt idx="1537">
                  <c:v>2.7802617240036298E-2</c:v>
                </c:pt>
                <c:pt idx="1538">
                  <c:v>2.7796320440744982E-2</c:v>
                </c:pt>
                <c:pt idx="1539">
                  <c:v>2.7791493574752364E-2</c:v>
                </c:pt>
                <c:pt idx="1540">
                  <c:v>2.7786682437675063E-2</c:v>
                </c:pt>
                <c:pt idx="1541">
                  <c:v>2.7781887029493087E-2</c:v>
                </c:pt>
                <c:pt idx="1542">
                  <c:v>2.7781493859237744E-2</c:v>
                </c:pt>
                <c:pt idx="1543">
                  <c:v>2.7776002333339343E-2</c:v>
                </c:pt>
                <c:pt idx="1544">
                  <c:v>2.7771257901718437E-2</c:v>
                </c:pt>
                <c:pt idx="1545">
                  <c:v>2.7766529205282806E-2</c:v>
                </c:pt>
                <c:pt idx="1546">
                  <c:v>2.7759613719632981E-2</c:v>
                </c:pt>
                <c:pt idx="1547">
                  <c:v>2.7755714113911478E-2</c:v>
                </c:pt>
                <c:pt idx="1548">
                  <c:v>2.7751034107231787E-2</c:v>
                </c:pt>
                <c:pt idx="1549">
                  <c:v>2.7747106518999264E-2</c:v>
                </c:pt>
                <c:pt idx="1550">
                  <c:v>2.7739509608780036E-2</c:v>
                </c:pt>
                <c:pt idx="1551">
                  <c:v>2.7737088490133177E-2</c:v>
                </c:pt>
                <c:pt idx="1552">
                  <c:v>2.7732471418680515E-2</c:v>
                </c:pt>
                <c:pt idx="1553">
                  <c:v>2.7727870080987149E-2</c:v>
                </c:pt>
                <c:pt idx="1554">
                  <c:v>2.7723284477033094E-2</c:v>
                </c:pt>
                <c:pt idx="1555">
                  <c:v>2.7718714606803363E-2</c:v>
                </c:pt>
                <c:pt idx="1556">
                  <c:v>2.7714160470272975E-2</c:v>
                </c:pt>
                <c:pt idx="1557">
                  <c:v>2.7709622067424444E-2</c:v>
                </c:pt>
                <c:pt idx="1558">
                  <c:v>2.7705099398237787E-2</c:v>
                </c:pt>
                <c:pt idx="1559">
                  <c:v>2.7700592462695517E-2</c:v>
                </c:pt>
                <c:pt idx="1560">
                  <c:v>2.7696101260780148E-2</c:v>
                </c:pt>
                <c:pt idx="1561">
                  <c:v>2.7691625792469199E-2</c:v>
                </c:pt>
                <c:pt idx="1562">
                  <c:v>2.7687166057750179E-2</c:v>
                </c:pt>
                <c:pt idx="1563">
                  <c:v>2.7680480157770058E-2</c:v>
                </c:pt>
                <c:pt idx="1564">
                  <c:v>2.7679042098305701E-2</c:v>
                </c:pt>
                <c:pt idx="1565">
                  <c:v>2.7673881254929866E-2</c:v>
                </c:pt>
                <c:pt idx="1566">
                  <c:v>2.7669484454371229E-2</c:v>
                </c:pt>
                <c:pt idx="1567">
                  <c:v>2.7665103387309598E-2</c:v>
                </c:pt>
                <c:pt idx="1568">
                  <c:v>2.7660738053727485E-2</c:v>
                </c:pt>
                <c:pt idx="1569">
                  <c:v>2.7657140700957879E-2</c:v>
                </c:pt>
                <c:pt idx="1570">
                  <c:v>2.7652054586916885E-2</c:v>
                </c:pt>
                <c:pt idx="1571">
                  <c:v>2.7647736453655924E-2</c:v>
                </c:pt>
                <c:pt idx="1572">
                  <c:v>2.7643434053797045E-2</c:v>
                </c:pt>
                <c:pt idx="1573">
                  <c:v>2.7639147387325258E-2</c:v>
                </c:pt>
                <c:pt idx="1574">
                  <c:v>2.7634876454225576E-2</c:v>
                </c:pt>
                <c:pt idx="1575">
                  <c:v>2.7630621254470522E-2</c:v>
                </c:pt>
                <c:pt idx="1576">
                  <c:v>2.7626381788050103E-2</c:v>
                </c:pt>
                <c:pt idx="1577">
                  <c:v>2.7622158054944335E-2</c:v>
                </c:pt>
                <c:pt idx="1578">
                  <c:v>2.7617950055133234E-2</c:v>
                </c:pt>
                <c:pt idx="1579">
                  <c:v>2.7613757788606808E-2</c:v>
                </c:pt>
                <c:pt idx="1580">
                  <c:v>2.7608985892076388E-2</c:v>
                </c:pt>
                <c:pt idx="1581">
                  <c:v>2.7605420455318053E-2</c:v>
                </c:pt>
                <c:pt idx="1582">
                  <c:v>2.7601275388520752E-2</c:v>
                </c:pt>
                <c:pt idx="1583">
                  <c:v>2.7597909495933531E-2</c:v>
                </c:pt>
                <c:pt idx="1584">
                  <c:v>2.7593032454542865E-2</c:v>
                </c:pt>
                <c:pt idx="1585">
                  <c:v>2.7586640104916252E-2</c:v>
                </c:pt>
                <c:pt idx="1586">
                  <c:v>2.7584852453266528E-2</c:v>
                </c:pt>
                <c:pt idx="1587">
                  <c:v>2.7581552736609571E-2</c:v>
                </c:pt>
                <c:pt idx="1588">
                  <c:v>2.7576735384554352E-2</c:v>
                </c:pt>
                <c:pt idx="1589">
                  <c:v>2.7570396211394937E-2</c:v>
                </c:pt>
                <c:pt idx="1590">
                  <c:v>2.7565605899941517E-2</c:v>
                </c:pt>
                <c:pt idx="1591">
                  <c:v>2.756159916224275E-2</c:v>
                </c:pt>
                <c:pt idx="1592">
                  <c:v>2.7557608152617111E-2</c:v>
                </c:pt>
                <c:pt idx="1593">
                  <c:v>2.7553632871047475E-2</c:v>
                </c:pt>
                <c:pt idx="1594">
                  <c:v>2.7552761772448864E-2</c:v>
                </c:pt>
                <c:pt idx="1595">
                  <c:v>2.7548821236049181E-2</c:v>
                </c:pt>
                <c:pt idx="1596">
                  <c:v>2.7544896432644406E-2</c:v>
                </c:pt>
                <c:pt idx="1597">
                  <c:v>2.7541762241947963E-2</c:v>
                </c:pt>
                <c:pt idx="1598">
                  <c:v>2.7537869730863595E-2</c:v>
                </c:pt>
                <c:pt idx="1599">
                  <c:v>2.7533216420202178E-2</c:v>
                </c:pt>
                <c:pt idx="1600">
                  <c:v>2.7529354548592178E-2</c:v>
                </c:pt>
                <c:pt idx="1601">
                  <c:v>2.7525508409892152E-2</c:v>
                </c:pt>
                <c:pt idx="1602">
                  <c:v>2.7519341645479325E-2</c:v>
                </c:pt>
                <c:pt idx="1603">
                  <c:v>2.7517863331152081E-2</c:v>
                </c:pt>
                <c:pt idx="1604">
                  <c:v>2.751406439108206E-2</c:v>
                </c:pt>
                <c:pt idx="1605">
                  <c:v>2.7510281183854568E-2</c:v>
                </c:pt>
                <c:pt idx="1606">
                  <c:v>2.7506513709459612E-2</c:v>
                </c:pt>
                <c:pt idx="1607">
                  <c:v>2.7503545167400553E-2</c:v>
                </c:pt>
                <c:pt idx="1608">
                  <c:v>2.7499025959089873E-2</c:v>
                </c:pt>
                <c:pt idx="1609">
                  <c:v>2.7495305683082616E-2</c:v>
                </c:pt>
                <c:pt idx="1610">
                  <c:v>2.7491601139845445E-2</c:v>
                </c:pt>
                <c:pt idx="1611">
                  <c:v>2.7487912329358377E-2</c:v>
                </c:pt>
                <c:pt idx="1612">
                  <c:v>2.7484239251606424E-2</c:v>
                </c:pt>
                <c:pt idx="1613">
                  <c:v>2.7480581906574597E-2</c:v>
                </c:pt>
                <c:pt idx="1614">
                  <c:v>2.7476940294247909E-2</c:v>
                </c:pt>
                <c:pt idx="1615">
                  <c:v>2.7474104359148658E-2</c:v>
                </c:pt>
                <c:pt idx="1616">
                  <c:v>2.7470495060870223E-2</c:v>
                </c:pt>
                <c:pt idx="1617">
                  <c:v>2.7466109853343801E-2</c:v>
                </c:pt>
                <c:pt idx="1618">
                  <c:v>2.7462531171682791E-2</c:v>
                </c:pt>
                <c:pt idx="1619">
                  <c:v>2.7458968222654478E-2</c:v>
                </c:pt>
                <c:pt idx="1620">
                  <c:v>2.7455421006233882E-2</c:v>
                </c:pt>
                <c:pt idx="1621">
                  <c:v>2.7452684577568706E-2</c:v>
                </c:pt>
                <c:pt idx="1622">
                  <c:v>2.7448373771185863E-2</c:v>
                </c:pt>
                <c:pt idx="1623">
                  <c:v>2.7444873752520971E-2</c:v>
                </c:pt>
                <c:pt idx="1624">
                  <c:v>2.7438997319415414E-2</c:v>
                </c:pt>
                <c:pt idx="1625">
                  <c:v>2.7437920912849467E-2</c:v>
                </c:pt>
                <c:pt idx="1626">
                  <c:v>2.7434468091807884E-2</c:v>
                </c:pt>
                <c:pt idx="1627">
                  <c:v>2.7431031003281592E-2</c:v>
                </c:pt>
                <c:pt idx="1628">
                  <c:v>2.7427609647248108E-2</c:v>
                </c:pt>
                <c:pt idx="1629">
                  <c:v>2.7424204023699938E-2</c:v>
                </c:pt>
                <c:pt idx="1630">
                  <c:v>2.7419528342119154E-2</c:v>
                </c:pt>
                <c:pt idx="1631">
                  <c:v>2.7417439973994595E-2</c:v>
                </c:pt>
                <c:pt idx="1632">
                  <c:v>2.7414407720764575E-2</c:v>
                </c:pt>
                <c:pt idx="1633">
                  <c:v>2.7411544263341886E-2</c:v>
                </c:pt>
                <c:pt idx="1634">
                  <c:v>2.7407411892701738E-2</c:v>
                </c:pt>
                <c:pt idx="1635">
                  <c:v>2.7404907815926034E-2</c:v>
                </c:pt>
                <c:pt idx="1636">
                  <c:v>2.7400805167190068E-2</c:v>
                </c:pt>
                <c:pt idx="1637">
                  <c:v>2.7394382945528418E-2</c:v>
                </c:pt>
                <c:pt idx="1638">
                  <c:v>2.7392986588890358E-2</c:v>
                </c:pt>
                <c:pt idx="1639">
                  <c:v>2.7389739659904034E-2</c:v>
                </c:pt>
                <c:pt idx="1640">
                  <c:v>2.7387319993474879E-2</c:v>
                </c:pt>
                <c:pt idx="1641">
                  <c:v>2.7383292995233559E-2</c:v>
                </c:pt>
                <c:pt idx="1642">
                  <c:v>2.7377654136106093E-2</c:v>
                </c:pt>
                <c:pt idx="1643">
                  <c:v>2.7374467486810224E-2</c:v>
                </c:pt>
                <c:pt idx="1644">
                  <c:v>2.7371296564905175E-2</c:v>
                </c:pt>
                <c:pt idx="1645">
                  <c:v>2.7368141370370962E-2</c:v>
                </c:pt>
                <c:pt idx="1646">
                  <c:v>2.7367451627199443E-2</c:v>
                </c:pt>
                <c:pt idx="1647">
                  <c:v>2.7365148259715921E-2</c:v>
                </c:pt>
                <c:pt idx="1648">
                  <c:v>2.7361225197169811E-2</c:v>
                </c:pt>
                <c:pt idx="1649">
                  <c:v>2.73581355786475E-2</c:v>
                </c:pt>
                <c:pt idx="1650">
                  <c:v>2.735588207169154E-2</c:v>
                </c:pt>
                <c:pt idx="1651">
                  <c:v>2.7349441423774046E-2</c:v>
                </c:pt>
                <c:pt idx="1652">
                  <c:v>2.734896110888296E-2</c:v>
                </c:pt>
                <c:pt idx="1653">
                  <c:v>2.7345934414189376E-2</c:v>
                </c:pt>
                <c:pt idx="1654">
                  <c:v>2.7343747404832697E-2</c:v>
                </c:pt>
                <c:pt idx="1655">
                  <c:v>2.7339928217570607E-2</c:v>
                </c:pt>
                <c:pt idx="1656">
                  <c:v>2.733694871561964E-2</c:v>
                </c:pt>
                <c:pt idx="1657">
                  <c:v>2.7333984944556231E-2</c:v>
                </c:pt>
                <c:pt idx="1658">
                  <c:v>2.7331036904375227E-2</c:v>
                </c:pt>
                <c:pt idx="1659">
                  <c:v>2.7328933044129533E-2</c:v>
                </c:pt>
                <c:pt idx="1660">
                  <c:v>2.732518801660112E-2</c:v>
                </c:pt>
                <c:pt idx="1661">
                  <c:v>2.7322287168982232E-2</c:v>
                </c:pt>
                <c:pt idx="1662">
                  <c:v>2.7319402052191598E-2</c:v>
                </c:pt>
                <c:pt idx="1663">
                  <c:v>2.7316532666224056E-2</c:v>
                </c:pt>
                <c:pt idx="1664">
                  <c:v>2.7313679011064143E-2</c:v>
                </c:pt>
                <c:pt idx="1665">
                  <c:v>2.7310841086698959E-2</c:v>
                </c:pt>
                <c:pt idx="1666">
                  <c:v>2.730801889311819E-2</c:v>
                </c:pt>
                <c:pt idx="1667">
                  <c:v>2.730688396689309E-2</c:v>
                </c:pt>
                <c:pt idx="1668">
                  <c:v>2.7303258314277379E-2</c:v>
                </c:pt>
                <c:pt idx="1669">
                  <c:v>2.7299646696966356E-2</c:v>
                </c:pt>
                <c:pt idx="1670">
                  <c:v>2.7296887426412376E-2</c:v>
                </c:pt>
                <c:pt idx="1671">
                  <c:v>2.7294143886583508E-2</c:v>
                </c:pt>
                <c:pt idx="1672">
                  <c:v>2.7291416077469436E-2</c:v>
                </c:pt>
                <c:pt idx="1673">
                  <c:v>2.7289545194714993E-2</c:v>
                </c:pt>
                <c:pt idx="1674">
                  <c:v>2.7286007651349576E-2</c:v>
                </c:pt>
                <c:pt idx="1675">
                  <c:v>2.7283327034323158E-2</c:v>
                </c:pt>
                <c:pt idx="1676">
                  <c:v>2.7280662147967705E-2</c:v>
                </c:pt>
                <c:pt idx="1677">
                  <c:v>2.7278012992278049E-2</c:v>
                </c:pt>
                <c:pt idx="1678">
                  <c:v>2.7275379567233568E-2</c:v>
                </c:pt>
                <c:pt idx="1679">
                  <c:v>2.7272761872831681E-2</c:v>
                </c:pt>
                <c:pt idx="1680">
                  <c:v>2.7270159909059496E-2</c:v>
                </c:pt>
                <c:pt idx="1681">
                  <c:v>2.726757367590928E-2</c:v>
                </c:pt>
                <c:pt idx="1682">
                  <c:v>2.7263056562613741E-2</c:v>
                </c:pt>
                <c:pt idx="1683">
                  <c:v>2.7262448401425752E-2</c:v>
                </c:pt>
                <c:pt idx="1684">
                  <c:v>2.7261612246532705E-2</c:v>
                </c:pt>
                <c:pt idx="1685">
                  <c:v>2.7258238359465781E-2</c:v>
                </c:pt>
                <c:pt idx="1686">
                  <c:v>2.7254878469077693E-2</c:v>
                </c:pt>
                <c:pt idx="1687">
                  <c:v>2.725324079892788E-2</c:v>
                </c:pt>
                <c:pt idx="1688">
                  <c:v>2.7249910500321318E-2</c:v>
                </c:pt>
                <c:pt idx="1689">
                  <c:v>2.7248306165408576E-2</c:v>
                </c:pt>
                <c:pt idx="1690">
                  <c:v>2.7245005453715013E-2</c:v>
                </c:pt>
                <c:pt idx="1691">
                  <c:v>2.7242576526193964E-2</c:v>
                </c:pt>
                <c:pt idx="1692">
                  <c:v>2.724102220309027E-2</c:v>
                </c:pt>
                <c:pt idx="1693">
                  <c:v>2.723776586265934E-2</c:v>
                </c:pt>
                <c:pt idx="1694">
                  <c:v>2.7235384126632872E-2</c:v>
                </c:pt>
                <c:pt idx="1695">
                  <c:v>2.7233018121081393E-2</c:v>
                </c:pt>
                <c:pt idx="1696">
                  <c:v>2.7230667846002324E-2</c:v>
                </c:pt>
                <c:pt idx="1697">
                  <c:v>2.7228333301377611E-2</c:v>
                </c:pt>
                <c:pt idx="1698">
                  <c:v>2.7226879034151774E-2</c:v>
                </c:pt>
                <c:pt idx="1699">
                  <c:v>2.7223711403475789E-2</c:v>
                </c:pt>
                <c:pt idx="1700">
                  <c:v>2.7221424050175472E-2</c:v>
                </c:pt>
                <c:pt idx="1701">
                  <c:v>2.7219152427295994E-2</c:v>
                </c:pt>
                <c:pt idx="1702">
                  <c:v>2.7214745752474734E-2</c:v>
                </c:pt>
                <c:pt idx="1703">
                  <c:v>2.7215525680314712E-2</c:v>
                </c:pt>
                <c:pt idx="1704">
                  <c:v>2.7212431941100065E-2</c:v>
                </c:pt>
                <c:pt idx="1705">
                  <c:v>2.7210223239816259E-2</c:v>
                </c:pt>
                <c:pt idx="1706">
                  <c:v>2.7208902447227734E-2</c:v>
                </c:pt>
                <c:pt idx="1707">
                  <c:v>2.720585282130401E-2</c:v>
                </c:pt>
                <c:pt idx="1708">
                  <c:v>2.7203689412022614E-2</c:v>
                </c:pt>
                <c:pt idx="1709">
                  <c:v>2.7201538069104608E-2</c:v>
                </c:pt>
                <c:pt idx="1710">
                  <c:v>2.7199396819622367E-2</c:v>
                </c:pt>
                <c:pt idx="1711">
                  <c:v>2.7197263716542391E-2</c:v>
                </c:pt>
                <c:pt idx="1712">
                  <c:v>2.7195137667945863E-2</c:v>
                </c:pt>
                <c:pt idx="1713">
                  <c:v>2.7193018612475413E-2</c:v>
                </c:pt>
                <c:pt idx="1714">
                  <c:v>2.7190906550131039E-2</c:v>
                </c:pt>
                <c:pt idx="1715">
                  <c:v>2.7189677684823221E-2</c:v>
                </c:pt>
                <c:pt idx="1716">
                  <c:v>2.7186703404794746E-2</c:v>
                </c:pt>
                <c:pt idx="1717">
                  <c:v>2.7184612321795087E-2</c:v>
                </c:pt>
                <c:pt idx="1718">
                  <c:v>2.7182528231903456E-2</c:v>
                </c:pt>
                <c:pt idx="1719">
                  <c:v>2.7181328707371333E-2</c:v>
                </c:pt>
                <c:pt idx="1720">
                  <c:v>2.7179258947118146E-2</c:v>
                </c:pt>
                <c:pt idx="1721">
                  <c:v>2.7176317920838054E-2</c:v>
                </c:pt>
                <c:pt idx="1722">
                  <c:v>2.7174261803342436E-2</c:v>
                </c:pt>
                <c:pt idx="1723">
                  <c:v>2.7172212678934216E-2</c:v>
                </c:pt>
                <c:pt idx="1724">
                  <c:v>2.7167533126166075E-2</c:v>
                </c:pt>
                <c:pt idx="1725">
                  <c:v>2.7169015050307332E-2</c:v>
                </c:pt>
                <c:pt idx="1726">
                  <c:v>2.7166107264210749E-2</c:v>
                </c:pt>
                <c:pt idx="1727">
                  <c:v>2.7164086112121184E-2</c:v>
                </c:pt>
                <c:pt idx="1728">
                  <c:v>2.7163833395633059E-2</c:v>
                </c:pt>
                <c:pt idx="1729">
                  <c:v>2.716006478715784E-2</c:v>
                </c:pt>
                <c:pt idx="1730">
                  <c:v>2.7158945993908667E-2</c:v>
                </c:pt>
                <c:pt idx="1731">
                  <c:v>2.7156071434446108E-2</c:v>
                </c:pt>
                <c:pt idx="1732">
                  <c:v>2.7154085247682664E-2</c:v>
                </c:pt>
                <c:pt idx="1733">
                  <c:v>2.7152106053962781E-2</c:v>
                </c:pt>
                <c:pt idx="1734">
                  <c:v>2.7150133853299355E-2</c:v>
                </c:pt>
                <c:pt idx="1735">
                  <c:v>2.7148168645679493E-2</c:v>
                </c:pt>
                <c:pt idx="1736">
                  <c:v>2.7146210431100617E-2</c:v>
                </c:pt>
                <c:pt idx="1737">
                  <c:v>2.7144259209562725E-2</c:v>
                </c:pt>
                <c:pt idx="1738">
                  <c:v>2.7142314981058083E-2</c:v>
                </c:pt>
                <c:pt idx="1739">
                  <c:v>2.7140377745586686E-2</c:v>
                </c:pt>
                <c:pt idx="1740">
                  <c:v>2.7139332400501759E-2</c:v>
                </c:pt>
                <c:pt idx="1741">
                  <c:v>2.7135702144694424E-2</c:v>
                </c:pt>
                <c:pt idx="1742">
                  <c:v>2.7133788885303507E-2</c:v>
                </c:pt>
                <c:pt idx="1743">
                  <c:v>2.713188261892779E-2</c:v>
                </c:pt>
                <c:pt idx="1744">
                  <c:v>2.7129712591657654E-2</c:v>
                </c:pt>
                <c:pt idx="1745">
                  <c:v>2.7128091065216794E-2</c:v>
                </c:pt>
                <c:pt idx="1746">
                  <c:v>2.7123544688396617E-2</c:v>
                </c:pt>
                <c:pt idx="1747">
                  <c:v>2.7121665319930051E-2</c:v>
                </c:pt>
                <c:pt idx="1748">
                  <c:v>2.7119526031143933E-2</c:v>
                </c:pt>
                <c:pt idx="1749">
                  <c:v>2.7117927557176458E-2</c:v>
                </c:pt>
                <c:pt idx="1750">
                  <c:v>2.7118734558486107E-2</c:v>
                </c:pt>
                <c:pt idx="1751">
                  <c:v>2.7116884236121103E-2</c:v>
                </c:pt>
                <c:pt idx="1752">
                  <c:v>2.7115040906742934E-2</c:v>
                </c:pt>
                <c:pt idx="1753">
                  <c:v>2.711320457034902E-2</c:v>
                </c:pt>
                <c:pt idx="1754">
                  <c:v>2.7110485238628357E-2</c:v>
                </c:pt>
                <c:pt idx="1755">
                  <c:v>2.7108662525799687E-2</c:v>
                </c:pt>
                <c:pt idx="1756">
                  <c:v>2.7106846805406981E-2</c:v>
                </c:pt>
                <c:pt idx="1757">
                  <c:v>2.7104522582355628E-2</c:v>
                </c:pt>
                <c:pt idx="1758">
                  <c:v>2.7103236341924131E-2</c:v>
                </c:pt>
                <c:pt idx="1759">
                  <c:v>2.7102077635476181E-2</c:v>
                </c:pt>
                <c:pt idx="1760">
                  <c:v>2.710054601880527E-2</c:v>
                </c:pt>
                <c:pt idx="1761">
                  <c:v>2.7098765626151319E-2</c:v>
                </c:pt>
                <c:pt idx="1762">
                  <c:v>2.7096739454489899E-2</c:v>
                </c:pt>
                <c:pt idx="1763">
                  <c:v>2.7094332550649192E-2</c:v>
                </c:pt>
                <c:pt idx="1764">
                  <c:v>2.7092572769645606E-2</c:v>
                </c:pt>
                <c:pt idx="1765">
                  <c:v>2.7090819981051339E-2</c:v>
                </c:pt>
                <c:pt idx="1766">
                  <c:v>2.7089074184861062E-2</c:v>
                </c:pt>
                <c:pt idx="1767">
                  <c:v>2.7088230122136316E-2</c:v>
                </c:pt>
                <c:pt idx="1768">
                  <c:v>2.7086498680088514E-2</c:v>
                </c:pt>
                <c:pt idx="1769">
                  <c:v>2.7084774230973399E-2</c:v>
                </c:pt>
                <c:pt idx="1770">
                  <c:v>2.708305677478581E-2</c:v>
                </c:pt>
                <c:pt idx="1771">
                  <c:v>2.7081346311518012E-2</c:v>
                </c:pt>
                <c:pt idx="1772">
                  <c:v>2.7079642841175162E-2</c:v>
                </c:pt>
                <c:pt idx="1773">
                  <c:v>2.7077946363754685E-2</c:v>
                </c:pt>
                <c:pt idx="1774">
                  <c:v>2.707625687924884E-2</c:v>
                </c:pt>
                <c:pt idx="1775">
                  <c:v>2.7074334602560046E-2</c:v>
                </c:pt>
                <c:pt idx="1776">
                  <c:v>2.7071761965171248E-2</c:v>
                </c:pt>
                <c:pt idx="1777">
                  <c:v>2.7070331924781144E-2</c:v>
                </c:pt>
                <c:pt idx="1778">
                  <c:v>2.7068670037238896E-2</c:v>
                </c:pt>
                <c:pt idx="1779">
                  <c:v>2.7067015142068662E-2</c:v>
                </c:pt>
                <c:pt idx="1780">
                  <c:v>2.7066266823266384E-2</c:v>
                </c:pt>
                <c:pt idx="1781">
                  <c:v>2.7064626289085625E-2</c:v>
                </c:pt>
                <c:pt idx="1782">
                  <c:v>2.7062759955600448E-2</c:v>
                </c:pt>
                <c:pt idx="1783">
                  <c:v>2.7061366199393228E-2</c:v>
                </c:pt>
                <c:pt idx="1784">
                  <c:v>2.7060647817297723E-2</c:v>
                </c:pt>
                <c:pt idx="1785">
                  <c:v>2.7057232610598447E-2</c:v>
                </c:pt>
                <c:pt idx="1786">
                  <c:v>2.7055397811480475E-2</c:v>
                </c:pt>
                <c:pt idx="1787">
                  <c:v>2.7054027705587735E-2</c:v>
                </c:pt>
                <c:pt idx="1788">
                  <c:v>2.7054241041070681E-2</c:v>
                </c:pt>
                <c:pt idx="1789">
                  <c:v>2.7051753759485955E-2</c:v>
                </c:pt>
                <c:pt idx="1790">
                  <c:v>2.7050176161227475E-2</c:v>
                </c:pt>
                <c:pt idx="1791">
                  <c:v>2.7048605555832057E-2</c:v>
                </c:pt>
                <c:pt idx="1792">
                  <c:v>2.70470419432997E-2</c:v>
                </c:pt>
                <c:pt idx="1793">
                  <c:v>2.7045263520234116E-2</c:v>
                </c:pt>
                <c:pt idx="1794">
                  <c:v>2.7043714892399113E-2</c:v>
                </c:pt>
                <c:pt idx="1795">
                  <c:v>2.7042173257416861E-2</c:v>
                </c:pt>
                <c:pt idx="1796">
                  <c:v>2.704063861528478E-2</c:v>
                </c:pt>
                <c:pt idx="1797">
                  <c:v>2.7039110966005444E-2</c:v>
                </c:pt>
                <c:pt idx="1798">
                  <c:v>2.7034871076220744E-2</c:v>
                </c:pt>
                <c:pt idx="1799">
                  <c:v>2.7033356255106483E-2</c:v>
                </c:pt>
                <c:pt idx="1800">
                  <c:v>2.7031848425239806E-2</c:v>
                </c:pt>
                <c:pt idx="1801">
                  <c:v>2.7030347586620707E-2</c:v>
                </c:pt>
                <c:pt idx="1802">
                  <c:v>2.7035210596293373E-2</c:v>
                </c:pt>
                <c:pt idx="1803">
                  <c:v>2.7030091919976722E-2</c:v>
                </c:pt>
                <c:pt idx="1804">
                  <c:v>2.7028613220558328E-2</c:v>
                </c:pt>
                <c:pt idx="1805">
                  <c:v>2.7027141513966894E-2</c:v>
                </c:pt>
                <c:pt idx="1806">
                  <c:v>2.7024767204869349E-2</c:v>
                </c:pt>
                <c:pt idx="1807">
                  <c:v>2.702471405173712E-2</c:v>
                </c:pt>
                <c:pt idx="1808">
                  <c:v>2.7023265712458611E-2</c:v>
                </c:pt>
                <c:pt idx="1809">
                  <c:v>2.7022735411524387E-2</c:v>
                </c:pt>
                <c:pt idx="1810">
                  <c:v>2.7020390013929307E-2</c:v>
                </c:pt>
                <c:pt idx="1811">
                  <c:v>2.7018962654678513E-2</c:v>
                </c:pt>
                <c:pt idx="1812">
                  <c:v>2.701754228876363E-2</c:v>
                </c:pt>
                <c:pt idx="1813">
                  <c:v>2.7016128916182158E-2</c:v>
                </c:pt>
                <c:pt idx="1814">
                  <c:v>2.7014722536934099E-2</c:v>
                </c:pt>
                <c:pt idx="1815">
                  <c:v>2.7013323151016955E-2</c:v>
                </c:pt>
                <c:pt idx="1816">
                  <c:v>2.7011930758425728E-2</c:v>
                </c:pt>
                <c:pt idx="1817">
                  <c:v>2.7010545359160421E-2</c:v>
                </c:pt>
                <c:pt idx="1818">
                  <c:v>2.7009166953213537E-2</c:v>
                </c:pt>
                <c:pt idx="1819">
                  <c:v>2.7007795540587576E-2</c:v>
                </c:pt>
                <c:pt idx="1820">
                  <c:v>2.7006431121277541E-2</c:v>
                </c:pt>
                <c:pt idx="1821">
                  <c:v>2.7005073695283432E-2</c:v>
                </c:pt>
                <c:pt idx="1822">
                  <c:v>2.7004639445252273E-2</c:v>
                </c:pt>
                <c:pt idx="1823">
                  <c:v>2.6999630581529484E-2</c:v>
                </c:pt>
                <c:pt idx="1824">
                  <c:v>2.7001043377159195E-2</c:v>
                </c:pt>
                <c:pt idx="1825">
                  <c:v>2.6999713924396318E-2</c:v>
                </c:pt>
                <c:pt idx="1826">
                  <c:v>2.6998391464934379E-2</c:v>
                </c:pt>
                <c:pt idx="1827">
                  <c:v>2.6997075998770881E-2</c:v>
                </c:pt>
                <c:pt idx="1828">
                  <c:v>2.6995767525905823E-2</c:v>
                </c:pt>
                <c:pt idx="1829">
                  <c:v>2.6995385032435596E-2</c:v>
                </c:pt>
                <c:pt idx="1830">
                  <c:v>2.6993171560053542E-2</c:v>
                </c:pt>
                <c:pt idx="1831">
                  <c:v>2.699188406706382E-2</c:v>
                </c:pt>
                <c:pt idx="1832">
                  <c:v>2.699060356736005E-2</c:v>
                </c:pt>
                <c:pt idx="1833">
                  <c:v>2.6989330060942229E-2</c:v>
                </c:pt>
                <c:pt idx="1834">
                  <c:v>2.6988063547805363E-2</c:v>
                </c:pt>
                <c:pt idx="1835">
                  <c:v>2.6986804027946953E-2</c:v>
                </c:pt>
                <c:pt idx="1836">
                  <c:v>2.6982786563346475E-2</c:v>
                </c:pt>
                <c:pt idx="1837">
                  <c:v>2.6984305968065503E-2</c:v>
                </c:pt>
                <c:pt idx="1838">
                  <c:v>2.6983067428037466E-2</c:v>
                </c:pt>
                <c:pt idx="1839">
                  <c:v>2.6981835881277894E-2</c:v>
                </c:pt>
                <c:pt idx="1840">
                  <c:v>2.6981360464579461E-2</c:v>
                </c:pt>
                <c:pt idx="1841">
                  <c:v>2.6979393767559146E-2</c:v>
                </c:pt>
                <c:pt idx="1842">
                  <c:v>2.6978183200597472E-2</c:v>
                </c:pt>
                <c:pt idx="1843">
                  <c:v>2.6977904297534782E-2</c:v>
                </c:pt>
                <c:pt idx="1844">
                  <c:v>2.697417719619661E-2</c:v>
                </c:pt>
                <c:pt idx="1845">
                  <c:v>2.6973498624633798E-2</c:v>
                </c:pt>
                <c:pt idx="1846">
                  <c:v>2.6973410865347991E-2</c:v>
                </c:pt>
                <c:pt idx="1847">
                  <c:v>2.6973161578449444E-2</c:v>
                </c:pt>
                <c:pt idx="1848">
                  <c:v>2.6971066657242859E-2</c:v>
                </c:pt>
                <c:pt idx="1849">
                  <c:v>2.6967124141170716E-2</c:v>
                </c:pt>
                <c:pt idx="1850">
                  <c:v>2.6965041072173027E-2</c:v>
                </c:pt>
                <c:pt idx="1851">
                  <c:v>2.696389179044039E-2</c:v>
                </c:pt>
                <c:pt idx="1852">
                  <c:v>2.6962749499838283E-2</c:v>
                </c:pt>
                <c:pt idx="1853">
                  <c:v>2.696161420037527E-2</c:v>
                </c:pt>
                <c:pt idx="1854">
                  <c:v>2.6964201870831039E-2</c:v>
                </c:pt>
                <c:pt idx="1855">
                  <c:v>2.6963082216102108E-2</c:v>
                </c:pt>
                <c:pt idx="1856">
                  <c:v>2.6961969554601672E-2</c:v>
                </c:pt>
                <c:pt idx="1857">
                  <c:v>2.6960863886334729E-2</c:v>
                </c:pt>
                <c:pt idx="1858">
                  <c:v>2.6960696087184776E-2</c:v>
                </c:pt>
                <c:pt idx="1859">
                  <c:v>2.6958673529486332E-2</c:v>
                </c:pt>
                <c:pt idx="1860">
                  <c:v>2.695758884090238E-2</c:v>
                </c:pt>
                <c:pt idx="1861">
                  <c:v>2.6957443276695935E-2</c:v>
                </c:pt>
                <c:pt idx="1862">
                  <c:v>2.6952643310539561E-2</c:v>
                </c:pt>
                <c:pt idx="1863">
                  <c:v>2.6954376734479035E-2</c:v>
                </c:pt>
                <c:pt idx="1864">
                  <c:v>2.6953320018774096E-2</c:v>
                </c:pt>
                <c:pt idx="1865">
                  <c:v>2.6952270296285163E-2</c:v>
                </c:pt>
                <c:pt idx="1866">
                  <c:v>2.6951227567009739E-2</c:v>
                </c:pt>
                <c:pt idx="1867">
                  <c:v>2.6950191830947823E-2</c:v>
                </c:pt>
                <c:pt idx="1868">
                  <c:v>2.6949163088091921E-2</c:v>
                </c:pt>
                <c:pt idx="1869">
                  <c:v>2.6948141338444531E-2</c:v>
                </c:pt>
                <c:pt idx="1870">
                  <c:v>2.6947126582005654E-2</c:v>
                </c:pt>
                <c:pt idx="1871">
                  <c:v>2.6946118818767795E-2</c:v>
                </c:pt>
                <c:pt idx="1872">
                  <c:v>2.6945118048733452E-2</c:v>
                </c:pt>
                <c:pt idx="1873">
                  <c:v>2.6944124271897629E-2</c:v>
                </c:pt>
                <c:pt idx="1874">
                  <c:v>2.6943137488257829E-2</c:v>
                </c:pt>
                <c:pt idx="1875">
                  <c:v>2.6939344067323904E-2</c:v>
                </c:pt>
                <c:pt idx="1876">
                  <c:v>2.6942123379049707E-2</c:v>
                </c:pt>
                <c:pt idx="1877">
                  <c:v>2.6940219096519558E-2</c:v>
                </c:pt>
                <c:pt idx="1878">
                  <c:v>2.6939260285656352E-2</c:v>
                </c:pt>
                <c:pt idx="1879">
                  <c:v>2.6938308467984173E-2</c:v>
                </c:pt>
                <c:pt idx="1880">
                  <c:v>2.6937363643495527E-2</c:v>
                </c:pt>
                <c:pt idx="1881">
                  <c:v>2.6937366432717109E-2</c:v>
                </c:pt>
                <c:pt idx="1882">
                  <c:v>2.693549497408132E-2</c:v>
                </c:pt>
                <c:pt idx="1883">
                  <c:v>2.6934571129145768E-2</c:v>
                </c:pt>
                <c:pt idx="1884">
                  <c:v>2.693365427739125E-2</c:v>
                </c:pt>
                <c:pt idx="1885">
                  <c:v>2.6932744418817767E-2</c:v>
                </c:pt>
                <c:pt idx="1886">
                  <c:v>2.6931841553420321E-2</c:v>
                </c:pt>
                <c:pt idx="1887">
                  <c:v>2.6930945681196417E-2</c:v>
                </c:pt>
                <c:pt idx="1888">
                  <c:v>2.6930056802146052E-2</c:v>
                </c:pt>
                <c:pt idx="1889">
                  <c:v>2.6929174916271725E-2</c:v>
                </c:pt>
                <c:pt idx="1890">
                  <c:v>2.6928300023563445E-2</c:v>
                </c:pt>
                <c:pt idx="1891">
                  <c:v>2.6927432124026207E-2</c:v>
                </c:pt>
                <c:pt idx="1892">
                  <c:v>2.6926448801902481E-2</c:v>
                </c:pt>
                <c:pt idx="1893">
                  <c:v>2.6925717304452368E-2</c:v>
                </c:pt>
                <c:pt idx="1894">
                  <c:v>2.6924870384410771E-2</c:v>
                </c:pt>
                <c:pt idx="1895">
                  <c:v>2.6924977145574243E-2</c:v>
                </c:pt>
                <c:pt idx="1896">
                  <c:v>2.6923197523813225E-2</c:v>
                </c:pt>
                <c:pt idx="1897">
                  <c:v>2.6919529427257241E-2</c:v>
                </c:pt>
                <c:pt idx="1898">
                  <c:v>2.6921552635854884E-2</c:v>
                </c:pt>
                <c:pt idx="1899">
                  <c:v>2.6921689122108624E-2</c:v>
                </c:pt>
                <c:pt idx="1900">
                  <c:v>2.691993572052076E-2</c:v>
                </c:pt>
                <c:pt idx="1901">
                  <c:v>2.6919137752584033E-2</c:v>
                </c:pt>
                <c:pt idx="1902">
                  <c:v>2.6915498032555042E-2</c:v>
                </c:pt>
                <c:pt idx="1903">
                  <c:v>2.6914712728352684E-2</c:v>
                </c:pt>
                <c:pt idx="1904">
                  <c:v>2.6913934415730058E-2</c:v>
                </c:pt>
                <c:pt idx="1905">
                  <c:v>2.6913163094684403E-2</c:v>
                </c:pt>
                <c:pt idx="1906">
                  <c:v>2.6915252810148782E-2</c:v>
                </c:pt>
                <c:pt idx="1907">
                  <c:v>2.691449680109842E-2</c:v>
                </c:pt>
                <c:pt idx="1908">
                  <c:v>2.6914700199368695E-2</c:v>
                </c:pt>
                <c:pt idx="1909">
                  <c:v>2.6913005762430886E-2</c:v>
                </c:pt>
                <c:pt idx="1910">
                  <c:v>2.6909411363050077E-2</c:v>
                </c:pt>
                <c:pt idx="1911">
                  <c:v>2.6911542696327617E-2</c:v>
                </c:pt>
                <c:pt idx="1912">
                  <c:v>2.691082165297759E-2</c:v>
                </c:pt>
                <c:pt idx="1913">
                  <c:v>2.6910107602768629E-2</c:v>
                </c:pt>
                <c:pt idx="1914">
                  <c:v>2.6910355632550873E-2</c:v>
                </c:pt>
                <c:pt idx="1915">
                  <c:v>2.6908700481751424E-2</c:v>
                </c:pt>
                <c:pt idx="1916">
                  <c:v>2.690800741094318E-2</c:v>
                </c:pt>
                <c:pt idx="1917">
                  <c:v>2.6907321333263512E-2</c:v>
                </c:pt>
                <c:pt idx="1918">
                  <c:v>2.6906642248714918E-2</c:v>
                </c:pt>
                <c:pt idx="1919">
                  <c:v>2.6906927485783202E-2</c:v>
                </c:pt>
                <c:pt idx="1920">
                  <c:v>2.6905305059003459E-2</c:v>
                </c:pt>
                <c:pt idx="1921">
                  <c:v>2.6904646953835598E-2</c:v>
                </c:pt>
                <c:pt idx="1922">
                  <c:v>2.6903995841793815E-2</c:v>
                </c:pt>
                <c:pt idx="1923">
                  <c:v>2.6900474873942742E-2</c:v>
                </c:pt>
                <c:pt idx="1924">
                  <c:v>2.690271459708099E-2</c:v>
                </c:pt>
                <c:pt idx="1925">
                  <c:v>2.6902084464404952E-2</c:v>
                </c:pt>
                <c:pt idx="1926">
                  <c:v>2.6901461324849996E-2</c:v>
                </c:pt>
                <c:pt idx="1927">
                  <c:v>2.6901806120715417E-2</c:v>
                </c:pt>
                <c:pt idx="1928">
                  <c:v>2.6901197421476526E-2</c:v>
                </c:pt>
                <c:pt idx="1929">
                  <c:v>2.6899633864894135E-2</c:v>
                </c:pt>
                <c:pt idx="1930">
                  <c:v>2.6899038697808519E-2</c:v>
                </c:pt>
                <c:pt idx="1931">
                  <c:v>2.6898450523836492E-2</c:v>
                </c:pt>
                <c:pt idx="1932">
                  <c:v>2.6897869342975556E-2</c:v>
                </c:pt>
                <c:pt idx="1933">
                  <c:v>2.6898258829856789E-2</c:v>
                </c:pt>
                <c:pt idx="1934">
                  <c:v>2.6896727960596944E-2</c:v>
                </c:pt>
                <c:pt idx="1935">
                  <c:v>2.6896167759071776E-2</c:v>
                </c:pt>
                <c:pt idx="1936">
                  <c:v>2.68956145506552E-2</c:v>
                </c:pt>
                <c:pt idx="1937">
                  <c:v>2.6895068335344718E-2</c:v>
                </c:pt>
                <c:pt idx="1938">
                  <c:v>2.6894529113145327E-2</c:v>
                </c:pt>
                <c:pt idx="1939">
                  <c:v>2.6893996884049531E-2</c:v>
                </c:pt>
                <c:pt idx="1940">
                  <c:v>2.6893471648057332E-2</c:v>
                </c:pt>
                <c:pt idx="1941">
                  <c:v>2.6892953405171227E-2</c:v>
                </c:pt>
                <c:pt idx="1942">
                  <c:v>2.6892442155388718E-2</c:v>
                </c:pt>
                <c:pt idx="1943">
                  <c:v>2.689193789870481E-2</c:v>
                </c:pt>
                <c:pt idx="1944">
                  <c:v>2.6892338967193685E-2</c:v>
                </c:pt>
                <c:pt idx="1945">
                  <c:v>2.6891919560364418E-2</c:v>
                </c:pt>
                <c:pt idx="1946">
                  <c:v>2.6890467087264669E-2</c:v>
                </c:pt>
                <c:pt idx="1947">
                  <c:v>2.6890960926198432E-2</c:v>
                </c:pt>
                <c:pt idx="1948">
                  <c:v>2.6889521511799241E-2</c:v>
                </c:pt>
                <c:pt idx="1949">
                  <c:v>2.6888993741988887E-2</c:v>
                </c:pt>
                <c:pt idx="1950">
                  <c:v>2.6887567943817664E-2</c:v>
                </c:pt>
                <c:pt idx="1951">
                  <c:v>2.6887120164832162E-2</c:v>
                </c:pt>
                <c:pt idx="1952">
                  <c:v>2.6887651803336188E-2</c:v>
                </c:pt>
                <c:pt idx="1953">
                  <c:v>2.6886245584576203E-2</c:v>
                </c:pt>
                <c:pt idx="1954">
                  <c:v>2.6882899262133466E-2</c:v>
                </c:pt>
                <c:pt idx="1955">
                  <c:v>2.688247804929457E-2</c:v>
                </c:pt>
                <c:pt idx="1956">
                  <c:v>2.6882063827460594E-2</c:v>
                </c:pt>
                <c:pt idx="1957">
                  <c:v>2.6881656596625829E-2</c:v>
                </c:pt>
                <c:pt idx="1958">
                  <c:v>2.688418150390208E-2</c:v>
                </c:pt>
                <c:pt idx="1959">
                  <c:v>2.6884765371367747E-2</c:v>
                </c:pt>
                <c:pt idx="1960">
                  <c:v>2.6883404819605848E-2</c:v>
                </c:pt>
                <c:pt idx="1961">
                  <c:v>2.6883026966306234E-2</c:v>
                </c:pt>
                <c:pt idx="1962">
                  <c:v>2.6879725307477224E-2</c:v>
                </c:pt>
                <c:pt idx="1963">
                  <c:v>2.6881109683563942E-2</c:v>
                </c:pt>
                <c:pt idx="1964">
                  <c:v>2.6881935361785909E-2</c:v>
                </c:pt>
                <c:pt idx="1965">
                  <c:v>2.6881585478736925E-2</c:v>
                </c:pt>
                <c:pt idx="1966">
                  <c:v>2.6883200704993403E-2</c:v>
                </c:pt>
                <c:pt idx="1967">
                  <c:v>2.6880906217235684E-2</c:v>
                </c:pt>
                <c:pt idx="1968">
                  <c:v>2.688057297299316E-2</c:v>
                </c:pt>
                <c:pt idx="1969">
                  <c:v>2.6880238350186277E-2</c:v>
                </c:pt>
                <c:pt idx="1970">
                  <c:v>2.6879897841287779E-2</c:v>
                </c:pt>
                <c:pt idx="1971">
                  <c:v>2.6879546997905047E-2</c:v>
                </c:pt>
                <c:pt idx="1972">
                  <c:v>2.6879183325352329E-2</c:v>
                </c:pt>
                <c:pt idx="1973">
                  <c:v>2.6878806683447568E-2</c:v>
                </c:pt>
                <c:pt idx="1974">
                  <c:v>2.6878417072198499E-2</c:v>
                </c:pt>
                <c:pt idx="1975">
                  <c:v>2.687801449160512E-2</c:v>
                </c:pt>
                <c:pt idx="1976">
                  <c:v>2.6877598941667434E-2</c:v>
                </c:pt>
                <c:pt idx="1977">
                  <c:v>2.6877170422388019E-2</c:v>
                </c:pt>
                <c:pt idx="1978">
                  <c:v>2.6876728933764294E-2</c:v>
                </c:pt>
                <c:pt idx="1979">
                  <c:v>2.6877243314665233E-2</c:v>
                </c:pt>
                <c:pt idx="1980">
                  <c:v>2.6876774926059832E-2</c:v>
                </c:pt>
                <c:pt idx="1981">
                  <c:v>2.6875326651871111E-2</c:v>
                </c:pt>
                <c:pt idx="1982">
                  <c:v>2.6874833285903676E-2</c:v>
                </c:pt>
                <c:pt idx="1983">
                  <c:v>2.6874326950599669E-2</c:v>
                </c:pt>
                <c:pt idx="1984">
                  <c:v>2.6873807645966825E-2</c:v>
                </c:pt>
                <c:pt idx="1985">
                  <c:v>2.6874238428522823E-2</c:v>
                </c:pt>
                <c:pt idx="1986">
                  <c:v>2.6872730128709471E-2</c:v>
                </c:pt>
                <c:pt idx="1987">
                  <c:v>2.6872171916092695E-2</c:v>
                </c:pt>
                <c:pt idx="1988">
                  <c:v>2.6872560886460062E-2</c:v>
                </c:pt>
                <c:pt idx="1989">
                  <c:v>2.6871016582885526E-2</c:v>
                </c:pt>
                <c:pt idx="1990">
                  <c:v>2.6870419462300291E-2</c:v>
                </c:pt>
                <c:pt idx="1991">
                  <c:v>2.6869809372396535E-2</c:v>
                </c:pt>
                <c:pt idx="1992">
                  <c:v>2.6869186313176831E-2</c:v>
                </c:pt>
                <c:pt idx="1993">
                  <c:v>2.6868550284643765E-2</c:v>
                </c:pt>
                <c:pt idx="1994">
                  <c:v>2.68666652293712E-2</c:v>
                </c:pt>
                <c:pt idx="1995">
                  <c:v>2.6867239319642695E-2</c:v>
                </c:pt>
                <c:pt idx="1996">
                  <c:v>2.686846906785657E-2</c:v>
                </c:pt>
                <c:pt idx="1997">
                  <c:v>2.6866827864927556E-2</c:v>
                </c:pt>
                <c:pt idx="1998">
                  <c:v>2.6865175602337261E-2</c:v>
                </c:pt>
                <c:pt idx="1999">
                  <c:v>2.6865411187132482E-2</c:v>
                </c:pt>
                <c:pt idx="2000">
                  <c:v>2.686373494429279E-2</c:v>
                </c:pt>
                <c:pt idx="2001">
                  <c:v>2.6864890048714913E-2</c:v>
                </c:pt>
                <c:pt idx="2002">
                  <c:v>2.6862242409064475E-2</c:v>
                </c:pt>
                <c:pt idx="2003">
                  <c:v>2.6861476687508636E-2</c:v>
                </c:pt>
                <c:pt idx="2004">
                  <c:v>2.6861642513072159E-2</c:v>
                </c:pt>
                <c:pt idx="2005">
                  <c:v>2.6859906336541957E-2</c:v>
                </c:pt>
                <c:pt idx="2006">
                  <c:v>2.6856273790300454E-2</c:v>
                </c:pt>
                <c:pt idx="2007">
                  <c:v>2.6855459152888641E-2</c:v>
                </c:pt>
                <c:pt idx="2008">
                  <c:v>2.6854631549088862E-2</c:v>
                </c:pt>
                <c:pt idx="2009">
                  <c:v>2.6857549582747497E-2</c:v>
                </c:pt>
                <c:pt idx="2010">
                  <c:v>2.6855753496715096E-2</c:v>
                </c:pt>
                <c:pt idx="2011">
                  <c:v>2.6854884020930822E-2</c:v>
                </c:pt>
                <c:pt idx="2012">
                  <c:v>2.6854001575877019E-2</c:v>
                </c:pt>
                <c:pt idx="2013">
                  <c:v>2.6852588673307882E-2</c:v>
                </c:pt>
                <c:pt idx="2014">
                  <c:v>2.6852197777989188E-2</c:v>
                </c:pt>
                <c:pt idx="2015">
                  <c:v>2.6852210048595171E-2</c:v>
                </c:pt>
                <c:pt idx="2016">
                  <c:v>2.6850342103069656E-2</c:v>
                </c:pt>
                <c:pt idx="2017">
                  <c:v>2.6849394811730092E-2</c:v>
                </c:pt>
                <c:pt idx="2018">
                  <c:v>2.6849365183531648E-2</c:v>
                </c:pt>
                <c:pt idx="2019">
                  <c:v>2.684746132130942E-2</c:v>
                </c:pt>
                <c:pt idx="2020">
                  <c:v>2.6846475122238624E-2</c:v>
                </c:pt>
                <c:pt idx="2021">
                  <c:v>2.6845475953926667E-2</c:v>
                </c:pt>
                <c:pt idx="2022">
                  <c:v>2.6844463816381278E-2</c:v>
                </c:pt>
                <c:pt idx="2023">
                  <c:v>2.6843438709602461E-2</c:v>
                </c:pt>
                <c:pt idx="2024">
                  <c:v>2.684240063359537E-2</c:v>
                </c:pt>
                <c:pt idx="2025">
                  <c:v>2.6841349588365166E-2</c:v>
                </c:pt>
                <c:pt idx="2026">
                  <c:v>2.6840285573914425E-2</c:v>
                </c:pt>
                <c:pt idx="2027">
                  <c:v>2.6840130197475776E-2</c:v>
                </c:pt>
                <c:pt idx="2028">
                  <c:v>2.6838118637359073E-2</c:v>
                </c:pt>
                <c:pt idx="2029">
                  <c:v>2.6837015715264773E-2</c:v>
                </c:pt>
                <c:pt idx="2030">
                  <c:v>2.6835899823962832E-2</c:v>
                </c:pt>
                <c:pt idx="2031">
                  <c:v>2.6835688534485869E-2</c:v>
                </c:pt>
                <c:pt idx="2032">
                  <c:v>2.6834545693329159E-2</c:v>
                </c:pt>
                <c:pt idx="2033">
                  <c:v>2.683247433485756E-2</c:v>
                </c:pt>
                <c:pt idx="2034">
                  <c:v>2.6831306566768881E-2</c:v>
                </c:pt>
                <c:pt idx="2035">
                  <c:v>2.6830125829490608E-2</c:v>
                </c:pt>
                <c:pt idx="2036">
                  <c:v>2.6826194301666297E-2</c:v>
                </c:pt>
                <c:pt idx="2037">
                  <c:v>2.6828636935256334E-2</c:v>
                </c:pt>
                <c:pt idx="2038">
                  <c:v>2.6826505802569803E-2</c:v>
                </c:pt>
                <c:pt idx="2039">
                  <c:v>2.682527318858215E-2</c:v>
                </c:pt>
                <c:pt idx="2040">
                  <c:v>2.6825844419945906E-2</c:v>
                </c:pt>
                <c:pt idx="2041">
                  <c:v>2.6822769053107685E-2</c:v>
                </c:pt>
                <c:pt idx="2042">
                  <c:v>2.6822403923766891E-2</c:v>
                </c:pt>
                <c:pt idx="2043">
                  <c:v>2.6820213040996042E-2</c:v>
                </c:pt>
                <c:pt idx="2044">
                  <c:v>2.6818915581212559E-2</c:v>
                </c:pt>
                <c:pt idx="2045">
                  <c:v>2.6817605152280741E-2</c:v>
                </c:pt>
                <c:pt idx="2046">
                  <c:v>2.6816281754210903E-2</c:v>
                </c:pt>
                <c:pt idx="2047">
                  <c:v>2.6814945387000463E-2</c:v>
                </c:pt>
                <c:pt idx="2048">
                  <c:v>2.6813596050659735E-2</c:v>
                </c:pt>
                <c:pt idx="2049">
                  <c:v>2.6812233745188725E-2</c:v>
                </c:pt>
                <c:pt idx="2050">
                  <c:v>2.6810858470592586E-2</c:v>
                </c:pt>
                <c:pt idx="2051">
                  <c:v>2.6809470226879052E-2</c:v>
                </c:pt>
                <c:pt idx="2052">
                  <c:v>2.6808965142723906E-2</c:v>
                </c:pt>
                <c:pt idx="2053">
                  <c:v>2.6806044784005185E-2</c:v>
                </c:pt>
                <c:pt idx="2054">
                  <c:v>2.680461207477651E-2</c:v>
                </c:pt>
                <c:pt idx="2055">
                  <c:v>2.6803166396448495E-2</c:v>
                </c:pt>
                <c:pt idx="2056">
                  <c:v>2.6801498312119764E-2</c:v>
                </c:pt>
                <c:pt idx="2057">
                  <c:v>2.6800236132512482E-2</c:v>
                </c:pt>
                <c:pt idx="2058">
                  <c:v>2.6796082778231613E-2</c:v>
                </c:pt>
                <c:pt idx="2059">
                  <c:v>2.6794588336035905E-2</c:v>
                </c:pt>
                <c:pt idx="2060">
                  <c:v>2.6792864525119038E-2</c:v>
                </c:pt>
                <c:pt idx="2061">
                  <c:v>2.6791560553048717E-2</c:v>
                </c:pt>
                <c:pt idx="2062">
                  <c:v>2.679268351380398E-2</c:v>
                </c:pt>
                <c:pt idx="2063">
                  <c:v>2.6791134082864296E-2</c:v>
                </c:pt>
                <c:pt idx="2064">
                  <c:v>2.6789571682874269E-2</c:v>
                </c:pt>
                <c:pt idx="2065">
                  <c:v>2.6787996313833887E-2</c:v>
                </c:pt>
                <c:pt idx="2066">
                  <c:v>2.678552676881818E-2</c:v>
                </c:pt>
                <c:pt idx="2067">
                  <c:v>2.6783926506993794E-2</c:v>
                </c:pt>
                <c:pt idx="2068">
                  <c:v>2.6781849972369542E-2</c:v>
                </c:pt>
                <c:pt idx="2069">
                  <c:v>2.6780687079118515E-2</c:v>
                </c:pt>
                <c:pt idx="2070">
                  <c:v>2.6779047913080944E-2</c:v>
                </c:pt>
                <c:pt idx="2071">
                  <c:v>2.6778034522158455E-2</c:v>
                </c:pt>
                <c:pt idx="2072">
                  <c:v>2.6776605597659729E-2</c:v>
                </c:pt>
                <c:pt idx="2073">
                  <c:v>2.6774926476425417E-2</c:v>
                </c:pt>
                <c:pt idx="2074">
                  <c:v>2.6772991600326077E-2</c:v>
                </c:pt>
                <c:pt idx="2075">
                  <c:v>2.6770657562096289E-2</c:v>
                </c:pt>
                <c:pt idx="2076">
                  <c:v>2.6768940587776235E-2</c:v>
                </c:pt>
                <c:pt idx="2077">
                  <c:v>2.6767210645429529E-2</c:v>
                </c:pt>
                <c:pt idx="2078">
                  <c:v>2.6765467735064163E-2</c:v>
                </c:pt>
                <c:pt idx="2079">
                  <c:v>2.6764579400254066E-2</c:v>
                </c:pt>
                <c:pt idx="2080">
                  <c:v>2.6762809496146921E-2</c:v>
                </c:pt>
                <c:pt idx="2081">
                  <c:v>2.6761026623082253E-2</c:v>
                </c:pt>
                <c:pt idx="2082">
                  <c:v>2.6759230781067803E-2</c:v>
                </c:pt>
                <c:pt idx="2083">
                  <c:v>2.6757421970103567E-2</c:v>
                </c:pt>
                <c:pt idx="2084">
                  <c:v>2.675560019019986E-2</c:v>
                </c:pt>
                <c:pt idx="2085">
                  <c:v>2.6753765441361842E-2</c:v>
                </c:pt>
                <c:pt idx="2086">
                  <c:v>2.6751917723592086E-2</c:v>
                </c:pt>
                <c:pt idx="2087">
                  <c:v>2.674979016583115E-2</c:v>
                </c:pt>
                <c:pt idx="2088">
                  <c:v>2.6747056819938386E-2</c:v>
                </c:pt>
                <c:pt idx="2089">
                  <c:v>2.674543983322053E-2</c:v>
                </c:pt>
                <c:pt idx="2090">
                  <c:v>2.6743541307036267E-2</c:v>
                </c:pt>
                <c:pt idx="2091">
                  <c:v>2.6741629812913281E-2</c:v>
                </c:pt>
                <c:pt idx="2092">
                  <c:v>2.6740559069842903E-2</c:v>
                </c:pt>
                <c:pt idx="2093">
                  <c:v>2.6738620569749551E-2</c:v>
                </c:pt>
                <c:pt idx="2094">
                  <c:v>2.673638926081838E-2</c:v>
                </c:pt>
                <c:pt idx="2095">
                  <c:v>2.6734704662945571E-2</c:v>
                </c:pt>
                <c:pt idx="2096">
                  <c:v>2.6733576628847344E-2</c:v>
                </c:pt>
                <c:pt idx="2097">
                  <c:v>2.6729888521667355E-2</c:v>
                </c:pt>
                <c:pt idx="2098">
                  <c:v>2.672759915498979E-2</c:v>
                </c:pt>
                <c:pt idx="2099">
                  <c:v>2.6725871014644298E-2</c:v>
                </c:pt>
                <c:pt idx="2100">
                  <c:v>2.672553301163505E-2</c:v>
                </c:pt>
                <c:pt idx="2101">
                  <c:v>2.6722645689974418E-2</c:v>
                </c:pt>
                <c:pt idx="2102">
                  <c:v>2.6720590470222613E-2</c:v>
                </c:pt>
                <c:pt idx="2103">
                  <c:v>2.6718522281652533E-2</c:v>
                </c:pt>
                <c:pt idx="2104">
                  <c:v>2.6716441124271913E-2</c:v>
                </c:pt>
                <c:pt idx="2105">
                  <c:v>2.6714046778528303E-2</c:v>
                </c:pt>
                <c:pt idx="2106">
                  <c:v>2.6711937830861478E-2</c:v>
                </c:pt>
                <c:pt idx="2107">
                  <c:v>2.6709815914407322E-2</c:v>
                </c:pt>
                <c:pt idx="2108">
                  <c:v>2.6707681029168408E-2</c:v>
                </c:pt>
                <c:pt idx="2109">
                  <c:v>2.6705533175160209E-2</c:v>
                </c:pt>
                <c:pt idx="2110">
                  <c:v>2.6701703976675505E-2</c:v>
                </c:pt>
                <c:pt idx="2111">
                  <c:v>2.6699532359623804E-2</c:v>
                </c:pt>
                <c:pt idx="2112">
                  <c:v>2.6697347775716928E-2</c:v>
                </c:pt>
                <c:pt idx="2113">
                  <c:v>2.669515022495212E-2</c:v>
                </c:pt>
                <c:pt idx="2114">
                  <c:v>2.6697917950815712E-2</c:v>
                </c:pt>
                <c:pt idx="2115">
                  <c:v>2.6692373707239692E-2</c:v>
                </c:pt>
                <c:pt idx="2116">
                  <c:v>2.6690135072008958E-2</c:v>
                </c:pt>
                <c:pt idx="2117">
                  <c:v>2.6687883468065665E-2</c:v>
                </c:pt>
                <c:pt idx="2118">
                  <c:v>2.6684793463782164E-2</c:v>
                </c:pt>
                <c:pt idx="2119">
                  <c:v>2.6683512205957494E-2</c:v>
                </c:pt>
                <c:pt idx="2120">
                  <c:v>2.6681216894321735E-2</c:v>
                </c:pt>
                <c:pt idx="2121">
                  <c:v>2.66797303155593E-2</c:v>
                </c:pt>
                <c:pt idx="2122">
                  <c:v>2.6674125164385078E-2</c:v>
                </c:pt>
                <c:pt idx="2123">
                  <c:v>2.6674253141682203E-2</c:v>
                </c:pt>
                <c:pt idx="2124">
                  <c:v>2.667190595158242E-2</c:v>
                </c:pt>
                <c:pt idx="2125">
                  <c:v>2.6669545791889737E-2</c:v>
                </c:pt>
                <c:pt idx="2126">
                  <c:v>2.6667172662606653E-2</c:v>
                </c:pt>
                <c:pt idx="2127">
                  <c:v>2.6664786563740661E-2</c:v>
                </c:pt>
                <c:pt idx="2128">
                  <c:v>2.6662387495309248E-2</c:v>
                </c:pt>
                <c:pt idx="2129">
                  <c:v>2.6659975457312413E-2</c:v>
                </c:pt>
                <c:pt idx="2130">
                  <c:v>2.6657550449760148E-2</c:v>
                </c:pt>
                <c:pt idx="2131">
                  <c:v>2.6655112472659948E-2</c:v>
                </c:pt>
                <c:pt idx="2132">
                  <c:v>2.66526615260268E-2</c:v>
                </c:pt>
                <c:pt idx="2133">
                  <c:v>2.6650197609860704E-2</c:v>
                </c:pt>
                <c:pt idx="2134">
                  <c:v>2.6647720724171653E-2</c:v>
                </c:pt>
                <c:pt idx="2135">
                  <c:v>2.6642811750377124E-2</c:v>
                </c:pt>
                <c:pt idx="2136">
                  <c:v>2.6643533173424737E-2</c:v>
                </c:pt>
                <c:pt idx="2137">
                  <c:v>2.664021225007418E-2</c:v>
                </c:pt>
                <c:pt idx="2138">
                  <c:v>2.6637683486388231E-2</c:v>
                </c:pt>
                <c:pt idx="2139">
                  <c:v>2.6635141753231784E-2</c:v>
                </c:pt>
                <c:pt idx="2140">
                  <c:v>2.6632587050597345E-2</c:v>
                </c:pt>
                <c:pt idx="2141">
                  <c:v>2.6630818936130236E-2</c:v>
                </c:pt>
                <c:pt idx="2142">
                  <c:v>2.6627438736961939E-2</c:v>
                </c:pt>
                <c:pt idx="2143">
                  <c:v>2.6624845125980956E-2</c:v>
                </c:pt>
                <c:pt idx="2144">
                  <c:v>2.6622238545559451E-2</c:v>
                </c:pt>
                <c:pt idx="2145">
                  <c:v>2.6619618995714911E-2</c:v>
                </c:pt>
                <c:pt idx="2146">
                  <c:v>2.6616986476457327E-2</c:v>
                </c:pt>
                <c:pt idx="2147">
                  <c:v>2.6614340987791696E-2</c:v>
                </c:pt>
                <c:pt idx="2148">
                  <c:v>2.6611682529728009E-2</c:v>
                </c:pt>
                <c:pt idx="2149">
                  <c:v>2.6609011102278757E-2</c:v>
                </c:pt>
                <c:pt idx="2150">
                  <c:v>2.6606326705451433E-2</c:v>
                </c:pt>
                <c:pt idx="2151">
                  <c:v>2.6603629339253532E-2</c:v>
                </c:pt>
                <c:pt idx="2152">
                  <c:v>2.6600530754175011E-2</c:v>
                </c:pt>
                <c:pt idx="2153">
                  <c:v>2.6598195698780969E-2</c:v>
                </c:pt>
                <c:pt idx="2154">
                  <c:v>2.6595459424531287E-2</c:v>
                </c:pt>
                <c:pt idx="2155">
                  <c:v>2.659349401349154E-2</c:v>
                </c:pt>
                <c:pt idx="2156">
                  <c:v>2.6589947968037597E-2</c:v>
                </c:pt>
                <c:pt idx="2157">
                  <c:v>2.6584827656172403E-2</c:v>
                </c:pt>
                <c:pt idx="2158">
                  <c:v>2.658438463429641E-2</c:v>
                </c:pt>
                <c:pt idx="2159">
                  <c:v>2.6582362819442616E-2</c:v>
                </c:pt>
                <c:pt idx="2160">
                  <c:v>2.657876942337517E-2</c:v>
                </c:pt>
                <c:pt idx="2161">
                  <c:v>2.6573610832955941E-2</c:v>
                </c:pt>
                <c:pt idx="2162">
                  <c:v>2.6569998029323725E-2</c:v>
                </c:pt>
                <c:pt idx="2163">
                  <c:v>2.6567149577063947E-2</c:v>
                </c:pt>
                <c:pt idx="2164">
                  <c:v>2.6564288159289795E-2</c:v>
                </c:pt>
                <c:pt idx="2165">
                  <c:v>2.6561413776012684E-2</c:v>
                </c:pt>
                <c:pt idx="2166">
                  <c:v>2.6561612528347989E-2</c:v>
                </c:pt>
                <c:pt idx="2167">
                  <c:v>2.6558707653529801E-2</c:v>
                </c:pt>
                <c:pt idx="2168">
                  <c:v>2.6556558876053321E-2</c:v>
                </c:pt>
                <c:pt idx="2169">
                  <c:v>2.6552858996291284E-2</c:v>
                </c:pt>
                <c:pt idx="2170">
                  <c:v>2.6550681994758983E-2</c:v>
                </c:pt>
                <c:pt idx="2171">
                  <c:v>2.6546958462312364E-2</c:v>
                </c:pt>
                <c:pt idx="2172">
                  <c:v>2.6543988741570546E-2</c:v>
                </c:pt>
                <c:pt idx="2173">
                  <c:v>2.6541006051672977E-2</c:v>
                </c:pt>
                <c:pt idx="2174">
                  <c:v>2.6535723366112086E-2</c:v>
                </c:pt>
                <c:pt idx="2175">
                  <c:v>2.6535001764460553E-2</c:v>
                </c:pt>
                <c:pt idx="2176">
                  <c:v>2.6531980167158187E-2</c:v>
                </c:pt>
                <c:pt idx="2177">
                  <c:v>2.6528945600747533E-2</c:v>
                </c:pt>
                <c:pt idx="2178">
                  <c:v>2.6525898065231091E-2</c:v>
                </c:pt>
                <c:pt idx="2179">
                  <c:v>2.6523594009929239E-2</c:v>
                </c:pt>
                <c:pt idx="2180">
                  <c:v>2.6519764086943287E-2</c:v>
                </c:pt>
                <c:pt idx="2181">
                  <c:v>2.6516677644179421E-2</c:v>
                </c:pt>
                <c:pt idx="2182">
                  <c:v>2.6513578232364721E-2</c:v>
                </c:pt>
                <c:pt idx="2183">
                  <c:v>2.6510465851494192E-2</c:v>
                </c:pt>
                <c:pt idx="2184">
                  <c:v>2.6507340501587817E-2</c:v>
                </c:pt>
                <c:pt idx="2185">
                  <c:v>2.6504202182650594E-2</c:v>
                </c:pt>
                <c:pt idx="2186">
                  <c:v>2.6501050894702505E-2</c:v>
                </c:pt>
                <c:pt idx="2187">
                  <c:v>2.6498633840347129E-2</c:v>
                </c:pt>
                <c:pt idx="2188">
                  <c:v>2.649545545439028E-2</c:v>
                </c:pt>
                <c:pt idx="2189">
                  <c:v>2.6491519216848003E-2</c:v>
                </c:pt>
                <c:pt idx="2190">
                  <c:v>2.6488316052936389E-2</c:v>
                </c:pt>
                <c:pt idx="2191">
                  <c:v>2.6485099920061372E-2</c:v>
                </c:pt>
                <c:pt idx="2192">
                  <c:v>2.6481870818232944E-2</c:v>
                </c:pt>
                <c:pt idx="2193">
                  <c:v>2.6479368976199555E-2</c:v>
                </c:pt>
                <c:pt idx="2194">
                  <c:v>2.6475373707773309E-2</c:v>
                </c:pt>
                <c:pt idx="2195">
                  <c:v>2.6472105699157089E-2</c:v>
                </c:pt>
                <c:pt idx="2196">
                  <c:v>2.6466614082483873E-2</c:v>
                </c:pt>
                <c:pt idx="2197">
                  <c:v>2.6465530775226787E-2</c:v>
                </c:pt>
                <c:pt idx="2198">
                  <c:v>2.6462223859927692E-2</c:v>
                </c:pt>
                <c:pt idx="2199">
                  <c:v>2.6458903975755121E-2</c:v>
                </c:pt>
                <c:pt idx="2200">
                  <c:v>2.6455571122726562E-2</c:v>
                </c:pt>
                <c:pt idx="2201">
                  <c:v>2.6452225300844512E-2</c:v>
                </c:pt>
                <c:pt idx="2202">
                  <c:v>2.6447656010049347E-2</c:v>
                </c:pt>
                <c:pt idx="2203">
                  <c:v>2.6445494750577392E-2</c:v>
                </c:pt>
                <c:pt idx="2204">
                  <c:v>2.6442352620095606E-2</c:v>
                </c:pt>
                <c:pt idx="2205">
                  <c:v>2.643943850646157E-2</c:v>
                </c:pt>
                <c:pt idx="2206">
                  <c:v>2.643530165909902E-2</c:v>
                </c:pt>
                <c:pt idx="2207">
                  <c:v>2.6432601851675036E-2</c:v>
                </c:pt>
                <c:pt idx="2208">
                  <c:v>2.6428441420866533E-2</c:v>
                </c:pt>
                <c:pt idx="2209">
                  <c:v>2.6421799224521172E-2</c:v>
                </c:pt>
                <c:pt idx="2210">
                  <c:v>2.6420313402294629E-2</c:v>
                </c:pt>
                <c:pt idx="2211">
                  <c:v>2.6416837221044681E-2</c:v>
                </c:pt>
                <c:pt idx="2212">
                  <c:v>2.6414065906682493E-2</c:v>
                </c:pt>
                <c:pt idx="2213">
                  <c:v>2.6409845955145575E-2</c:v>
                </c:pt>
                <c:pt idx="2214">
                  <c:v>2.6404183999794002E-2</c:v>
                </c:pt>
                <c:pt idx="2215">
                  <c:v>2.6400659500955506E-2</c:v>
                </c:pt>
                <c:pt idx="2216">
                  <c:v>2.6397122037110803E-2</c:v>
                </c:pt>
                <c:pt idx="2217">
                  <c:v>2.6393571608262736E-2</c:v>
                </c:pt>
                <c:pt idx="2218">
                  <c:v>2.6392140854472272E-2</c:v>
                </c:pt>
                <c:pt idx="2219">
                  <c:v>2.6389270465704551E-2</c:v>
                </c:pt>
                <c:pt idx="2220">
                  <c:v>2.6384968040083376E-2</c:v>
                </c:pt>
                <c:pt idx="2221">
                  <c:v>2.6381362181341458E-2</c:v>
                </c:pt>
                <c:pt idx="2222">
                  <c:v>2.6378449318583685E-2</c:v>
                </c:pt>
                <c:pt idx="2223">
                  <c:v>2.6371326258421313E-2</c:v>
                </c:pt>
                <c:pt idx="2224">
                  <c:v>2.6370466799052177E-2</c:v>
                </c:pt>
                <c:pt idx="2225">
                  <c:v>2.6366809069642498E-2</c:v>
                </c:pt>
                <c:pt idx="2226">
                  <c:v>2.6363839562316416E-2</c:v>
                </c:pt>
                <c:pt idx="2227">
                  <c:v>2.6359454707942223E-2</c:v>
                </c:pt>
                <c:pt idx="2228">
                  <c:v>2.6355758075667101E-2</c:v>
                </c:pt>
                <c:pt idx="2229">
                  <c:v>2.6352048475795947E-2</c:v>
                </c:pt>
                <c:pt idx="2230">
                  <c:v>2.6348325908336499E-2</c:v>
                </c:pt>
                <c:pt idx="2231">
                  <c:v>2.6345285575092303E-2</c:v>
                </c:pt>
                <c:pt idx="2232">
                  <c:v>2.6340841870714612E-2</c:v>
                </c:pt>
                <c:pt idx="2233">
                  <c:v>2.6337080400572799E-2</c:v>
                </c:pt>
                <c:pt idx="2234">
                  <c:v>2.6333305962896843E-2</c:v>
                </c:pt>
                <c:pt idx="2235">
                  <c:v>2.6329518557699636E-2</c:v>
                </c:pt>
                <c:pt idx="2236">
                  <c:v>2.6325718184988918E-2</c:v>
                </c:pt>
                <c:pt idx="2237">
                  <c:v>2.632190484478273E-2</c:v>
                </c:pt>
                <c:pt idx="2238">
                  <c:v>2.6318078537093975E-2</c:v>
                </c:pt>
                <c:pt idx="2239">
                  <c:v>2.6315610328062018E-2</c:v>
                </c:pt>
                <c:pt idx="2240">
                  <c:v>2.6311071385640705E-2</c:v>
                </c:pt>
                <c:pt idx="2241">
                  <c:v>2.6306521809235418E-2</c:v>
                </c:pt>
                <c:pt idx="2242">
                  <c:v>2.630264363173241E-2</c:v>
                </c:pt>
                <c:pt idx="2243">
                  <c:v>2.6298752486808716E-2</c:v>
                </c:pt>
                <c:pt idx="2244">
                  <c:v>2.6294848374477233E-2</c:v>
                </c:pt>
                <c:pt idx="2245">
                  <c:v>2.6291609609717381E-2</c:v>
                </c:pt>
                <c:pt idx="2246">
                  <c:v>2.6287001247645034E-2</c:v>
                </c:pt>
                <c:pt idx="2247">
                  <c:v>2.6283058233170106E-2</c:v>
                </c:pt>
                <c:pt idx="2248">
                  <c:v>2.6279102251341536E-2</c:v>
                </c:pt>
                <c:pt idx="2249">
                  <c:v>2.6275133302169639E-2</c:v>
                </c:pt>
                <c:pt idx="2250">
                  <c:v>2.6271151385669884E-2</c:v>
                </c:pt>
                <c:pt idx="2251">
                  <c:v>2.6267156501855165E-2</c:v>
                </c:pt>
                <c:pt idx="2252">
                  <c:v>2.6263148650735795E-2</c:v>
                </c:pt>
                <c:pt idx="2253">
                  <c:v>2.6259127832327252E-2</c:v>
                </c:pt>
                <c:pt idx="2254">
                  <c:v>2.6252694385354935E-2</c:v>
                </c:pt>
                <c:pt idx="2255">
                  <c:v>2.6251047293704512E-2</c:v>
                </c:pt>
                <c:pt idx="2256">
                  <c:v>2.624831733454756E-2</c:v>
                </c:pt>
                <c:pt idx="2257">
                  <c:v>2.6243578585831706E-2</c:v>
                </c:pt>
                <c:pt idx="2258">
                  <c:v>2.623882923144194E-2</c:v>
                </c:pt>
                <c:pt idx="2259">
                  <c:v>2.6235391860881252E-2</c:v>
                </c:pt>
                <c:pt idx="2260">
                  <c:v>2.6230619020543702E-2</c:v>
                </c:pt>
                <c:pt idx="2261">
                  <c:v>2.622715326357189E-2</c:v>
                </c:pt>
                <c:pt idx="2262">
                  <c:v>2.6222356940924535E-2</c:v>
                </c:pt>
                <c:pt idx="2263">
                  <c:v>2.6218206450377157E-2</c:v>
                </c:pt>
                <c:pt idx="2264">
                  <c:v>2.621469810718563E-2</c:v>
                </c:pt>
                <c:pt idx="2265">
                  <c:v>2.6209866567889324E-2</c:v>
                </c:pt>
                <c:pt idx="2266">
                  <c:v>2.6203718701401448E-2</c:v>
                </c:pt>
                <c:pt idx="2267">
                  <c:v>2.6199520036979593E-2</c:v>
                </c:pt>
                <c:pt idx="2268">
                  <c:v>2.6195308408159614E-2</c:v>
                </c:pt>
                <c:pt idx="2269">
                  <c:v>2.6191083814938652E-2</c:v>
                </c:pt>
                <c:pt idx="2270">
                  <c:v>2.6189437658308001E-2</c:v>
                </c:pt>
                <c:pt idx="2271">
                  <c:v>2.6184535710217255E-2</c:v>
                </c:pt>
                <c:pt idx="2272">
                  <c:v>2.6180268515931589E-2</c:v>
                </c:pt>
                <c:pt idx="2273">
                  <c:v>2.6175988354637813E-2</c:v>
                </c:pt>
                <c:pt idx="2274">
                  <c:v>2.6168594035262949E-2</c:v>
                </c:pt>
                <c:pt idx="2275">
                  <c:v>2.6167389131067177E-2</c:v>
                </c:pt>
                <c:pt idx="2276">
                  <c:v>2.6163070068823843E-2</c:v>
                </c:pt>
                <c:pt idx="2277">
                  <c:v>2.6158738039623965E-2</c:v>
                </c:pt>
                <c:pt idx="2278">
                  <c:v>2.6155668581429644E-2</c:v>
                </c:pt>
                <c:pt idx="2279">
                  <c:v>2.6150035080421633E-2</c:v>
                </c:pt>
                <c:pt idx="2280">
                  <c:v>2.6145664150447539E-2</c:v>
                </c:pt>
                <c:pt idx="2281">
                  <c:v>2.6141280253581374E-2</c:v>
                </c:pt>
                <c:pt idx="2282">
                  <c:v>2.6136883389828287E-2</c:v>
                </c:pt>
                <c:pt idx="2283">
                  <c:v>2.6132473559211486E-2</c:v>
                </c:pt>
                <c:pt idx="2284">
                  <c:v>2.6128050761743869E-2</c:v>
                </c:pt>
                <c:pt idx="2285">
                  <c:v>2.6123614997440904E-2</c:v>
                </c:pt>
                <c:pt idx="2286">
                  <c:v>2.6119166266312908E-2</c:v>
                </c:pt>
                <c:pt idx="2287">
                  <c:v>2.6114704568377927E-2</c:v>
                </c:pt>
                <c:pt idx="2288">
                  <c:v>2.6110229903651434E-2</c:v>
                </c:pt>
                <c:pt idx="2289">
                  <c:v>2.6105742272146324E-2</c:v>
                </c:pt>
                <c:pt idx="2290">
                  <c:v>2.6101241673878065E-2</c:v>
                </c:pt>
                <c:pt idx="2291">
                  <c:v>2.609734969988925E-2</c:v>
                </c:pt>
                <c:pt idx="2292">
                  <c:v>2.6092821914140418E-2</c:v>
                </c:pt>
                <c:pt idx="2293">
                  <c:v>2.6087662078654282E-2</c:v>
                </c:pt>
                <c:pt idx="2294">
                  <c:v>2.6083109613488149E-2</c:v>
                </c:pt>
                <c:pt idx="2295">
                  <c:v>2.6078544181636229E-2</c:v>
                </c:pt>
                <c:pt idx="2296">
                  <c:v>2.607396578311141E-2</c:v>
                </c:pt>
                <c:pt idx="2297">
                  <c:v>2.6069988471728589E-2</c:v>
                </c:pt>
                <c:pt idx="2298">
                  <c:v>2.6064770086112708E-2</c:v>
                </c:pt>
                <c:pt idx="2299">
                  <c:v>2.6060152787667185E-2</c:v>
                </c:pt>
                <c:pt idx="2300">
                  <c:v>2.6056132795929388E-2</c:v>
                </c:pt>
                <c:pt idx="2301">
                  <c:v>2.6050879290958583E-2</c:v>
                </c:pt>
                <c:pt idx="2302">
                  <c:v>2.6046223092729023E-2</c:v>
                </c:pt>
                <c:pt idx="2303">
                  <c:v>2.6041553927937444E-2</c:v>
                </c:pt>
                <c:pt idx="2304">
                  <c:v>2.603687179659674E-2</c:v>
                </c:pt>
                <c:pt idx="2305">
                  <c:v>2.603217669872496E-2</c:v>
                </c:pt>
                <c:pt idx="2306">
                  <c:v>2.602484468563393E-2</c:v>
                </c:pt>
                <c:pt idx="2307">
                  <c:v>2.6022747603444911E-2</c:v>
                </c:pt>
                <c:pt idx="2308">
                  <c:v>2.6019213821082816E-2</c:v>
                </c:pt>
                <c:pt idx="2309">
                  <c:v>2.6013865526819668E-2</c:v>
                </c:pt>
                <c:pt idx="2310">
                  <c:v>2.6008506711928562E-2</c:v>
                </c:pt>
                <c:pt idx="2311">
                  <c:v>2.6004330159356548E-2</c:v>
                </c:pt>
                <c:pt idx="2312">
                  <c:v>2.599894795203914E-2</c:v>
                </c:pt>
                <c:pt idx="2313">
                  <c:v>2.5995336630218319E-2</c:v>
                </c:pt>
                <c:pt idx="2314">
                  <c:v>2.5989337326525662E-2</c:v>
                </c:pt>
                <c:pt idx="2315">
                  <c:v>2.5984512564201808E-2</c:v>
                </c:pt>
                <c:pt idx="2316">
                  <c:v>2.5980264813358078E-2</c:v>
                </c:pt>
                <c:pt idx="2317">
                  <c:v>2.5974824140497215E-2</c:v>
                </c:pt>
                <c:pt idx="2318">
                  <c:v>2.5969960479150001E-2</c:v>
                </c:pt>
                <c:pt idx="2319">
                  <c:v>2.5965083851490892E-2</c:v>
                </c:pt>
                <c:pt idx="2320">
                  <c:v>2.5960194257545675E-2</c:v>
                </c:pt>
                <c:pt idx="2321">
                  <c:v>2.5955291697322084E-2</c:v>
                </c:pt>
                <c:pt idx="2322">
                  <c:v>2.5950376170838167E-2</c:v>
                </c:pt>
                <c:pt idx="2323">
                  <c:v>2.594544767811198E-2</c:v>
                </c:pt>
                <c:pt idx="2324">
                  <c:v>2.5940506219158988E-2</c:v>
                </c:pt>
                <c:pt idx="2325">
                  <c:v>2.5936130257795398E-2</c:v>
                </c:pt>
                <c:pt idx="2326">
                  <c:v>2.5931161582773976E-2</c:v>
                </c:pt>
                <c:pt idx="2327">
                  <c:v>2.5926179940712613E-2</c:v>
                </c:pt>
                <c:pt idx="2328">
                  <c:v>2.5920610721414224E-2</c:v>
                </c:pt>
                <c:pt idx="2329">
                  <c:v>2.5912165189231118E-2</c:v>
                </c:pt>
                <c:pt idx="2330">
                  <c:v>2.5911157212463731E-2</c:v>
                </c:pt>
                <c:pt idx="2331">
                  <c:v>2.5905552953537771E-2</c:v>
                </c:pt>
                <c:pt idx="2332">
                  <c:v>2.5900507765373754E-2</c:v>
                </c:pt>
                <c:pt idx="2333">
                  <c:v>2.5895449611127334E-2</c:v>
                </c:pt>
                <c:pt idx="2334">
                  <c:v>2.5890378490826878E-2</c:v>
                </c:pt>
                <c:pt idx="2335">
                  <c:v>2.5883597063406531E-2</c:v>
                </c:pt>
                <c:pt idx="2336">
                  <c:v>2.5880197352107691E-2</c:v>
                </c:pt>
                <c:pt idx="2337">
                  <c:v>2.5875087333730219E-2</c:v>
                </c:pt>
                <c:pt idx="2338">
                  <c:v>2.5869964349360595E-2</c:v>
                </c:pt>
                <c:pt idx="2339">
                  <c:v>2.5865949130703798E-2</c:v>
                </c:pt>
                <c:pt idx="2340">
                  <c:v>2.5859679482711936E-2</c:v>
                </c:pt>
                <c:pt idx="2341">
                  <c:v>2.5854517600469001E-2</c:v>
                </c:pt>
                <c:pt idx="2342">
                  <c:v>2.584934275230354E-2</c:v>
                </c:pt>
                <c:pt idx="2343">
                  <c:v>2.5844710164467377E-2</c:v>
                </c:pt>
                <c:pt idx="2344">
                  <c:v>2.5839508085392371E-2</c:v>
                </c:pt>
                <c:pt idx="2345">
                  <c:v>2.583374041244732E-2</c:v>
                </c:pt>
                <c:pt idx="2346">
                  <c:v>2.5828513700764506E-2</c:v>
                </c:pt>
                <c:pt idx="2347">
                  <c:v>2.5823274023249413E-2</c:v>
                </c:pt>
                <c:pt idx="2348">
                  <c:v>2.5818021379909774E-2</c:v>
                </c:pt>
                <c:pt idx="2349">
                  <c:v>2.5812755770773962E-2</c:v>
                </c:pt>
                <c:pt idx="2350">
                  <c:v>2.5808023310377737E-2</c:v>
                </c:pt>
                <c:pt idx="2351">
                  <c:v>2.5802185655170524E-2</c:v>
                </c:pt>
                <c:pt idx="2352">
                  <c:v>2.5796881148736423E-2</c:v>
                </c:pt>
                <c:pt idx="2353">
                  <c:v>2.5791563676573186E-2</c:v>
                </c:pt>
                <c:pt idx="2354">
                  <c:v>2.578677412782171E-2</c:v>
                </c:pt>
                <c:pt idx="2355">
                  <c:v>2.5780889835131507E-2</c:v>
                </c:pt>
                <c:pt idx="2356">
                  <c:v>2.5775533465884008E-2</c:v>
                </c:pt>
                <c:pt idx="2357">
                  <c:v>2.5770164130979573E-2</c:v>
                </c:pt>
                <c:pt idx="2358">
                  <c:v>2.5764781830436255E-2</c:v>
                </c:pt>
                <c:pt idx="2359">
                  <c:v>2.5759386564264363E-2</c:v>
                </c:pt>
                <c:pt idx="2360">
                  <c:v>2.5753978332494844E-2</c:v>
                </c:pt>
                <c:pt idx="2361">
                  <c:v>2.5749088847203117E-2</c:v>
                </c:pt>
                <c:pt idx="2362">
                  <c:v>2.5743122972206763E-2</c:v>
                </c:pt>
                <c:pt idx="2363">
                  <c:v>2.5737675843726875E-2</c:v>
                </c:pt>
                <c:pt idx="2364">
                  <c:v>2.5732743516101997E-2</c:v>
                </c:pt>
                <c:pt idx="2365">
                  <c:v>2.5723609406367452E-2</c:v>
                </c:pt>
                <c:pt idx="2366">
                  <c:v>2.5718115972497076E-2</c:v>
                </c:pt>
                <c:pt idx="2367">
                  <c:v>2.5712609573168316E-2</c:v>
                </c:pt>
                <c:pt idx="2368">
                  <c:v>2.570709020838375E-2</c:v>
                </c:pt>
                <c:pt idx="2369">
                  <c:v>2.5701557878176896E-2</c:v>
                </c:pt>
                <c:pt idx="2370">
                  <c:v>2.5694454683916464E-2</c:v>
                </c:pt>
                <c:pt idx="2371">
                  <c:v>2.5688900389297942E-2</c:v>
                </c:pt>
                <c:pt idx="2372">
                  <c:v>2.568333313181435E-2</c:v>
                </c:pt>
                <c:pt idx="2373">
                  <c:v>2.5677752911488532E-2</c:v>
                </c:pt>
                <c:pt idx="2374">
                  <c:v>2.5675756343960084E-2</c:v>
                </c:pt>
                <c:pt idx="2375">
                  <c:v>2.5668091623918757E-2</c:v>
                </c:pt>
                <c:pt idx="2376">
                  <c:v>2.566246853622264E-2</c:v>
                </c:pt>
                <c:pt idx="2377">
                  <c:v>2.5656832483240903E-2</c:v>
                </c:pt>
                <c:pt idx="2378">
                  <c:v>2.5650674868354706E-2</c:v>
                </c:pt>
                <c:pt idx="2379">
                  <c:v>2.5644408175752031E-2</c:v>
                </c:pt>
                <c:pt idx="2380">
                  <c:v>2.5638728192523275E-2</c:v>
                </c:pt>
                <c:pt idx="2381">
                  <c:v>2.5633539264275515E-2</c:v>
                </c:pt>
                <c:pt idx="2382">
                  <c:v>2.5627329327981008E-2</c:v>
                </c:pt>
                <c:pt idx="2383">
                  <c:v>2.5621610446712462E-2</c:v>
                </c:pt>
                <c:pt idx="2384">
                  <c:v>2.5615878599478115E-2</c:v>
                </c:pt>
                <c:pt idx="2385">
                  <c:v>2.5610133786285461E-2</c:v>
                </c:pt>
                <c:pt idx="2386">
                  <c:v>2.5604376007159479E-2</c:v>
                </c:pt>
                <c:pt idx="2387">
                  <c:v>2.5598605262125151E-2</c:v>
                </c:pt>
                <c:pt idx="2388">
                  <c:v>2.5592821551197464E-2</c:v>
                </c:pt>
                <c:pt idx="2389">
                  <c:v>2.5587024874393904E-2</c:v>
                </c:pt>
                <c:pt idx="2390">
                  <c:v>2.5581215231736953E-2</c:v>
                </c:pt>
                <c:pt idx="2391">
                  <c:v>2.557539262325409E-2</c:v>
                </c:pt>
                <c:pt idx="2392">
                  <c:v>2.5569557048952807E-2</c:v>
                </c:pt>
                <c:pt idx="2393">
                  <c:v>2.5563708508863081E-2</c:v>
                </c:pt>
                <c:pt idx="2394">
                  <c:v>2.5558333643620885E-2</c:v>
                </c:pt>
                <c:pt idx="2395">
                  <c:v>2.5550516007584179E-2</c:v>
                </c:pt>
                <c:pt idx="2396">
                  <c:v>2.5546085094038107E-2</c:v>
                </c:pt>
                <c:pt idx="2397">
                  <c:v>2.5540184690976964E-2</c:v>
                </c:pt>
                <c:pt idx="2398">
                  <c:v>2.5534271322227298E-2</c:v>
                </c:pt>
                <c:pt idx="2399">
                  <c:v>2.5528344987809093E-2</c:v>
                </c:pt>
                <c:pt idx="2400">
                  <c:v>2.5522405687732341E-2</c:v>
                </c:pt>
                <c:pt idx="2401">
                  <c:v>2.5516930646316348E-2</c:v>
                </c:pt>
                <c:pt idx="2402">
                  <c:v>2.55104881907256E-2</c:v>
                </c:pt>
                <c:pt idx="2403">
                  <c:v>2.5504509993825586E-2</c:v>
                </c:pt>
                <c:pt idx="2404">
                  <c:v>2.5498518831359451E-2</c:v>
                </c:pt>
                <c:pt idx="2405">
                  <c:v>2.5492514703344682E-2</c:v>
                </c:pt>
                <c:pt idx="2406">
                  <c:v>2.5486497609808756E-2</c:v>
                </c:pt>
                <c:pt idx="2407">
                  <c:v>2.5480467550759167E-2</c:v>
                </c:pt>
                <c:pt idx="2408">
                  <c:v>2.5473020581091691E-2</c:v>
                </c:pt>
                <c:pt idx="2409">
                  <c:v>2.546836853623391E-2</c:v>
                </c:pt>
                <c:pt idx="2410">
                  <c:v>2.5462299580798209E-2</c:v>
                </c:pt>
                <c:pt idx="2411">
                  <c:v>2.5456217659933777E-2</c:v>
                </c:pt>
                <c:pt idx="2412">
                  <c:v>2.5449713169640734E-2</c:v>
                </c:pt>
                <c:pt idx="2413">
                  <c:v>2.5444014922031133E-2</c:v>
                </c:pt>
                <c:pt idx="2414">
                  <c:v>2.5437894105027892E-2</c:v>
                </c:pt>
                <c:pt idx="2415">
                  <c:v>2.5432218594254801E-2</c:v>
                </c:pt>
                <c:pt idx="2416">
                  <c:v>2.5421639084151716E-2</c:v>
                </c:pt>
                <c:pt idx="2417">
                  <c:v>2.541811737980422E-2</c:v>
                </c:pt>
                <c:pt idx="2418">
                  <c:v>2.5413281183851721E-2</c:v>
                </c:pt>
                <c:pt idx="2419">
                  <c:v>2.5407548367680475E-2</c:v>
                </c:pt>
                <c:pt idx="2420">
                  <c:v>2.5400896931657979E-2</c:v>
                </c:pt>
                <c:pt idx="2421">
                  <c:v>2.5393334403738484E-2</c:v>
                </c:pt>
                <c:pt idx="2422">
                  <c:v>2.5386664786347497E-2</c:v>
                </c:pt>
                <c:pt idx="2423">
                  <c:v>2.5380432742592163E-2</c:v>
                </c:pt>
                <c:pt idx="2424">
                  <c:v>2.5374187736911007E-2</c:v>
                </c:pt>
                <c:pt idx="2425">
                  <c:v>2.5367929769312601E-2</c:v>
                </c:pt>
                <c:pt idx="2426">
                  <c:v>2.5363433010714975E-2</c:v>
                </c:pt>
                <c:pt idx="2427">
                  <c:v>2.535714364598346E-2</c:v>
                </c:pt>
                <c:pt idx="2428">
                  <c:v>2.5350841316187922E-2</c:v>
                </c:pt>
                <c:pt idx="2429">
                  <c:v>2.534452602135584E-2</c:v>
                </c:pt>
                <c:pt idx="2430">
                  <c:v>2.5338635550729422E-2</c:v>
                </c:pt>
                <c:pt idx="2431">
                  <c:v>2.5331856536669473E-2</c:v>
                </c:pt>
                <c:pt idx="2432">
                  <c:v>2.5325502346855155E-2</c:v>
                </c:pt>
                <c:pt idx="2433">
                  <c:v>2.5319568863201202E-2</c:v>
                </c:pt>
                <c:pt idx="2434">
                  <c:v>2.5311457517623294E-2</c:v>
                </c:pt>
                <c:pt idx="2435">
                  <c:v>2.5306361987799952E-2</c:v>
                </c:pt>
                <c:pt idx="2436">
                  <c:v>2.5299955938314078E-2</c:v>
                </c:pt>
                <c:pt idx="2437">
                  <c:v>2.5293536923971516E-2</c:v>
                </c:pt>
                <c:pt idx="2438">
                  <c:v>2.5287104944784755E-2</c:v>
                </c:pt>
                <c:pt idx="2439">
                  <c:v>2.5280660000783772E-2</c:v>
                </c:pt>
                <c:pt idx="2440">
                  <c:v>2.5274202091981057E-2</c:v>
                </c:pt>
                <c:pt idx="2441">
                  <c:v>2.5267731218409084E-2</c:v>
                </c:pt>
                <c:pt idx="2442">
                  <c:v>2.5261247380087837E-2</c:v>
                </c:pt>
                <c:pt idx="2443">
                  <c:v>2.5254750577034801E-2</c:v>
                </c:pt>
                <c:pt idx="2444">
                  <c:v>2.5248240809274958E-2</c:v>
                </c:pt>
                <c:pt idx="2445">
                  <c:v>2.5241718076835784E-2</c:v>
                </c:pt>
                <c:pt idx="2446">
                  <c:v>2.5235182379732268E-2</c:v>
                </c:pt>
                <c:pt idx="2447">
                  <c:v>2.5227389966010826E-2</c:v>
                </c:pt>
                <c:pt idx="2448">
                  <c:v>2.5222485065029658E-2</c:v>
                </c:pt>
                <c:pt idx="2449">
                  <c:v>2.5215497500677975E-2</c:v>
                </c:pt>
                <c:pt idx="2450">
                  <c:v>2.5208909945156899E-2</c:v>
                </c:pt>
                <c:pt idx="2451">
                  <c:v>2.5202309425086389E-2</c:v>
                </c:pt>
                <c:pt idx="2452">
                  <c:v>2.5195695940488927E-2</c:v>
                </c:pt>
                <c:pt idx="2453">
                  <c:v>2.5189475526133428E-2</c:v>
                </c:pt>
                <c:pt idx="2454">
                  <c:v>2.5182430077810569E-2</c:v>
                </c:pt>
                <c:pt idx="2455">
                  <c:v>2.5175777699777135E-2</c:v>
                </c:pt>
                <c:pt idx="2456">
                  <c:v>2.5169112357309176E-2</c:v>
                </c:pt>
                <c:pt idx="2457">
                  <c:v>2.516243405043167E-2</c:v>
                </c:pt>
                <c:pt idx="2458">
                  <c:v>2.5155742779162105E-2</c:v>
                </c:pt>
                <c:pt idx="2459">
                  <c:v>2.5149038543527957E-2</c:v>
                </c:pt>
                <c:pt idx="2460">
                  <c:v>2.5142321343559204E-2</c:v>
                </c:pt>
                <c:pt idx="2461">
                  <c:v>2.5135591179265837E-2</c:v>
                </c:pt>
                <c:pt idx="2462">
                  <c:v>2.5128848050677832E-2</c:v>
                </c:pt>
                <c:pt idx="2463">
                  <c:v>2.512209195782017E-2</c:v>
                </c:pt>
                <c:pt idx="2464">
                  <c:v>2.5114354834245844E-2</c:v>
                </c:pt>
                <c:pt idx="2465">
                  <c:v>2.5108540879378305E-2</c:v>
                </c:pt>
                <c:pt idx="2466">
                  <c:v>2.5101745893844063E-2</c:v>
                </c:pt>
                <c:pt idx="2467">
                  <c:v>2.5095324446846593E-2</c:v>
                </c:pt>
                <c:pt idx="2468">
                  <c:v>2.5088117030266366E-2</c:v>
                </c:pt>
                <c:pt idx="2469">
                  <c:v>2.508013135755327E-2</c:v>
                </c:pt>
                <c:pt idx="2470">
                  <c:v>2.5074436310159598E-2</c:v>
                </c:pt>
                <c:pt idx="2471">
                  <c:v>2.5067957398212055E-2</c:v>
                </c:pt>
                <c:pt idx="2472">
                  <c:v>2.5060703733716105E-2</c:v>
                </c:pt>
                <c:pt idx="2473">
                  <c:v>2.5052683045171654E-2</c:v>
                </c:pt>
                <c:pt idx="2474">
                  <c:v>2.5045411417044923E-2</c:v>
                </c:pt>
                <c:pt idx="2475">
                  <c:v>2.5038505378712297E-2</c:v>
                </c:pt>
                <c:pt idx="2476">
                  <c:v>2.503158637947589E-2</c:v>
                </c:pt>
                <c:pt idx="2477">
                  <c:v>2.5024654419364252E-2</c:v>
                </c:pt>
                <c:pt idx="2478">
                  <c:v>2.5019194868271255E-2</c:v>
                </c:pt>
                <c:pt idx="2479">
                  <c:v>2.5012231350261538E-2</c:v>
                </c:pt>
                <c:pt idx="2480">
                  <c:v>2.5005623098640326E-2</c:v>
                </c:pt>
                <c:pt idx="2481">
                  <c:v>2.4998265422662147E-2</c:v>
                </c:pt>
                <c:pt idx="2482">
                  <c:v>2.4991628420743792E-2</c:v>
                </c:pt>
                <c:pt idx="2483">
                  <c:v>2.4984247639775192E-2</c:v>
                </c:pt>
                <c:pt idx="2484">
                  <c:v>2.4977219302657894E-2</c:v>
                </c:pt>
                <c:pt idx="2485">
                  <c:v>2.4970178001798016E-2</c:v>
                </c:pt>
                <c:pt idx="2486">
                  <c:v>2.4962043768254557E-2</c:v>
                </c:pt>
                <c:pt idx="2487">
                  <c:v>2.4956059330381031E-2</c:v>
                </c:pt>
                <c:pt idx="2488">
                  <c:v>2.494899017877944E-2</c:v>
                </c:pt>
                <c:pt idx="2489">
                  <c:v>2.4941922165152564E-2</c:v>
                </c:pt>
                <c:pt idx="2490">
                  <c:v>2.4934861096048144E-2</c:v>
                </c:pt>
                <c:pt idx="2491">
                  <c:v>2.4928172341746352E-2</c:v>
                </c:pt>
                <c:pt idx="2492">
                  <c:v>2.4920776818808665E-2</c:v>
                </c:pt>
                <c:pt idx="2493">
                  <c:v>2.491375504956761E-2</c:v>
                </c:pt>
                <c:pt idx="2494">
                  <c:v>2.4906746860815787E-2</c:v>
                </c:pt>
                <c:pt idx="2495">
                  <c:v>2.4899752252533214E-2</c:v>
                </c:pt>
                <c:pt idx="2496">
                  <c:v>2.4892771224697408E-2</c:v>
                </c:pt>
                <c:pt idx="2497">
                  <c:v>2.4885803777270898E-2</c:v>
                </c:pt>
                <c:pt idx="2498">
                  <c:v>2.48788499102362E-2</c:v>
                </c:pt>
                <c:pt idx="2499">
                  <c:v>2.4872273695176649E-2</c:v>
                </c:pt>
                <c:pt idx="2500">
                  <c:v>2.4865347480968421E-2</c:v>
                </c:pt>
                <c:pt idx="2501">
                  <c:v>2.4858069791228177E-2</c:v>
                </c:pt>
                <c:pt idx="2502">
                  <c:v>2.4851170245505927E-2</c:v>
                </c:pt>
                <c:pt idx="2503">
                  <c:v>2.4844284280055584E-2</c:v>
                </c:pt>
                <c:pt idx="2504">
                  <c:v>2.4837411894839678E-2</c:v>
                </c:pt>
                <c:pt idx="2505">
                  <c:v>2.4830920130175214E-2</c:v>
                </c:pt>
                <c:pt idx="2506">
                  <c:v>2.4823707865036237E-2</c:v>
                </c:pt>
                <c:pt idx="2507">
                  <c:v>2.4816876220398743E-2</c:v>
                </c:pt>
                <c:pt idx="2508">
                  <c:v>2.4808952926843864E-2</c:v>
                </c:pt>
                <c:pt idx="2509">
                  <c:v>2.4803253671517311E-2</c:v>
                </c:pt>
                <c:pt idx="2510">
                  <c:v>2.4796462767235905E-2</c:v>
                </c:pt>
                <c:pt idx="2511">
                  <c:v>2.4789685443014076E-2</c:v>
                </c:pt>
                <c:pt idx="2512">
                  <c:v>2.4782921698839333E-2</c:v>
                </c:pt>
                <c:pt idx="2513">
                  <c:v>2.4776171534681701E-2</c:v>
                </c:pt>
                <c:pt idx="2514">
                  <c:v>2.476810211765422E-2</c:v>
                </c:pt>
                <c:pt idx="2515">
                  <c:v>2.4762711946332838E-2</c:v>
                </c:pt>
                <c:pt idx="2516">
                  <c:v>2.4755417796657818E-2</c:v>
                </c:pt>
                <c:pt idx="2517">
                  <c:v>2.4749679770303151E-2</c:v>
                </c:pt>
                <c:pt idx="2518">
                  <c:v>2.4742624413345848E-2</c:v>
                </c:pt>
                <c:pt idx="2519">
                  <c:v>2.473632984483019E-2</c:v>
                </c:pt>
                <c:pt idx="2520">
                  <c:v>2.4729300624086459E-2</c:v>
                </c:pt>
                <c:pt idx="2521">
                  <c:v>2.4717548021560367E-2</c:v>
                </c:pt>
                <c:pt idx="2522">
                  <c:v>2.4714709746879279E-2</c:v>
                </c:pt>
                <c:pt idx="2523">
                  <c:v>2.4708096805030968E-2</c:v>
                </c:pt>
                <c:pt idx="2524">
                  <c:v>2.4701874142490643E-2</c:v>
                </c:pt>
                <c:pt idx="2525">
                  <c:v>2.4694911657412087E-2</c:v>
                </c:pt>
                <c:pt idx="2526">
                  <c:v>2.4688339451595098E-2</c:v>
                </c:pt>
                <c:pt idx="2527">
                  <c:v>2.4681780824407945E-2</c:v>
                </c:pt>
                <c:pt idx="2528">
                  <c:v>2.4675235775829994E-2</c:v>
                </c:pt>
                <c:pt idx="2529">
                  <c:v>2.4668704305838042E-2</c:v>
                </c:pt>
                <c:pt idx="2530">
                  <c:v>2.4662566242443229E-2</c:v>
                </c:pt>
                <c:pt idx="2531">
                  <c:v>2.4655682101514146E-2</c:v>
                </c:pt>
                <c:pt idx="2532">
                  <c:v>2.4649191367143521E-2</c:v>
                </c:pt>
                <c:pt idx="2533">
                  <c:v>2.4642714211260911E-2</c:v>
                </c:pt>
                <c:pt idx="2534">
                  <c:v>2.4632181089264016E-2</c:v>
                </c:pt>
                <c:pt idx="2535">
                  <c:v>2.4629800634890096E-2</c:v>
                </c:pt>
                <c:pt idx="2536">
                  <c:v>2.4623364214358061E-2</c:v>
                </c:pt>
                <c:pt idx="2537">
                  <c:v>2.4616941372226364E-2</c:v>
                </c:pt>
                <c:pt idx="2538">
                  <c:v>2.4611300289648339E-2</c:v>
                </c:pt>
                <c:pt idx="2539">
                  <c:v>2.4604136423084053E-2</c:v>
                </c:pt>
                <c:pt idx="2540">
                  <c:v>2.4597754316029605E-2</c:v>
                </c:pt>
                <c:pt idx="2541">
                  <c:v>2.4591385787287822E-2</c:v>
                </c:pt>
                <c:pt idx="2542">
                  <c:v>2.4585030836838079E-2</c:v>
                </c:pt>
                <c:pt idx="2543">
                  <c:v>2.4578689464659749E-2</c:v>
                </c:pt>
                <c:pt idx="2544">
                  <c:v>2.4572361670727041E-2</c:v>
                </c:pt>
                <c:pt idx="2545">
                  <c:v>2.4566047455016751E-2</c:v>
                </c:pt>
                <c:pt idx="2546">
                  <c:v>2.4559746817513405E-2</c:v>
                </c:pt>
                <c:pt idx="2547">
                  <c:v>2.4553459758188644E-2</c:v>
                </c:pt>
                <c:pt idx="2548">
                  <c:v>2.4547186277024412E-2</c:v>
                </c:pt>
                <c:pt idx="2549">
                  <c:v>2.4540926373997504E-2</c:v>
                </c:pt>
                <c:pt idx="2550">
                  <c:v>2.4534680049082134E-2</c:v>
                </c:pt>
                <c:pt idx="2551">
                  <c:v>2.4528838371553896E-2</c:v>
                </c:pt>
                <c:pt idx="2552">
                  <c:v>2.4522619749489105E-2</c:v>
                </c:pt>
                <c:pt idx="2553">
                  <c:v>2.4516022542817022E-2</c:v>
                </c:pt>
                <c:pt idx="2554">
                  <c:v>2.4509830530144099E-2</c:v>
                </c:pt>
                <c:pt idx="2555">
                  <c:v>2.4503652095482147E-2</c:v>
                </c:pt>
                <c:pt idx="2556">
                  <c:v>2.4497487238802809E-2</c:v>
                </c:pt>
                <c:pt idx="2557">
                  <c:v>2.4491730324883443E-2</c:v>
                </c:pt>
                <c:pt idx="2558">
                  <c:v>2.4485198259309438E-2</c:v>
                </c:pt>
                <c:pt idx="2559">
                  <c:v>2.4479074136451576E-2</c:v>
                </c:pt>
                <c:pt idx="2560">
                  <c:v>2.4473359617910306E-2</c:v>
                </c:pt>
                <c:pt idx="2561">
                  <c:v>2.4466866624415506E-2</c:v>
                </c:pt>
                <c:pt idx="2562">
                  <c:v>2.4460783235193462E-2</c:v>
                </c:pt>
                <c:pt idx="2563">
                  <c:v>2.4454713423804467E-2</c:v>
                </c:pt>
                <c:pt idx="2564">
                  <c:v>2.4448657190230476E-2</c:v>
                </c:pt>
                <c:pt idx="2565">
                  <c:v>2.444261453444312E-2</c:v>
                </c:pt>
                <c:pt idx="2566">
                  <c:v>2.4433606175940703E-2</c:v>
                </c:pt>
                <c:pt idx="2567">
                  <c:v>2.4430569956169015E-2</c:v>
                </c:pt>
                <c:pt idx="2568">
                  <c:v>2.4425369110235549E-2</c:v>
                </c:pt>
                <c:pt idx="2569">
                  <c:v>2.4418980755274988E-2</c:v>
                </c:pt>
                <c:pt idx="2570">
                  <c:v>2.4412604921668992E-2</c:v>
                </c:pt>
                <c:pt idx="2571">
                  <c:v>2.4407045929882021E-2</c:v>
                </c:pt>
                <c:pt idx="2572">
                  <c:v>2.4400696120369068E-2</c:v>
                </c:pt>
                <c:pt idx="2573">
                  <c:v>2.4395568824544321E-2</c:v>
                </c:pt>
                <c:pt idx="2574">
                  <c:v>2.4388841629565887E-2</c:v>
                </c:pt>
                <c:pt idx="2575">
                  <c:v>2.4382934750549003E-2</c:v>
                </c:pt>
                <c:pt idx="2576">
                  <c:v>2.4377446492605814E-2</c:v>
                </c:pt>
                <c:pt idx="2577">
                  <c:v>2.4371161725178933E-2</c:v>
                </c:pt>
                <c:pt idx="2578">
                  <c:v>2.4364077449945398E-2</c:v>
                </c:pt>
                <c:pt idx="2579">
                  <c:v>2.4358223159056194E-2</c:v>
                </c:pt>
                <c:pt idx="2580">
                  <c:v>2.4352382442625688E-2</c:v>
                </c:pt>
                <c:pt idx="2581">
                  <c:v>2.434655530061677E-2</c:v>
                </c:pt>
                <c:pt idx="2582">
                  <c:v>2.4341966768012292E-2</c:v>
                </c:pt>
                <c:pt idx="2583">
                  <c:v>2.4336168508921369E-2</c:v>
                </c:pt>
                <c:pt idx="2584">
                  <c:v>2.4330383827219977E-2</c:v>
                </c:pt>
                <c:pt idx="2585">
                  <c:v>2.4325022952676745E-2</c:v>
                </c:pt>
                <c:pt idx="2586">
                  <c:v>2.4318855195941968E-2</c:v>
                </c:pt>
                <c:pt idx="2587">
                  <c:v>2.4313522639687335E-2</c:v>
                </c:pt>
                <c:pt idx="2588">
                  <c:v>2.430738087401323E-2</c:v>
                </c:pt>
                <c:pt idx="2589">
                  <c:v>2.429799061396043E-2</c:v>
                </c:pt>
                <c:pt idx="2590">
                  <c:v>2.4296374007585497E-2</c:v>
                </c:pt>
                <c:pt idx="2591">
                  <c:v>2.4290271220804169E-2</c:v>
                </c:pt>
                <c:pt idx="2592">
                  <c:v>2.4284595157571837E-2</c:v>
                </c:pt>
                <c:pt idx="2593">
                  <c:v>2.4278932671556272E-2</c:v>
                </c:pt>
                <c:pt idx="2594">
                  <c:v>2.427328376273943E-2</c:v>
                </c:pt>
                <c:pt idx="2595">
                  <c:v>2.4267648431100682E-2</c:v>
                </c:pt>
                <c:pt idx="2596">
                  <c:v>2.4262026676619391E-2</c:v>
                </c:pt>
                <c:pt idx="2597">
                  <c:v>2.4256418499277517E-2</c:v>
                </c:pt>
                <c:pt idx="2598">
                  <c:v>2.4250823899054426E-2</c:v>
                </c:pt>
                <c:pt idx="2599">
                  <c:v>2.4245661335191571E-2</c:v>
                </c:pt>
                <c:pt idx="2600">
                  <c:v>2.4239675429889817E-2</c:v>
                </c:pt>
                <c:pt idx="2601">
                  <c:v>2.4234121560907044E-2</c:v>
                </c:pt>
                <c:pt idx="2602">
                  <c:v>2.4228581268970852E-2</c:v>
                </c:pt>
                <c:pt idx="2603">
                  <c:v>2.4223475400599603E-2</c:v>
                </c:pt>
                <c:pt idx="2604">
                  <c:v>2.4217962861996511E-2</c:v>
                </c:pt>
                <c:pt idx="2605">
                  <c:v>2.4212041855199394E-2</c:v>
                </c:pt>
                <c:pt idx="2606">
                  <c:v>2.4206555871232938E-2</c:v>
                </c:pt>
                <c:pt idx="2607">
                  <c:v>2.4201083464209919E-2</c:v>
                </c:pt>
                <c:pt idx="2608">
                  <c:v>2.4194353534060995E-2</c:v>
                </c:pt>
                <c:pt idx="2609">
                  <c:v>2.4190603838269986E-2</c:v>
                </c:pt>
                <c:pt idx="2610">
                  <c:v>2.4184747704618433E-2</c:v>
                </c:pt>
                <c:pt idx="2611">
                  <c:v>2.4179329605183521E-2</c:v>
                </c:pt>
                <c:pt idx="2612">
                  <c:v>2.4174777711903E-2</c:v>
                </c:pt>
                <c:pt idx="2613">
                  <c:v>2.4168534136844902E-2</c:v>
                </c:pt>
                <c:pt idx="2614">
                  <c:v>2.4163584261528981E-2</c:v>
                </c:pt>
                <c:pt idx="2615">
                  <c:v>2.4157792975748854E-2</c:v>
                </c:pt>
                <c:pt idx="2616">
                  <c:v>2.4152442760376185E-2</c:v>
                </c:pt>
                <c:pt idx="2617">
                  <c:v>2.414710612175356E-2</c:v>
                </c:pt>
                <c:pt idx="2618">
                  <c:v>2.4141783059868093E-2</c:v>
                </c:pt>
                <c:pt idx="2619">
                  <c:v>2.4136473574706885E-2</c:v>
                </c:pt>
                <c:pt idx="2620">
                  <c:v>2.4131177666241573E-2</c:v>
                </c:pt>
                <c:pt idx="2621">
                  <c:v>2.4125895334459264E-2</c:v>
                </c:pt>
                <c:pt idx="2622">
                  <c:v>2.4120626579334174E-2</c:v>
                </c:pt>
                <c:pt idx="2623">
                  <c:v>2.4115371400855984E-2</c:v>
                </c:pt>
                <c:pt idx="2624">
                  <c:v>2.4110563439286303E-2</c:v>
                </c:pt>
                <c:pt idx="2625">
                  <c:v>2.4102665347611598E-2</c:v>
                </c:pt>
                <c:pt idx="2626">
                  <c:v>2.4097456717490837E-2</c:v>
                </c:pt>
                <c:pt idx="2627">
                  <c:v>2.4092261663931885E-2</c:v>
                </c:pt>
                <c:pt idx="2628">
                  <c:v>2.4086341084199603E-2</c:v>
                </c:pt>
                <c:pt idx="2629">
                  <c:v>2.4081912286424638E-2</c:v>
                </c:pt>
                <c:pt idx="2630">
                  <c:v>2.4075445506399618E-2</c:v>
                </c:pt>
                <c:pt idx="2631">
                  <c:v>2.407030288045453E-2</c:v>
                </c:pt>
                <c:pt idx="2632">
                  <c:v>2.4064442214313569E-2</c:v>
                </c:pt>
                <c:pt idx="2633">
                  <c:v>2.4060058349156969E-2</c:v>
                </c:pt>
                <c:pt idx="2634">
                  <c:v>2.4056276431254343E-2</c:v>
                </c:pt>
                <c:pt idx="2635">
                  <c:v>2.4051189989547809E-2</c:v>
                </c:pt>
                <c:pt idx="2636">
                  <c:v>2.4046117124248371E-2</c:v>
                </c:pt>
                <c:pt idx="2637">
                  <c:v>2.4041057835319925E-2</c:v>
                </c:pt>
                <c:pt idx="2638">
                  <c:v>2.4035569520755473E-2</c:v>
                </c:pt>
                <c:pt idx="2639">
                  <c:v>2.4030536750464293E-2</c:v>
                </c:pt>
                <c:pt idx="2640">
                  <c:v>2.4024085993263888E-2</c:v>
                </c:pt>
                <c:pt idx="2641">
                  <c:v>2.4020511935933797E-2</c:v>
                </c:pt>
                <c:pt idx="2642">
                  <c:v>2.4015519891662507E-2</c:v>
                </c:pt>
                <c:pt idx="2643">
                  <c:v>2.4010277194414134E-2</c:v>
                </c:pt>
                <c:pt idx="2644">
                  <c:v>2.4006022950128249E-2</c:v>
                </c:pt>
                <c:pt idx="2645">
                  <c:v>2.4001072271639157E-2</c:v>
                </c:pt>
                <c:pt idx="2646">
                  <c:v>2.3995430977319734E-2</c:v>
                </c:pt>
                <c:pt idx="2647">
                  <c:v>2.3990763299544859E-2</c:v>
                </c:pt>
                <c:pt idx="2648">
                  <c:v>2.3985852706852384E-2</c:v>
                </c:pt>
                <c:pt idx="2649">
                  <c:v>2.3980955689367534E-2</c:v>
                </c:pt>
                <c:pt idx="2650">
                  <c:v>2.3976072247068991E-2</c:v>
                </c:pt>
                <c:pt idx="2651">
                  <c:v>2.3971653300854542E-2</c:v>
                </c:pt>
                <c:pt idx="2652">
                  <c:v>2.3966797655585449E-2</c:v>
                </c:pt>
                <c:pt idx="2653">
                  <c:v>2.3961955586419184E-2</c:v>
                </c:pt>
                <c:pt idx="2654">
                  <c:v>2.3957127093350582E-2</c:v>
                </c:pt>
                <c:pt idx="2655">
                  <c:v>2.3952312176346122E-2</c:v>
                </c:pt>
                <c:pt idx="2656">
                  <c:v>2.3947510835398072E-2</c:v>
                </c:pt>
                <c:pt idx="2657">
                  <c:v>2.3942723070490959E-2</c:v>
                </c:pt>
                <c:pt idx="2658">
                  <c:v>2.3937948881604155E-2</c:v>
                </c:pt>
                <c:pt idx="2659">
                  <c:v>2.3932509289410701E-2</c:v>
                </c:pt>
                <c:pt idx="2660">
                  <c:v>2.3927307322381353E-2</c:v>
                </c:pt>
                <c:pt idx="2661">
                  <c:v>2.3923250339527691E-2</c:v>
                </c:pt>
                <c:pt idx="2662">
                  <c:v>2.3918529798212518E-2</c:v>
                </c:pt>
                <c:pt idx="2663">
                  <c:v>2.3913822831878484E-2</c:v>
                </c:pt>
                <c:pt idx="2664">
                  <c:v>2.3909588843807287E-2</c:v>
                </c:pt>
                <c:pt idx="2665">
                  <c:v>2.3904909686603647E-2</c:v>
                </c:pt>
                <c:pt idx="2666">
                  <c:v>2.389957870191254E-2</c:v>
                </c:pt>
                <c:pt idx="2667">
                  <c:v>2.389559209985246E-2</c:v>
                </c:pt>
                <c:pt idx="2668">
                  <c:v>2.3891415799848492E-2</c:v>
                </c:pt>
                <c:pt idx="2669">
                  <c:v>2.3885866107484333E-2</c:v>
                </c:pt>
                <c:pt idx="2670">
                  <c:v>2.3880596424850076E-2</c:v>
                </c:pt>
                <c:pt idx="2671">
                  <c:v>2.3876655798448887E-2</c:v>
                </c:pt>
                <c:pt idx="2672">
                  <c:v>2.3873000498237373E-2</c:v>
                </c:pt>
                <c:pt idx="2673">
                  <c:v>2.3867965159640809E-2</c:v>
                </c:pt>
                <c:pt idx="2674">
                  <c:v>2.386340818485877E-2</c:v>
                </c:pt>
                <c:pt idx="2675">
                  <c:v>2.3858864785823709E-2</c:v>
                </c:pt>
                <c:pt idx="2676">
                  <c:v>2.3854334962509844E-2</c:v>
                </c:pt>
                <c:pt idx="2677">
                  <c:v>2.384917464490436E-2</c:v>
                </c:pt>
                <c:pt idx="2678">
                  <c:v>2.3844673912389942E-2</c:v>
                </c:pt>
                <c:pt idx="2679">
                  <c:v>2.3840186755550299E-2</c:v>
                </c:pt>
                <c:pt idx="2680">
                  <c:v>2.3835713174372539E-2</c:v>
                </c:pt>
                <c:pt idx="2681">
                  <c:v>2.3831253168846354E-2</c:v>
                </c:pt>
                <c:pt idx="2682">
                  <c:v>2.3825392457272887E-2</c:v>
                </c:pt>
                <c:pt idx="2683">
                  <c:v>2.382095757364398E-2</c:v>
                </c:pt>
                <c:pt idx="2684">
                  <c:v>2.3816536262769424E-2</c:v>
                </c:pt>
                <c:pt idx="2685">
                  <c:v>2.3812128524626379E-2</c:v>
                </c:pt>
                <c:pt idx="2686">
                  <c:v>2.3809156775362383E-2</c:v>
                </c:pt>
                <c:pt idx="2687">
                  <c:v>2.3804778223389774E-2</c:v>
                </c:pt>
                <c:pt idx="2688">
                  <c:v>2.3800413246955279E-2</c:v>
                </c:pt>
                <c:pt idx="2689">
                  <c:v>2.3796061846046004E-2</c:v>
                </c:pt>
                <c:pt idx="2690">
                  <c:v>2.3791441687932166E-2</c:v>
                </c:pt>
                <c:pt idx="2691">
                  <c:v>2.3786644681904612E-2</c:v>
                </c:pt>
                <c:pt idx="2692">
                  <c:v>2.378233857166373E-2</c:v>
                </c:pt>
                <c:pt idx="2693">
                  <c:v>2.3778525414024771E-2</c:v>
                </c:pt>
                <c:pt idx="2694">
                  <c:v>2.377376708039447E-2</c:v>
                </c:pt>
                <c:pt idx="2695">
                  <c:v>2.3769501699323625E-2</c:v>
                </c:pt>
                <c:pt idx="2696">
                  <c:v>2.3765249894612817E-2</c:v>
                </c:pt>
                <c:pt idx="2697">
                  <c:v>2.3761011666244558E-2</c:v>
                </c:pt>
                <c:pt idx="2698">
                  <c:v>2.375678701420636E-2</c:v>
                </c:pt>
                <c:pt idx="2699">
                  <c:v>2.3752575938478238E-2</c:v>
                </c:pt>
                <c:pt idx="2700">
                  <c:v>2.3748378439047702E-2</c:v>
                </c:pt>
                <c:pt idx="2701">
                  <c:v>2.3744194515897266E-2</c:v>
                </c:pt>
                <c:pt idx="2702">
                  <c:v>2.3740024169016938E-2</c:v>
                </c:pt>
                <c:pt idx="2703">
                  <c:v>2.3735867398389232E-2</c:v>
                </c:pt>
                <c:pt idx="2704">
                  <c:v>2.3731724203996662E-2</c:v>
                </c:pt>
                <c:pt idx="2705">
                  <c:v>2.3727594585824241E-2</c:v>
                </c:pt>
                <c:pt idx="2706">
                  <c:v>2.3723966931098159E-2</c:v>
                </c:pt>
                <c:pt idx="2707">
                  <c:v>2.3717909346317206E-2</c:v>
                </c:pt>
                <c:pt idx="2708">
                  <c:v>2.3715287188492973E-2</c:v>
                </c:pt>
                <c:pt idx="2709">
                  <c:v>2.3711211875058757E-2</c:v>
                </c:pt>
                <c:pt idx="2710">
                  <c:v>2.3707150137774746E-2</c:v>
                </c:pt>
                <c:pt idx="2711">
                  <c:v>2.3703101976620955E-2</c:v>
                </c:pt>
                <c:pt idx="2712">
                  <c:v>2.369906739158989E-2</c:v>
                </c:pt>
                <c:pt idx="2713">
                  <c:v>2.3695539687828511E-2</c:v>
                </c:pt>
                <c:pt idx="2714">
                  <c:v>2.3691038949818499E-2</c:v>
                </c:pt>
                <c:pt idx="2715">
                  <c:v>2.3687045093055692E-2</c:v>
                </c:pt>
                <c:pt idx="2716">
                  <c:v>2.3683064812353161E-2</c:v>
                </c:pt>
                <c:pt idx="2717">
                  <c:v>2.3679098107690921E-2</c:v>
                </c:pt>
                <c:pt idx="2718">
                  <c:v>2.3675144979063978E-2</c:v>
                </c:pt>
                <c:pt idx="2719">
                  <c:v>2.3671205426454844E-2</c:v>
                </c:pt>
                <c:pt idx="2720">
                  <c:v>2.3665785181181367E-2</c:v>
                </c:pt>
                <c:pt idx="2721">
                  <c:v>2.3663367049230055E-2</c:v>
                </c:pt>
                <c:pt idx="2722">
                  <c:v>2.3659468224589419E-2</c:v>
                </c:pt>
                <c:pt idx="2723">
                  <c:v>2.365558297590914E-2</c:v>
                </c:pt>
                <c:pt idx="2724">
                  <c:v>2.3651660543595264E-2</c:v>
                </c:pt>
                <c:pt idx="2725">
                  <c:v>2.3647853206369696E-2</c:v>
                </c:pt>
                <c:pt idx="2726">
                  <c:v>2.3644008685490547E-2</c:v>
                </c:pt>
                <c:pt idx="2727">
                  <c:v>2.36406810190209E-2</c:v>
                </c:pt>
                <c:pt idx="2728">
                  <c:v>2.3633680794300539E-2</c:v>
                </c:pt>
                <c:pt idx="2729">
                  <c:v>2.3631509557043458E-2</c:v>
                </c:pt>
                <c:pt idx="2730">
                  <c:v>2.3628766360865583E-2</c:v>
                </c:pt>
                <c:pt idx="2731">
                  <c:v>2.3625495880945445E-2</c:v>
                </c:pt>
                <c:pt idx="2732">
                  <c:v>2.3621226653709471E-2</c:v>
                </c:pt>
                <c:pt idx="2733">
                  <c:v>2.3615954885198086E-2</c:v>
                </c:pt>
                <c:pt idx="2734">
                  <c:v>2.3612216797039075E-2</c:v>
                </c:pt>
                <c:pt idx="2735">
                  <c:v>2.3608492281890367E-2</c:v>
                </c:pt>
                <c:pt idx="2736">
                  <c:v>2.3604781339751957E-2</c:v>
                </c:pt>
                <c:pt idx="2737">
                  <c:v>2.3601083970596289E-2</c:v>
                </c:pt>
                <c:pt idx="2738">
                  <c:v>2.3598933351555162E-2</c:v>
                </c:pt>
                <c:pt idx="2739">
                  <c:v>2.3595265316367076E-2</c:v>
                </c:pt>
                <c:pt idx="2740">
                  <c:v>2.3592123559648733E-2</c:v>
                </c:pt>
                <c:pt idx="2741">
                  <c:v>2.3587969973175027E-2</c:v>
                </c:pt>
                <c:pt idx="2742">
                  <c:v>2.3584856831643949E-2</c:v>
                </c:pt>
                <c:pt idx="2743">
                  <c:v>2.3580728932787731E-2</c:v>
                </c:pt>
                <c:pt idx="2744">
                  <c:v>2.3577128776119949E-2</c:v>
                </c:pt>
                <c:pt idx="2745">
                  <c:v>2.3573542195110264E-2</c:v>
                </c:pt>
                <c:pt idx="2746">
                  <c:v>2.3568418430783909E-2</c:v>
                </c:pt>
                <c:pt idx="2747">
                  <c:v>2.3566409760030216E-2</c:v>
                </c:pt>
                <c:pt idx="2748">
                  <c:v>2.3562863905939868E-2</c:v>
                </c:pt>
                <c:pt idx="2749">
                  <c:v>2.355933162745516E-2</c:v>
                </c:pt>
                <c:pt idx="2750">
                  <c:v>2.35558129245661E-2</c:v>
                </c:pt>
                <c:pt idx="2751">
                  <c:v>2.3552828596438147E-2</c:v>
                </c:pt>
                <c:pt idx="2752">
                  <c:v>2.3548816245547444E-2</c:v>
                </c:pt>
                <c:pt idx="2753">
                  <c:v>2.3545338269385374E-2</c:v>
                </c:pt>
                <c:pt idx="2754">
                  <c:v>2.3541873868768992E-2</c:v>
                </c:pt>
                <c:pt idx="2755">
                  <c:v>2.3538423043690804E-2</c:v>
                </c:pt>
                <c:pt idx="2756">
                  <c:v>2.3534985794138319E-2</c:v>
                </c:pt>
                <c:pt idx="2757">
                  <c:v>2.3531562120091554E-2</c:v>
                </c:pt>
                <c:pt idx="2758">
                  <c:v>2.3528152021545512E-2</c:v>
                </c:pt>
                <c:pt idx="2759">
                  <c:v>2.3525282255944677E-2</c:v>
                </c:pt>
                <c:pt idx="2760">
                  <c:v>2.3521900057275665E-2</c:v>
                </c:pt>
                <c:pt idx="2761">
                  <c:v>2.3518003178779334E-2</c:v>
                </c:pt>
                <c:pt idx="2762">
                  <c:v>2.3514647382108789E-2</c:v>
                </c:pt>
                <c:pt idx="2763">
                  <c:v>2.3511305160874019E-2</c:v>
                </c:pt>
                <c:pt idx="2764">
                  <c:v>2.3507976515062534E-2</c:v>
                </c:pt>
                <c:pt idx="2765">
                  <c:v>2.3505192709370511E-2</c:v>
                </c:pt>
                <c:pt idx="2766">
                  <c:v>2.350135994967445E-2</c:v>
                </c:pt>
                <c:pt idx="2767">
                  <c:v>2.3498072030067874E-2</c:v>
                </c:pt>
                <c:pt idx="2768">
                  <c:v>2.3493197665619681E-2</c:v>
                </c:pt>
                <c:pt idx="2769">
                  <c:v>2.3491536916982192E-2</c:v>
                </c:pt>
                <c:pt idx="2770">
                  <c:v>2.348828972347311E-2</c:v>
                </c:pt>
                <c:pt idx="2771">
                  <c:v>2.3485056105307378E-2</c:v>
                </c:pt>
                <c:pt idx="2772">
                  <c:v>2.3481836062472505E-2</c:v>
                </c:pt>
                <c:pt idx="2773">
                  <c:v>2.3478629594960998E-2</c:v>
                </c:pt>
                <c:pt idx="2774">
                  <c:v>2.3474443583322149E-2</c:v>
                </c:pt>
                <c:pt idx="2775">
                  <c:v>2.3472257385843132E-2</c:v>
                </c:pt>
                <c:pt idx="2776">
                  <c:v>2.3469180226224656E-2</c:v>
                </c:pt>
                <c:pt idx="2777">
                  <c:v>2.346647985579315E-2</c:v>
                </c:pt>
                <c:pt idx="2778">
                  <c:v>2.3462800886771829E-2</c:v>
                </c:pt>
                <c:pt idx="2779">
                  <c:v>2.3460217780493637E-2</c:v>
                </c:pt>
                <c:pt idx="2780">
                  <c:v>2.3456564430328064E-2</c:v>
                </c:pt>
                <c:pt idx="2781">
                  <c:v>2.3450718218212201E-2</c:v>
                </c:pt>
                <c:pt idx="2782">
                  <c:v>2.3449398543293181E-2</c:v>
                </c:pt>
                <c:pt idx="2783">
                  <c:v>2.3446328997730935E-2</c:v>
                </c:pt>
                <c:pt idx="2784">
                  <c:v>2.3443818794014193E-2</c:v>
                </c:pt>
                <c:pt idx="2785">
                  <c:v>2.3440230629448319E-2</c:v>
                </c:pt>
                <c:pt idx="2786">
                  <c:v>2.3435560455308098E-2</c:v>
                </c:pt>
                <c:pt idx="2787">
                  <c:v>2.3432542886852988E-2</c:v>
                </c:pt>
                <c:pt idx="2788">
                  <c:v>2.3429538889924637E-2</c:v>
                </c:pt>
                <c:pt idx="2789">
                  <c:v>2.3426548464503063E-2</c:v>
                </c:pt>
                <c:pt idx="2790">
                  <c:v>2.342522225816707E-2</c:v>
                </c:pt>
                <c:pt idx="2791">
                  <c:v>2.3422812495373646E-2</c:v>
                </c:pt>
                <c:pt idx="2792">
                  <c:v>2.3419313929202927E-2</c:v>
                </c:pt>
                <c:pt idx="2793">
                  <c:v>2.3416380126012864E-2</c:v>
                </c:pt>
                <c:pt idx="2794">
                  <c:v>2.3414013422760616E-2</c:v>
                </c:pt>
                <c:pt idx="2795">
                  <c:v>2.3408343736439186E-2</c:v>
                </c:pt>
                <c:pt idx="2796">
                  <c:v>2.340766016146888E-2</c:v>
                </c:pt>
                <c:pt idx="2797">
                  <c:v>2.3404780654933732E-2</c:v>
                </c:pt>
                <c:pt idx="2798">
                  <c:v>2.3402471376939016E-2</c:v>
                </c:pt>
                <c:pt idx="2799">
                  <c:v>2.3399062364269523E-2</c:v>
                </c:pt>
                <c:pt idx="2800">
                  <c:v>2.3396223580122416E-2</c:v>
                </c:pt>
                <c:pt idx="2801">
                  <c:v>2.3393398370084889E-2</c:v>
                </c:pt>
                <c:pt idx="2802">
                  <c:v>2.3390586734138887E-2</c:v>
                </c:pt>
                <c:pt idx="2803">
                  <c:v>2.3388349257812413E-2</c:v>
                </c:pt>
                <c:pt idx="2804">
                  <c:v>2.3385004184518894E-2</c:v>
                </c:pt>
                <c:pt idx="2805">
                  <c:v>2.3382233270811376E-2</c:v>
                </c:pt>
                <c:pt idx="2806">
                  <c:v>2.3379475931174759E-2</c:v>
                </c:pt>
                <c:pt idx="2807">
                  <c:v>2.3376732165585837E-2</c:v>
                </c:pt>
                <c:pt idx="2808">
                  <c:v>2.3374001974036867E-2</c:v>
                </c:pt>
                <c:pt idx="2809">
                  <c:v>2.3371285356514965E-2</c:v>
                </c:pt>
                <c:pt idx="2810">
                  <c:v>2.3368582313017545E-2</c:v>
                </c:pt>
                <c:pt idx="2811">
                  <c:v>2.3367026788276041E-2</c:v>
                </c:pt>
                <c:pt idx="2812">
                  <c:v>2.3363784666376453E-2</c:v>
                </c:pt>
                <c:pt idx="2813">
                  <c:v>2.33605546265639E-2</c:v>
                </c:pt>
                <c:pt idx="2814">
                  <c:v>2.3357905879056121E-2</c:v>
                </c:pt>
                <c:pt idx="2815">
                  <c:v>2.3355270705531568E-2</c:v>
                </c:pt>
                <c:pt idx="2816">
                  <c:v>2.3352649105964459E-2</c:v>
                </c:pt>
                <c:pt idx="2817">
                  <c:v>2.3350612792837067E-2</c:v>
                </c:pt>
                <c:pt idx="2818">
                  <c:v>2.3347446628702567E-2</c:v>
                </c:pt>
                <c:pt idx="2819">
                  <c:v>2.3344865750979417E-2</c:v>
                </c:pt>
                <c:pt idx="2820">
                  <c:v>2.3342298447187926E-2</c:v>
                </c:pt>
                <c:pt idx="2821">
                  <c:v>2.3339744717317777E-2</c:v>
                </c:pt>
                <c:pt idx="2822">
                  <c:v>2.3337204561353495E-2</c:v>
                </c:pt>
                <c:pt idx="2823">
                  <c:v>2.3334677979295088E-2</c:v>
                </c:pt>
                <c:pt idx="2824">
                  <c:v>2.333216497113481E-2</c:v>
                </c:pt>
                <c:pt idx="2825">
                  <c:v>2.3329665536854623E-2</c:v>
                </c:pt>
                <c:pt idx="2826">
                  <c:v>2.3325539259793082E-2</c:v>
                </c:pt>
                <c:pt idx="2827">
                  <c:v>2.3324707389919021E-2</c:v>
                </c:pt>
                <c:pt idx="2828">
                  <c:v>2.3323409936720069E-2</c:v>
                </c:pt>
                <c:pt idx="2829">
                  <c:v>2.3320384928358084E-2</c:v>
                </c:pt>
                <c:pt idx="2830">
                  <c:v>2.33173719734306E-2</c:v>
                </c:pt>
                <c:pt idx="2831">
                  <c:v>2.3315536997661201E-2</c:v>
                </c:pt>
                <c:pt idx="2832">
                  <c:v>2.3312549564950314E-2</c:v>
                </c:pt>
                <c:pt idx="2833">
                  <c:v>2.3310743365844711E-2</c:v>
                </c:pt>
                <c:pt idx="2834">
                  <c:v>2.3307781451740246E-2</c:v>
                </c:pt>
                <c:pt idx="2835">
                  <c:v>2.3305417755838012E-2</c:v>
                </c:pt>
                <c:pt idx="2836">
                  <c:v>2.3303654728352718E-2</c:v>
                </c:pt>
                <c:pt idx="2837">
                  <c:v>2.330073108539531E-2</c:v>
                </c:pt>
                <c:pt idx="2838">
                  <c:v>2.3296642534153138E-2</c:v>
                </c:pt>
                <c:pt idx="2839">
                  <c:v>2.3294330673139081E-2</c:v>
                </c:pt>
                <c:pt idx="2840">
                  <c:v>2.3292032383209284E-2</c:v>
                </c:pt>
                <c:pt idx="2841">
                  <c:v>2.329211182592883E-2</c:v>
                </c:pt>
                <c:pt idx="2842">
                  <c:v>2.3289251950214841E-2</c:v>
                </c:pt>
                <c:pt idx="2843">
                  <c:v>2.3286996844414681E-2</c:v>
                </c:pt>
                <c:pt idx="2844">
                  <c:v>2.3284755312342465E-2</c:v>
                </c:pt>
                <c:pt idx="2845">
                  <c:v>2.3281260329247277E-2</c:v>
                </c:pt>
                <c:pt idx="2846">
                  <c:v>2.3278527635991635E-2</c:v>
                </c:pt>
                <c:pt idx="2847">
                  <c:v>2.3278112158405841E-2</c:v>
                </c:pt>
                <c:pt idx="2848">
                  <c:v>2.3275924921160328E-2</c:v>
                </c:pt>
                <c:pt idx="2849">
                  <c:v>2.327375125760666E-2</c:v>
                </c:pt>
                <c:pt idx="2850">
                  <c:v>2.3272788542870033E-2</c:v>
                </c:pt>
                <c:pt idx="2851">
                  <c:v>2.3269444651523297E-2</c:v>
                </c:pt>
                <c:pt idx="2852">
                  <c:v>2.3267311708988447E-2</c:v>
                </c:pt>
                <c:pt idx="2853">
                  <c:v>2.3265192340109344E-2</c:v>
                </c:pt>
                <c:pt idx="2854">
                  <c:v>2.326308654488083E-2</c:v>
                </c:pt>
                <c:pt idx="2855">
                  <c:v>2.3260994323292594E-2</c:v>
                </c:pt>
                <c:pt idx="2856">
                  <c:v>2.3258915675344632E-2</c:v>
                </c:pt>
                <c:pt idx="2857">
                  <c:v>2.3256850601021475E-2</c:v>
                </c:pt>
                <c:pt idx="2858">
                  <c:v>2.3254799100323124E-2</c:v>
                </c:pt>
                <c:pt idx="2859">
                  <c:v>2.3252761173236686E-2</c:v>
                </c:pt>
                <c:pt idx="2860">
                  <c:v>2.3250736819759577E-2</c:v>
                </c:pt>
                <c:pt idx="2861">
                  <c:v>2.3248726039884069E-2</c:v>
                </c:pt>
                <c:pt idx="2862">
                  <c:v>2.3246728833594688E-2</c:v>
                </c:pt>
                <c:pt idx="2863">
                  <c:v>2.3245354708161248E-2</c:v>
                </c:pt>
                <c:pt idx="2864">
                  <c:v>2.3243385491566459E-2</c:v>
                </c:pt>
                <c:pt idx="2865">
                  <c:v>2.3240818656225248E-2</c:v>
                </c:pt>
                <c:pt idx="2866">
                  <c:v>2.3238875744241688E-2</c:v>
                </c:pt>
                <c:pt idx="2867">
                  <c:v>2.3236946405813315E-2</c:v>
                </c:pt>
                <c:pt idx="2868">
                  <c:v>2.3235030640942702E-2</c:v>
                </c:pt>
                <c:pt idx="2869">
                  <c:v>2.3233743025333486E-2</c:v>
                </c:pt>
                <c:pt idx="2870">
                  <c:v>2.3231239831818035E-2</c:v>
                </c:pt>
                <c:pt idx="2871">
                  <c:v>2.3229364787566556E-2</c:v>
                </c:pt>
                <c:pt idx="2872">
                  <c:v>2.3228120438722188E-2</c:v>
                </c:pt>
                <c:pt idx="2873">
                  <c:v>2.3225655419615694E-2</c:v>
                </c:pt>
                <c:pt idx="2874">
                  <c:v>2.3223821095913727E-2</c:v>
                </c:pt>
                <c:pt idx="2875">
                  <c:v>2.3222000345717954E-2</c:v>
                </c:pt>
                <c:pt idx="2876">
                  <c:v>2.3220193169020634E-2</c:v>
                </c:pt>
                <c:pt idx="2877">
                  <c:v>2.3218399565819187E-2</c:v>
                </c:pt>
                <c:pt idx="2878">
                  <c:v>2.3215238324908682E-2</c:v>
                </c:pt>
                <c:pt idx="2879">
                  <c:v>2.3214853079860088E-2</c:v>
                </c:pt>
                <c:pt idx="2880">
                  <c:v>2.3214348206719103E-2</c:v>
                </c:pt>
                <c:pt idx="2881">
                  <c:v>2.3211985695917869E-2</c:v>
                </c:pt>
                <c:pt idx="2882">
                  <c:v>2.3209635151971612E-2</c:v>
                </c:pt>
                <c:pt idx="2883">
                  <c:v>2.3208549515472687E-2</c:v>
                </c:pt>
                <c:pt idx="2884">
                  <c:v>2.3206224400666997E-2</c:v>
                </c:pt>
                <c:pt idx="2885">
                  <c:v>2.3205795988609654E-2</c:v>
                </c:pt>
                <c:pt idx="2886">
                  <c:v>2.3202867943144755E-2</c:v>
                </c:pt>
                <c:pt idx="2887">
                  <c:v>2.3201210074530753E-2</c:v>
                </c:pt>
                <c:pt idx="2888">
                  <c:v>2.3200196615048851E-2</c:v>
                </c:pt>
                <c:pt idx="2889">
                  <c:v>2.3197935057584083E-2</c:v>
                </c:pt>
                <c:pt idx="2890">
                  <c:v>2.3194420869797141E-2</c:v>
                </c:pt>
                <c:pt idx="2891">
                  <c:v>2.3192814696459951E-2</c:v>
                </c:pt>
                <c:pt idx="2892">
                  <c:v>2.3191222093887274E-2</c:v>
                </c:pt>
                <c:pt idx="2893">
                  <c:v>2.3189643062079109E-2</c:v>
                </c:pt>
                <c:pt idx="2894">
                  <c:v>2.3189985049879031E-2</c:v>
                </c:pt>
                <c:pt idx="2895">
                  <c:v>2.3188435768520345E-2</c:v>
                </c:pt>
                <c:pt idx="2896">
                  <c:v>2.3187537837772443E-2</c:v>
                </c:pt>
                <c:pt idx="2897">
                  <c:v>2.3185377925947645E-2</c:v>
                </c:pt>
                <c:pt idx="2898">
                  <c:v>2.3183869364720739E-2</c:v>
                </c:pt>
                <c:pt idx="2899">
                  <c:v>2.3183014771670785E-2</c:v>
                </c:pt>
                <c:pt idx="2900">
                  <c:v>2.3179410875799888E-2</c:v>
                </c:pt>
                <c:pt idx="2901">
                  <c:v>2.3179425121215919E-2</c:v>
                </c:pt>
                <c:pt idx="2902">
                  <c:v>2.3178613873727216E-2</c:v>
                </c:pt>
                <c:pt idx="2903">
                  <c:v>2.3176530158971798E-2</c:v>
                </c:pt>
                <c:pt idx="2904">
                  <c:v>2.317510303786148E-2</c:v>
                </c:pt>
                <c:pt idx="2905">
                  <c:v>2.3173689490089744E-2</c:v>
                </c:pt>
                <c:pt idx="2906">
                  <c:v>2.3172289515646274E-2</c:v>
                </c:pt>
                <c:pt idx="2907">
                  <c:v>2.3170903114528494E-2</c:v>
                </c:pt>
                <c:pt idx="2908">
                  <c:v>2.3169530286731247E-2</c:v>
                </c:pt>
                <c:pt idx="2909">
                  <c:v>2.3168171032249371E-2</c:v>
                </c:pt>
                <c:pt idx="2910">
                  <c:v>2.3166825351077718E-2</c:v>
                </c:pt>
                <c:pt idx="2911">
                  <c:v>2.3166144187436177E-2</c:v>
                </c:pt>
                <c:pt idx="2912">
                  <c:v>2.316417470864959E-2</c:v>
                </c:pt>
                <c:pt idx="2913">
                  <c:v>2.3162869747385378E-2</c:v>
                </c:pt>
                <c:pt idx="2914">
                  <c:v>2.316157835941076E-2</c:v>
                </c:pt>
                <c:pt idx="2915">
                  <c:v>2.3160955033497133E-2</c:v>
                </c:pt>
                <c:pt idx="2916">
                  <c:v>2.3159691680427474E-2</c:v>
                </c:pt>
                <c:pt idx="2917">
                  <c:v>2.3157785635198647E-2</c:v>
                </c:pt>
                <c:pt idx="2918">
                  <c:v>2.3156548540354017E-2</c:v>
                </c:pt>
                <c:pt idx="2919">
                  <c:v>2.3155325018775774E-2</c:v>
                </c:pt>
                <c:pt idx="2920">
                  <c:v>2.3152138932428672E-2</c:v>
                </c:pt>
                <c:pt idx="2921">
                  <c:v>2.3153578527301266E-2</c:v>
                </c:pt>
                <c:pt idx="2922">
                  <c:v>2.3151735893621274E-2</c:v>
                </c:pt>
                <c:pt idx="2923">
                  <c:v>2.3150566665082768E-2</c:v>
                </c:pt>
                <c:pt idx="2924">
                  <c:v>2.3150736154102187E-2</c:v>
                </c:pt>
                <c:pt idx="2925">
                  <c:v>2.3148268927750754E-2</c:v>
                </c:pt>
                <c:pt idx="2926">
                  <c:v>2.314780472752298E-2</c:v>
                </c:pt>
                <c:pt idx="2927">
                  <c:v>2.3146025483383702E-2</c:v>
                </c:pt>
                <c:pt idx="2928">
                  <c:v>2.3144924121050754E-2</c:v>
                </c:pt>
                <c:pt idx="2929">
                  <c:v>2.314383633194551E-2</c:v>
                </c:pt>
                <c:pt idx="2930">
                  <c:v>2.314276211607055E-2</c:v>
                </c:pt>
                <c:pt idx="2931">
                  <c:v>2.3141701473418132E-2</c:v>
                </c:pt>
                <c:pt idx="2932">
                  <c:v>2.3140654403980526E-2</c:v>
                </c:pt>
                <c:pt idx="2933">
                  <c:v>2.3139620907762889E-2</c:v>
                </c:pt>
                <c:pt idx="2934">
                  <c:v>2.3138600984752324E-2</c:v>
                </c:pt>
                <c:pt idx="2935">
                  <c:v>2.3137594634943678E-2</c:v>
                </c:pt>
                <c:pt idx="2936">
                  <c:v>2.313727518590436E-2</c:v>
                </c:pt>
                <c:pt idx="2937">
                  <c:v>2.3135207151408935E-2</c:v>
                </c:pt>
                <c:pt idx="2938">
                  <c:v>2.3134247338297366E-2</c:v>
                </c:pt>
                <c:pt idx="2939">
                  <c:v>2.3133301098369662E-2</c:v>
                </c:pt>
                <c:pt idx="2940">
                  <c:v>2.3132236301546046E-2</c:v>
                </c:pt>
                <c:pt idx="2941">
                  <c:v>2.3131449338083906E-2</c:v>
                </c:pt>
                <c:pt idx="2942">
                  <c:v>2.312918582234208E-2</c:v>
                </c:pt>
                <c:pt idx="2943">
                  <c:v>2.3128292050871455E-2</c:v>
                </c:pt>
                <c:pt idx="2944">
                  <c:v>2.3127287215845234E-2</c:v>
                </c:pt>
                <c:pt idx="2945">
                  <c:v>2.3126545222220071E-2</c:v>
                </c:pt>
                <c:pt idx="2946">
                  <c:v>2.3127057468008552E-2</c:v>
                </c:pt>
                <c:pt idx="2947">
                  <c:v>2.3126219813505371E-2</c:v>
                </c:pt>
                <c:pt idx="2948">
                  <c:v>2.3125395732168007E-2</c:v>
                </c:pt>
                <c:pt idx="2949">
                  <c:v>2.3124585223991304E-2</c:v>
                </c:pt>
                <c:pt idx="2950">
                  <c:v>2.3123101911258104E-2</c:v>
                </c:pt>
                <c:pt idx="2951">
                  <c:v>2.3122096042784257E-2</c:v>
                </c:pt>
                <c:pt idx="2952">
                  <c:v>2.3121546921446523E-2</c:v>
                </c:pt>
                <c:pt idx="2953">
                  <c:v>2.3120789784959683E-2</c:v>
                </c:pt>
                <c:pt idx="2954">
                  <c:v>2.3120046220746815E-2</c:v>
                </c:pt>
                <c:pt idx="2955">
                  <c:v>2.3119904166421353E-2</c:v>
                </c:pt>
                <c:pt idx="2956">
                  <c:v>2.3119291715038837E-2</c:v>
                </c:pt>
                <c:pt idx="2957">
                  <c:v>2.3118589792054587E-2</c:v>
                </c:pt>
                <c:pt idx="2958">
                  <c:v>2.3117804214528977E-2</c:v>
                </c:pt>
                <c:pt idx="2959">
                  <c:v>2.3116531983730759E-2</c:v>
                </c:pt>
                <c:pt idx="2960">
                  <c:v>2.3115869853124416E-2</c:v>
                </c:pt>
                <c:pt idx="2961">
                  <c:v>2.3115221294770727E-2</c:v>
                </c:pt>
                <c:pt idx="2962">
                  <c:v>2.3114586308669693E-2</c:v>
                </c:pt>
                <c:pt idx="2963">
                  <c:v>2.311466328995564E-2</c:v>
                </c:pt>
                <c:pt idx="2964">
                  <c:v>2.3114056378884563E-2</c:v>
                </c:pt>
                <c:pt idx="2965">
                  <c:v>2.3113463040935468E-2</c:v>
                </c:pt>
                <c:pt idx="2966">
                  <c:v>2.3112883276108356E-2</c:v>
                </c:pt>
                <c:pt idx="2967">
                  <c:v>2.3112317084392906E-2</c:v>
                </c:pt>
                <c:pt idx="2968">
                  <c:v>2.3111764465799441E-2</c:v>
                </c:pt>
                <c:pt idx="2969">
                  <c:v>2.3111225420315063E-2</c:v>
                </c:pt>
                <c:pt idx="2970">
                  <c:v>2.3110699947944929E-2</c:v>
                </c:pt>
                <c:pt idx="2971">
                  <c:v>2.3110116028227191E-2</c:v>
                </c:pt>
                <c:pt idx="2972">
                  <c:v>2.3108912705935403E-2</c:v>
                </c:pt>
                <c:pt idx="2973">
                  <c:v>2.3108497229967107E-2</c:v>
                </c:pt>
                <c:pt idx="2974">
                  <c:v>2.3108025110794017E-2</c:v>
                </c:pt>
                <c:pt idx="2975">
                  <c:v>2.3107566563857596E-2</c:v>
                </c:pt>
                <c:pt idx="2976">
                  <c:v>2.3107121589141855E-2</c:v>
                </c:pt>
                <c:pt idx="2977">
                  <c:v>2.310740168832854E-2</c:v>
                </c:pt>
                <c:pt idx="2978">
                  <c:v>2.3106926353437092E-2</c:v>
                </c:pt>
                <c:pt idx="2979">
                  <c:v>2.3106581486344788E-2</c:v>
                </c:pt>
                <c:pt idx="2980">
                  <c:v>2.3106906198019916E-2</c:v>
                </c:pt>
                <c:pt idx="2981">
                  <c:v>2.3105100299001258E-2</c:v>
                </c:pt>
                <c:pt idx="2982">
                  <c:v>2.3104736757646904E-2</c:v>
                </c:pt>
                <c:pt idx="2983">
                  <c:v>2.3104386788510567E-2</c:v>
                </c:pt>
                <c:pt idx="2984">
                  <c:v>2.3104050391597575E-2</c:v>
                </c:pt>
                <c:pt idx="2985">
                  <c:v>2.3105165823620322E-2</c:v>
                </c:pt>
                <c:pt idx="2986">
                  <c:v>2.3104138331850588E-2</c:v>
                </c:pt>
                <c:pt idx="2987">
                  <c:v>2.3103843602138987E-2</c:v>
                </c:pt>
                <c:pt idx="2988">
                  <c:v>2.3103562445505526E-2</c:v>
                </c:pt>
                <c:pt idx="2989">
                  <c:v>2.3102497758610063E-2</c:v>
                </c:pt>
                <c:pt idx="2990">
                  <c:v>2.3104419330394907E-2</c:v>
                </c:pt>
                <c:pt idx="2991">
                  <c:v>2.3104910097611717E-2</c:v>
                </c:pt>
                <c:pt idx="2992">
                  <c:v>2.3103963604365872E-2</c:v>
                </c:pt>
                <c:pt idx="2993">
                  <c:v>2.3101574848507056E-2</c:v>
                </c:pt>
                <c:pt idx="2994">
                  <c:v>2.3099922579175987E-2</c:v>
                </c:pt>
                <c:pt idx="2995">
                  <c:v>2.3099737439235466E-2</c:v>
                </c:pt>
                <c:pt idx="2996">
                  <c:v>2.3099565869773971E-2</c:v>
                </c:pt>
                <c:pt idx="2997">
                  <c:v>2.309940787077152E-2</c:v>
                </c:pt>
                <c:pt idx="2998">
                  <c:v>2.3102922221974641E-2</c:v>
                </c:pt>
                <c:pt idx="2999">
                  <c:v>2.3102796170109938E-2</c:v>
                </c:pt>
                <c:pt idx="3000">
                  <c:v>2.3102683693064081E-2</c:v>
                </c:pt>
                <c:pt idx="3001">
                  <c:v>2.3102584790834643E-2</c:v>
                </c:pt>
                <c:pt idx="3002">
                  <c:v>2.3102488381936809E-2</c:v>
                </c:pt>
                <c:pt idx="3003">
                  <c:v>2.3101681612882896E-2</c:v>
                </c:pt>
                <c:pt idx="3004">
                  <c:v>2.3101624408399246E-2</c:v>
                </c:pt>
                <c:pt idx="3005">
                  <c:v>2.310231966636923E-2</c:v>
                </c:pt>
                <c:pt idx="3006">
                  <c:v>2.3099331894251073E-2</c:v>
                </c:pt>
                <c:pt idx="3007">
                  <c:v>2.3101532318241247E-2</c:v>
                </c:pt>
                <c:pt idx="3008">
                  <c:v>2.3101522915457695E-2</c:v>
                </c:pt>
                <c:pt idx="3009">
                  <c:v>2.3101519451271257E-2</c:v>
                </c:pt>
                <c:pt idx="3010">
                  <c:v>2.3101518956387124E-2</c:v>
                </c:pt>
                <c:pt idx="3011">
                  <c:v>2.3101518956389622E-2</c:v>
                </c:pt>
                <c:pt idx="3012">
                  <c:v>2.3101518956389622E-2</c:v>
                </c:pt>
                <c:pt idx="3013">
                  <c:v>2.3101518956387124E-2</c:v>
                </c:pt>
                <c:pt idx="3014">
                  <c:v>2.3101518956387124E-2</c:v>
                </c:pt>
                <c:pt idx="3015">
                  <c:v>2.3101518956387124E-2</c:v>
                </c:pt>
                <c:pt idx="3016">
                  <c:v>2.3101518956384626E-2</c:v>
                </c:pt>
                <c:pt idx="3017">
                  <c:v>2.3101518956384626E-2</c:v>
                </c:pt>
                <c:pt idx="3018">
                  <c:v>2.3101518956387124E-2</c:v>
                </c:pt>
                <c:pt idx="3019">
                  <c:v>2.3099296951962011E-2</c:v>
                </c:pt>
                <c:pt idx="3020">
                  <c:v>2.3102259687847689E-2</c:v>
                </c:pt>
                <c:pt idx="3021">
                  <c:v>2.3101518956384626E-2</c:v>
                </c:pt>
                <c:pt idx="3022">
                  <c:v>2.3101518956387124E-2</c:v>
                </c:pt>
                <c:pt idx="3023">
                  <c:v>2.3101518956384626E-2</c:v>
                </c:pt>
                <c:pt idx="3024">
                  <c:v>2.3101518956387124E-2</c:v>
                </c:pt>
                <c:pt idx="3025">
                  <c:v>2.3102259687847689E-2</c:v>
                </c:pt>
                <c:pt idx="3026">
                  <c:v>2.3101518956387124E-2</c:v>
                </c:pt>
                <c:pt idx="3027">
                  <c:v>2.3101518956384626E-2</c:v>
                </c:pt>
                <c:pt idx="3028">
                  <c:v>2.3101518956387124E-2</c:v>
                </c:pt>
                <c:pt idx="3029">
                  <c:v>2.3101518956387124E-2</c:v>
                </c:pt>
                <c:pt idx="3030">
                  <c:v>2.3101518956387124E-2</c:v>
                </c:pt>
                <c:pt idx="3031">
                  <c:v>2.3101518956384626E-2</c:v>
                </c:pt>
                <c:pt idx="3032">
                  <c:v>2.3101518956387124E-2</c:v>
                </c:pt>
                <c:pt idx="3033">
                  <c:v>2.3101518956389622E-2</c:v>
                </c:pt>
                <c:pt idx="3034">
                  <c:v>2.3101518956387124E-2</c:v>
                </c:pt>
                <c:pt idx="3035">
                  <c:v>2.3101518956387124E-2</c:v>
                </c:pt>
                <c:pt idx="3036">
                  <c:v>2.3101518956387124E-2</c:v>
                </c:pt>
                <c:pt idx="3037">
                  <c:v>2.3101518956387124E-2</c:v>
                </c:pt>
                <c:pt idx="3038">
                  <c:v>2.3101518956384626E-2</c:v>
                </c:pt>
                <c:pt idx="3039">
                  <c:v>2.3102259687847689E-2</c:v>
                </c:pt>
                <c:pt idx="3040">
                  <c:v>2.3101518956387124E-2</c:v>
                </c:pt>
                <c:pt idx="3041">
                  <c:v>2.3099296951959253E-2</c:v>
                </c:pt>
                <c:pt idx="3042">
                  <c:v>2.3101518956387124E-2</c:v>
                </c:pt>
                <c:pt idx="3043">
                  <c:v>2.310225968785011E-2</c:v>
                </c:pt>
                <c:pt idx="3044">
                  <c:v>2.3101518956389622E-2</c:v>
                </c:pt>
                <c:pt idx="3045">
                  <c:v>2.3099296951959253E-2</c:v>
                </c:pt>
                <c:pt idx="3046">
                  <c:v>2.3098556347137058E-2</c:v>
                </c:pt>
                <c:pt idx="3047">
                  <c:v>2.3098556347137058E-2</c:v>
                </c:pt>
                <c:pt idx="3048">
                  <c:v>2.3098556347139913E-2</c:v>
                </c:pt>
                <c:pt idx="3049">
                  <c:v>2.3098556347134203E-2</c:v>
                </c:pt>
                <c:pt idx="3050">
                  <c:v>2.3101518956387124E-2</c:v>
                </c:pt>
                <c:pt idx="3051">
                  <c:v>2.3102259687847689E-2</c:v>
                </c:pt>
                <c:pt idx="3052">
                  <c:v>2.3101518956384626E-2</c:v>
                </c:pt>
                <c:pt idx="3053">
                  <c:v>2.3101518956387124E-2</c:v>
                </c:pt>
                <c:pt idx="3054">
                  <c:v>2.3102259687847689E-2</c:v>
                </c:pt>
                <c:pt idx="3055">
                  <c:v>2.3101518956389622E-2</c:v>
                </c:pt>
                <c:pt idx="3056">
                  <c:v>2.3101518956384626E-2</c:v>
                </c:pt>
                <c:pt idx="3057">
                  <c:v>2.3101518956384626E-2</c:v>
                </c:pt>
                <c:pt idx="3058">
                  <c:v>2.3099296951962011E-2</c:v>
                </c:pt>
                <c:pt idx="3059">
                  <c:v>2.3101518956387124E-2</c:v>
                </c:pt>
                <c:pt idx="3060">
                  <c:v>2.3101518956384626E-2</c:v>
                </c:pt>
                <c:pt idx="3061">
                  <c:v>2.3101518956387124E-2</c:v>
                </c:pt>
                <c:pt idx="3062">
                  <c:v>2.3101518956387124E-2</c:v>
                </c:pt>
                <c:pt idx="3063">
                  <c:v>2.3102259687847689E-2</c:v>
                </c:pt>
                <c:pt idx="3064">
                  <c:v>2.3101518956384626E-2</c:v>
                </c:pt>
                <c:pt idx="3065">
                  <c:v>2.3101518956387124E-2</c:v>
                </c:pt>
                <c:pt idx="3066">
                  <c:v>2.3101518956387124E-2</c:v>
                </c:pt>
                <c:pt idx="3067">
                  <c:v>2.3101518956387124E-2</c:v>
                </c:pt>
                <c:pt idx="3068">
                  <c:v>2.3101518956387124E-2</c:v>
                </c:pt>
                <c:pt idx="3069">
                  <c:v>2.3101518956387124E-2</c:v>
                </c:pt>
                <c:pt idx="3070">
                  <c:v>2.3101518956384626E-2</c:v>
                </c:pt>
                <c:pt idx="3071">
                  <c:v>2.3102259687847689E-2</c:v>
                </c:pt>
                <c:pt idx="3072">
                  <c:v>2.310225968785011E-2</c:v>
                </c:pt>
                <c:pt idx="3073">
                  <c:v>2.3101518956387124E-2</c:v>
                </c:pt>
                <c:pt idx="3074">
                  <c:v>2.3101518956384626E-2</c:v>
                </c:pt>
                <c:pt idx="3075">
                  <c:v>2.3101518956384626E-2</c:v>
                </c:pt>
                <c:pt idx="3076">
                  <c:v>2.3101518956387124E-2</c:v>
                </c:pt>
                <c:pt idx="3077">
                  <c:v>2.310225968785011E-2</c:v>
                </c:pt>
                <c:pt idx="3078">
                  <c:v>2.3101518956384626E-2</c:v>
                </c:pt>
                <c:pt idx="3079">
                  <c:v>2.3101518956389622E-2</c:v>
                </c:pt>
                <c:pt idx="3080">
                  <c:v>2.3099296951964766E-2</c:v>
                </c:pt>
                <c:pt idx="3081">
                  <c:v>2.3101518956384626E-2</c:v>
                </c:pt>
                <c:pt idx="3082">
                  <c:v>2.3101518956387124E-2</c:v>
                </c:pt>
                <c:pt idx="3083">
                  <c:v>2.3101518956389622E-2</c:v>
                </c:pt>
                <c:pt idx="3084">
                  <c:v>2.3101518956389622E-2</c:v>
                </c:pt>
                <c:pt idx="3085">
                  <c:v>2.3101518956384626E-2</c:v>
                </c:pt>
                <c:pt idx="3086">
                  <c:v>2.3100778256584825E-2</c:v>
                </c:pt>
                <c:pt idx="3087">
                  <c:v>2.3101518956389622E-2</c:v>
                </c:pt>
                <c:pt idx="3088">
                  <c:v>2.3102259687847689E-2</c:v>
                </c:pt>
                <c:pt idx="3089">
                  <c:v>2.310225968785011E-2</c:v>
                </c:pt>
                <c:pt idx="3090">
                  <c:v>2.3101518956387124E-2</c:v>
                </c:pt>
                <c:pt idx="3091">
                  <c:v>2.310225968785011E-2</c:v>
                </c:pt>
                <c:pt idx="3092">
                  <c:v>2.3101518956384626E-2</c:v>
                </c:pt>
                <c:pt idx="3093">
                  <c:v>2.3100778256587403E-2</c:v>
                </c:pt>
                <c:pt idx="3094">
                  <c:v>2.3100778256584825E-2</c:v>
                </c:pt>
                <c:pt idx="3095">
                  <c:v>2.3100778256584825E-2</c:v>
                </c:pt>
                <c:pt idx="3096">
                  <c:v>2.3101518956387124E-2</c:v>
                </c:pt>
                <c:pt idx="3097">
                  <c:v>2.3100778256584825E-2</c:v>
                </c:pt>
                <c:pt idx="3098">
                  <c:v>2.3098556347134203E-2</c:v>
                </c:pt>
                <c:pt idx="3099">
                  <c:v>2.3098556347134203E-2</c:v>
                </c:pt>
                <c:pt idx="3100">
                  <c:v>2.3098556347137058E-2</c:v>
                </c:pt>
                <c:pt idx="3101">
                  <c:v>2.3098556347134203E-2</c:v>
                </c:pt>
                <c:pt idx="3102">
                  <c:v>2.3101518956387124E-2</c:v>
                </c:pt>
                <c:pt idx="3103">
                  <c:v>2.3100778256587403E-2</c:v>
                </c:pt>
                <c:pt idx="3104">
                  <c:v>2.3100778256587403E-2</c:v>
                </c:pt>
                <c:pt idx="3105">
                  <c:v>2.3100778256584825E-2</c:v>
                </c:pt>
                <c:pt idx="3106">
                  <c:v>2.3100037588443811E-2</c:v>
                </c:pt>
                <c:pt idx="3107">
                  <c:v>2.3100778256587403E-2</c:v>
                </c:pt>
                <c:pt idx="3108">
                  <c:v>2.3100778256584825E-2</c:v>
                </c:pt>
                <c:pt idx="3109">
                  <c:v>2.3100778256587403E-2</c:v>
                </c:pt>
                <c:pt idx="3110">
                  <c:v>2.3101518956387124E-2</c:v>
                </c:pt>
                <c:pt idx="3111">
                  <c:v>2.3100778256587403E-2</c:v>
                </c:pt>
                <c:pt idx="3112">
                  <c:v>2.3100778256584825E-2</c:v>
                </c:pt>
                <c:pt idx="3113">
                  <c:v>2.3100778256584825E-2</c:v>
                </c:pt>
                <c:pt idx="3114">
                  <c:v>2.3100778256587403E-2</c:v>
                </c:pt>
                <c:pt idx="3115">
                  <c:v>2.3101518956387124E-2</c:v>
                </c:pt>
                <c:pt idx="3116">
                  <c:v>2.3100778256587403E-2</c:v>
                </c:pt>
                <c:pt idx="3117">
                  <c:v>2.3100778256587403E-2</c:v>
                </c:pt>
                <c:pt idx="3118">
                  <c:v>2.3100778256584825E-2</c:v>
                </c:pt>
                <c:pt idx="3119">
                  <c:v>2.3100778256587403E-2</c:v>
                </c:pt>
                <c:pt idx="3120">
                  <c:v>2.3100778256587403E-2</c:v>
                </c:pt>
                <c:pt idx="3121">
                  <c:v>2.3100778256587403E-2</c:v>
                </c:pt>
                <c:pt idx="3122">
                  <c:v>2.3100778256584825E-2</c:v>
                </c:pt>
                <c:pt idx="3123">
                  <c:v>2.3102259687847689E-2</c:v>
                </c:pt>
                <c:pt idx="3124">
                  <c:v>2.3101518956389622E-2</c:v>
                </c:pt>
                <c:pt idx="3125">
                  <c:v>2.3100778256587403E-2</c:v>
                </c:pt>
                <c:pt idx="3126">
                  <c:v>2.3100778256584825E-2</c:v>
                </c:pt>
                <c:pt idx="3127">
                  <c:v>2.3100778256584825E-2</c:v>
                </c:pt>
                <c:pt idx="3128">
                  <c:v>2.3100778256587403E-2</c:v>
                </c:pt>
                <c:pt idx="3129">
                  <c:v>2.3101518956389622E-2</c:v>
                </c:pt>
                <c:pt idx="3130">
                  <c:v>2.3100778256584825E-2</c:v>
                </c:pt>
                <c:pt idx="3131">
                  <c:v>2.3100778256584825E-2</c:v>
                </c:pt>
                <c:pt idx="3132">
                  <c:v>2.3100778256587403E-2</c:v>
                </c:pt>
                <c:pt idx="3133">
                  <c:v>2.3100778256587403E-2</c:v>
                </c:pt>
                <c:pt idx="3134">
                  <c:v>2.3100778256587403E-2</c:v>
                </c:pt>
                <c:pt idx="3135">
                  <c:v>2.3100778256587403E-2</c:v>
                </c:pt>
                <c:pt idx="3136">
                  <c:v>2.3100778256587403E-2</c:v>
                </c:pt>
                <c:pt idx="3137">
                  <c:v>2.3100778256587403E-2</c:v>
                </c:pt>
                <c:pt idx="3138">
                  <c:v>2.3100037588443811E-2</c:v>
                </c:pt>
                <c:pt idx="3139">
                  <c:v>2.3100778256584825E-2</c:v>
                </c:pt>
                <c:pt idx="3140">
                  <c:v>2.3102259687847689E-2</c:v>
                </c:pt>
                <c:pt idx="3141">
                  <c:v>2.3101518956384626E-2</c:v>
                </c:pt>
                <c:pt idx="3142">
                  <c:v>2.3100778256584825E-2</c:v>
                </c:pt>
                <c:pt idx="3143">
                  <c:v>2.3101518956389622E-2</c:v>
                </c:pt>
                <c:pt idx="3144">
                  <c:v>2.3100778256584825E-2</c:v>
                </c:pt>
                <c:pt idx="3145">
                  <c:v>2.3101518956387124E-2</c:v>
                </c:pt>
                <c:pt idx="3146">
                  <c:v>2.3100778256587403E-2</c:v>
                </c:pt>
                <c:pt idx="3147">
                  <c:v>2.3100778256587403E-2</c:v>
                </c:pt>
                <c:pt idx="3148">
                  <c:v>2.3101518956384626E-2</c:v>
                </c:pt>
                <c:pt idx="3149">
                  <c:v>2.3100778256584825E-2</c:v>
                </c:pt>
                <c:pt idx="3150">
                  <c:v>2.3100778256587403E-2</c:v>
                </c:pt>
                <c:pt idx="3151">
                  <c:v>2.3100778256587403E-2</c:v>
                </c:pt>
                <c:pt idx="3152">
                  <c:v>2.3100778256584825E-2</c:v>
                </c:pt>
                <c:pt idx="3153">
                  <c:v>2.3100778256587403E-2</c:v>
                </c:pt>
                <c:pt idx="3154">
                  <c:v>2.3100778256587403E-2</c:v>
                </c:pt>
                <c:pt idx="3155">
                  <c:v>2.3100778256587403E-2</c:v>
                </c:pt>
                <c:pt idx="3156">
                  <c:v>2.3100778256587403E-2</c:v>
                </c:pt>
                <c:pt idx="3157">
                  <c:v>2.3101518956387124E-2</c:v>
                </c:pt>
                <c:pt idx="3158">
                  <c:v>2.3100778256582247E-2</c:v>
                </c:pt>
                <c:pt idx="3159">
                  <c:v>2.3101518956384626E-2</c:v>
                </c:pt>
                <c:pt idx="3160">
                  <c:v>2.3100778256584825E-2</c:v>
                </c:pt>
                <c:pt idx="3161">
                  <c:v>2.3100037588446476E-2</c:v>
                </c:pt>
                <c:pt idx="3162">
                  <c:v>2.3101518956387124E-2</c:v>
                </c:pt>
                <c:pt idx="3163">
                  <c:v>2.3100778256587403E-2</c:v>
                </c:pt>
                <c:pt idx="3164">
                  <c:v>2.3100778256587403E-2</c:v>
                </c:pt>
                <c:pt idx="3165">
                  <c:v>2.3100778256584825E-2</c:v>
                </c:pt>
                <c:pt idx="3166">
                  <c:v>2.3100778256584825E-2</c:v>
                </c:pt>
                <c:pt idx="3167">
                  <c:v>2.3100778256584825E-2</c:v>
                </c:pt>
                <c:pt idx="3168">
                  <c:v>2.3100778256584825E-2</c:v>
                </c:pt>
                <c:pt idx="3169">
                  <c:v>2.3100778256584825E-2</c:v>
                </c:pt>
                <c:pt idx="3170">
                  <c:v>2.3100778256587403E-2</c:v>
                </c:pt>
                <c:pt idx="3171">
                  <c:v>2.3101518956389622E-2</c:v>
                </c:pt>
                <c:pt idx="3172">
                  <c:v>2.3100778256587403E-2</c:v>
                </c:pt>
                <c:pt idx="3173">
                  <c:v>2.3100778256584825E-2</c:v>
                </c:pt>
                <c:pt idx="3174">
                  <c:v>2.3100778256584825E-2</c:v>
                </c:pt>
                <c:pt idx="3175">
                  <c:v>2.3101518956389622E-2</c:v>
                </c:pt>
                <c:pt idx="3176">
                  <c:v>2.3101518956387124E-2</c:v>
                </c:pt>
                <c:pt idx="3177">
                  <c:v>2.3100778256587403E-2</c:v>
                </c:pt>
                <c:pt idx="3178">
                  <c:v>2.3100778256587403E-2</c:v>
                </c:pt>
                <c:pt idx="3179">
                  <c:v>2.3100778256584825E-2</c:v>
                </c:pt>
                <c:pt idx="3180">
                  <c:v>2.3098556347137058E-2</c:v>
                </c:pt>
                <c:pt idx="3181">
                  <c:v>2.3101518956387124E-2</c:v>
                </c:pt>
                <c:pt idx="3182">
                  <c:v>2.3100778256587403E-2</c:v>
                </c:pt>
                <c:pt idx="3183">
                  <c:v>2.3100778256587403E-2</c:v>
                </c:pt>
                <c:pt idx="3184">
                  <c:v>2.310225968785011E-2</c:v>
                </c:pt>
                <c:pt idx="3185">
                  <c:v>2.3100778256582247E-2</c:v>
                </c:pt>
                <c:pt idx="3186">
                  <c:v>2.3101518956387124E-2</c:v>
                </c:pt>
                <c:pt idx="3187">
                  <c:v>2.3100778256584825E-2</c:v>
                </c:pt>
                <c:pt idx="3188">
                  <c:v>2.3100778256584825E-2</c:v>
                </c:pt>
                <c:pt idx="3189">
                  <c:v>2.3100778256584825E-2</c:v>
                </c:pt>
                <c:pt idx="3190">
                  <c:v>2.3100778256587403E-2</c:v>
                </c:pt>
                <c:pt idx="3191">
                  <c:v>2.3100778256584825E-2</c:v>
                </c:pt>
                <c:pt idx="3192">
                  <c:v>2.3100778256587403E-2</c:v>
                </c:pt>
                <c:pt idx="3193">
                  <c:v>2.3100778256587403E-2</c:v>
                </c:pt>
                <c:pt idx="3194">
                  <c:v>2.3100778256587403E-2</c:v>
                </c:pt>
                <c:pt idx="3195">
                  <c:v>2.3100778256584825E-2</c:v>
                </c:pt>
                <c:pt idx="3196">
                  <c:v>2.3101518956389622E-2</c:v>
                </c:pt>
                <c:pt idx="3197">
                  <c:v>2.3100778256584825E-2</c:v>
                </c:pt>
                <c:pt idx="3198">
                  <c:v>2.3100778256587403E-2</c:v>
                </c:pt>
                <c:pt idx="3199">
                  <c:v>2.3100778256589981E-2</c:v>
                </c:pt>
                <c:pt idx="3200">
                  <c:v>2.3100778256584825E-2</c:v>
                </c:pt>
                <c:pt idx="3201">
                  <c:v>2.3100778256584825E-2</c:v>
                </c:pt>
                <c:pt idx="3202">
                  <c:v>2.3098556347137058E-2</c:v>
                </c:pt>
                <c:pt idx="3203">
                  <c:v>2.3098556347134203E-2</c:v>
                </c:pt>
                <c:pt idx="3204">
                  <c:v>2.3098556347134203E-2</c:v>
                </c:pt>
                <c:pt idx="3205">
                  <c:v>2.3098556347134203E-2</c:v>
                </c:pt>
                <c:pt idx="3206">
                  <c:v>2.3100778256587403E-2</c:v>
                </c:pt>
                <c:pt idx="3207">
                  <c:v>2.3100778256587403E-2</c:v>
                </c:pt>
                <c:pt idx="3208">
                  <c:v>2.3100778256587403E-2</c:v>
                </c:pt>
                <c:pt idx="3209">
                  <c:v>2.3100778256584825E-2</c:v>
                </c:pt>
                <c:pt idx="3210">
                  <c:v>2.3100037588443811E-2</c:v>
                </c:pt>
                <c:pt idx="3211">
                  <c:v>2.3100037588446476E-2</c:v>
                </c:pt>
                <c:pt idx="3212">
                  <c:v>2.3100037588443811E-2</c:v>
                </c:pt>
                <c:pt idx="3213">
                  <c:v>2.3100037588443811E-2</c:v>
                </c:pt>
                <c:pt idx="3214">
                  <c:v>2.3100037588443811E-2</c:v>
                </c:pt>
                <c:pt idx="3215">
                  <c:v>2.3100778256584825E-2</c:v>
                </c:pt>
                <c:pt idx="3216">
                  <c:v>2.3100778256589981E-2</c:v>
                </c:pt>
                <c:pt idx="3217">
                  <c:v>2.3100778256584825E-2</c:v>
                </c:pt>
                <c:pt idx="3218">
                  <c:v>2.3100778256587403E-2</c:v>
                </c:pt>
                <c:pt idx="3219">
                  <c:v>2.3100037588446476E-2</c:v>
                </c:pt>
                <c:pt idx="3220">
                  <c:v>2.3100037588446476E-2</c:v>
                </c:pt>
                <c:pt idx="3221">
                  <c:v>2.3100037588446476E-2</c:v>
                </c:pt>
                <c:pt idx="3222">
                  <c:v>2.3100037588446476E-2</c:v>
                </c:pt>
                <c:pt idx="3223">
                  <c:v>2.3100778256587403E-2</c:v>
                </c:pt>
                <c:pt idx="3224">
                  <c:v>2.3100778256587403E-2</c:v>
                </c:pt>
                <c:pt idx="3225">
                  <c:v>2.3100778256584825E-2</c:v>
                </c:pt>
                <c:pt idx="3226">
                  <c:v>2.3100778256587403E-2</c:v>
                </c:pt>
                <c:pt idx="3227">
                  <c:v>2.3100778256584825E-2</c:v>
                </c:pt>
                <c:pt idx="3228">
                  <c:v>2.3100778256584825E-2</c:v>
                </c:pt>
                <c:pt idx="3229">
                  <c:v>2.3100778256584825E-2</c:v>
                </c:pt>
                <c:pt idx="3230">
                  <c:v>2.3100778256587403E-2</c:v>
                </c:pt>
                <c:pt idx="3231">
                  <c:v>2.3100778256587403E-2</c:v>
                </c:pt>
                <c:pt idx="3232">
                  <c:v>2.3100037588446476E-2</c:v>
                </c:pt>
                <c:pt idx="3233">
                  <c:v>2.3100037588446476E-2</c:v>
                </c:pt>
                <c:pt idx="3234">
                  <c:v>2.3100037588446476E-2</c:v>
                </c:pt>
                <c:pt idx="3235">
                  <c:v>2.3100037588443811E-2</c:v>
                </c:pt>
                <c:pt idx="3236">
                  <c:v>2.3100778256584825E-2</c:v>
                </c:pt>
                <c:pt idx="3237">
                  <c:v>2.3100778256584825E-2</c:v>
                </c:pt>
                <c:pt idx="3238">
                  <c:v>2.3100778256584825E-2</c:v>
                </c:pt>
                <c:pt idx="3239">
                  <c:v>2.3100778256587403E-2</c:v>
                </c:pt>
                <c:pt idx="3240">
                  <c:v>2.3101518956387124E-2</c:v>
                </c:pt>
                <c:pt idx="3241">
                  <c:v>2.3100037588446476E-2</c:v>
                </c:pt>
                <c:pt idx="3242">
                  <c:v>2.3100037588446476E-2</c:v>
                </c:pt>
                <c:pt idx="3243">
                  <c:v>2.3100037588443811E-2</c:v>
                </c:pt>
                <c:pt idx="3244">
                  <c:v>2.3101518956387124E-2</c:v>
                </c:pt>
                <c:pt idx="3245">
                  <c:v>2.3100778256584825E-2</c:v>
                </c:pt>
                <c:pt idx="3246">
                  <c:v>2.3100778256584825E-2</c:v>
                </c:pt>
                <c:pt idx="3247">
                  <c:v>2.3100778256584825E-2</c:v>
                </c:pt>
                <c:pt idx="3248">
                  <c:v>2.3100778256587403E-2</c:v>
                </c:pt>
                <c:pt idx="3249">
                  <c:v>2.3100778256587403E-2</c:v>
                </c:pt>
                <c:pt idx="3250">
                  <c:v>2.3100778256584825E-2</c:v>
                </c:pt>
                <c:pt idx="3251">
                  <c:v>2.3100778256587403E-2</c:v>
                </c:pt>
                <c:pt idx="3252">
                  <c:v>2.3100778256584825E-2</c:v>
                </c:pt>
                <c:pt idx="3253">
                  <c:v>2.3100778256584825E-2</c:v>
                </c:pt>
                <c:pt idx="3254">
                  <c:v>2.3098556347137058E-2</c:v>
                </c:pt>
                <c:pt idx="3255">
                  <c:v>2.3098556347137058E-2</c:v>
                </c:pt>
                <c:pt idx="3256">
                  <c:v>2.3098556347137058E-2</c:v>
                </c:pt>
                <c:pt idx="3257">
                  <c:v>2.3098556347137058E-2</c:v>
                </c:pt>
                <c:pt idx="3258">
                  <c:v>2.3100778256584825E-2</c:v>
                </c:pt>
                <c:pt idx="3259">
                  <c:v>2.3100778256587403E-2</c:v>
                </c:pt>
                <c:pt idx="3260">
                  <c:v>2.3100778256587403E-2</c:v>
                </c:pt>
                <c:pt idx="3261">
                  <c:v>2.3100778256587403E-2</c:v>
                </c:pt>
                <c:pt idx="3262">
                  <c:v>2.3102259687847689E-2</c:v>
                </c:pt>
                <c:pt idx="3263">
                  <c:v>2.3101518956387124E-2</c:v>
                </c:pt>
                <c:pt idx="3264">
                  <c:v>2.3101518956384626E-2</c:v>
                </c:pt>
                <c:pt idx="3265">
                  <c:v>2.3102259687847689E-2</c:v>
                </c:pt>
                <c:pt idx="3266">
                  <c:v>2.3101518956389622E-2</c:v>
                </c:pt>
                <c:pt idx="3267">
                  <c:v>2.3101518956389622E-2</c:v>
                </c:pt>
                <c:pt idx="3268">
                  <c:v>2.3101518956384626E-2</c:v>
                </c:pt>
                <c:pt idx="3269">
                  <c:v>2.3101518956387124E-2</c:v>
                </c:pt>
                <c:pt idx="3270">
                  <c:v>2.3101518956387124E-2</c:v>
                </c:pt>
                <c:pt idx="3271">
                  <c:v>2.3101518956387124E-2</c:v>
                </c:pt>
                <c:pt idx="3272">
                  <c:v>2.3101518956387124E-2</c:v>
                </c:pt>
                <c:pt idx="3273">
                  <c:v>2.3101518956387124E-2</c:v>
                </c:pt>
                <c:pt idx="3274">
                  <c:v>2.3101518956387124E-2</c:v>
                </c:pt>
                <c:pt idx="3275">
                  <c:v>2.3101518956384626E-2</c:v>
                </c:pt>
                <c:pt idx="3276">
                  <c:v>2.3101518956387124E-2</c:v>
                </c:pt>
                <c:pt idx="3277">
                  <c:v>2.3101518956387124E-2</c:v>
                </c:pt>
                <c:pt idx="3278">
                  <c:v>2.310225968785011E-2</c:v>
                </c:pt>
                <c:pt idx="3279">
                  <c:v>2.3099296951962011E-2</c:v>
                </c:pt>
                <c:pt idx="3280">
                  <c:v>2.3101518956384626E-2</c:v>
                </c:pt>
                <c:pt idx="3281">
                  <c:v>2.3101518956387124E-2</c:v>
                </c:pt>
                <c:pt idx="3282">
                  <c:v>2.3101518956387124E-2</c:v>
                </c:pt>
                <c:pt idx="3283">
                  <c:v>2.3101518956384626E-2</c:v>
                </c:pt>
                <c:pt idx="3284">
                  <c:v>2.3101518956387124E-2</c:v>
                </c:pt>
                <c:pt idx="3285">
                  <c:v>2.3102259687847689E-2</c:v>
                </c:pt>
                <c:pt idx="3286">
                  <c:v>2.3101518956384626E-2</c:v>
                </c:pt>
                <c:pt idx="3287">
                  <c:v>2.3101518956384626E-2</c:v>
                </c:pt>
                <c:pt idx="3288">
                  <c:v>2.3101518956387124E-2</c:v>
                </c:pt>
                <c:pt idx="3289">
                  <c:v>2.3101518956387124E-2</c:v>
                </c:pt>
                <c:pt idx="3290">
                  <c:v>2.3101518956384626E-2</c:v>
                </c:pt>
                <c:pt idx="3291">
                  <c:v>2.3101518956387124E-2</c:v>
                </c:pt>
                <c:pt idx="3292">
                  <c:v>2.3099296951962011E-2</c:v>
                </c:pt>
                <c:pt idx="3293">
                  <c:v>2.3101518956384626E-2</c:v>
                </c:pt>
                <c:pt idx="3294">
                  <c:v>2.3101518956387124E-2</c:v>
                </c:pt>
                <c:pt idx="3295">
                  <c:v>2.3101518956387124E-2</c:v>
                </c:pt>
                <c:pt idx="3296">
                  <c:v>2.3102259687847689E-2</c:v>
                </c:pt>
                <c:pt idx="3297">
                  <c:v>2.3101518956384626E-2</c:v>
                </c:pt>
                <c:pt idx="3298">
                  <c:v>2.3101518956384626E-2</c:v>
                </c:pt>
                <c:pt idx="3299">
                  <c:v>2.3102259687847689E-2</c:v>
                </c:pt>
                <c:pt idx="3300">
                  <c:v>2.3100778256584825E-2</c:v>
                </c:pt>
                <c:pt idx="3301">
                  <c:v>2.3100778256584825E-2</c:v>
                </c:pt>
                <c:pt idx="3302">
                  <c:v>2.3101518956387124E-2</c:v>
                </c:pt>
                <c:pt idx="3303">
                  <c:v>2.3102259687847689E-2</c:v>
                </c:pt>
                <c:pt idx="3304">
                  <c:v>2.3101518956387124E-2</c:v>
                </c:pt>
                <c:pt idx="3305">
                  <c:v>2.3099296951964766E-2</c:v>
                </c:pt>
                <c:pt idx="3306">
                  <c:v>2.3098556347137058E-2</c:v>
                </c:pt>
                <c:pt idx="3307">
                  <c:v>2.3098556347137058E-2</c:v>
                </c:pt>
                <c:pt idx="3308">
                  <c:v>2.3098556347137058E-2</c:v>
                </c:pt>
                <c:pt idx="3309">
                  <c:v>2.3098556347134203E-2</c:v>
                </c:pt>
                <c:pt idx="3310">
                  <c:v>2.3101518956387124E-2</c:v>
                </c:pt>
                <c:pt idx="3311">
                  <c:v>2.3101518956387124E-2</c:v>
                </c:pt>
                <c:pt idx="3312">
                  <c:v>2.3102259687847689E-2</c:v>
                </c:pt>
                <c:pt idx="3313">
                  <c:v>2.3101518956387124E-2</c:v>
                </c:pt>
                <c:pt idx="3314">
                  <c:v>2.310225968785011E-2</c:v>
                </c:pt>
                <c:pt idx="3315">
                  <c:v>2.3101518956384626E-2</c:v>
                </c:pt>
                <c:pt idx="3316">
                  <c:v>2.3101518956384626E-2</c:v>
                </c:pt>
                <c:pt idx="3317">
                  <c:v>2.3102259687847689E-2</c:v>
                </c:pt>
                <c:pt idx="3318">
                  <c:v>2.3099296951962011E-2</c:v>
                </c:pt>
                <c:pt idx="3319">
                  <c:v>2.3101518956387124E-2</c:v>
                </c:pt>
                <c:pt idx="3320">
                  <c:v>2.3101518956387124E-2</c:v>
                </c:pt>
                <c:pt idx="3321">
                  <c:v>2.3101518956387124E-2</c:v>
                </c:pt>
                <c:pt idx="3322">
                  <c:v>2.3101518956387124E-2</c:v>
                </c:pt>
                <c:pt idx="3323">
                  <c:v>2.3101518956384626E-2</c:v>
                </c:pt>
                <c:pt idx="3324">
                  <c:v>2.3101518956387124E-2</c:v>
                </c:pt>
                <c:pt idx="3325">
                  <c:v>2.3101518956387124E-2</c:v>
                </c:pt>
                <c:pt idx="3326">
                  <c:v>2.3101518956384626E-2</c:v>
                </c:pt>
                <c:pt idx="3327">
                  <c:v>2.3101518956384626E-2</c:v>
                </c:pt>
                <c:pt idx="3328">
                  <c:v>2.3101518956387124E-2</c:v>
                </c:pt>
                <c:pt idx="3329">
                  <c:v>2.3101518956387124E-2</c:v>
                </c:pt>
                <c:pt idx="3330">
                  <c:v>2.3101518956387124E-2</c:v>
                </c:pt>
                <c:pt idx="3331">
                  <c:v>2.3099296951964766E-2</c:v>
                </c:pt>
                <c:pt idx="3332">
                  <c:v>2.3102259687847689E-2</c:v>
                </c:pt>
                <c:pt idx="3333">
                  <c:v>2.3101518956384626E-2</c:v>
                </c:pt>
                <c:pt idx="3334">
                  <c:v>2.3101518956387124E-2</c:v>
                </c:pt>
                <c:pt idx="3335">
                  <c:v>2.3101518956387124E-2</c:v>
                </c:pt>
                <c:pt idx="3336">
                  <c:v>2.3101518956387124E-2</c:v>
                </c:pt>
                <c:pt idx="3337">
                  <c:v>2.310225968785011E-2</c:v>
                </c:pt>
                <c:pt idx="3338">
                  <c:v>2.3101518956387124E-2</c:v>
                </c:pt>
                <c:pt idx="3339">
                  <c:v>2.3101518956389622E-2</c:v>
                </c:pt>
                <c:pt idx="3340">
                  <c:v>2.3101518956387124E-2</c:v>
                </c:pt>
                <c:pt idx="3341">
                  <c:v>2.3101518956387124E-2</c:v>
                </c:pt>
                <c:pt idx="3342">
                  <c:v>2.3101518956387124E-2</c:v>
                </c:pt>
                <c:pt idx="3343">
                  <c:v>2.3101518956389622E-2</c:v>
                </c:pt>
                <c:pt idx="3344">
                  <c:v>2.3101518956384626E-2</c:v>
                </c:pt>
                <c:pt idx="3345">
                  <c:v>2.3101518956384626E-2</c:v>
                </c:pt>
                <c:pt idx="3346">
                  <c:v>2.3101518956387124E-2</c:v>
                </c:pt>
                <c:pt idx="3347">
                  <c:v>2.3101518956389622E-2</c:v>
                </c:pt>
                <c:pt idx="3348">
                  <c:v>2.3101518956389622E-2</c:v>
                </c:pt>
                <c:pt idx="3349">
                  <c:v>2.3101518956387124E-2</c:v>
                </c:pt>
                <c:pt idx="3350">
                  <c:v>2.3101518956387124E-2</c:v>
                </c:pt>
                <c:pt idx="3351">
                  <c:v>2.3102259687847689E-2</c:v>
                </c:pt>
                <c:pt idx="3352">
                  <c:v>2.3101518956384626E-2</c:v>
                </c:pt>
                <c:pt idx="3353">
                  <c:v>2.3099296951964766E-2</c:v>
                </c:pt>
                <c:pt idx="3354">
                  <c:v>2.3101518956387124E-2</c:v>
                </c:pt>
                <c:pt idx="3355">
                  <c:v>2.3102259687847689E-2</c:v>
                </c:pt>
                <c:pt idx="3356">
                  <c:v>2.3101518956387124E-2</c:v>
                </c:pt>
                <c:pt idx="3357">
                  <c:v>2.3101518956387124E-2</c:v>
                </c:pt>
                <c:pt idx="3358">
                  <c:v>2.3099296951962011E-2</c:v>
                </c:pt>
                <c:pt idx="3359">
                  <c:v>2.3099296951962011E-2</c:v>
                </c:pt>
                <c:pt idx="3360">
                  <c:v>2.3099296951964766E-2</c:v>
                </c:pt>
                <c:pt idx="3361">
                  <c:v>2.3099296951962011E-2</c:v>
                </c:pt>
                <c:pt idx="3362">
                  <c:v>2.3101518956387124E-2</c:v>
                </c:pt>
                <c:pt idx="3363">
                  <c:v>2.3102259687847689E-2</c:v>
                </c:pt>
                <c:pt idx="3364">
                  <c:v>2.3101518956387124E-2</c:v>
                </c:pt>
                <c:pt idx="3365">
                  <c:v>2.3101518956387124E-2</c:v>
                </c:pt>
                <c:pt idx="3366">
                  <c:v>2.3099296951962011E-2</c:v>
                </c:pt>
                <c:pt idx="3367">
                  <c:v>2.3101518956389622E-2</c:v>
                </c:pt>
                <c:pt idx="3368">
                  <c:v>2.3101518956387124E-2</c:v>
                </c:pt>
                <c:pt idx="3369">
                  <c:v>2.3101518956384626E-2</c:v>
                </c:pt>
                <c:pt idx="3370">
                  <c:v>2.310225968785011E-2</c:v>
                </c:pt>
                <c:pt idx="3371">
                  <c:v>2.3101518956389622E-2</c:v>
                </c:pt>
                <c:pt idx="3372">
                  <c:v>2.3101518956387124E-2</c:v>
                </c:pt>
                <c:pt idx="3373">
                  <c:v>2.3101518956387124E-2</c:v>
                </c:pt>
                <c:pt idx="3374">
                  <c:v>2.3101518956387124E-2</c:v>
                </c:pt>
                <c:pt idx="3375">
                  <c:v>2.310225968785011E-2</c:v>
                </c:pt>
                <c:pt idx="3376">
                  <c:v>2.3101518956387124E-2</c:v>
                </c:pt>
                <c:pt idx="3377">
                  <c:v>2.3101518956384626E-2</c:v>
                </c:pt>
                <c:pt idx="3378">
                  <c:v>2.3101518956387124E-2</c:v>
                </c:pt>
                <c:pt idx="3379">
                  <c:v>2.3099296951964766E-2</c:v>
                </c:pt>
                <c:pt idx="3380">
                  <c:v>2.3101518956384626E-2</c:v>
                </c:pt>
                <c:pt idx="3381">
                  <c:v>2.3101518956387124E-2</c:v>
                </c:pt>
                <c:pt idx="3382">
                  <c:v>2.3101518956387124E-2</c:v>
                </c:pt>
                <c:pt idx="3383">
                  <c:v>2.310225968785011E-2</c:v>
                </c:pt>
                <c:pt idx="3384">
                  <c:v>2.3102259687847689E-2</c:v>
                </c:pt>
                <c:pt idx="3385">
                  <c:v>2.3101518956387124E-2</c:v>
                </c:pt>
                <c:pt idx="3386">
                  <c:v>2.3101518956387124E-2</c:v>
                </c:pt>
                <c:pt idx="3387">
                  <c:v>2.3101518956384626E-2</c:v>
                </c:pt>
                <c:pt idx="3388">
                  <c:v>2.3101518956387124E-2</c:v>
                </c:pt>
                <c:pt idx="3389">
                  <c:v>2.3102259687847689E-2</c:v>
                </c:pt>
                <c:pt idx="3390">
                  <c:v>2.3101518956387124E-2</c:v>
                </c:pt>
                <c:pt idx="3391">
                  <c:v>2.3101518956387124E-2</c:v>
                </c:pt>
                <c:pt idx="3392">
                  <c:v>2.3101518956384626E-2</c:v>
                </c:pt>
                <c:pt idx="3393">
                  <c:v>2.3101518956387124E-2</c:v>
                </c:pt>
                <c:pt idx="3394">
                  <c:v>2.3101518956387124E-2</c:v>
                </c:pt>
                <c:pt idx="3395">
                  <c:v>2.3101518956387124E-2</c:v>
                </c:pt>
                <c:pt idx="3396">
                  <c:v>2.3101518956389622E-2</c:v>
                </c:pt>
                <c:pt idx="3397">
                  <c:v>2.3101518956389622E-2</c:v>
                </c:pt>
                <c:pt idx="3398">
                  <c:v>2.3101518956387124E-2</c:v>
                </c:pt>
                <c:pt idx="3399">
                  <c:v>2.3101518956384626E-2</c:v>
                </c:pt>
                <c:pt idx="3400">
                  <c:v>2.310225968785011E-2</c:v>
                </c:pt>
                <c:pt idx="3401">
                  <c:v>2.310225968785011E-2</c:v>
                </c:pt>
                <c:pt idx="3402">
                  <c:v>2.3101518956387124E-2</c:v>
                </c:pt>
                <c:pt idx="3403">
                  <c:v>2.3102259687847689E-2</c:v>
                </c:pt>
                <c:pt idx="3404">
                  <c:v>2.3101518956389622E-2</c:v>
                </c:pt>
                <c:pt idx="3405">
                  <c:v>2.3101518956387124E-2</c:v>
                </c:pt>
                <c:pt idx="3406">
                  <c:v>2.3100778256584825E-2</c:v>
                </c:pt>
                <c:pt idx="3407">
                  <c:v>2.3100778256584825E-2</c:v>
                </c:pt>
                <c:pt idx="3408">
                  <c:v>2.3101518956387124E-2</c:v>
                </c:pt>
                <c:pt idx="3409">
                  <c:v>2.3100778256587403E-2</c:v>
                </c:pt>
                <c:pt idx="3410">
                  <c:v>2.3098556347134203E-2</c:v>
                </c:pt>
                <c:pt idx="3411">
                  <c:v>2.3098556347137058E-2</c:v>
                </c:pt>
                <c:pt idx="3412">
                  <c:v>2.3098556347134203E-2</c:v>
                </c:pt>
                <c:pt idx="3413">
                  <c:v>2.3101518956387124E-2</c:v>
                </c:pt>
                <c:pt idx="3414">
                  <c:v>2.3100778256587403E-2</c:v>
                </c:pt>
                <c:pt idx="3415">
                  <c:v>2.3100778256587403E-2</c:v>
                </c:pt>
                <c:pt idx="3416">
                  <c:v>2.3100778256584825E-2</c:v>
                </c:pt>
                <c:pt idx="3417">
                  <c:v>2.3100778256587403E-2</c:v>
                </c:pt>
                <c:pt idx="3418">
                  <c:v>2.3098556347137058E-2</c:v>
                </c:pt>
                <c:pt idx="3419">
                  <c:v>2.3100778256587403E-2</c:v>
                </c:pt>
                <c:pt idx="3420">
                  <c:v>2.3100778256584825E-2</c:v>
                </c:pt>
                <c:pt idx="3421">
                  <c:v>2.3100778256584825E-2</c:v>
                </c:pt>
                <c:pt idx="3422">
                  <c:v>2.3102259687847689E-2</c:v>
                </c:pt>
                <c:pt idx="3423">
                  <c:v>2.3100778256587403E-2</c:v>
                </c:pt>
                <c:pt idx="3424">
                  <c:v>2.3100778256587403E-2</c:v>
                </c:pt>
                <c:pt idx="3425">
                  <c:v>2.3100778256587403E-2</c:v>
                </c:pt>
                <c:pt idx="3426">
                  <c:v>2.3100778256587403E-2</c:v>
                </c:pt>
                <c:pt idx="3427">
                  <c:v>2.3100778256587403E-2</c:v>
                </c:pt>
                <c:pt idx="3428">
                  <c:v>2.3100778256587403E-2</c:v>
                </c:pt>
                <c:pt idx="3429">
                  <c:v>2.3100778256587403E-2</c:v>
                </c:pt>
                <c:pt idx="3430">
                  <c:v>2.3100778256584825E-2</c:v>
                </c:pt>
                <c:pt idx="3431">
                  <c:v>2.3100778256584825E-2</c:v>
                </c:pt>
                <c:pt idx="3432">
                  <c:v>2.3100778256584825E-2</c:v>
                </c:pt>
                <c:pt idx="3433">
                  <c:v>2.3100778256584825E-2</c:v>
                </c:pt>
                <c:pt idx="3434">
                  <c:v>2.3100778256587403E-2</c:v>
                </c:pt>
                <c:pt idx="3435">
                  <c:v>2.3101518956387124E-2</c:v>
                </c:pt>
                <c:pt idx="3436">
                  <c:v>2.3101518956387124E-2</c:v>
                </c:pt>
                <c:pt idx="3437">
                  <c:v>2.3100778256587403E-2</c:v>
                </c:pt>
                <c:pt idx="3438">
                  <c:v>2.3100778256587403E-2</c:v>
                </c:pt>
                <c:pt idx="3439">
                  <c:v>2.3100778256582247E-2</c:v>
                </c:pt>
                <c:pt idx="3440">
                  <c:v>2.3100778256587403E-2</c:v>
                </c:pt>
                <c:pt idx="3441">
                  <c:v>2.3101518956389622E-2</c:v>
                </c:pt>
                <c:pt idx="3442">
                  <c:v>2.3100778256587403E-2</c:v>
                </c:pt>
                <c:pt idx="3443">
                  <c:v>2.3100778256584825E-2</c:v>
                </c:pt>
                <c:pt idx="3444">
                  <c:v>2.3101518956387124E-2</c:v>
                </c:pt>
                <c:pt idx="3445">
                  <c:v>2.3100778256584825E-2</c:v>
                </c:pt>
                <c:pt idx="3446">
                  <c:v>2.3100778256587403E-2</c:v>
                </c:pt>
                <c:pt idx="3447">
                  <c:v>2.3100778256587403E-2</c:v>
                </c:pt>
                <c:pt idx="3448">
                  <c:v>2.3100778256584825E-2</c:v>
                </c:pt>
                <c:pt idx="3449">
                  <c:v>2.3100778256587403E-2</c:v>
                </c:pt>
                <c:pt idx="3450">
                  <c:v>2.3100037588446476E-2</c:v>
                </c:pt>
                <c:pt idx="3451">
                  <c:v>2.3100778256587403E-2</c:v>
                </c:pt>
                <c:pt idx="3452">
                  <c:v>2.310225968785011E-2</c:v>
                </c:pt>
                <c:pt idx="3453">
                  <c:v>2.3101518956387124E-2</c:v>
                </c:pt>
                <c:pt idx="3454">
                  <c:v>2.3100778256584825E-2</c:v>
                </c:pt>
                <c:pt idx="3455">
                  <c:v>2.3101518956387124E-2</c:v>
                </c:pt>
                <c:pt idx="3456">
                  <c:v>2.3100778256587403E-2</c:v>
                </c:pt>
                <c:pt idx="3457">
                  <c:v>2.3102259687847689E-2</c:v>
                </c:pt>
                <c:pt idx="3458">
                  <c:v>2.3100778256584825E-2</c:v>
                </c:pt>
                <c:pt idx="3459">
                  <c:v>2.3100778256584825E-2</c:v>
                </c:pt>
                <c:pt idx="3460">
                  <c:v>2.3101518956387124E-2</c:v>
                </c:pt>
                <c:pt idx="3461">
                  <c:v>2.3100778256584825E-2</c:v>
                </c:pt>
                <c:pt idx="3462">
                  <c:v>2.3098556347137058E-2</c:v>
                </c:pt>
                <c:pt idx="3463">
                  <c:v>2.3098556347137058E-2</c:v>
                </c:pt>
                <c:pt idx="3464">
                  <c:v>2.3098556347137058E-2</c:v>
                </c:pt>
                <c:pt idx="3465">
                  <c:v>2.3098556347137058E-2</c:v>
                </c:pt>
                <c:pt idx="3466">
                  <c:v>2.3100778256584825E-2</c:v>
                </c:pt>
                <c:pt idx="3467">
                  <c:v>2.3100778256587403E-2</c:v>
                </c:pt>
                <c:pt idx="3468">
                  <c:v>2.3101518956387124E-2</c:v>
                </c:pt>
                <c:pt idx="3469">
                  <c:v>2.3100778256584825E-2</c:v>
                </c:pt>
                <c:pt idx="3470">
                  <c:v>2.3100778256587403E-2</c:v>
                </c:pt>
                <c:pt idx="3471">
                  <c:v>2.3101518956387124E-2</c:v>
                </c:pt>
                <c:pt idx="3472">
                  <c:v>2.3100037588443811E-2</c:v>
                </c:pt>
                <c:pt idx="3473">
                  <c:v>2.3100778256584825E-2</c:v>
                </c:pt>
                <c:pt idx="3474">
                  <c:v>2.3101518956387124E-2</c:v>
                </c:pt>
                <c:pt idx="3475">
                  <c:v>2.3100778256584825E-2</c:v>
                </c:pt>
                <c:pt idx="3476">
                  <c:v>2.3100778256587403E-2</c:v>
                </c:pt>
                <c:pt idx="3477">
                  <c:v>2.3100778256584825E-2</c:v>
                </c:pt>
                <c:pt idx="3478">
                  <c:v>2.3100778256587403E-2</c:v>
                </c:pt>
                <c:pt idx="3479">
                  <c:v>2.3100778256587403E-2</c:v>
                </c:pt>
                <c:pt idx="3480">
                  <c:v>2.3100778256587403E-2</c:v>
                </c:pt>
                <c:pt idx="3481">
                  <c:v>2.3100778256587403E-2</c:v>
                </c:pt>
                <c:pt idx="3482">
                  <c:v>2.3100778256587403E-2</c:v>
                </c:pt>
                <c:pt idx="3483">
                  <c:v>2.3101518956387124E-2</c:v>
                </c:pt>
                <c:pt idx="3484">
                  <c:v>2.3100778256587403E-2</c:v>
                </c:pt>
                <c:pt idx="3485">
                  <c:v>2.3100778256587403E-2</c:v>
                </c:pt>
                <c:pt idx="3486">
                  <c:v>2.3100778256584825E-2</c:v>
                </c:pt>
                <c:pt idx="3487">
                  <c:v>2.3101518956384626E-2</c:v>
                </c:pt>
                <c:pt idx="3488">
                  <c:v>2.3101518956387124E-2</c:v>
                </c:pt>
                <c:pt idx="3489">
                  <c:v>2.3100778256587403E-2</c:v>
                </c:pt>
                <c:pt idx="3490">
                  <c:v>2.3100778256587403E-2</c:v>
                </c:pt>
                <c:pt idx="3491">
                  <c:v>2.3100778256587403E-2</c:v>
                </c:pt>
                <c:pt idx="3492">
                  <c:v>2.3098556347137058E-2</c:v>
                </c:pt>
                <c:pt idx="3493">
                  <c:v>2.3101518956387124E-2</c:v>
                </c:pt>
                <c:pt idx="3494">
                  <c:v>2.3100778256584825E-2</c:v>
                </c:pt>
                <c:pt idx="3495">
                  <c:v>2.3100778256587403E-2</c:v>
                </c:pt>
                <c:pt idx="3496">
                  <c:v>2.3102259687847689E-2</c:v>
                </c:pt>
                <c:pt idx="3497">
                  <c:v>2.3100778256584825E-2</c:v>
                </c:pt>
                <c:pt idx="3498">
                  <c:v>2.3101518956387124E-2</c:v>
                </c:pt>
                <c:pt idx="3499">
                  <c:v>2.3100778256587403E-2</c:v>
                </c:pt>
                <c:pt idx="3500">
                  <c:v>2.3100778256587403E-2</c:v>
                </c:pt>
                <c:pt idx="3501">
                  <c:v>2.3100778256584825E-2</c:v>
                </c:pt>
                <c:pt idx="3502">
                  <c:v>2.3100778256587403E-2</c:v>
                </c:pt>
                <c:pt idx="3503">
                  <c:v>2.3100778256587403E-2</c:v>
                </c:pt>
                <c:pt idx="3504">
                  <c:v>2.3100778256584825E-2</c:v>
                </c:pt>
                <c:pt idx="3505">
                  <c:v>2.3100778256584825E-2</c:v>
                </c:pt>
                <c:pt idx="3506">
                  <c:v>2.3100778256587403E-2</c:v>
                </c:pt>
                <c:pt idx="3507">
                  <c:v>2.3100778256584825E-2</c:v>
                </c:pt>
                <c:pt idx="3508">
                  <c:v>2.3101518956384626E-2</c:v>
                </c:pt>
                <c:pt idx="3509">
                  <c:v>2.3100778256587403E-2</c:v>
                </c:pt>
                <c:pt idx="3510">
                  <c:v>2.3100778256584825E-2</c:v>
                </c:pt>
                <c:pt idx="3511">
                  <c:v>2.3100778256587403E-2</c:v>
                </c:pt>
                <c:pt idx="3512">
                  <c:v>2.3100778256587403E-2</c:v>
                </c:pt>
                <c:pt idx="3513">
                  <c:v>2.3100778256587403E-2</c:v>
                </c:pt>
                <c:pt idx="3514">
                  <c:v>2.3098556347134203E-2</c:v>
                </c:pt>
                <c:pt idx="3515">
                  <c:v>2.3098556347137058E-2</c:v>
                </c:pt>
                <c:pt idx="3516">
                  <c:v>2.3098556347137058E-2</c:v>
                </c:pt>
                <c:pt idx="3517">
                  <c:v>2.3098556347137058E-2</c:v>
                </c:pt>
                <c:pt idx="3518">
                  <c:v>2.3100778256587403E-2</c:v>
                </c:pt>
                <c:pt idx="3519">
                  <c:v>2.3100778256584825E-2</c:v>
                </c:pt>
                <c:pt idx="3520">
                  <c:v>2.3100778256587403E-2</c:v>
                </c:pt>
                <c:pt idx="3521">
                  <c:v>2.3100778256587403E-2</c:v>
                </c:pt>
                <c:pt idx="3522">
                  <c:v>2.3100037588446476E-2</c:v>
                </c:pt>
                <c:pt idx="3523">
                  <c:v>2.3100037588443811E-2</c:v>
                </c:pt>
                <c:pt idx="3524">
                  <c:v>2.3100037588443811E-2</c:v>
                </c:pt>
                <c:pt idx="3525">
                  <c:v>2.3100037588443811E-2</c:v>
                </c:pt>
                <c:pt idx="3526">
                  <c:v>2.3100037588446476E-2</c:v>
                </c:pt>
                <c:pt idx="3527">
                  <c:v>2.3100778256584825E-2</c:v>
                </c:pt>
                <c:pt idx="3528">
                  <c:v>2.3100778256584825E-2</c:v>
                </c:pt>
                <c:pt idx="3529">
                  <c:v>2.3100778256584825E-2</c:v>
                </c:pt>
                <c:pt idx="3530">
                  <c:v>2.3100778256587403E-2</c:v>
                </c:pt>
                <c:pt idx="3531">
                  <c:v>2.3100037588443811E-2</c:v>
                </c:pt>
                <c:pt idx="3532">
                  <c:v>2.3100037588443811E-2</c:v>
                </c:pt>
                <c:pt idx="3533">
                  <c:v>2.3100037588446476E-2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1648"/>
        <c:axId val="408173184"/>
      </c:lineChart>
      <c:dateAx>
        <c:axId val="408171648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081731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0817318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817164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42152</c:v>
                </c:pt>
                <c:pt idx="1">
                  <c:v>42153</c:v>
                </c:pt>
                <c:pt idx="2">
                  <c:v>42156</c:v>
                </c:pt>
                <c:pt idx="3">
                  <c:v>42157</c:v>
                </c:pt>
                <c:pt idx="4">
                  <c:v>42158</c:v>
                </c:pt>
                <c:pt idx="5">
                  <c:v>42159</c:v>
                </c:pt>
                <c:pt idx="6">
                  <c:v>42160</c:v>
                </c:pt>
                <c:pt idx="7">
                  <c:v>42163</c:v>
                </c:pt>
                <c:pt idx="8">
                  <c:v>42164</c:v>
                </c:pt>
                <c:pt idx="9">
                  <c:v>42165</c:v>
                </c:pt>
                <c:pt idx="10">
                  <c:v>42166</c:v>
                </c:pt>
                <c:pt idx="11">
                  <c:v>42167</c:v>
                </c:pt>
                <c:pt idx="12">
                  <c:v>42170</c:v>
                </c:pt>
                <c:pt idx="13">
                  <c:v>42171</c:v>
                </c:pt>
                <c:pt idx="14">
                  <c:v>42172</c:v>
                </c:pt>
                <c:pt idx="15">
                  <c:v>42173</c:v>
                </c:pt>
                <c:pt idx="16">
                  <c:v>42174</c:v>
                </c:pt>
                <c:pt idx="17">
                  <c:v>42177</c:v>
                </c:pt>
                <c:pt idx="18">
                  <c:v>42178</c:v>
                </c:pt>
                <c:pt idx="19">
                  <c:v>42179</c:v>
                </c:pt>
                <c:pt idx="20">
                  <c:v>42180</c:v>
                </c:pt>
                <c:pt idx="21">
                  <c:v>42181</c:v>
                </c:pt>
                <c:pt idx="22">
                  <c:v>42184</c:v>
                </c:pt>
                <c:pt idx="23">
                  <c:v>42185</c:v>
                </c:pt>
                <c:pt idx="24">
                  <c:v>42186</c:v>
                </c:pt>
                <c:pt idx="25">
                  <c:v>42187</c:v>
                </c:pt>
                <c:pt idx="26">
                  <c:v>42191</c:v>
                </c:pt>
                <c:pt idx="27">
                  <c:v>42191</c:v>
                </c:pt>
                <c:pt idx="28">
                  <c:v>42192</c:v>
                </c:pt>
                <c:pt idx="29">
                  <c:v>42193</c:v>
                </c:pt>
                <c:pt idx="30">
                  <c:v>42194</c:v>
                </c:pt>
                <c:pt idx="31">
                  <c:v>42195</c:v>
                </c:pt>
                <c:pt idx="32">
                  <c:v>42198</c:v>
                </c:pt>
                <c:pt idx="33">
                  <c:v>42199</c:v>
                </c:pt>
                <c:pt idx="34">
                  <c:v>42200</c:v>
                </c:pt>
                <c:pt idx="35">
                  <c:v>42201</c:v>
                </c:pt>
                <c:pt idx="36">
                  <c:v>42202</c:v>
                </c:pt>
                <c:pt idx="37">
                  <c:v>42205</c:v>
                </c:pt>
                <c:pt idx="38">
                  <c:v>42206</c:v>
                </c:pt>
                <c:pt idx="39">
                  <c:v>42207</c:v>
                </c:pt>
                <c:pt idx="40">
                  <c:v>42208</c:v>
                </c:pt>
                <c:pt idx="41">
                  <c:v>42209</c:v>
                </c:pt>
                <c:pt idx="42">
                  <c:v>42212</c:v>
                </c:pt>
                <c:pt idx="43">
                  <c:v>42213</c:v>
                </c:pt>
                <c:pt idx="44">
                  <c:v>42214</c:v>
                </c:pt>
                <c:pt idx="45">
                  <c:v>42215</c:v>
                </c:pt>
                <c:pt idx="46">
                  <c:v>42216</c:v>
                </c:pt>
                <c:pt idx="47">
                  <c:v>42219</c:v>
                </c:pt>
                <c:pt idx="48">
                  <c:v>42220</c:v>
                </c:pt>
                <c:pt idx="49">
                  <c:v>42221</c:v>
                </c:pt>
                <c:pt idx="50">
                  <c:v>42222</c:v>
                </c:pt>
                <c:pt idx="51">
                  <c:v>42223</c:v>
                </c:pt>
                <c:pt idx="52">
                  <c:v>42226</c:v>
                </c:pt>
                <c:pt idx="53">
                  <c:v>42227</c:v>
                </c:pt>
                <c:pt idx="54">
                  <c:v>42228</c:v>
                </c:pt>
                <c:pt idx="55">
                  <c:v>42229</c:v>
                </c:pt>
                <c:pt idx="56">
                  <c:v>42230</c:v>
                </c:pt>
                <c:pt idx="57">
                  <c:v>42233</c:v>
                </c:pt>
                <c:pt idx="58">
                  <c:v>42234</c:v>
                </c:pt>
                <c:pt idx="59">
                  <c:v>42235</c:v>
                </c:pt>
                <c:pt idx="60">
                  <c:v>42236</c:v>
                </c:pt>
                <c:pt idx="61">
                  <c:v>42237</c:v>
                </c:pt>
                <c:pt idx="62">
                  <c:v>42240</c:v>
                </c:pt>
                <c:pt idx="63">
                  <c:v>42241</c:v>
                </c:pt>
                <c:pt idx="64">
                  <c:v>42242</c:v>
                </c:pt>
                <c:pt idx="65">
                  <c:v>42243</c:v>
                </c:pt>
                <c:pt idx="66">
                  <c:v>42244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42255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42290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42320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42335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42367</c:v>
                </c:pt>
                <c:pt idx="151">
                  <c:v>42368</c:v>
                </c:pt>
                <c:pt idx="152">
                  <c:v>42369</c:v>
                </c:pt>
                <c:pt idx="153">
                  <c:v>42373</c:v>
                </c:pt>
                <c:pt idx="154">
                  <c:v>42374</c:v>
                </c:pt>
                <c:pt idx="155">
                  <c:v>42375</c:v>
                </c:pt>
                <c:pt idx="156">
                  <c:v>42376</c:v>
                </c:pt>
                <c:pt idx="157">
                  <c:v>42377</c:v>
                </c:pt>
                <c:pt idx="158">
                  <c:v>42380</c:v>
                </c:pt>
                <c:pt idx="159">
                  <c:v>42381</c:v>
                </c:pt>
                <c:pt idx="160">
                  <c:v>42382</c:v>
                </c:pt>
                <c:pt idx="161">
                  <c:v>42383</c:v>
                </c:pt>
                <c:pt idx="162">
                  <c:v>42384</c:v>
                </c:pt>
                <c:pt idx="163">
                  <c:v>42388</c:v>
                </c:pt>
                <c:pt idx="164">
                  <c:v>42388</c:v>
                </c:pt>
                <c:pt idx="165">
                  <c:v>42389</c:v>
                </c:pt>
                <c:pt idx="166">
                  <c:v>42390</c:v>
                </c:pt>
                <c:pt idx="167">
                  <c:v>42391</c:v>
                </c:pt>
                <c:pt idx="168">
                  <c:v>42394</c:v>
                </c:pt>
                <c:pt idx="169">
                  <c:v>42395</c:v>
                </c:pt>
                <c:pt idx="170">
                  <c:v>42396</c:v>
                </c:pt>
                <c:pt idx="171">
                  <c:v>42397</c:v>
                </c:pt>
                <c:pt idx="172">
                  <c:v>42398</c:v>
                </c:pt>
                <c:pt idx="173">
                  <c:v>42401</c:v>
                </c:pt>
                <c:pt idx="174">
                  <c:v>42402</c:v>
                </c:pt>
                <c:pt idx="175">
                  <c:v>42403</c:v>
                </c:pt>
                <c:pt idx="176">
                  <c:v>42404</c:v>
                </c:pt>
                <c:pt idx="177">
                  <c:v>42405</c:v>
                </c:pt>
                <c:pt idx="178">
                  <c:v>42408</c:v>
                </c:pt>
                <c:pt idx="179">
                  <c:v>42409</c:v>
                </c:pt>
                <c:pt idx="180">
                  <c:v>42410</c:v>
                </c:pt>
                <c:pt idx="181">
                  <c:v>42411</c:v>
                </c:pt>
                <c:pt idx="182">
                  <c:v>42412</c:v>
                </c:pt>
                <c:pt idx="183">
                  <c:v>42416</c:v>
                </c:pt>
                <c:pt idx="184">
                  <c:v>42416</c:v>
                </c:pt>
                <c:pt idx="185">
                  <c:v>42417</c:v>
                </c:pt>
                <c:pt idx="186">
                  <c:v>42418</c:v>
                </c:pt>
                <c:pt idx="187">
                  <c:v>42419</c:v>
                </c:pt>
                <c:pt idx="188">
                  <c:v>42422</c:v>
                </c:pt>
                <c:pt idx="189">
                  <c:v>42423</c:v>
                </c:pt>
                <c:pt idx="190">
                  <c:v>42424</c:v>
                </c:pt>
                <c:pt idx="191">
                  <c:v>42425</c:v>
                </c:pt>
                <c:pt idx="192">
                  <c:v>42426</c:v>
                </c:pt>
                <c:pt idx="193">
                  <c:v>42429</c:v>
                </c:pt>
                <c:pt idx="194">
                  <c:v>42430</c:v>
                </c:pt>
                <c:pt idx="195">
                  <c:v>42431</c:v>
                </c:pt>
                <c:pt idx="196">
                  <c:v>42432</c:v>
                </c:pt>
                <c:pt idx="197">
                  <c:v>42433</c:v>
                </c:pt>
                <c:pt idx="198">
                  <c:v>42436</c:v>
                </c:pt>
                <c:pt idx="199">
                  <c:v>42437</c:v>
                </c:pt>
                <c:pt idx="200">
                  <c:v>42438</c:v>
                </c:pt>
                <c:pt idx="201">
                  <c:v>42439</c:v>
                </c:pt>
                <c:pt idx="202">
                  <c:v>42440</c:v>
                </c:pt>
                <c:pt idx="203">
                  <c:v>42443</c:v>
                </c:pt>
                <c:pt idx="204">
                  <c:v>42444</c:v>
                </c:pt>
                <c:pt idx="205">
                  <c:v>42445</c:v>
                </c:pt>
                <c:pt idx="206">
                  <c:v>42446</c:v>
                </c:pt>
                <c:pt idx="207">
                  <c:v>42447</c:v>
                </c:pt>
                <c:pt idx="208">
                  <c:v>42450</c:v>
                </c:pt>
                <c:pt idx="209">
                  <c:v>42451</c:v>
                </c:pt>
                <c:pt idx="210">
                  <c:v>42452</c:v>
                </c:pt>
                <c:pt idx="211">
                  <c:v>42453</c:v>
                </c:pt>
                <c:pt idx="212">
                  <c:v>42458</c:v>
                </c:pt>
                <c:pt idx="213">
                  <c:v>42459</c:v>
                </c:pt>
                <c:pt idx="214">
                  <c:v>42460</c:v>
                </c:pt>
                <c:pt idx="215">
                  <c:v>42461</c:v>
                </c:pt>
                <c:pt idx="216">
                  <c:v>42464</c:v>
                </c:pt>
                <c:pt idx="217">
                  <c:v>42465</c:v>
                </c:pt>
                <c:pt idx="218">
                  <c:v>42466</c:v>
                </c:pt>
                <c:pt idx="219">
                  <c:v>42467</c:v>
                </c:pt>
                <c:pt idx="220">
                  <c:v>42468</c:v>
                </c:pt>
                <c:pt idx="221">
                  <c:v>42471</c:v>
                </c:pt>
                <c:pt idx="222">
                  <c:v>42472</c:v>
                </c:pt>
                <c:pt idx="223">
                  <c:v>42473</c:v>
                </c:pt>
                <c:pt idx="224">
                  <c:v>42474</c:v>
                </c:pt>
                <c:pt idx="225">
                  <c:v>42475</c:v>
                </c:pt>
                <c:pt idx="226">
                  <c:v>42478</c:v>
                </c:pt>
                <c:pt idx="227">
                  <c:v>42479</c:v>
                </c:pt>
                <c:pt idx="228">
                  <c:v>42480</c:v>
                </c:pt>
                <c:pt idx="229">
                  <c:v>42481</c:v>
                </c:pt>
                <c:pt idx="230">
                  <c:v>42482</c:v>
                </c:pt>
                <c:pt idx="231">
                  <c:v>42485</c:v>
                </c:pt>
                <c:pt idx="232">
                  <c:v>42486</c:v>
                </c:pt>
                <c:pt idx="233">
                  <c:v>42487</c:v>
                </c:pt>
                <c:pt idx="234">
                  <c:v>42488</c:v>
                </c:pt>
                <c:pt idx="235">
                  <c:v>42489</c:v>
                </c:pt>
                <c:pt idx="236">
                  <c:v>42493</c:v>
                </c:pt>
                <c:pt idx="237">
                  <c:v>42494</c:v>
                </c:pt>
                <c:pt idx="238">
                  <c:v>42495</c:v>
                </c:pt>
                <c:pt idx="239">
                  <c:v>42496</c:v>
                </c:pt>
                <c:pt idx="240">
                  <c:v>42499</c:v>
                </c:pt>
                <c:pt idx="241">
                  <c:v>42500</c:v>
                </c:pt>
                <c:pt idx="242">
                  <c:v>42501</c:v>
                </c:pt>
                <c:pt idx="243">
                  <c:v>42502</c:v>
                </c:pt>
                <c:pt idx="244">
                  <c:v>42503</c:v>
                </c:pt>
                <c:pt idx="245">
                  <c:v>42506</c:v>
                </c:pt>
                <c:pt idx="246">
                  <c:v>42507</c:v>
                </c:pt>
                <c:pt idx="247">
                  <c:v>42508</c:v>
                </c:pt>
                <c:pt idx="248">
                  <c:v>42509</c:v>
                </c:pt>
                <c:pt idx="249">
                  <c:v>42510</c:v>
                </c:pt>
                <c:pt idx="250">
                  <c:v>42513</c:v>
                </c:pt>
                <c:pt idx="251">
                  <c:v>42514</c:v>
                </c:pt>
                <c:pt idx="252">
                  <c:v>42515</c:v>
                </c:pt>
                <c:pt idx="253">
                  <c:v>42516</c:v>
                </c:pt>
                <c:pt idx="254">
                  <c:v>42517</c:v>
                </c:pt>
                <c:pt idx="255">
                  <c:v>42521</c:v>
                </c:pt>
                <c:pt idx="256">
                  <c:v>42522</c:v>
                </c:pt>
                <c:pt idx="257">
                  <c:v>42523</c:v>
                </c:pt>
                <c:pt idx="258">
                  <c:v>42524</c:v>
                </c:pt>
                <c:pt idx="259">
                  <c:v>42527</c:v>
                </c:pt>
                <c:pt idx="260">
                  <c:v>42528</c:v>
                </c:pt>
                <c:pt idx="261">
                  <c:v>42529</c:v>
                </c:pt>
                <c:pt idx="262">
                  <c:v>42530</c:v>
                </c:pt>
                <c:pt idx="263">
                  <c:v>42531</c:v>
                </c:pt>
                <c:pt idx="264">
                  <c:v>42534</c:v>
                </c:pt>
                <c:pt idx="265">
                  <c:v>42535</c:v>
                </c:pt>
                <c:pt idx="266">
                  <c:v>42536</c:v>
                </c:pt>
                <c:pt idx="267">
                  <c:v>42537</c:v>
                </c:pt>
                <c:pt idx="268">
                  <c:v>42538</c:v>
                </c:pt>
                <c:pt idx="269">
                  <c:v>42541</c:v>
                </c:pt>
                <c:pt idx="270">
                  <c:v>42542</c:v>
                </c:pt>
                <c:pt idx="271">
                  <c:v>42543</c:v>
                </c:pt>
                <c:pt idx="272">
                  <c:v>42544</c:v>
                </c:pt>
                <c:pt idx="273">
                  <c:v>42545</c:v>
                </c:pt>
                <c:pt idx="274">
                  <c:v>42548</c:v>
                </c:pt>
                <c:pt idx="275">
                  <c:v>42549</c:v>
                </c:pt>
                <c:pt idx="276">
                  <c:v>42550</c:v>
                </c:pt>
                <c:pt idx="277">
                  <c:v>42551</c:v>
                </c:pt>
                <c:pt idx="278">
                  <c:v>42552</c:v>
                </c:pt>
                <c:pt idx="279">
                  <c:v>42556</c:v>
                </c:pt>
                <c:pt idx="280">
                  <c:v>42556</c:v>
                </c:pt>
                <c:pt idx="281">
                  <c:v>42557</c:v>
                </c:pt>
                <c:pt idx="282">
                  <c:v>42558</c:v>
                </c:pt>
                <c:pt idx="283">
                  <c:v>42559</c:v>
                </c:pt>
                <c:pt idx="284">
                  <c:v>42562</c:v>
                </c:pt>
                <c:pt idx="285">
                  <c:v>42563</c:v>
                </c:pt>
                <c:pt idx="286">
                  <c:v>42564</c:v>
                </c:pt>
                <c:pt idx="287">
                  <c:v>42565</c:v>
                </c:pt>
                <c:pt idx="288">
                  <c:v>42566</c:v>
                </c:pt>
                <c:pt idx="289">
                  <c:v>42569</c:v>
                </c:pt>
                <c:pt idx="290">
                  <c:v>42570</c:v>
                </c:pt>
                <c:pt idx="291">
                  <c:v>42571</c:v>
                </c:pt>
                <c:pt idx="292">
                  <c:v>42572</c:v>
                </c:pt>
                <c:pt idx="293">
                  <c:v>42573</c:v>
                </c:pt>
                <c:pt idx="294">
                  <c:v>42576</c:v>
                </c:pt>
                <c:pt idx="295">
                  <c:v>42577</c:v>
                </c:pt>
                <c:pt idx="296">
                  <c:v>42578</c:v>
                </c:pt>
                <c:pt idx="297">
                  <c:v>42579</c:v>
                </c:pt>
                <c:pt idx="298">
                  <c:v>42580</c:v>
                </c:pt>
                <c:pt idx="299">
                  <c:v>42583</c:v>
                </c:pt>
                <c:pt idx="300">
                  <c:v>42584</c:v>
                </c:pt>
                <c:pt idx="301">
                  <c:v>42585</c:v>
                </c:pt>
                <c:pt idx="302">
                  <c:v>42586</c:v>
                </c:pt>
                <c:pt idx="303">
                  <c:v>42587</c:v>
                </c:pt>
                <c:pt idx="304">
                  <c:v>42590</c:v>
                </c:pt>
                <c:pt idx="305">
                  <c:v>42591</c:v>
                </c:pt>
                <c:pt idx="306">
                  <c:v>42592</c:v>
                </c:pt>
                <c:pt idx="307">
                  <c:v>42593</c:v>
                </c:pt>
                <c:pt idx="308">
                  <c:v>42594</c:v>
                </c:pt>
                <c:pt idx="309">
                  <c:v>42597</c:v>
                </c:pt>
                <c:pt idx="310">
                  <c:v>42598</c:v>
                </c:pt>
                <c:pt idx="311">
                  <c:v>42599</c:v>
                </c:pt>
                <c:pt idx="312">
                  <c:v>42600</c:v>
                </c:pt>
                <c:pt idx="313">
                  <c:v>42601</c:v>
                </c:pt>
                <c:pt idx="314">
                  <c:v>42604</c:v>
                </c:pt>
                <c:pt idx="315">
                  <c:v>42605</c:v>
                </c:pt>
                <c:pt idx="316">
                  <c:v>42606</c:v>
                </c:pt>
                <c:pt idx="317">
                  <c:v>42607</c:v>
                </c:pt>
                <c:pt idx="318">
                  <c:v>42608</c:v>
                </c:pt>
                <c:pt idx="319">
                  <c:v>42612</c:v>
                </c:pt>
                <c:pt idx="320">
                  <c:v>42613</c:v>
                </c:pt>
                <c:pt idx="321">
                  <c:v>42614</c:v>
                </c:pt>
                <c:pt idx="322">
                  <c:v>42615</c:v>
                </c:pt>
                <c:pt idx="323">
                  <c:v>42619</c:v>
                </c:pt>
                <c:pt idx="324">
                  <c:v>42619</c:v>
                </c:pt>
                <c:pt idx="325">
                  <c:v>42620</c:v>
                </c:pt>
                <c:pt idx="326">
                  <c:v>42621</c:v>
                </c:pt>
                <c:pt idx="327">
                  <c:v>42622</c:v>
                </c:pt>
                <c:pt idx="328">
                  <c:v>42625</c:v>
                </c:pt>
                <c:pt idx="329">
                  <c:v>42626</c:v>
                </c:pt>
                <c:pt idx="330">
                  <c:v>42627</c:v>
                </c:pt>
                <c:pt idx="331">
                  <c:v>42628</c:v>
                </c:pt>
                <c:pt idx="332">
                  <c:v>42629</c:v>
                </c:pt>
                <c:pt idx="333">
                  <c:v>42632</c:v>
                </c:pt>
                <c:pt idx="334">
                  <c:v>42633</c:v>
                </c:pt>
                <c:pt idx="335">
                  <c:v>42634</c:v>
                </c:pt>
                <c:pt idx="336">
                  <c:v>42635</c:v>
                </c:pt>
                <c:pt idx="337">
                  <c:v>42636</c:v>
                </c:pt>
                <c:pt idx="338">
                  <c:v>42639</c:v>
                </c:pt>
                <c:pt idx="339">
                  <c:v>42640</c:v>
                </c:pt>
                <c:pt idx="340">
                  <c:v>42641</c:v>
                </c:pt>
                <c:pt idx="341">
                  <c:v>42642</c:v>
                </c:pt>
                <c:pt idx="342">
                  <c:v>42643</c:v>
                </c:pt>
                <c:pt idx="343">
                  <c:v>42646</c:v>
                </c:pt>
                <c:pt idx="344">
                  <c:v>42647</c:v>
                </c:pt>
                <c:pt idx="345">
                  <c:v>42648</c:v>
                </c:pt>
                <c:pt idx="346">
                  <c:v>42649</c:v>
                </c:pt>
                <c:pt idx="347">
                  <c:v>42650</c:v>
                </c:pt>
                <c:pt idx="348">
                  <c:v>42654</c:v>
                </c:pt>
                <c:pt idx="349">
                  <c:v>42654</c:v>
                </c:pt>
                <c:pt idx="350">
                  <c:v>42655</c:v>
                </c:pt>
                <c:pt idx="351">
                  <c:v>42656</c:v>
                </c:pt>
                <c:pt idx="352">
                  <c:v>42657</c:v>
                </c:pt>
                <c:pt idx="353">
                  <c:v>42660</c:v>
                </c:pt>
                <c:pt idx="354">
                  <c:v>42661</c:v>
                </c:pt>
                <c:pt idx="355">
                  <c:v>42662</c:v>
                </c:pt>
                <c:pt idx="356">
                  <c:v>42663</c:v>
                </c:pt>
                <c:pt idx="357">
                  <c:v>42664</c:v>
                </c:pt>
                <c:pt idx="358">
                  <c:v>42667</c:v>
                </c:pt>
                <c:pt idx="359">
                  <c:v>42668</c:v>
                </c:pt>
                <c:pt idx="360">
                  <c:v>42669</c:v>
                </c:pt>
                <c:pt idx="361">
                  <c:v>42670</c:v>
                </c:pt>
                <c:pt idx="362">
                  <c:v>42671</c:v>
                </c:pt>
                <c:pt idx="363">
                  <c:v>42674</c:v>
                </c:pt>
                <c:pt idx="364">
                  <c:v>42675</c:v>
                </c:pt>
                <c:pt idx="365">
                  <c:v>42676</c:v>
                </c:pt>
                <c:pt idx="366">
                  <c:v>42677</c:v>
                </c:pt>
                <c:pt idx="367">
                  <c:v>42678</c:v>
                </c:pt>
                <c:pt idx="368">
                  <c:v>42681</c:v>
                </c:pt>
                <c:pt idx="369">
                  <c:v>42682</c:v>
                </c:pt>
                <c:pt idx="370">
                  <c:v>42683</c:v>
                </c:pt>
                <c:pt idx="371">
                  <c:v>42684</c:v>
                </c:pt>
                <c:pt idx="372">
                  <c:v>42688</c:v>
                </c:pt>
                <c:pt idx="373">
                  <c:v>42688</c:v>
                </c:pt>
                <c:pt idx="374">
                  <c:v>42689</c:v>
                </c:pt>
                <c:pt idx="375">
                  <c:v>42690</c:v>
                </c:pt>
                <c:pt idx="376">
                  <c:v>42691</c:v>
                </c:pt>
                <c:pt idx="377">
                  <c:v>42692</c:v>
                </c:pt>
                <c:pt idx="378">
                  <c:v>42695</c:v>
                </c:pt>
                <c:pt idx="379">
                  <c:v>42696</c:v>
                </c:pt>
                <c:pt idx="380">
                  <c:v>42697</c:v>
                </c:pt>
                <c:pt idx="381">
                  <c:v>42699</c:v>
                </c:pt>
                <c:pt idx="382">
                  <c:v>42699</c:v>
                </c:pt>
                <c:pt idx="383">
                  <c:v>42702</c:v>
                </c:pt>
                <c:pt idx="384">
                  <c:v>42703</c:v>
                </c:pt>
                <c:pt idx="385">
                  <c:v>42704</c:v>
                </c:pt>
                <c:pt idx="386">
                  <c:v>42705</c:v>
                </c:pt>
                <c:pt idx="387">
                  <c:v>42706</c:v>
                </c:pt>
                <c:pt idx="388">
                  <c:v>42709</c:v>
                </c:pt>
                <c:pt idx="389">
                  <c:v>42710</c:v>
                </c:pt>
                <c:pt idx="390">
                  <c:v>42711</c:v>
                </c:pt>
                <c:pt idx="391">
                  <c:v>42712</c:v>
                </c:pt>
                <c:pt idx="392">
                  <c:v>42713</c:v>
                </c:pt>
                <c:pt idx="393">
                  <c:v>42716</c:v>
                </c:pt>
                <c:pt idx="394">
                  <c:v>42717</c:v>
                </c:pt>
                <c:pt idx="395">
                  <c:v>42718</c:v>
                </c:pt>
                <c:pt idx="396">
                  <c:v>42719</c:v>
                </c:pt>
                <c:pt idx="397">
                  <c:v>42720</c:v>
                </c:pt>
                <c:pt idx="398">
                  <c:v>42723</c:v>
                </c:pt>
                <c:pt idx="399">
                  <c:v>42724</c:v>
                </c:pt>
                <c:pt idx="400">
                  <c:v>42725</c:v>
                </c:pt>
                <c:pt idx="401">
                  <c:v>42726</c:v>
                </c:pt>
                <c:pt idx="402">
                  <c:v>42727</c:v>
                </c:pt>
                <c:pt idx="403">
                  <c:v>42732</c:v>
                </c:pt>
                <c:pt idx="404">
                  <c:v>42733</c:v>
                </c:pt>
                <c:pt idx="405">
                  <c:v>42734</c:v>
                </c:pt>
                <c:pt idx="406">
                  <c:v>42738</c:v>
                </c:pt>
                <c:pt idx="407">
                  <c:v>42739</c:v>
                </c:pt>
                <c:pt idx="408">
                  <c:v>42740</c:v>
                </c:pt>
                <c:pt idx="409">
                  <c:v>42741</c:v>
                </c:pt>
                <c:pt idx="410">
                  <c:v>42744</c:v>
                </c:pt>
                <c:pt idx="411">
                  <c:v>42745</c:v>
                </c:pt>
                <c:pt idx="412">
                  <c:v>42746</c:v>
                </c:pt>
                <c:pt idx="413">
                  <c:v>42747</c:v>
                </c:pt>
                <c:pt idx="414">
                  <c:v>42748</c:v>
                </c:pt>
                <c:pt idx="415">
                  <c:v>42752</c:v>
                </c:pt>
                <c:pt idx="416">
                  <c:v>42752</c:v>
                </c:pt>
                <c:pt idx="417">
                  <c:v>42753</c:v>
                </c:pt>
                <c:pt idx="418">
                  <c:v>42754</c:v>
                </c:pt>
                <c:pt idx="419">
                  <c:v>42755</c:v>
                </c:pt>
                <c:pt idx="420">
                  <c:v>42758</c:v>
                </c:pt>
                <c:pt idx="421">
                  <c:v>42759</c:v>
                </c:pt>
                <c:pt idx="422">
                  <c:v>42760</c:v>
                </c:pt>
                <c:pt idx="423">
                  <c:v>42761</c:v>
                </c:pt>
                <c:pt idx="424">
                  <c:v>42762</c:v>
                </c:pt>
                <c:pt idx="425">
                  <c:v>42765</c:v>
                </c:pt>
                <c:pt idx="426">
                  <c:v>42766</c:v>
                </c:pt>
                <c:pt idx="427">
                  <c:v>42767</c:v>
                </c:pt>
                <c:pt idx="428">
                  <c:v>42768</c:v>
                </c:pt>
                <c:pt idx="429">
                  <c:v>42769</c:v>
                </c:pt>
                <c:pt idx="430">
                  <c:v>42772</c:v>
                </c:pt>
                <c:pt idx="431">
                  <c:v>42773</c:v>
                </c:pt>
                <c:pt idx="432">
                  <c:v>42774</c:v>
                </c:pt>
                <c:pt idx="433">
                  <c:v>42775</c:v>
                </c:pt>
                <c:pt idx="434">
                  <c:v>42776</c:v>
                </c:pt>
                <c:pt idx="435">
                  <c:v>42779</c:v>
                </c:pt>
                <c:pt idx="436">
                  <c:v>42780</c:v>
                </c:pt>
                <c:pt idx="437">
                  <c:v>42781</c:v>
                </c:pt>
                <c:pt idx="438">
                  <c:v>42782</c:v>
                </c:pt>
                <c:pt idx="439">
                  <c:v>42783</c:v>
                </c:pt>
                <c:pt idx="440">
                  <c:v>42787</c:v>
                </c:pt>
                <c:pt idx="441">
                  <c:v>42787</c:v>
                </c:pt>
                <c:pt idx="442">
                  <c:v>42788</c:v>
                </c:pt>
                <c:pt idx="443">
                  <c:v>42789</c:v>
                </c:pt>
                <c:pt idx="444">
                  <c:v>42790</c:v>
                </c:pt>
                <c:pt idx="445">
                  <c:v>42793</c:v>
                </c:pt>
                <c:pt idx="446">
                  <c:v>42794</c:v>
                </c:pt>
                <c:pt idx="447">
                  <c:v>42795</c:v>
                </c:pt>
                <c:pt idx="448">
                  <c:v>42796</c:v>
                </c:pt>
                <c:pt idx="449">
                  <c:v>42797</c:v>
                </c:pt>
                <c:pt idx="450">
                  <c:v>42800</c:v>
                </c:pt>
                <c:pt idx="451">
                  <c:v>42801</c:v>
                </c:pt>
                <c:pt idx="452">
                  <c:v>42802</c:v>
                </c:pt>
                <c:pt idx="453">
                  <c:v>42803</c:v>
                </c:pt>
                <c:pt idx="454">
                  <c:v>42804</c:v>
                </c:pt>
                <c:pt idx="455">
                  <c:v>42807</c:v>
                </c:pt>
                <c:pt idx="456">
                  <c:v>42808</c:v>
                </c:pt>
                <c:pt idx="457">
                  <c:v>42809</c:v>
                </c:pt>
                <c:pt idx="458">
                  <c:v>42810</c:v>
                </c:pt>
                <c:pt idx="459">
                  <c:v>42811</c:v>
                </c:pt>
                <c:pt idx="460">
                  <c:v>42814</c:v>
                </c:pt>
                <c:pt idx="461">
                  <c:v>42815</c:v>
                </c:pt>
                <c:pt idx="462">
                  <c:v>42816</c:v>
                </c:pt>
                <c:pt idx="463">
                  <c:v>42817</c:v>
                </c:pt>
                <c:pt idx="464">
                  <c:v>42818</c:v>
                </c:pt>
                <c:pt idx="465">
                  <c:v>42821</c:v>
                </c:pt>
                <c:pt idx="466">
                  <c:v>42822</c:v>
                </c:pt>
                <c:pt idx="467">
                  <c:v>42823</c:v>
                </c:pt>
                <c:pt idx="468">
                  <c:v>42824</c:v>
                </c:pt>
                <c:pt idx="469">
                  <c:v>42825</c:v>
                </c:pt>
                <c:pt idx="470">
                  <c:v>42828</c:v>
                </c:pt>
                <c:pt idx="471">
                  <c:v>42829</c:v>
                </c:pt>
                <c:pt idx="472">
                  <c:v>42830</c:v>
                </c:pt>
                <c:pt idx="473">
                  <c:v>42831</c:v>
                </c:pt>
                <c:pt idx="474">
                  <c:v>42832</c:v>
                </c:pt>
                <c:pt idx="475">
                  <c:v>42835</c:v>
                </c:pt>
                <c:pt idx="476">
                  <c:v>42836</c:v>
                </c:pt>
                <c:pt idx="477">
                  <c:v>42837</c:v>
                </c:pt>
                <c:pt idx="478">
                  <c:v>42838</c:v>
                </c:pt>
                <c:pt idx="479">
                  <c:v>42843</c:v>
                </c:pt>
                <c:pt idx="480">
                  <c:v>42844</c:v>
                </c:pt>
                <c:pt idx="481">
                  <c:v>42845</c:v>
                </c:pt>
                <c:pt idx="482">
                  <c:v>42846</c:v>
                </c:pt>
                <c:pt idx="483">
                  <c:v>42849</c:v>
                </c:pt>
                <c:pt idx="484">
                  <c:v>42850</c:v>
                </c:pt>
                <c:pt idx="485">
                  <c:v>42851</c:v>
                </c:pt>
                <c:pt idx="486">
                  <c:v>42852</c:v>
                </c:pt>
                <c:pt idx="487">
                  <c:v>42853</c:v>
                </c:pt>
                <c:pt idx="488">
                  <c:v>42857</c:v>
                </c:pt>
                <c:pt idx="489">
                  <c:v>42858</c:v>
                </c:pt>
                <c:pt idx="490">
                  <c:v>42859</c:v>
                </c:pt>
                <c:pt idx="491">
                  <c:v>42860</c:v>
                </c:pt>
                <c:pt idx="492">
                  <c:v>42863</c:v>
                </c:pt>
                <c:pt idx="493">
                  <c:v>42864</c:v>
                </c:pt>
                <c:pt idx="494">
                  <c:v>42865</c:v>
                </c:pt>
                <c:pt idx="495">
                  <c:v>42866</c:v>
                </c:pt>
                <c:pt idx="496">
                  <c:v>42867</c:v>
                </c:pt>
                <c:pt idx="497">
                  <c:v>42870</c:v>
                </c:pt>
                <c:pt idx="498">
                  <c:v>42871</c:v>
                </c:pt>
                <c:pt idx="499">
                  <c:v>42872</c:v>
                </c:pt>
                <c:pt idx="500">
                  <c:v>42873</c:v>
                </c:pt>
                <c:pt idx="501">
                  <c:v>42874</c:v>
                </c:pt>
                <c:pt idx="502">
                  <c:v>42877</c:v>
                </c:pt>
                <c:pt idx="503">
                  <c:v>42878</c:v>
                </c:pt>
                <c:pt idx="504">
                  <c:v>42879</c:v>
                </c:pt>
                <c:pt idx="505">
                  <c:v>42880</c:v>
                </c:pt>
                <c:pt idx="506">
                  <c:v>42881</c:v>
                </c:pt>
                <c:pt idx="507">
                  <c:v>42885</c:v>
                </c:pt>
                <c:pt idx="508">
                  <c:v>42886</c:v>
                </c:pt>
                <c:pt idx="509">
                  <c:v>42887</c:v>
                </c:pt>
                <c:pt idx="510">
                  <c:v>42888</c:v>
                </c:pt>
                <c:pt idx="511">
                  <c:v>42891</c:v>
                </c:pt>
                <c:pt idx="512">
                  <c:v>42892</c:v>
                </c:pt>
                <c:pt idx="513">
                  <c:v>42893</c:v>
                </c:pt>
                <c:pt idx="514">
                  <c:v>42894</c:v>
                </c:pt>
                <c:pt idx="515">
                  <c:v>42895</c:v>
                </c:pt>
                <c:pt idx="516">
                  <c:v>42898</c:v>
                </c:pt>
                <c:pt idx="517">
                  <c:v>42899</c:v>
                </c:pt>
                <c:pt idx="518">
                  <c:v>42906</c:v>
                </c:pt>
                <c:pt idx="519">
                  <c:v>42913</c:v>
                </c:pt>
                <c:pt idx="520">
                  <c:v>42921</c:v>
                </c:pt>
                <c:pt idx="521">
                  <c:v>42927</c:v>
                </c:pt>
                <c:pt idx="522">
                  <c:v>42934</c:v>
                </c:pt>
                <c:pt idx="523">
                  <c:v>42941</c:v>
                </c:pt>
                <c:pt idx="524">
                  <c:v>42948</c:v>
                </c:pt>
                <c:pt idx="525">
                  <c:v>42955</c:v>
                </c:pt>
                <c:pt idx="526">
                  <c:v>42962</c:v>
                </c:pt>
                <c:pt idx="527">
                  <c:v>42969</c:v>
                </c:pt>
                <c:pt idx="528">
                  <c:v>42977</c:v>
                </c:pt>
                <c:pt idx="529">
                  <c:v>42983</c:v>
                </c:pt>
                <c:pt idx="530">
                  <c:v>42990</c:v>
                </c:pt>
                <c:pt idx="531">
                  <c:v>42997</c:v>
                </c:pt>
                <c:pt idx="532">
                  <c:v>43004</c:v>
                </c:pt>
                <c:pt idx="533">
                  <c:v>43011</c:v>
                </c:pt>
                <c:pt idx="534">
                  <c:v>43018</c:v>
                </c:pt>
                <c:pt idx="535">
                  <c:v>43025</c:v>
                </c:pt>
                <c:pt idx="536">
                  <c:v>43032</c:v>
                </c:pt>
                <c:pt idx="537">
                  <c:v>43039</c:v>
                </c:pt>
                <c:pt idx="538">
                  <c:v>43046</c:v>
                </c:pt>
                <c:pt idx="539">
                  <c:v>43053</c:v>
                </c:pt>
                <c:pt idx="540">
                  <c:v>43060</c:v>
                </c:pt>
                <c:pt idx="541">
                  <c:v>43067</c:v>
                </c:pt>
                <c:pt idx="542">
                  <c:v>43074</c:v>
                </c:pt>
                <c:pt idx="543">
                  <c:v>43081</c:v>
                </c:pt>
                <c:pt idx="544">
                  <c:v>43088</c:v>
                </c:pt>
                <c:pt idx="545">
                  <c:v>43097</c:v>
                </c:pt>
                <c:pt idx="546">
                  <c:v>43103</c:v>
                </c:pt>
                <c:pt idx="547">
                  <c:v>43109</c:v>
                </c:pt>
                <c:pt idx="548">
                  <c:v>43116</c:v>
                </c:pt>
                <c:pt idx="549">
                  <c:v>43123</c:v>
                </c:pt>
                <c:pt idx="550">
                  <c:v>43130</c:v>
                </c:pt>
                <c:pt idx="551">
                  <c:v>43137</c:v>
                </c:pt>
                <c:pt idx="552">
                  <c:v>43144</c:v>
                </c:pt>
                <c:pt idx="553">
                  <c:v>43151</c:v>
                </c:pt>
                <c:pt idx="554">
                  <c:v>43158</c:v>
                </c:pt>
                <c:pt idx="555">
                  <c:v>43165</c:v>
                </c:pt>
                <c:pt idx="556">
                  <c:v>43172</c:v>
                </c:pt>
                <c:pt idx="557">
                  <c:v>43179</c:v>
                </c:pt>
                <c:pt idx="558">
                  <c:v>43186</c:v>
                </c:pt>
                <c:pt idx="559">
                  <c:v>43195</c:v>
                </c:pt>
                <c:pt idx="560">
                  <c:v>43202</c:v>
                </c:pt>
                <c:pt idx="561">
                  <c:v>43209</c:v>
                </c:pt>
                <c:pt idx="562">
                  <c:v>43216</c:v>
                </c:pt>
                <c:pt idx="563">
                  <c:v>43223</c:v>
                </c:pt>
                <c:pt idx="564">
                  <c:v>43230</c:v>
                </c:pt>
                <c:pt idx="565">
                  <c:v>43237</c:v>
                </c:pt>
                <c:pt idx="566">
                  <c:v>43244</c:v>
                </c:pt>
                <c:pt idx="567">
                  <c:v>43251</c:v>
                </c:pt>
                <c:pt idx="568">
                  <c:v>43258</c:v>
                </c:pt>
                <c:pt idx="569">
                  <c:v>43265</c:v>
                </c:pt>
                <c:pt idx="570">
                  <c:v>43272</c:v>
                </c:pt>
                <c:pt idx="571">
                  <c:v>43279</c:v>
                </c:pt>
                <c:pt idx="572">
                  <c:v>43286</c:v>
                </c:pt>
                <c:pt idx="573">
                  <c:v>43293</c:v>
                </c:pt>
                <c:pt idx="574">
                  <c:v>43300</c:v>
                </c:pt>
                <c:pt idx="575">
                  <c:v>43307</c:v>
                </c:pt>
                <c:pt idx="576">
                  <c:v>43314</c:v>
                </c:pt>
                <c:pt idx="577">
                  <c:v>43321</c:v>
                </c:pt>
                <c:pt idx="578">
                  <c:v>43328</c:v>
                </c:pt>
                <c:pt idx="579">
                  <c:v>43335</c:v>
                </c:pt>
                <c:pt idx="580">
                  <c:v>43342</c:v>
                </c:pt>
                <c:pt idx="581">
                  <c:v>43349</c:v>
                </c:pt>
                <c:pt idx="582">
                  <c:v>43356</c:v>
                </c:pt>
                <c:pt idx="583">
                  <c:v>43363</c:v>
                </c:pt>
                <c:pt idx="584">
                  <c:v>43370</c:v>
                </c:pt>
                <c:pt idx="585">
                  <c:v>43377</c:v>
                </c:pt>
                <c:pt idx="586">
                  <c:v>43384</c:v>
                </c:pt>
                <c:pt idx="587">
                  <c:v>43391</c:v>
                </c:pt>
                <c:pt idx="588">
                  <c:v>43398</c:v>
                </c:pt>
                <c:pt idx="589">
                  <c:v>43405</c:v>
                </c:pt>
                <c:pt idx="590">
                  <c:v>43412</c:v>
                </c:pt>
                <c:pt idx="591">
                  <c:v>43419</c:v>
                </c:pt>
                <c:pt idx="592">
                  <c:v>43427</c:v>
                </c:pt>
                <c:pt idx="593">
                  <c:v>43433</c:v>
                </c:pt>
                <c:pt idx="594">
                  <c:v>43440</c:v>
                </c:pt>
                <c:pt idx="595">
                  <c:v>43447</c:v>
                </c:pt>
                <c:pt idx="596">
                  <c:v>43454</c:v>
                </c:pt>
                <c:pt idx="597">
                  <c:v>43465</c:v>
                </c:pt>
                <c:pt idx="598">
                  <c:v>43472</c:v>
                </c:pt>
                <c:pt idx="599">
                  <c:v>43479</c:v>
                </c:pt>
                <c:pt idx="600">
                  <c:v>43487</c:v>
                </c:pt>
                <c:pt idx="601">
                  <c:v>43493</c:v>
                </c:pt>
                <c:pt idx="602">
                  <c:v>43500</c:v>
                </c:pt>
                <c:pt idx="603">
                  <c:v>43507</c:v>
                </c:pt>
                <c:pt idx="604">
                  <c:v>43515</c:v>
                </c:pt>
                <c:pt idx="605">
                  <c:v>43521</c:v>
                </c:pt>
                <c:pt idx="606">
                  <c:v>43528</c:v>
                </c:pt>
                <c:pt idx="607">
                  <c:v>43535</c:v>
                </c:pt>
                <c:pt idx="608">
                  <c:v>43542</c:v>
                </c:pt>
                <c:pt idx="609">
                  <c:v>43549</c:v>
                </c:pt>
                <c:pt idx="610">
                  <c:v>43556</c:v>
                </c:pt>
                <c:pt idx="611">
                  <c:v>43563</c:v>
                </c:pt>
                <c:pt idx="612">
                  <c:v>43570</c:v>
                </c:pt>
                <c:pt idx="613">
                  <c:v>43579</c:v>
                </c:pt>
                <c:pt idx="614">
                  <c:v>43584</c:v>
                </c:pt>
                <c:pt idx="615">
                  <c:v>43592</c:v>
                </c:pt>
                <c:pt idx="616">
                  <c:v>43598</c:v>
                </c:pt>
                <c:pt idx="617">
                  <c:v>43605</c:v>
                </c:pt>
                <c:pt idx="618">
                  <c:v>43613</c:v>
                </c:pt>
                <c:pt idx="619">
                  <c:v>43619</c:v>
                </c:pt>
                <c:pt idx="620">
                  <c:v>43626</c:v>
                </c:pt>
                <c:pt idx="621">
                  <c:v>43633</c:v>
                </c:pt>
                <c:pt idx="622">
                  <c:v>43640</c:v>
                </c:pt>
                <c:pt idx="623">
                  <c:v>43647</c:v>
                </c:pt>
                <c:pt idx="624">
                  <c:v>43654</c:v>
                </c:pt>
                <c:pt idx="625">
                  <c:v>43661</c:v>
                </c:pt>
                <c:pt idx="626">
                  <c:v>43668</c:v>
                </c:pt>
                <c:pt idx="627">
                  <c:v>43675</c:v>
                </c:pt>
                <c:pt idx="628">
                  <c:v>43682</c:v>
                </c:pt>
                <c:pt idx="629">
                  <c:v>43689</c:v>
                </c:pt>
                <c:pt idx="630">
                  <c:v>43696</c:v>
                </c:pt>
                <c:pt idx="631">
                  <c:v>43704</c:v>
                </c:pt>
                <c:pt idx="632">
                  <c:v>43711</c:v>
                </c:pt>
                <c:pt idx="633">
                  <c:v>43717</c:v>
                </c:pt>
                <c:pt idx="634">
                  <c:v>43724</c:v>
                </c:pt>
                <c:pt idx="635">
                  <c:v>43731</c:v>
                </c:pt>
                <c:pt idx="636">
                  <c:v>43738</c:v>
                </c:pt>
                <c:pt idx="637">
                  <c:v>43745</c:v>
                </c:pt>
                <c:pt idx="638">
                  <c:v>43753</c:v>
                </c:pt>
                <c:pt idx="639">
                  <c:v>43759</c:v>
                </c:pt>
                <c:pt idx="640">
                  <c:v>43766</c:v>
                </c:pt>
                <c:pt idx="641">
                  <c:v>43773</c:v>
                </c:pt>
                <c:pt idx="642">
                  <c:v>43781</c:v>
                </c:pt>
                <c:pt idx="643">
                  <c:v>43787</c:v>
                </c:pt>
                <c:pt idx="644">
                  <c:v>43794</c:v>
                </c:pt>
                <c:pt idx="645">
                  <c:v>43801</c:v>
                </c:pt>
                <c:pt idx="646">
                  <c:v>43808</c:v>
                </c:pt>
                <c:pt idx="647">
                  <c:v>43815</c:v>
                </c:pt>
                <c:pt idx="648">
                  <c:v>43822</c:v>
                </c:pt>
                <c:pt idx="649">
                  <c:v>43830</c:v>
                </c:pt>
                <c:pt idx="650">
                  <c:v>43837</c:v>
                </c:pt>
                <c:pt idx="651">
                  <c:v>43844</c:v>
                </c:pt>
                <c:pt idx="652">
                  <c:v>43851</c:v>
                </c:pt>
                <c:pt idx="653">
                  <c:v>43858</c:v>
                </c:pt>
                <c:pt idx="654">
                  <c:v>43865</c:v>
                </c:pt>
                <c:pt idx="655">
                  <c:v>43872</c:v>
                </c:pt>
                <c:pt idx="656">
                  <c:v>43879</c:v>
                </c:pt>
                <c:pt idx="657">
                  <c:v>43886</c:v>
                </c:pt>
                <c:pt idx="658">
                  <c:v>43893</c:v>
                </c:pt>
                <c:pt idx="659">
                  <c:v>43900</c:v>
                </c:pt>
                <c:pt idx="660">
                  <c:v>43907</c:v>
                </c:pt>
                <c:pt idx="661">
                  <c:v>43914</c:v>
                </c:pt>
                <c:pt idx="662">
                  <c:v>43921</c:v>
                </c:pt>
                <c:pt idx="663">
                  <c:v>43928</c:v>
                </c:pt>
                <c:pt idx="664">
                  <c:v>43937</c:v>
                </c:pt>
                <c:pt idx="665">
                  <c:v>43944</c:v>
                </c:pt>
                <c:pt idx="666">
                  <c:v>43951</c:v>
                </c:pt>
                <c:pt idx="667">
                  <c:v>43958</c:v>
                </c:pt>
                <c:pt idx="668">
                  <c:v>43965</c:v>
                </c:pt>
                <c:pt idx="669">
                  <c:v>43972</c:v>
                </c:pt>
                <c:pt idx="670">
                  <c:v>43979</c:v>
                </c:pt>
                <c:pt idx="671">
                  <c:v>43986</c:v>
                </c:pt>
                <c:pt idx="672">
                  <c:v>43993</c:v>
                </c:pt>
                <c:pt idx="673">
                  <c:v>44000</c:v>
                </c:pt>
                <c:pt idx="674">
                  <c:v>44007</c:v>
                </c:pt>
                <c:pt idx="675">
                  <c:v>44014</c:v>
                </c:pt>
                <c:pt idx="676">
                  <c:v>44021</c:v>
                </c:pt>
                <c:pt idx="677">
                  <c:v>44028</c:v>
                </c:pt>
                <c:pt idx="678">
                  <c:v>44035</c:v>
                </c:pt>
                <c:pt idx="679">
                  <c:v>44042</c:v>
                </c:pt>
                <c:pt idx="680">
                  <c:v>44049</c:v>
                </c:pt>
                <c:pt idx="681">
                  <c:v>44056</c:v>
                </c:pt>
                <c:pt idx="682">
                  <c:v>44063</c:v>
                </c:pt>
                <c:pt idx="683">
                  <c:v>44070</c:v>
                </c:pt>
                <c:pt idx="684">
                  <c:v>44077</c:v>
                </c:pt>
                <c:pt idx="685">
                  <c:v>44084</c:v>
                </c:pt>
                <c:pt idx="686">
                  <c:v>44091</c:v>
                </c:pt>
                <c:pt idx="687">
                  <c:v>44098</c:v>
                </c:pt>
                <c:pt idx="688">
                  <c:v>44105</c:v>
                </c:pt>
                <c:pt idx="689">
                  <c:v>44112</c:v>
                </c:pt>
                <c:pt idx="690">
                  <c:v>44119</c:v>
                </c:pt>
                <c:pt idx="691">
                  <c:v>44126</c:v>
                </c:pt>
                <c:pt idx="692">
                  <c:v>44133</c:v>
                </c:pt>
                <c:pt idx="693">
                  <c:v>44140</c:v>
                </c:pt>
                <c:pt idx="694">
                  <c:v>44147</c:v>
                </c:pt>
                <c:pt idx="695">
                  <c:v>44154</c:v>
                </c:pt>
                <c:pt idx="696">
                  <c:v>44162</c:v>
                </c:pt>
                <c:pt idx="697">
                  <c:v>44168</c:v>
                </c:pt>
                <c:pt idx="698">
                  <c:v>44175</c:v>
                </c:pt>
                <c:pt idx="699">
                  <c:v>44182</c:v>
                </c:pt>
                <c:pt idx="700">
                  <c:v>44189</c:v>
                </c:pt>
                <c:pt idx="701">
                  <c:v>44196</c:v>
                </c:pt>
                <c:pt idx="702">
                  <c:v>44203</c:v>
                </c:pt>
                <c:pt idx="703">
                  <c:v>44210</c:v>
                </c:pt>
                <c:pt idx="704">
                  <c:v>44217</c:v>
                </c:pt>
                <c:pt idx="705">
                  <c:v>44224</c:v>
                </c:pt>
                <c:pt idx="706">
                  <c:v>44231</c:v>
                </c:pt>
                <c:pt idx="707">
                  <c:v>44238</c:v>
                </c:pt>
                <c:pt idx="708">
                  <c:v>44245</c:v>
                </c:pt>
                <c:pt idx="709">
                  <c:v>44252</c:v>
                </c:pt>
                <c:pt idx="710">
                  <c:v>44259</c:v>
                </c:pt>
                <c:pt idx="711">
                  <c:v>44266</c:v>
                </c:pt>
                <c:pt idx="712">
                  <c:v>44273</c:v>
                </c:pt>
                <c:pt idx="713">
                  <c:v>44280</c:v>
                </c:pt>
                <c:pt idx="714">
                  <c:v>44287</c:v>
                </c:pt>
                <c:pt idx="715">
                  <c:v>44294</c:v>
                </c:pt>
                <c:pt idx="716">
                  <c:v>44301</c:v>
                </c:pt>
                <c:pt idx="717">
                  <c:v>44308</c:v>
                </c:pt>
                <c:pt idx="718">
                  <c:v>44315</c:v>
                </c:pt>
                <c:pt idx="719">
                  <c:v>44322</c:v>
                </c:pt>
                <c:pt idx="720">
                  <c:v>44329</c:v>
                </c:pt>
                <c:pt idx="721">
                  <c:v>44336</c:v>
                </c:pt>
                <c:pt idx="722">
                  <c:v>44343</c:v>
                </c:pt>
                <c:pt idx="723">
                  <c:v>44350</c:v>
                </c:pt>
                <c:pt idx="724">
                  <c:v>44357</c:v>
                </c:pt>
                <c:pt idx="725">
                  <c:v>44364</c:v>
                </c:pt>
                <c:pt idx="726">
                  <c:v>44371</c:v>
                </c:pt>
                <c:pt idx="727">
                  <c:v>44378</c:v>
                </c:pt>
                <c:pt idx="728">
                  <c:v>44385</c:v>
                </c:pt>
                <c:pt idx="729">
                  <c:v>44392</c:v>
                </c:pt>
                <c:pt idx="730">
                  <c:v>44399</c:v>
                </c:pt>
                <c:pt idx="731">
                  <c:v>44406</c:v>
                </c:pt>
                <c:pt idx="732">
                  <c:v>44413</c:v>
                </c:pt>
                <c:pt idx="733">
                  <c:v>44420</c:v>
                </c:pt>
                <c:pt idx="734">
                  <c:v>44427</c:v>
                </c:pt>
                <c:pt idx="735">
                  <c:v>44434</c:v>
                </c:pt>
                <c:pt idx="736">
                  <c:v>44441</c:v>
                </c:pt>
                <c:pt idx="737">
                  <c:v>44448</c:v>
                </c:pt>
                <c:pt idx="738">
                  <c:v>44455</c:v>
                </c:pt>
                <c:pt idx="739">
                  <c:v>44462</c:v>
                </c:pt>
                <c:pt idx="740">
                  <c:v>44469</c:v>
                </c:pt>
                <c:pt idx="741">
                  <c:v>44476</c:v>
                </c:pt>
                <c:pt idx="742">
                  <c:v>44483</c:v>
                </c:pt>
                <c:pt idx="743">
                  <c:v>44490</c:v>
                </c:pt>
                <c:pt idx="744">
                  <c:v>44497</c:v>
                </c:pt>
                <c:pt idx="745">
                  <c:v>44504</c:v>
                </c:pt>
                <c:pt idx="746">
                  <c:v>44512</c:v>
                </c:pt>
                <c:pt idx="747">
                  <c:v>44518</c:v>
                </c:pt>
                <c:pt idx="748">
                  <c:v>44526</c:v>
                </c:pt>
                <c:pt idx="749">
                  <c:v>44532</c:v>
                </c:pt>
                <c:pt idx="750">
                  <c:v>44539</c:v>
                </c:pt>
                <c:pt idx="751">
                  <c:v>44546</c:v>
                </c:pt>
                <c:pt idx="752">
                  <c:v>44553</c:v>
                </c:pt>
                <c:pt idx="753">
                  <c:v>44565</c:v>
                </c:pt>
                <c:pt idx="754">
                  <c:v>44568</c:v>
                </c:pt>
                <c:pt idx="755">
                  <c:v>44575</c:v>
                </c:pt>
                <c:pt idx="756">
                  <c:v>44582</c:v>
                </c:pt>
                <c:pt idx="757">
                  <c:v>44589</c:v>
                </c:pt>
                <c:pt idx="758">
                  <c:v>44596</c:v>
                </c:pt>
                <c:pt idx="759">
                  <c:v>44603</c:v>
                </c:pt>
                <c:pt idx="760">
                  <c:v>44610</c:v>
                </c:pt>
                <c:pt idx="761">
                  <c:v>44617</c:v>
                </c:pt>
                <c:pt idx="762">
                  <c:v>44624</c:v>
                </c:pt>
                <c:pt idx="763">
                  <c:v>44631</c:v>
                </c:pt>
                <c:pt idx="764">
                  <c:v>44638</c:v>
                </c:pt>
                <c:pt idx="765">
                  <c:v>44645</c:v>
                </c:pt>
                <c:pt idx="766">
                  <c:v>44652</c:v>
                </c:pt>
                <c:pt idx="767">
                  <c:v>44659</c:v>
                </c:pt>
                <c:pt idx="768">
                  <c:v>44670</c:v>
                </c:pt>
                <c:pt idx="769">
                  <c:v>44673</c:v>
                </c:pt>
                <c:pt idx="770">
                  <c:v>44680</c:v>
                </c:pt>
                <c:pt idx="771">
                  <c:v>44687</c:v>
                </c:pt>
                <c:pt idx="772">
                  <c:v>44694</c:v>
                </c:pt>
                <c:pt idx="773">
                  <c:v>44701</c:v>
                </c:pt>
                <c:pt idx="774">
                  <c:v>44708</c:v>
                </c:pt>
                <c:pt idx="775">
                  <c:v>44715</c:v>
                </c:pt>
                <c:pt idx="776">
                  <c:v>44722</c:v>
                </c:pt>
                <c:pt idx="777">
                  <c:v>44729</c:v>
                </c:pt>
                <c:pt idx="778">
                  <c:v>44736</c:v>
                </c:pt>
                <c:pt idx="779">
                  <c:v>44743</c:v>
                </c:pt>
                <c:pt idx="780">
                  <c:v>44750</c:v>
                </c:pt>
                <c:pt idx="781">
                  <c:v>44757</c:v>
                </c:pt>
                <c:pt idx="782">
                  <c:v>44764</c:v>
                </c:pt>
                <c:pt idx="783">
                  <c:v>44771</c:v>
                </c:pt>
                <c:pt idx="784">
                  <c:v>44778</c:v>
                </c:pt>
                <c:pt idx="785">
                  <c:v>44785</c:v>
                </c:pt>
                <c:pt idx="786">
                  <c:v>44792</c:v>
                </c:pt>
                <c:pt idx="787">
                  <c:v>44799</c:v>
                </c:pt>
                <c:pt idx="788">
                  <c:v>44806</c:v>
                </c:pt>
                <c:pt idx="789">
                  <c:v>44813</c:v>
                </c:pt>
                <c:pt idx="790">
                  <c:v>44820</c:v>
                </c:pt>
                <c:pt idx="791">
                  <c:v>44827</c:v>
                </c:pt>
                <c:pt idx="792">
                  <c:v>44834</c:v>
                </c:pt>
                <c:pt idx="793">
                  <c:v>44841</c:v>
                </c:pt>
                <c:pt idx="794">
                  <c:v>44848</c:v>
                </c:pt>
                <c:pt idx="795">
                  <c:v>44855</c:v>
                </c:pt>
                <c:pt idx="796">
                  <c:v>44862</c:v>
                </c:pt>
                <c:pt idx="797">
                  <c:v>44869</c:v>
                </c:pt>
                <c:pt idx="798">
                  <c:v>44879</c:v>
                </c:pt>
                <c:pt idx="799">
                  <c:v>44883</c:v>
                </c:pt>
                <c:pt idx="800">
                  <c:v>44890</c:v>
                </c:pt>
                <c:pt idx="801">
                  <c:v>44897</c:v>
                </c:pt>
                <c:pt idx="802">
                  <c:v>44904</c:v>
                </c:pt>
                <c:pt idx="803">
                  <c:v>44911</c:v>
                </c:pt>
                <c:pt idx="804">
                  <c:v>44918</c:v>
                </c:pt>
                <c:pt idx="805">
                  <c:v>44925</c:v>
                </c:pt>
                <c:pt idx="806">
                  <c:v>44932</c:v>
                </c:pt>
                <c:pt idx="807">
                  <c:v>44939</c:v>
                </c:pt>
                <c:pt idx="808">
                  <c:v>44946</c:v>
                </c:pt>
                <c:pt idx="809">
                  <c:v>44953</c:v>
                </c:pt>
                <c:pt idx="810">
                  <c:v>44960</c:v>
                </c:pt>
                <c:pt idx="811">
                  <c:v>44967</c:v>
                </c:pt>
                <c:pt idx="812">
                  <c:v>44974</c:v>
                </c:pt>
                <c:pt idx="813">
                  <c:v>44981</c:v>
                </c:pt>
                <c:pt idx="814">
                  <c:v>44988</c:v>
                </c:pt>
                <c:pt idx="815">
                  <c:v>44995</c:v>
                </c:pt>
                <c:pt idx="816">
                  <c:v>45002</c:v>
                </c:pt>
                <c:pt idx="817">
                  <c:v>45009</c:v>
                </c:pt>
                <c:pt idx="818">
                  <c:v>45016</c:v>
                </c:pt>
                <c:pt idx="819">
                  <c:v>45027</c:v>
                </c:pt>
                <c:pt idx="820">
                  <c:v>45030</c:v>
                </c:pt>
                <c:pt idx="821">
                  <c:v>45037</c:v>
                </c:pt>
                <c:pt idx="822">
                  <c:v>45044</c:v>
                </c:pt>
                <c:pt idx="823">
                  <c:v>45051</c:v>
                </c:pt>
                <c:pt idx="824">
                  <c:v>45058</c:v>
                </c:pt>
                <c:pt idx="825">
                  <c:v>45065</c:v>
                </c:pt>
                <c:pt idx="826">
                  <c:v>45072</c:v>
                </c:pt>
                <c:pt idx="827">
                  <c:v>45079</c:v>
                </c:pt>
                <c:pt idx="828">
                  <c:v>45086</c:v>
                </c:pt>
                <c:pt idx="829">
                  <c:v>45093</c:v>
                </c:pt>
                <c:pt idx="830">
                  <c:v>45100</c:v>
                </c:pt>
                <c:pt idx="831">
                  <c:v>45107</c:v>
                </c:pt>
                <c:pt idx="832">
                  <c:v>45114</c:v>
                </c:pt>
                <c:pt idx="833">
                  <c:v>45121</c:v>
                </c:pt>
                <c:pt idx="834">
                  <c:v>45128</c:v>
                </c:pt>
                <c:pt idx="835">
                  <c:v>45135</c:v>
                </c:pt>
                <c:pt idx="836">
                  <c:v>45142</c:v>
                </c:pt>
                <c:pt idx="837">
                  <c:v>45149</c:v>
                </c:pt>
                <c:pt idx="838">
                  <c:v>45156</c:v>
                </c:pt>
                <c:pt idx="839">
                  <c:v>45163</c:v>
                </c:pt>
                <c:pt idx="840">
                  <c:v>45170</c:v>
                </c:pt>
                <c:pt idx="841">
                  <c:v>45177</c:v>
                </c:pt>
                <c:pt idx="842">
                  <c:v>45184</c:v>
                </c:pt>
                <c:pt idx="843">
                  <c:v>45191</c:v>
                </c:pt>
                <c:pt idx="844">
                  <c:v>45198</c:v>
                </c:pt>
                <c:pt idx="845">
                  <c:v>45205</c:v>
                </c:pt>
                <c:pt idx="846">
                  <c:v>45212</c:v>
                </c:pt>
                <c:pt idx="847">
                  <c:v>45219</c:v>
                </c:pt>
                <c:pt idx="848">
                  <c:v>45226</c:v>
                </c:pt>
                <c:pt idx="849">
                  <c:v>45233</c:v>
                </c:pt>
                <c:pt idx="850">
                  <c:v>45243</c:v>
                </c:pt>
                <c:pt idx="851">
                  <c:v>45247</c:v>
                </c:pt>
                <c:pt idx="852">
                  <c:v>45254</c:v>
                </c:pt>
                <c:pt idx="853">
                  <c:v>45261</c:v>
                </c:pt>
                <c:pt idx="854">
                  <c:v>45268</c:v>
                </c:pt>
                <c:pt idx="855">
                  <c:v>45275</c:v>
                </c:pt>
                <c:pt idx="856">
                  <c:v>45282</c:v>
                </c:pt>
                <c:pt idx="857">
                  <c:v>45289</c:v>
                </c:pt>
                <c:pt idx="858">
                  <c:v>45296</c:v>
                </c:pt>
                <c:pt idx="859">
                  <c:v>45303</c:v>
                </c:pt>
                <c:pt idx="860">
                  <c:v>45310</c:v>
                </c:pt>
                <c:pt idx="861">
                  <c:v>45317</c:v>
                </c:pt>
                <c:pt idx="862">
                  <c:v>45324</c:v>
                </c:pt>
                <c:pt idx="863">
                  <c:v>45331</c:v>
                </c:pt>
                <c:pt idx="864">
                  <c:v>45338</c:v>
                </c:pt>
                <c:pt idx="865">
                  <c:v>45345</c:v>
                </c:pt>
                <c:pt idx="866">
                  <c:v>45352</c:v>
                </c:pt>
                <c:pt idx="867">
                  <c:v>45359</c:v>
                </c:pt>
                <c:pt idx="868">
                  <c:v>45366</c:v>
                </c:pt>
                <c:pt idx="869">
                  <c:v>45373</c:v>
                </c:pt>
                <c:pt idx="870">
                  <c:v>45384</c:v>
                </c:pt>
                <c:pt idx="871">
                  <c:v>45387</c:v>
                </c:pt>
                <c:pt idx="872">
                  <c:v>45394</c:v>
                </c:pt>
                <c:pt idx="873">
                  <c:v>45401</c:v>
                </c:pt>
                <c:pt idx="874">
                  <c:v>45408</c:v>
                </c:pt>
                <c:pt idx="875">
                  <c:v>45415</c:v>
                </c:pt>
                <c:pt idx="876">
                  <c:v>45422</c:v>
                </c:pt>
                <c:pt idx="877">
                  <c:v>45429</c:v>
                </c:pt>
                <c:pt idx="878">
                  <c:v>45436</c:v>
                </c:pt>
                <c:pt idx="879">
                  <c:v>45443</c:v>
                </c:pt>
                <c:pt idx="880">
                  <c:v>45450</c:v>
                </c:pt>
                <c:pt idx="881">
                  <c:v>45457</c:v>
                </c:pt>
                <c:pt idx="882">
                  <c:v>45464</c:v>
                </c:pt>
                <c:pt idx="883">
                  <c:v>45471</c:v>
                </c:pt>
                <c:pt idx="884">
                  <c:v>45478</c:v>
                </c:pt>
                <c:pt idx="885">
                  <c:v>45485</c:v>
                </c:pt>
                <c:pt idx="886">
                  <c:v>45492</c:v>
                </c:pt>
                <c:pt idx="887">
                  <c:v>45499</c:v>
                </c:pt>
                <c:pt idx="888">
                  <c:v>45506</c:v>
                </c:pt>
                <c:pt idx="889">
                  <c:v>45513</c:v>
                </c:pt>
                <c:pt idx="890">
                  <c:v>45520</c:v>
                </c:pt>
                <c:pt idx="891">
                  <c:v>45527</c:v>
                </c:pt>
                <c:pt idx="892">
                  <c:v>45534</c:v>
                </c:pt>
                <c:pt idx="893">
                  <c:v>45541</c:v>
                </c:pt>
                <c:pt idx="894">
                  <c:v>45548</c:v>
                </c:pt>
                <c:pt idx="895">
                  <c:v>45555</c:v>
                </c:pt>
                <c:pt idx="896">
                  <c:v>45562</c:v>
                </c:pt>
                <c:pt idx="897">
                  <c:v>45569</c:v>
                </c:pt>
                <c:pt idx="898">
                  <c:v>45576</c:v>
                </c:pt>
                <c:pt idx="899">
                  <c:v>45583</c:v>
                </c:pt>
                <c:pt idx="900">
                  <c:v>45590</c:v>
                </c:pt>
                <c:pt idx="901">
                  <c:v>45597</c:v>
                </c:pt>
                <c:pt idx="902">
                  <c:v>45604</c:v>
                </c:pt>
                <c:pt idx="903">
                  <c:v>45611</c:v>
                </c:pt>
                <c:pt idx="904">
                  <c:v>45618</c:v>
                </c:pt>
                <c:pt idx="905">
                  <c:v>45625</c:v>
                </c:pt>
                <c:pt idx="906">
                  <c:v>45632</c:v>
                </c:pt>
                <c:pt idx="907">
                  <c:v>45639</c:v>
                </c:pt>
                <c:pt idx="908">
                  <c:v>45646</c:v>
                </c:pt>
                <c:pt idx="909">
                  <c:v>45657</c:v>
                </c:pt>
                <c:pt idx="910">
                  <c:v>45664</c:v>
                </c:pt>
                <c:pt idx="911">
                  <c:v>45671</c:v>
                </c:pt>
                <c:pt idx="912">
                  <c:v>45678</c:v>
                </c:pt>
                <c:pt idx="913">
                  <c:v>45685</c:v>
                </c:pt>
                <c:pt idx="914">
                  <c:v>45692</c:v>
                </c:pt>
                <c:pt idx="915">
                  <c:v>45699</c:v>
                </c:pt>
                <c:pt idx="916">
                  <c:v>45706</c:v>
                </c:pt>
                <c:pt idx="917">
                  <c:v>45713</c:v>
                </c:pt>
                <c:pt idx="918">
                  <c:v>45720</c:v>
                </c:pt>
                <c:pt idx="919">
                  <c:v>45727</c:v>
                </c:pt>
                <c:pt idx="920">
                  <c:v>45734</c:v>
                </c:pt>
                <c:pt idx="921">
                  <c:v>45741</c:v>
                </c:pt>
                <c:pt idx="922">
                  <c:v>45748</c:v>
                </c:pt>
                <c:pt idx="923">
                  <c:v>45755</c:v>
                </c:pt>
                <c:pt idx="924">
                  <c:v>45762</c:v>
                </c:pt>
                <c:pt idx="925">
                  <c:v>45771</c:v>
                </c:pt>
                <c:pt idx="926">
                  <c:v>45778</c:v>
                </c:pt>
                <c:pt idx="927">
                  <c:v>45785</c:v>
                </c:pt>
                <c:pt idx="928">
                  <c:v>45792</c:v>
                </c:pt>
                <c:pt idx="929">
                  <c:v>45799</c:v>
                </c:pt>
                <c:pt idx="930">
                  <c:v>45806</c:v>
                </c:pt>
                <c:pt idx="931">
                  <c:v>45813</c:v>
                </c:pt>
                <c:pt idx="932">
                  <c:v>45820</c:v>
                </c:pt>
                <c:pt idx="933">
                  <c:v>45827</c:v>
                </c:pt>
                <c:pt idx="934">
                  <c:v>45834</c:v>
                </c:pt>
                <c:pt idx="935">
                  <c:v>45841</c:v>
                </c:pt>
                <c:pt idx="936">
                  <c:v>45848</c:v>
                </c:pt>
                <c:pt idx="937">
                  <c:v>45855</c:v>
                </c:pt>
                <c:pt idx="938">
                  <c:v>45862</c:v>
                </c:pt>
                <c:pt idx="939">
                  <c:v>45869</c:v>
                </c:pt>
                <c:pt idx="940">
                  <c:v>45876</c:v>
                </c:pt>
                <c:pt idx="941">
                  <c:v>45883</c:v>
                </c:pt>
                <c:pt idx="942">
                  <c:v>45890</c:v>
                </c:pt>
                <c:pt idx="943">
                  <c:v>45897</c:v>
                </c:pt>
                <c:pt idx="944">
                  <c:v>45904</c:v>
                </c:pt>
                <c:pt idx="945">
                  <c:v>45911</c:v>
                </c:pt>
                <c:pt idx="946">
                  <c:v>45918</c:v>
                </c:pt>
                <c:pt idx="947">
                  <c:v>45925</c:v>
                </c:pt>
                <c:pt idx="948">
                  <c:v>45932</c:v>
                </c:pt>
                <c:pt idx="949">
                  <c:v>45939</c:v>
                </c:pt>
                <c:pt idx="950">
                  <c:v>45946</c:v>
                </c:pt>
                <c:pt idx="951">
                  <c:v>45953</c:v>
                </c:pt>
                <c:pt idx="952">
                  <c:v>45960</c:v>
                </c:pt>
                <c:pt idx="953">
                  <c:v>45967</c:v>
                </c:pt>
                <c:pt idx="954">
                  <c:v>45974</c:v>
                </c:pt>
                <c:pt idx="955">
                  <c:v>45981</c:v>
                </c:pt>
                <c:pt idx="956">
                  <c:v>45989</c:v>
                </c:pt>
                <c:pt idx="957">
                  <c:v>45995</c:v>
                </c:pt>
                <c:pt idx="958">
                  <c:v>46002</c:v>
                </c:pt>
                <c:pt idx="959">
                  <c:v>46009</c:v>
                </c:pt>
                <c:pt idx="960">
                  <c:v>46020</c:v>
                </c:pt>
                <c:pt idx="961">
                  <c:v>46024</c:v>
                </c:pt>
                <c:pt idx="962">
                  <c:v>46030</c:v>
                </c:pt>
                <c:pt idx="963">
                  <c:v>46037</c:v>
                </c:pt>
                <c:pt idx="964">
                  <c:v>46044</c:v>
                </c:pt>
                <c:pt idx="965">
                  <c:v>46051</c:v>
                </c:pt>
                <c:pt idx="966">
                  <c:v>46058</c:v>
                </c:pt>
                <c:pt idx="967">
                  <c:v>46065</c:v>
                </c:pt>
                <c:pt idx="968">
                  <c:v>46072</c:v>
                </c:pt>
                <c:pt idx="969">
                  <c:v>46079</c:v>
                </c:pt>
                <c:pt idx="970">
                  <c:v>46086</c:v>
                </c:pt>
                <c:pt idx="971">
                  <c:v>46093</c:v>
                </c:pt>
                <c:pt idx="972">
                  <c:v>46100</c:v>
                </c:pt>
                <c:pt idx="973">
                  <c:v>46107</c:v>
                </c:pt>
                <c:pt idx="974">
                  <c:v>46114</c:v>
                </c:pt>
                <c:pt idx="975">
                  <c:v>46121</c:v>
                </c:pt>
                <c:pt idx="976">
                  <c:v>46128</c:v>
                </c:pt>
                <c:pt idx="977">
                  <c:v>46135</c:v>
                </c:pt>
                <c:pt idx="978">
                  <c:v>46142</c:v>
                </c:pt>
                <c:pt idx="979">
                  <c:v>46149</c:v>
                </c:pt>
                <c:pt idx="980">
                  <c:v>46156</c:v>
                </c:pt>
                <c:pt idx="981">
                  <c:v>46163</c:v>
                </c:pt>
                <c:pt idx="982">
                  <c:v>46170</c:v>
                </c:pt>
                <c:pt idx="983">
                  <c:v>46177</c:v>
                </c:pt>
                <c:pt idx="984">
                  <c:v>46184</c:v>
                </c:pt>
                <c:pt idx="985">
                  <c:v>46191</c:v>
                </c:pt>
                <c:pt idx="986">
                  <c:v>46198</c:v>
                </c:pt>
                <c:pt idx="987">
                  <c:v>46205</c:v>
                </c:pt>
                <c:pt idx="988">
                  <c:v>46212</c:v>
                </c:pt>
                <c:pt idx="989">
                  <c:v>46219</c:v>
                </c:pt>
                <c:pt idx="990">
                  <c:v>46226</c:v>
                </c:pt>
                <c:pt idx="991">
                  <c:v>46233</c:v>
                </c:pt>
                <c:pt idx="992">
                  <c:v>46240</c:v>
                </c:pt>
                <c:pt idx="993">
                  <c:v>46247</c:v>
                </c:pt>
                <c:pt idx="994">
                  <c:v>46254</c:v>
                </c:pt>
                <c:pt idx="995">
                  <c:v>46261</c:v>
                </c:pt>
                <c:pt idx="996">
                  <c:v>46268</c:v>
                </c:pt>
                <c:pt idx="997">
                  <c:v>46275</c:v>
                </c:pt>
                <c:pt idx="998">
                  <c:v>46282</c:v>
                </c:pt>
                <c:pt idx="999">
                  <c:v>46289</c:v>
                </c:pt>
                <c:pt idx="1000">
                  <c:v>46296</c:v>
                </c:pt>
                <c:pt idx="1001">
                  <c:v>46303</c:v>
                </c:pt>
                <c:pt idx="1002">
                  <c:v>46310</c:v>
                </c:pt>
                <c:pt idx="1003">
                  <c:v>46317</c:v>
                </c:pt>
                <c:pt idx="1004">
                  <c:v>46324</c:v>
                </c:pt>
                <c:pt idx="1005">
                  <c:v>46331</c:v>
                </c:pt>
                <c:pt idx="1006">
                  <c:v>46338</c:v>
                </c:pt>
                <c:pt idx="1007">
                  <c:v>46345</c:v>
                </c:pt>
                <c:pt idx="1008">
                  <c:v>46353</c:v>
                </c:pt>
                <c:pt idx="1009">
                  <c:v>46359</c:v>
                </c:pt>
                <c:pt idx="1010">
                  <c:v>46366</c:v>
                </c:pt>
                <c:pt idx="1011">
                  <c:v>46373</c:v>
                </c:pt>
                <c:pt idx="1012">
                  <c:v>46380</c:v>
                </c:pt>
                <c:pt idx="1013">
                  <c:v>46387</c:v>
                </c:pt>
                <c:pt idx="1014">
                  <c:v>46394</c:v>
                </c:pt>
                <c:pt idx="1015">
                  <c:v>46401</c:v>
                </c:pt>
                <c:pt idx="1016">
                  <c:v>46408</c:v>
                </c:pt>
                <c:pt idx="1017">
                  <c:v>46415</c:v>
                </c:pt>
                <c:pt idx="1018">
                  <c:v>46422</c:v>
                </c:pt>
                <c:pt idx="1019">
                  <c:v>46429</c:v>
                </c:pt>
                <c:pt idx="1020">
                  <c:v>46436</c:v>
                </c:pt>
                <c:pt idx="1021">
                  <c:v>46443</c:v>
                </c:pt>
                <c:pt idx="1022">
                  <c:v>46450</c:v>
                </c:pt>
                <c:pt idx="1023">
                  <c:v>46457</c:v>
                </c:pt>
                <c:pt idx="1024">
                  <c:v>46464</c:v>
                </c:pt>
                <c:pt idx="1025">
                  <c:v>46471</c:v>
                </c:pt>
                <c:pt idx="1026">
                  <c:v>46478</c:v>
                </c:pt>
                <c:pt idx="1027">
                  <c:v>46485</c:v>
                </c:pt>
                <c:pt idx="1028">
                  <c:v>46492</c:v>
                </c:pt>
                <c:pt idx="1029">
                  <c:v>46499</c:v>
                </c:pt>
                <c:pt idx="1030">
                  <c:v>46506</c:v>
                </c:pt>
                <c:pt idx="1031">
                  <c:v>46513</c:v>
                </c:pt>
                <c:pt idx="1032">
                  <c:v>46520</c:v>
                </c:pt>
                <c:pt idx="1033">
                  <c:v>46527</c:v>
                </c:pt>
                <c:pt idx="1034">
                  <c:v>46534</c:v>
                </c:pt>
                <c:pt idx="1035">
                  <c:v>46541</c:v>
                </c:pt>
                <c:pt idx="1036">
                  <c:v>46548</c:v>
                </c:pt>
                <c:pt idx="1037">
                  <c:v>46555</c:v>
                </c:pt>
                <c:pt idx="1038">
                  <c:v>46562</c:v>
                </c:pt>
                <c:pt idx="1039">
                  <c:v>46569</c:v>
                </c:pt>
                <c:pt idx="1040">
                  <c:v>46576</c:v>
                </c:pt>
                <c:pt idx="1041">
                  <c:v>46583</c:v>
                </c:pt>
                <c:pt idx="1042">
                  <c:v>46590</c:v>
                </c:pt>
                <c:pt idx="1043">
                  <c:v>46597</c:v>
                </c:pt>
                <c:pt idx="1044">
                  <c:v>46604</c:v>
                </c:pt>
                <c:pt idx="1045">
                  <c:v>46611</c:v>
                </c:pt>
                <c:pt idx="1046">
                  <c:v>46618</c:v>
                </c:pt>
                <c:pt idx="1047">
                  <c:v>46625</c:v>
                </c:pt>
                <c:pt idx="1048">
                  <c:v>46632</c:v>
                </c:pt>
                <c:pt idx="1049">
                  <c:v>46639</c:v>
                </c:pt>
                <c:pt idx="1050">
                  <c:v>46646</c:v>
                </c:pt>
                <c:pt idx="1051">
                  <c:v>46653</c:v>
                </c:pt>
                <c:pt idx="1052">
                  <c:v>46660</c:v>
                </c:pt>
                <c:pt idx="1053">
                  <c:v>46667</c:v>
                </c:pt>
                <c:pt idx="1054">
                  <c:v>46674</c:v>
                </c:pt>
                <c:pt idx="1055">
                  <c:v>46681</c:v>
                </c:pt>
                <c:pt idx="1056">
                  <c:v>46688</c:v>
                </c:pt>
                <c:pt idx="1057">
                  <c:v>46695</c:v>
                </c:pt>
                <c:pt idx="1058">
                  <c:v>46703</c:v>
                </c:pt>
                <c:pt idx="1059">
                  <c:v>46709</c:v>
                </c:pt>
                <c:pt idx="1060">
                  <c:v>46717</c:v>
                </c:pt>
                <c:pt idx="1061">
                  <c:v>46723</c:v>
                </c:pt>
                <c:pt idx="1062">
                  <c:v>46730</c:v>
                </c:pt>
                <c:pt idx="1063">
                  <c:v>46737</c:v>
                </c:pt>
                <c:pt idx="1064">
                  <c:v>46744</c:v>
                </c:pt>
                <c:pt idx="1065">
                  <c:v>46756</c:v>
                </c:pt>
                <c:pt idx="1066">
                  <c:v>46759</c:v>
                </c:pt>
                <c:pt idx="1067">
                  <c:v>46766</c:v>
                </c:pt>
                <c:pt idx="1068">
                  <c:v>46773</c:v>
                </c:pt>
                <c:pt idx="1069">
                  <c:v>46780</c:v>
                </c:pt>
                <c:pt idx="1070">
                  <c:v>46787</c:v>
                </c:pt>
                <c:pt idx="1071">
                  <c:v>46794</c:v>
                </c:pt>
                <c:pt idx="1072">
                  <c:v>46801</c:v>
                </c:pt>
                <c:pt idx="1073">
                  <c:v>46808</c:v>
                </c:pt>
                <c:pt idx="1074">
                  <c:v>46815</c:v>
                </c:pt>
                <c:pt idx="1075">
                  <c:v>46822</c:v>
                </c:pt>
                <c:pt idx="1076">
                  <c:v>46829</c:v>
                </c:pt>
                <c:pt idx="1077">
                  <c:v>46836</c:v>
                </c:pt>
                <c:pt idx="1078">
                  <c:v>46843</c:v>
                </c:pt>
                <c:pt idx="1079">
                  <c:v>46850</c:v>
                </c:pt>
                <c:pt idx="1080">
                  <c:v>46861</c:v>
                </c:pt>
                <c:pt idx="1081">
                  <c:v>46864</c:v>
                </c:pt>
                <c:pt idx="1082">
                  <c:v>46871</c:v>
                </c:pt>
                <c:pt idx="1083">
                  <c:v>46878</c:v>
                </c:pt>
                <c:pt idx="1084">
                  <c:v>46885</c:v>
                </c:pt>
                <c:pt idx="1085">
                  <c:v>46892</c:v>
                </c:pt>
                <c:pt idx="1086">
                  <c:v>46899</c:v>
                </c:pt>
                <c:pt idx="1087">
                  <c:v>46906</c:v>
                </c:pt>
                <c:pt idx="1088">
                  <c:v>46913</c:v>
                </c:pt>
                <c:pt idx="1089">
                  <c:v>46920</c:v>
                </c:pt>
                <c:pt idx="1090">
                  <c:v>46927</c:v>
                </c:pt>
                <c:pt idx="1091">
                  <c:v>46934</c:v>
                </c:pt>
                <c:pt idx="1092">
                  <c:v>46941</c:v>
                </c:pt>
                <c:pt idx="1093">
                  <c:v>46948</c:v>
                </c:pt>
                <c:pt idx="1094">
                  <c:v>46955</c:v>
                </c:pt>
                <c:pt idx="1095">
                  <c:v>46962</c:v>
                </c:pt>
                <c:pt idx="1096">
                  <c:v>46969</c:v>
                </c:pt>
                <c:pt idx="1097">
                  <c:v>46976</c:v>
                </c:pt>
                <c:pt idx="1098">
                  <c:v>46983</c:v>
                </c:pt>
                <c:pt idx="1099">
                  <c:v>46990</c:v>
                </c:pt>
                <c:pt idx="1100">
                  <c:v>46997</c:v>
                </c:pt>
                <c:pt idx="1101">
                  <c:v>47004</c:v>
                </c:pt>
                <c:pt idx="1102">
                  <c:v>47011</c:v>
                </c:pt>
                <c:pt idx="1103">
                  <c:v>47018</c:v>
                </c:pt>
                <c:pt idx="1104">
                  <c:v>47025</c:v>
                </c:pt>
                <c:pt idx="1105">
                  <c:v>47032</c:v>
                </c:pt>
                <c:pt idx="1106">
                  <c:v>47039</c:v>
                </c:pt>
                <c:pt idx="1107">
                  <c:v>47046</c:v>
                </c:pt>
                <c:pt idx="1108">
                  <c:v>47053</c:v>
                </c:pt>
                <c:pt idx="1109">
                  <c:v>47060</c:v>
                </c:pt>
                <c:pt idx="1110">
                  <c:v>47070</c:v>
                </c:pt>
                <c:pt idx="1111">
                  <c:v>47074</c:v>
                </c:pt>
                <c:pt idx="1112">
                  <c:v>47081</c:v>
                </c:pt>
                <c:pt idx="1113">
                  <c:v>47088</c:v>
                </c:pt>
                <c:pt idx="1114">
                  <c:v>47095</c:v>
                </c:pt>
                <c:pt idx="1115">
                  <c:v>47102</c:v>
                </c:pt>
                <c:pt idx="1116">
                  <c:v>47109</c:v>
                </c:pt>
                <c:pt idx="1117">
                  <c:v>47116</c:v>
                </c:pt>
                <c:pt idx="1118">
                  <c:v>47123</c:v>
                </c:pt>
                <c:pt idx="1119">
                  <c:v>47130</c:v>
                </c:pt>
                <c:pt idx="1120">
                  <c:v>47137</c:v>
                </c:pt>
                <c:pt idx="1121">
                  <c:v>47144</c:v>
                </c:pt>
                <c:pt idx="1122">
                  <c:v>47151</c:v>
                </c:pt>
                <c:pt idx="1123">
                  <c:v>47158</c:v>
                </c:pt>
                <c:pt idx="1124">
                  <c:v>47165</c:v>
                </c:pt>
                <c:pt idx="1125">
                  <c:v>47172</c:v>
                </c:pt>
                <c:pt idx="1126">
                  <c:v>47179</c:v>
                </c:pt>
                <c:pt idx="1127">
                  <c:v>47186</c:v>
                </c:pt>
                <c:pt idx="1128">
                  <c:v>47193</c:v>
                </c:pt>
                <c:pt idx="1129">
                  <c:v>47200</c:v>
                </c:pt>
                <c:pt idx="1130">
                  <c:v>47211</c:v>
                </c:pt>
                <c:pt idx="1131">
                  <c:v>47214</c:v>
                </c:pt>
                <c:pt idx="1132">
                  <c:v>47221</c:v>
                </c:pt>
                <c:pt idx="1133">
                  <c:v>47228</c:v>
                </c:pt>
                <c:pt idx="1134">
                  <c:v>47235</c:v>
                </c:pt>
                <c:pt idx="1135">
                  <c:v>47242</c:v>
                </c:pt>
                <c:pt idx="1136">
                  <c:v>47249</c:v>
                </c:pt>
                <c:pt idx="1137">
                  <c:v>47256</c:v>
                </c:pt>
                <c:pt idx="1138">
                  <c:v>47263</c:v>
                </c:pt>
                <c:pt idx="1139">
                  <c:v>47270</c:v>
                </c:pt>
                <c:pt idx="1140">
                  <c:v>47277</c:v>
                </c:pt>
                <c:pt idx="1141">
                  <c:v>47284</c:v>
                </c:pt>
                <c:pt idx="1142">
                  <c:v>47291</c:v>
                </c:pt>
                <c:pt idx="1143">
                  <c:v>47298</c:v>
                </c:pt>
                <c:pt idx="1144">
                  <c:v>47305</c:v>
                </c:pt>
                <c:pt idx="1145">
                  <c:v>47312</c:v>
                </c:pt>
                <c:pt idx="1146">
                  <c:v>47319</c:v>
                </c:pt>
                <c:pt idx="1147">
                  <c:v>47326</c:v>
                </c:pt>
                <c:pt idx="1148">
                  <c:v>47333</c:v>
                </c:pt>
                <c:pt idx="1149">
                  <c:v>47340</c:v>
                </c:pt>
                <c:pt idx="1150">
                  <c:v>47347</c:v>
                </c:pt>
                <c:pt idx="1151">
                  <c:v>47354</c:v>
                </c:pt>
                <c:pt idx="1152">
                  <c:v>47361</c:v>
                </c:pt>
                <c:pt idx="1153">
                  <c:v>47368</c:v>
                </c:pt>
                <c:pt idx="1154">
                  <c:v>47375</c:v>
                </c:pt>
                <c:pt idx="1155">
                  <c:v>47382</c:v>
                </c:pt>
                <c:pt idx="1156">
                  <c:v>47389</c:v>
                </c:pt>
                <c:pt idx="1157">
                  <c:v>47396</c:v>
                </c:pt>
                <c:pt idx="1158">
                  <c:v>47403</c:v>
                </c:pt>
                <c:pt idx="1159">
                  <c:v>47410</c:v>
                </c:pt>
                <c:pt idx="1160">
                  <c:v>47417</c:v>
                </c:pt>
                <c:pt idx="1161">
                  <c:v>47424</c:v>
                </c:pt>
                <c:pt idx="1162">
                  <c:v>47431</c:v>
                </c:pt>
                <c:pt idx="1163">
                  <c:v>47438</c:v>
                </c:pt>
                <c:pt idx="1164">
                  <c:v>47445</c:v>
                </c:pt>
                <c:pt idx="1165">
                  <c:v>47452</c:v>
                </c:pt>
                <c:pt idx="1166">
                  <c:v>47459</c:v>
                </c:pt>
                <c:pt idx="1167">
                  <c:v>47466</c:v>
                </c:pt>
                <c:pt idx="1168">
                  <c:v>47473</c:v>
                </c:pt>
                <c:pt idx="1169">
                  <c:v>47483</c:v>
                </c:pt>
                <c:pt idx="1170">
                  <c:v>47490</c:v>
                </c:pt>
                <c:pt idx="1171">
                  <c:v>47497</c:v>
                </c:pt>
                <c:pt idx="1172">
                  <c:v>47505</c:v>
                </c:pt>
                <c:pt idx="1173">
                  <c:v>47511</c:v>
                </c:pt>
                <c:pt idx="1174">
                  <c:v>47518</c:v>
                </c:pt>
                <c:pt idx="1175">
                  <c:v>47525</c:v>
                </c:pt>
                <c:pt idx="1176">
                  <c:v>47533</c:v>
                </c:pt>
                <c:pt idx="1177">
                  <c:v>47539</c:v>
                </c:pt>
                <c:pt idx="1178">
                  <c:v>47546</c:v>
                </c:pt>
                <c:pt idx="1179">
                  <c:v>47553</c:v>
                </c:pt>
                <c:pt idx="1180">
                  <c:v>47560</c:v>
                </c:pt>
                <c:pt idx="1181">
                  <c:v>47567</c:v>
                </c:pt>
                <c:pt idx="1182">
                  <c:v>47574</c:v>
                </c:pt>
                <c:pt idx="1183">
                  <c:v>47581</c:v>
                </c:pt>
                <c:pt idx="1184">
                  <c:v>47588</c:v>
                </c:pt>
                <c:pt idx="1185">
                  <c:v>47597</c:v>
                </c:pt>
                <c:pt idx="1186">
                  <c:v>47602</c:v>
                </c:pt>
                <c:pt idx="1187">
                  <c:v>47610</c:v>
                </c:pt>
                <c:pt idx="1188">
                  <c:v>47616</c:v>
                </c:pt>
                <c:pt idx="1189">
                  <c:v>47623</c:v>
                </c:pt>
                <c:pt idx="1190">
                  <c:v>47631</c:v>
                </c:pt>
                <c:pt idx="1191">
                  <c:v>47637</c:v>
                </c:pt>
                <c:pt idx="1192">
                  <c:v>47644</c:v>
                </c:pt>
                <c:pt idx="1193">
                  <c:v>47651</c:v>
                </c:pt>
                <c:pt idx="1194">
                  <c:v>47658</c:v>
                </c:pt>
                <c:pt idx="1195">
                  <c:v>47665</c:v>
                </c:pt>
                <c:pt idx="1196">
                  <c:v>47672</c:v>
                </c:pt>
                <c:pt idx="1197">
                  <c:v>47679</c:v>
                </c:pt>
                <c:pt idx="1198">
                  <c:v>47686</c:v>
                </c:pt>
                <c:pt idx="1199">
                  <c:v>47693</c:v>
                </c:pt>
                <c:pt idx="1200">
                  <c:v>47700</c:v>
                </c:pt>
                <c:pt idx="1201">
                  <c:v>47707</c:v>
                </c:pt>
                <c:pt idx="1202">
                  <c:v>47714</c:v>
                </c:pt>
                <c:pt idx="1203">
                  <c:v>47722</c:v>
                </c:pt>
                <c:pt idx="1204">
                  <c:v>47729</c:v>
                </c:pt>
                <c:pt idx="1205">
                  <c:v>47735</c:v>
                </c:pt>
                <c:pt idx="1206">
                  <c:v>47742</c:v>
                </c:pt>
                <c:pt idx="1207">
                  <c:v>47749</c:v>
                </c:pt>
                <c:pt idx="1208">
                  <c:v>47756</c:v>
                </c:pt>
                <c:pt idx="1209">
                  <c:v>47763</c:v>
                </c:pt>
                <c:pt idx="1210">
                  <c:v>47771</c:v>
                </c:pt>
                <c:pt idx="1211">
                  <c:v>47777</c:v>
                </c:pt>
                <c:pt idx="1212">
                  <c:v>47784</c:v>
                </c:pt>
                <c:pt idx="1213">
                  <c:v>47791</c:v>
                </c:pt>
                <c:pt idx="1214">
                  <c:v>47799</c:v>
                </c:pt>
                <c:pt idx="1215">
                  <c:v>47805</c:v>
                </c:pt>
                <c:pt idx="1216">
                  <c:v>47812</c:v>
                </c:pt>
                <c:pt idx="1217">
                  <c:v>47819</c:v>
                </c:pt>
                <c:pt idx="1218">
                  <c:v>47826</c:v>
                </c:pt>
                <c:pt idx="1219">
                  <c:v>47833</c:v>
                </c:pt>
                <c:pt idx="1220">
                  <c:v>47840</c:v>
                </c:pt>
                <c:pt idx="1221">
                  <c:v>47848</c:v>
                </c:pt>
                <c:pt idx="1222">
                  <c:v>47855</c:v>
                </c:pt>
                <c:pt idx="1223">
                  <c:v>47862</c:v>
                </c:pt>
                <c:pt idx="1224">
                  <c:v>47869</c:v>
                </c:pt>
                <c:pt idx="1225">
                  <c:v>47876</c:v>
                </c:pt>
                <c:pt idx="1226">
                  <c:v>47883</c:v>
                </c:pt>
                <c:pt idx="1227">
                  <c:v>47890</c:v>
                </c:pt>
                <c:pt idx="1228">
                  <c:v>47897</c:v>
                </c:pt>
                <c:pt idx="1229">
                  <c:v>47904</c:v>
                </c:pt>
                <c:pt idx="1230">
                  <c:v>47911</c:v>
                </c:pt>
                <c:pt idx="1231">
                  <c:v>47918</c:v>
                </c:pt>
                <c:pt idx="1232">
                  <c:v>47925</c:v>
                </c:pt>
                <c:pt idx="1233">
                  <c:v>47932</c:v>
                </c:pt>
                <c:pt idx="1234">
                  <c:v>47939</c:v>
                </c:pt>
                <c:pt idx="1235">
                  <c:v>47946</c:v>
                </c:pt>
                <c:pt idx="1236">
                  <c:v>47955</c:v>
                </c:pt>
                <c:pt idx="1237">
                  <c:v>47962</c:v>
                </c:pt>
                <c:pt idx="1238">
                  <c:v>47969</c:v>
                </c:pt>
                <c:pt idx="1239">
                  <c:v>47976</c:v>
                </c:pt>
                <c:pt idx="1240">
                  <c:v>47983</c:v>
                </c:pt>
                <c:pt idx="1241">
                  <c:v>47990</c:v>
                </c:pt>
                <c:pt idx="1242">
                  <c:v>47997</c:v>
                </c:pt>
                <c:pt idx="1243">
                  <c:v>48004</c:v>
                </c:pt>
                <c:pt idx="1244">
                  <c:v>48011</c:v>
                </c:pt>
                <c:pt idx="1245">
                  <c:v>48018</c:v>
                </c:pt>
                <c:pt idx="1246">
                  <c:v>48025</c:v>
                </c:pt>
                <c:pt idx="1247">
                  <c:v>48032</c:v>
                </c:pt>
                <c:pt idx="1248">
                  <c:v>48039</c:v>
                </c:pt>
                <c:pt idx="1249">
                  <c:v>48046</c:v>
                </c:pt>
                <c:pt idx="1250">
                  <c:v>48053</c:v>
                </c:pt>
                <c:pt idx="1251">
                  <c:v>48060</c:v>
                </c:pt>
                <c:pt idx="1252">
                  <c:v>48067</c:v>
                </c:pt>
                <c:pt idx="1253">
                  <c:v>48074</c:v>
                </c:pt>
                <c:pt idx="1254">
                  <c:v>48081</c:v>
                </c:pt>
                <c:pt idx="1255">
                  <c:v>48088</c:v>
                </c:pt>
                <c:pt idx="1256">
                  <c:v>48095</c:v>
                </c:pt>
                <c:pt idx="1257">
                  <c:v>48102</c:v>
                </c:pt>
                <c:pt idx="1258">
                  <c:v>48109</c:v>
                </c:pt>
                <c:pt idx="1259">
                  <c:v>48116</c:v>
                </c:pt>
                <c:pt idx="1260">
                  <c:v>48123</c:v>
                </c:pt>
                <c:pt idx="1261">
                  <c:v>48130</c:v>
                </c:pt>
                <c:pt idx="1262">
                  <c:v>48137</c:v>
                </c:pt>
                <c:pt idx="1263">
                  <c:v>48144</c:v>
                </c:pt>
                <c:pt idx="1264">
                  <c:v>48151</c:v>
                </c:pt>
                <c:pt idx="1265">
                  <c:v>48158</c:v>
                </c:pt>
                <c:pt idx="1266">
                  <c:v>48165</c:v>
                </c:pt>
                <c:pt idx="1267">
                  <c:v>48172</c:v>
                </c:pt>
                <c:pt idx="1268">
                  <c:v>48180</c:v>
                </c:pt>
                <c:pt idx="1269">
                  <c:v>48186</c:v>
                </c:pt>
                <c:pt idx="1270">
                  <c:v>48193</c:v>
                </c:pt>
                <c:pt idx="1271">
                  <c:v>48200</c:v>
                </c:pt>
                <c:pt idx="1272">
                  <c:v>48211</c:v>
                </c:pt>
                <c:pt idx="1273">
                  <c:v>48215</c:v>
                </c:pt>
                <c:pt idx="1274">
                  <c:v>48221</c:v>
                </c:pt>
                <c:pt idx="1275">
                  <c:v>48228</c:v>
                </c:pt>
                <c:pt idx="1276">
                  <c:v>48235</c:v>
                </c:pt>
                <c:pt idx="1277">
                  <c:v>48242</c:v>
                </c:pt>
                <c:pt idx="1278">
                  <c:v>48249</c:v>
                </c:pt>
                <c:pt idx="1279">
                  <c:v>48256</c:v>
                </c:pt>
                <c:pt idx="1280">
                  <c:v>48263</c:v>
                </c:pt>
                <c:pt idx="1281">
                  <c:v>48270</c:v>
                </c:pt>
                <c:pt idx="1282">
                  <c:v>48277</c:v>
                </c:pt>
                <c:pt idx="1283">
                  <c:v>48284</c:v>
                </c:pt>
                <c:pt idx="1284">
                  <c:v>48291</c:v>
                </c:pt>
                <c:pt idx="1285">
                  <c:v>48298</c:v>
                </c:pt>
                <c:pt idx="1286">
                  <c:v>48305</c:v>
                </c:pt>
                <c:pt idx="1287">
                  <c:v>48312</c:v>
                </c:pt>
                <c:pt idx="1288">
                  <c:v>48319</c:v>
                </c:pt>
                <c:pt idx="1289">
                  <c:v>48326</c:v>
                </c:pt>
                <c:pt idx="1290">
                  <c:v>48333</c:v>
                </c:pt>
                <c:pt idx="1291">
                  <c:v>48340</c:v>
                </c:pt>
                <c:pt idx="1292">
                  <c:v>48347</c:v>
                </c:pt>
                <c:pt idx="1293">
                  <c:v>48354</c:v>
                </c:pt>
                <c:pt idx="1294">
                  <c:v>48361</c:v>
                </c:pt>
                <c:pt idx="1295">
                  <c:v>48368</c:v>
                </c:pt>
                <c:pt idx="1296">
                  <c:v>48375</c:v>
                </c:pt>
                <c:pt idx="1297">
                  <c:v>48382</c:v>
                </c:pt>
                <c:pt idx="1298">
                  <c:v>48389</c:v>
                </c:pt>
                <c:pt idx="1299">
                  <c:v>48396</c:v>
                </c:pt>
                <c:pt idx="1300">
                  <c:v>48403</c:v>
                </c:pt>
                <c:pt idx="1301">
                  <c:v>48410</c:v>
                </c:pt>
                <c:pt idx="1302">
                  <c:v>48417</c:v>
                </c:pt>
                <c:pt idx="1303">
                  <c:v>48424</c:v>
                </c:pt>
                <c:pt idx="1304">
                  <c:v>48431</c:v>
                </c:pt>
                <c:pt idx="1305">
                  <c:v>48438</c:v>
                </c:pt>
                <c:pt idx="1306">
                  <c:v>48445</c:v>
                </c:pt>
                <c:pt idx="1307">
                  <c:v>48452</c:v>
                </c:pt>
                <c:pt idx="1308">
                  <c:v>48459</c:v>
                </c:pt>
                <c:pt idx="1309">
                  <c:v>48466</c:v>
                </c:pt>
                <c:pt idx="1310">
                  <c:v>48473</c:v>
                </c:pt>
                <c:pt idx="1311">
                  <c:v>48480</c:v>
                </c:pt>
                <c:pt idx="1312">
                  <c:v>48487</c:v>
                </c:pt>
                <c:pt idx="1313">
                  <c:v>48494</c:v>
                </c:pt>
                <c:pt idx="1314">
                  <c:v>48501</c:v>
                </c:pt>
                <c:pt idx="1315">
                  <c:v>48508</c:v>
                </c:pt>
                <c:pt idx="1316">
                  <c:v>48515</c:v>
                </c:pt>
                <c:pt idx="1317">
                  <c:v>48522</c:v>
                </c:pt>
                <c:pt idx="1318">
                  <c:v>48530</c:v>
                </c:pt>
                <c:pt idx="1319">
                  <c:v>48536</c:v>
                </c:pt>
                <c:pt idx="1320">
                  <c:v>48544</c:v>
                </c:pt>
                <c:pt idx="1321">
                  <c:v>48550</c:v>
                </c:pt>
                <c:pt idx="1322">
                  <c:v>48557</c:v>
                </c:pt>
                <c:pt idx="1323">
                  <c:v>48564</c:v>
                </c:pt>
                <c:pt idx="1324">
                  <c:v>48571</c:v>
                </c:pt>
                <c:pt idx="1325">
                  <c:v>48583</c:v>
                </c:pt>
                <c:pt idx="1326">
                  <c:v>48586</c:v>
                </c:pt>
                <c:pt idx="1327">
                  <c:v>48593</c:v>
                </c:pt>
                <c:pt idx="1328">
                  <c:v>48600</c:v>
                </c:pt>
                <c:pt idx="1329">
                  <c:v>48607</c:v>
                </c:pt>
                <c:pt idx="1330">
                  <c:v>48614</c:v>
                </c:pt>
                <c:pt idx="1331">
                  <c:v>48621</c:v>
                </c:pt>
                <c:pt idx="1332">
                  <c:v>48628</c:v>
                </c:pt>
                <c:pt idx="1333">
                  <c:v>48635</c:v>
                </c:pt>
                <c:pt idx="1334">
                  <c:v>48642</c:v>
                </c:pt>
                <c:pt idx="1335">
                  <c:v>48649</c:v>
                </c:pt>
                <c:pt idx="1336">
                  <c:v>48656</c:v>
                </c:pt>
                <c:pt idx="1337">
                  <c:v>48663</c:v>
                </c:pt>
                <c:pt idx="1338">
                  <c:v>48670</c:v>
                </c:pt>
                <c:pt idx="1339">
                  <c:v>48677</c:v>
                </c:pt>
                <c:pt idx="1340">
                  <c:v>48688</c:v>
                </c:pt>
                <c:pt idx="1341">
                  <c:v>48691</c:v>
                </c:pt>
                <c:pt idx="1342">
                  <c:v>48698</c:v>
                </c:pt>
                <c:pt idx="1343">
                  <c:v>48705</c:v>
                </c:pt>
                <c:pt idx="1344">
                  <c:v>48712</c:v>
                </c:pt>
                <c:pt idx="1345">
                  <c:v>48719</c:v>
                </c:pt>
                <c:pt idx="1346">
                  <c:v>48726</c:v>
                </c:pt>
                <c:pt idx="1347">
                  <c:v>48733</c:v>
                </c:pt>
                <c:pt idx="1348">
                  <c:v>48740</c:v>
                </c:pt>
                <c:pt idx="1349">
                  <c:v>48747</c:v>
                </c:pt>
                <c:pt idx="1350">
                  <c:v>48754</c:v>
                </c:pt>
                <c:pt idx="1351">
                  <c:v>48761</c:v>
                </c:pt>
                <c:pt idx="1352">
                  <c:v>48768</c:v>
                </c:pt>
                <c:pt idx="1353">
                  <c:v>48775</c:v>
                </c:pt>
                <c:pt idx="1354">
                  <c:v>48782</c:v>
                </c:pt>
                <c:pt idx="1355">
                  <c:v>48789</c:v>
                </c:pt>
                <c:pt idx="1356">
                  <c:v>48796</c:v>
                </c:pt>
                <c:pt idx="1357">
                  <c:v>48803</c:v>
                </c:pt>
                <c:pt idx="1358">
                  <c:v>48810</c:v>
                </c:pt>
                <c:pt idx="1359">
                  <c:v>48817</c:v>
                </c:pt>
                <c:pt idx="1360">
                  <c:v>48824</c:v>
                </c:pt>
                <c:pt idx="1361">
                  <c:v>48831</c:v>
                </c:pt>
                <c:pt idx="1362">
                  <c:v>48838</c:v>
                </c:pt>
                <c:pt idx="1363">
                  <c:v>48845</c:v>
                </c:pt>
                <c:pt idx="1364">
                  <c:v>48852</c:v>
                </c:pt>
                <c:pt idx="1365">
                  <c:v>48859</c:v>
                </c:pt>
                <c:pt idx="1366">
                  <c:v>48866</c:v>
                </c:pt>
                <c:pt idx="1367">
                  <c:v>48873</c:v>
                </c:pt>
                <c:pt idx="1368">
                  <c:v>48880</c:v>
                </c:pt>
                <c:pt idx="1369">
                  <c:v>48887</c:v>
                </c:pt>
                <c:pt idx="1370">
                  <c:v>48897</c:v>
                </c:pt>
                <c:pt idx="1371">
                  <c:v>48901</c:v>
                </c:pt>
                <c:pt idx="1372">
                  <c:v>48908</c:v>
                </c:pt>
                <c:pt idx="1373">
                  <c:v>48915</c:v>
                </c:pt>
                <c:pt idx="1374">
                  <c:v>48922</c:v>
                </c:pt>
                <c:pt idx="1375">
                  <c:v>48929</c:v>
                </c:pt>
                <c:pt idx="1376">
                  <c:v>48936</c:v>
                </c:pt>
                <c:pt idx="1377">
                  <c:v>48943</c:v>
                </c:pt>
                <c:pt idx="1378">
                  <c:v>48950</c:v>
                </c:pt>
                <c:pt idx="1379">
                  <c:v>48957</c:v>
                </c:pt>
                <c:pt idx="1380">
                  <c:v>48964</c:v>
                </c:pt>
                <c:pt idx="1381">
                  <c:v>48971</c:v>
                </c:pt>
                <c:pt idx="1382">
                  <c:v>48978</c:v>
                </c:pt>
                <c:pt idx="1383">
                  <c:v>48985</c:v>
                </c:pt>
                <c:pt idx="1384">
                  <c:v>48992</c:v>
                </c:pt>
                <c:pt idx="1385">
                  <c:v>48999</c:v>
                </c:pt>
                <c:pt idx="1386">
                  <c:v>49006</c:v>
                </c:pt>
                <c:pt idx="1387">
                  <c:v>49013</c:v>
                </c:pt>
                <c:pt idx="1388">
                  <c:v>49020</c:v>
                </c:pt>
                <c:pt idx="1389">
                  <c:v>49027</c:v>
                </c:pt>
                <c:pt idx="1390">
                  <c:v>49034</c:v>
                </c:pt>
                <c:pt idx="1391">
                  <c:v>49045</c:v>
                </c:pt>
                <c:pt idx="1392">
                  <c:v>49048</c:v>
                </c:pt>
                <c:pt idx="1393">
                  <c:v>49055</c:v>
                </c:pt>
                <c:pt idx="1394">
                  <c:v>49062</c:v>
                </c:pt>
                <c:pt idx="1395">
                  <c:v>49069</c:v>
                </c:pt>
                <c:pt idx="1396">
                  <c:v>49076</c:v>
                </c:pt>
                <c:pt idx="1397">
                  <c:v>49083</c:v>
                </c:pt>
                <c:pt idx="1398">
                  <c:v>49090</c:v>
                </c:pt>
                <c:pt idx="1399">
                  <c:v>49097</c:v>
                </c:pt>
                <c:pt idx="1400">
                  <c:v>49104</c:v>
                </c:pt>
                <c:pt idx="1401">
                  <c:v>49111</c:v>
                </c:pt>
                <c:pt idx="1402">
                  <c:v>49118</c:v>
                </c:pt>
                <c:pt idx="1403">
                  <c:v>49125</c:v>
                </c:pt>
                <c:pt idx="1404">
                  <c:v>49132</c:v>
                </c:pt>
                <c:pt idx="1405">
                  <c:v>49139</c:v>
                </c:pt>
                <c:pt idx="1406">
                  <c:v>49146</c:v>
                </c:pt>
                <c:pt idx="1407">
                  <c:v>49153</c:v>
                </c:pt>
                <c:pt idx="1408">
                  <c:v>49160</c:v>
                </c:pt>
                <c:pt idx="1409">
                  <c:v>49167</c:v>
                </c:pt>
                <c:pt idx="1410">
                  <c:v>49174</c:v>
                </c:pt>
                <c:pt idx="1411">
                  <c:v>49181</c:v>
                </c:pt>
                <c:pt idx="1412">
                  <c:v>49188</c:v>
                </c:pt>
                <c:pt idx="1413">
                  <c:v>49195</c:v>
                </c:pt>
                <c:pt idx="1414">
                  <c:v>49202</c:v>
                </c:pt>
                <c:pt idx="1415">
                  <c:v>49209</c:v>
                </c:pt>
                <c:pt idx="1416">
                  <c:v>49216</c:v>
                </c:pt>
                <c:pt idx="1417">
                  <c:v>49223</c:v>
                </c:pt>
                <c:pt idx="1418">
                  <c:v>49230</c:v>
                </c:pt>
                <c:pt idx="1419">
                  <c:v>49237</c:v>
                </c:pt>
                <c:pt idx="1420">
                  <c:v>49244</c:v>
                </c:pt>
                <c:pt idx="1421">
                  <c:v>49251</c:v>
                </c:pt>
                <c:pt idx="1422">
                  <c:v>49261</c:v>
                </c:pt>
                <c:pt idx="1423">
                  <c:v>49265</c:v>
                </c:pt>
                <c:pt idx="1424">
                  <c:v>49272</c:v>
                </c:pt>
                <c:pt idx="1425">
                  <c:v>49279</c:v>
                </c:pt>
                <c:pt idx="1426">
                  <c:v>49286</c:v>
                </c:pt>
                <c:pt idx="1427">
                  <c:v>49293</c:v>
                </c:pt>
                <c:pt idx="1428">
                  <c:v>49300</c:v>
                </c:pt>
                <c:pt idx="1429">
                  <c:v>49307</c:v>
                </c:pt>
                <c:pt idx="1430">
                  <c:v>49314</c:v>
                </c:pt>
                <c:pt idx="1431">
                  <c:v>49321</c:v>
                </c:pt>
                <c:pt idx="1432">
                  <c:v>49328</c:v>
                </c:pt>
                <c:pt idx="1433">
                  <c:v>49335</c:v>
                </c:pt>
                <c:pt idx="1434">
                  <c:v>49342</c:v>
                </c:pt>
                <c:pt idx="1435">
                  <c:v>49349</c:v>
                </c:pt>
                <c:pt idx="1436">
                  <c:v>49356</c:v>
                </c:pt>
                <c:pt idx="1437">
                  <c:v>49363</c:v>
                </c:pt>
                <c:pt idx="1438">
                  <c:v>49370</c:v>
                </c:pt>
                <c:pt idx="1439">
                  <c:v>49377</c:v>
                </c:pt>
                <c:pt idx="1440">
                  <c:v>49384</c:v>
                </c:pt>
                <c:pt idx="1441">
                  <c:v>49395</c:v>
                </c:pt>
                <c:pt idx="1442">
                  <c:v>49398</c:v>
                </c:pt>
                <c:pt idx="1443">
                  <c:v>49405</c:v>
                </c:pt>
                <c:pt idx="1444">
                  <c:v>49412</c:v>
                </c:pt>
                <c:pt idx="1445">
                  <c:v>49419</c:v>
                </c:pt>
                <c:pt idx="1446">
                  <c:v>49426</c:v>
                </c:pt>
                <c:pt idx="1447">
                  <c:v>49433</c:v>
                </c:pt>
                <c:pt idx="1448">
                  <c:v>49440</c:v>
                </c:pt>
                <c:pt idx="1449">
                  <c:v>49447</c:v>
                </c:pt>
                <c:pt idx="1450">
                  <c:v>49454</c:v>
                </c:pt>
                <c:pt idx="1451">
                  <c:v>49461</c:v>
                </c:pt>
                <c:pt idx="1452">
                  <c:v>49468</c:v>
                </c:pt>
                <c:pt idx="1453">
                  <c:v>49475</c:v>
                </c:pt>
                <c:pt idx="1454">
                  <c:v>49482</c:v>
                </c:pt>
                <c:pt idx="1455">
                  <c:v>49489</c:v>
                </c:pt>
                <c:pt idx="1456">
                  <c:v>49496</c:v>
                </c:pt>
                <c:pt idx="1457">
                  <c:v>49503</c:v>
                </c:pt>
                <c:pt idx="1458">
                  <c:v>49510</c:v>
                </c:pt>
                <c:pt idx="1459">
                  <c:v>49517</c:v>
                </c:pt>
                <c:pt idx="1460">
                  <c:v>49524</c:v>
                </c:pt>
                <c:pt idx="1461">
                  <c:v>49531</c:v>
                </c:pt>
                <c:pt idx="1462">
                  <c:v>49538</c:v>
                </c:pt>
                <c:pt idx="1463">
                  <c:v>49545</c:v>
                </c:pt>
                <c:pt idx="1464">
                  <c:v>49552</c:v>
                </c:pt>
                <c:pt idx="1465">
                  <c:v>49559</c:v>
                </c:pt>
                <c:pt idx="1466">
                  <c:v>49566</c:v>
                </c:pt>
                <c:pt idx="1467">
                  <c:v>49573</c:v>
                </c:pt>
                <c:pt idx="1468">
                  <c:v>49580</c:v>
                </c:pt>
                <c:pt idx="1469">
                  <c:v>49587</c:v>
                </c:pt>
                <c:pt idx="1470">
                  <c:v>49594</c:v>
                </c:pt>
                <c:pt idx="1471">
                  <c:v>49601</c:v>
                </c:pt>
                <c:pt idx="1472">
                  <c:v>49608</c:v>
                </c:pt>
                <c:pt idx="1473">
                  <c:v>49615</c:v>
                </c:pt>
                <c:pt idx="1474">
                  <c:v>49622</c:v>
                </c:pt>
                <c:pt idx="1475">
                  <c:v>49629</c:v>
                </c:pt>
                <c:pt idx="1476">
                  <c:v>49636</c:v>
                </c:pt>
                <c:pt idx="1477">
                  <c:v>49643</c:v>
                </c:pt>
                <c:pt idx="1478">
                  <c:v>49650</c:v>
                </c:pt>
                <c:pt idx="1479">
                  <c:v>49657</c:v>
                </c:pt>
                <c:pt idx="1480">
                  <c:v>49664</c:v>
                </c:pt>
                <c:pt idx="1481">
                  <c:v>49674</c:v>
                </c:pt>
                <c:pt idx="1482">
                  <c:v>49681</c:v>
                </c:pt>
                <c:pt idx="1483">
                  <c:v>49688</c:v>
                </c:pt>
                <c:pt idx="1484">
                  <c:v>49696</c:v>
                </c:pt>
                <c:pt idx="1485">
                  <c:v>49702</c:v>
                </c:pt>
                <c:pt idx="1486">
                  <c:v>49709</c:v>
                </c:pt>
                <c:pt idx="1487">
                  <c:v>49716</c:v>
                </c:pt>
                <c:pt idx="1488">
                  <c:v>49724</c:v>
                </c:pt>
                <c:pt idx="1489">
                  <c:v>49730</c:v>
                </c:pt>
                <c:pt idx="1490">
                  <c:v>49737</c:v>
                </c:pt>
                <c:pt idx="1491">
                  <c:v>49744</c:v>
                </c:pt>
                <c:pt idx="1492">
                  <c:v>49751</c:v>
                </c:pt>
                <c:pt idx="1493">
                  <c:v>49758</c:v>
                </c:pt>
                <c:pt idx="1494">
                  <c:v>49765</c:v>
                </c:pt>
                <c:pt idx="1495">
                  <c:v>49772</c:v>
                </c:pt>
                <c:pt idx="1496">
                  <c:v>49781</c:v>
                </c:pt>
                <c:pt idx="1497">
                  <c:v>49786</c:v>
                </c:pt>
                <c:pt idx="1498">
                  <c:v>49793</c:v>
                </c:pt>
                <c:pt idx="1499">
                  <c:v>49801</c:v>
                </c:pt>
                <c:pt idx="1500">
                  <c:v>49807</c:v>
                </c:pt>
                <c:pt idx="1501">
                  <c:v>49814</c:v>
                </c:pt>
                <c:pt idx="1502">
                  <c:v>49822</c:v>
                </c:pt>
                <c:pt idx="1503">
                  <c:v>49828</c:v>
                </c:pt>
                <c:pt idx="1504">
                  <c:v>49835</c:v>
                </c:pt>
                <c:pt idx="1505">
                  <c:v>49842</c:v>
                </c:pt>
                <c:pt idx="1506">
                  <c:v>49849</c:v>
                </c:pt>
                <c:pt idx="1507">
                  <c:v>49856</c:v>
                </c:pt>
                <c:pt idx="1508">
                  <c:v>49863</c:v>
                </c:pt>
                <c:pt idx="1509">
                  <c:v>49870</c:v>
                </c:pt>
                <c:pt idx="1510">
                  <c:v>49877</c:v>
                </c:pt>
                <c:pt idx="1511">
                  <c:v>49884</c:v>
                </c:pt>
                <c:pt idx="1512">
                  <c:v>49891</c:v>
                </c:pt>
                <c:pt idx="1513">
                  <c:v>49898</c:v>
                </c:pt>
                <c:pt idx="1514">
                  <c:v>49905</c:v>
                </c:pt>
                <c:pt idx="1515">
                  <c:v>49913</c:v>
                </c:pt>
                <c:pt idx="1516">
                  <c:v>49920</c:v>
                </c:pt>
                <c:pt idx="1517">
                  <c:v>49926</c:v>
                </c:pt>
                <c:pt idx="1518">
                  <c:v>49933</c:v>
                </c:pt>
                <c:pt idx="1519">
                  <c:v>49940</c:v>
                </c:pt>
                <c:pt idx="1520">
                  <c:v>49947</c:v>
                </c:pt>
                <c:pt idx="1521">
                  <c:v>49954</c:v>
                </c:pt>
                <c:pt idx="1522">
                  <c:v>49962</c:v>
                </c:pt>
                <c:pt idx="1523">
                  <c:v>49968</c:v>
                </c:pt>
                <c:pt idx="1524">
                  <c:v>49975</c:v>
                </c:pt>
                <c:pt idx="1525">
                  <c:v>49982</c:v>
                </c:pt>
                <c:pt idx="1526">
                  <c:v>49989</c:v>
                </c:pt>
                <c:pt idx="1527">
                  <c:v>49996</c:v>
                </c:pt>
                <c:pt idx="1528">
                  <c:v>50003</c:v>
                </c:pt>
                <c:pt idx="1529">
                  <c:v>50010</c:v>
                </c:pt>
                <c:pt idx="1530">
                  <c:v>50017</c:v>
                </c:pt>
                <c:pt idx="1531">
                  <c:v>50024</c:v>
                </c:pt>
                <c:pt idx="1532">
                  <c:v>50031</c:v>
                </c:pt>
                <c:pt idx="1533">
                  <c:v>50040</c:v>
                </c:pt>
                <c:pt idx="1534">
                  <c:v>50047</c:v>
                </c:pt>
                <c:pt idx="1535">
                  <c:v>50054</c:v>
                </c:pt>
                <c:pt idx="1536">
                  <c:v>50061</c:v>
                </c:pt>
                <c:pt idx="1537">
                  <c:v>50068</c:v>
                </c:pt>
                <c:pt idx="1538">
                  <c:v>50075</c:v>
                </c:pt>
                <c:pt idx="1539">
                  <c:v>50082</c:v>
                </c:pt>
                <c:pt idx="1540">
                  <c:v>50089</c:v>
                </c:pt>
                <c:pt idx="1541">
                  <c:v>50096</c:v>
                </c:pt>
                <c:pt idx="1542">
                  <c:v>50103</c:v>
                </c:pt>
                <c:pt idx="1543">
                  <c:v>50110</c:v>
                </c:pt>
                <c:pt idx="1544">
                  <c:v>50117</c:v>
                </c:pt>
                <c:pt idx="1545">
                  <c:v>50124</c:v>
                </c:pt>
                <c:pt idx="1546">
                  <c:v>50131</c:v>
                </c:pt>
                <c:pt idx="1547">
                  <c:v>50139</c:v>
                </c:pt>
                <c:pt idx="1548">
                  <c:v>50146</c:v>
                </c:pt>
                <c:pt idx="1549">
                  <c:v>50153</c:v>
                </c:pt>
                <c:pt idx="1550">
                  <c:v>50160</c:v>
                </c:pt>
                <c:pt idx="1551">
                  <c:v>50167</c:v>
                </c:pt>
                <c:pt idx="1552">
                  <c:v>50174</c:v>
                </c:pt>
                <c:pt idx="1553">
                  <c:v>50181</c:v>
                </c:pt>
                <c:pt idx="1554">
                  <c:v>50188</c:v>
                </c:pt>
                <c:pt idx="1555">
                  <c:v>50195</c:v>
                </c:pt>
                <c:pt idx="1556">
                  <c:v>50202</c:v>
                </c:pt>
                <c:pt idx="1557">
                  <c:v>50209</c:v>
                </c:pt>
                <c:pt idx="1558">
                  <c:v>50216</c:v>
                </c:pt>
                <c:pt idx="1559">
                  <c:v>50223</c:v>
                </c:pt>
                <c:pt idx="1560">
                  <c:v>50230</c:v>
                </c:pt>
                <c:pt idx="1561">
                  <c:v>50237</c:v>
                </c:pt>
                <c:pt idx="1562">
                  <c:v>50244</c:v>
                </c:pt>
                <c:pt idx="1563">
                  <c:v>50251</c:v>
                </c:pt>
                <c:pt idx="1564">
                  <c:v>50258</c:v>
                </c:pt>
                <c:pt idx="1565">
                  <c:v>50265</c:v>
                </c:pt>
                <c:pt idx="1566">
                  <c:v>50272</c:v>
                </c:pt>
                <c:pt idx="1567">
                  <c:v>50279</c:v>
                </c:pt>
                <c:pt idx="1568">
                  <c:v>50286</c:v>
                </c:pt>
                <c:pt idx="1569">
                  <c:v>50293</c:v>
                </c:pt>
                <c:pt idx="1570">
                  <c:v>50300</c:v>
                </c:pt>
                <c:pt idx="1571">
                  <c:v>50307</c:v>
                </c:pt>
                <c:pt idx="1572">
                  <c:v>50314</c:v>
                </c:pt>
                <c:pt idx="1573">
                  <c:v>50321</c:v>
                </c:pt>
                <c:pt idx="1574">
                  <c:v>50328</c:v>
                </c:pt>
                <c:pt idx="1575">
                  <c:v>50335</c:v>
                </c:pt>
                <c:pt idx="1576">
                  <c:v>50342</c:v>
                </c:pt>
                <c:pt idx="1577">
                  <c:v>50349</c:v>
                </c:pt>
                <c:pt idx="1578">
                  <c:v>50356</c:v>
                </c:pt>
                <c:pt idx="1579">
                  <c:v>50363</c:v>
                </c:pt>
                <c:pt idx="1580">
                  <c:v>50371</c:v>
                </c:pt>
                <c:pt idx="1581">
                  <c:v>50377</c:v>
                </c:pt>
                <c:pt idx="1582">
                  <c:v>50384</c:v>
                </c:pt>
                <c:pt idx="1583">
                  <c:v>50391</c:v>
                </c:pt>
                <c:pt idx="1584">
                  <c:v>50398</c:v>
                </c:pt>
                <c:pt idx="1585">
                  <c:v>50405</c:v>
                </c:pt>
                <c:pt idx="1586">
                  <c:v>50412</c:v>
                </c:pt>
                <c:pt idx="1587">
                  <c:v>50419</c:v>
                </c:pt>
                <c:pt idx="1588">
                  <c:v>50426</c:v>
                </c:pt>
                <c:pt idx="1589">
                  <c:v>50433</c:v>
                </c:pt>
                <c:pt idx="1590">
                  <c:v>50440</c:v>
                </c:pt>
                <c:pt idx="1591">
                  <c:v>50447</c:v>
                </c:pt>
                <c:pt idx="1592">
                  <c:v>50454</c:v>
                </c:pt>
                <c:pt idx="1593">
                  <c:v>50461</c:v>
                </c:pt>
                <c:pt idx="1594">
                  <c:v>50468</c:v>
                </c:pt>
                <c:pt idx="1595">
                  <c:v>50475</c:v>
                </c:pt>
                <c:pt idx="1596">
                  <c:v>50482</c:v>
                </c:pt>
                <c:pt idx="1597">
                  <c:v>50489</c:v>
                </c:pt>
                <c:pt idx="1598">
                  <c:v>50496</c:v>
                </c:pt>
                <c:pt idx="1599">
                  <c:v>50503</c:v>
                </c:pt>
                <c:pt idx="1600">
                  <c:v>50510</c:v>
                </c:pt>
                <c:pt idx="1601">
                  <c:v>50517</c:v>
                </c:pt>
                <c:pt idx="1602">
                  <c:v>50524</c:v>
                </c:pt>
                <c:pt idx="1603">
                  <c:v>50531</c:v>
                </c:pt>
                <c:pt idx="1604">
                  <c:v>50538</c:v>
                </c:pt>
                <c:pt idx="1605">
                  <c:v>50545</c:v>
                </c:pt>
                <c:pt idx="1606">
                  <c:v>50552</c:v>
                </c:pt>
                <c:pt idx="1607">
                  <c:v>50559</c:v>
                </c:pt>
                <c:pt idx="1608">
                  <c:v>50566</c:v>
                </c:pt>
                <c:pt idx="1609">
                  <c:v>50573</c:v>
                </c:pt>
                <c:pt idx="1610">
                  <c:v>50580</c:v>
                </c:pt>
                <c:pt idx="1611">
                  <c:v>50587</c:v>
                </c:pt>
                <c:pt idx="1612">
                  <c:v>50594</c:v>
                </c:pt>
                <c:pt idx="1613">
                  <c:v>50601</c:v>
                </c:pt>
                <c:pt idx="1614">
                  <c:v>50608</c:v>
                </c:pt>
                <c:pt idx="1615">
                  <c:v>50615</c:v>
                </c:pt>
                <c:pt idx="1616">
                  <c:v>50622</c:v>
                </c:pt>
                <c:pt idx="1617">
                  <c:v>50629</c:v>
                </c:pt>
                <c:pt idx="1618">
                  <c:v>50636</c:v>
                </c:pt>
                <c:pt idx="1619">
                  <c:v>50643</c:v>
                </c:pt>
                <c:pt idx="1620">
                  <c:v>50650</c:v>
                </c:pt>
                <c:pt idx="1621">
                  <c:v>50657</c:v>
                </c:pt>
                <c:pt idx="1622">
                  <c:v>50664</c:v>
                </c:pt>
                <c:pt idx="1623">
                  <c:v>50671</c:v>
                </c:pt>
                <c:pt idx="1624">
                  <c:v>50678</c:v>
                </c:pt>
                <c:pt idx="1625">
                  <c:v>50685</c:v>
                </c:pt>
                <c:pt idx="1626">
                  <c:v>50692</c:v>
                </c:pt>
                <c:pt idx="1627">
                  <c:v>50699</c:v>
                </c:pt>
                <c:pt idx="1628">
                  <c:v>50706</c:v>
                </c:pt>
                <c:pt idx="1629">
                  <c:v>50713</c:v>
                </c:pt>
                <c:pt idx="1630">
                  <c:v>50721</c:v>
                </c:pt>
                <c:pt idx="1631">
                  <c:v>50727</c:v>
                </c:pt>
                <c:pt idx="1632">
                  <c:v>50735</c:v>
                </c:pt>
                <c:pt idx="1633">
                  <c:v>50741</c:v>
                </c:pt>
                <c:pt idx="1634">
                  <c:v>50748</c:v>
                </c:pt>
                <c:pt idx="1635">
                  <c:v>50755</c:v>
                </c:pt>
                <c:pt idx="1636">
                  <c:v>50762</c:v>
                </c:pt>
                <c:pt idx="1637">
                  <c:v>50774</c:v>
                </c:pt>
                <c:pt idx="1638">
                  <c:v>50777</c:v>
                </c:pt>
                <c:pt idx="1639">
                  <c:v>50784</c:v>
                </c:pt>
                <c:pt idx="1640">
                  <c:v>50791</c:v>
                </c:pt>
                <c:pt idx="1641">
                  <c:v>50798</c:v>
                </c:pt>
                <c:pt idx="1642">
                  <c:v>50805</c:v>
                </c:pt>
                <c:pt idx="1643">
                  <c:v>50812</c:v>
                </c:pt>
                <c:pt idx="1644">
                  <c:v>50819</c:v>
                </c:pt>
                <c:pt idx="1645">
                  <c:v>50826</c:v>
                </c:pt>
                <c:pt idx="1646">
                  <c:v>50833</c:v>
                </c:pt>
                <c:pt idx="1647">
                  <c:v>50840</c:v>
                </c:pt>
                <c:pt idx="1648">
                  <c:v>50847</c:v>
                </c:pt>
                <c:pt idx="1649">
                  <c:v>50854</c:v>
                </c:pt>
                <c:pt idx="1650">
                  <c:v>50861</c:v>
                </c:pt>
                <c:pt idx="1651">
                  <c:v>50872</c:v>
                </c:pt>
                <c:pt idx="1652">
                  <c:v>50875</c:v>
                </c:pt>
                <c:pt idx="1653">
                  <c:v>50882</c:v>
                </c:pt>
                <c:pt idx="1654">
                  <c:v>50889</c:v>
                </c:pt>
                <c:pt idx="1655">
                  <c:v>50896</c:v>
                </c:pt>
                <c:pt idx="1656">
                  <c:v>50903</c:v>
                </c:pt>
                <c:pt idx="1657">
                  <c:v>50910</c:v>
                </c:pt>
                <c:pt idx="1658">
                  <c:v>50917</c:v>
                </c:pt>
                <c:pt idx="1659">
                  <c:v>50924</c:v>
                </c:pt>
                <c:pt idx="1660">
                  <c:v>50931</c:v>
                </c:pt>
                <c:pt idx="1661">
                  <c:v>50938</c:v>
                </c:pt>
                <c:pt idx="1662">
                  <c:v>50945</c:v>
                </c:pt>
                <c:pt idx="1663">
                  <c:v>50952</c:v>
                </c:pt>
                <c:pt idx="1664">
                  <c:v>50959</c:v>
                </c:pt>
                <c:pt idx="1665">
                  <c:v>50966</c:v>
                </c:pt>
                <c:pt idx="1666">
                  <c:v>50973</c:v>
                </c:pt>
                <c:pt idx="1667">
                  <c:v>50980</c:v>
                </c:pt>
                <c:pt idx="1668">
                  <c:v>50987</c:v>
                </c:pt>
                <c:pt idx="1669">
                  <c:v>50994</c:v>
                </c:pt>
                <c:pt idx="1670">
                  <c:v>51001</c:v>
                </c:pt>
                <c:pt idx="1671">
                  <c:v>51008</c:v>
                </c:pt>
                <c:pt idx="1672">
                  <c:v>51015</c:v>
                </c:pt>
                <c:pt idx="1673">
                  <c:v>51022</c:v>
                </c:pt>
                <c:pt idx="1674">
                  <c:v>51029</c:v>
                </c:pt>
                <c:pt idx="1675">
                  <c:v>51036</c:v>
                </c:pt>
                <c:pt idx="1676">
                  <c:v>51043</c:v>
                </c:pt>
                <c:pt idx="1677">
                  <c:v>51050</c:v>
                </c:pt>
                <c:pt idx="1678">
                  <c:v>51057</c:v>
                </c:pt>
                <c:pt idx="1679">
                  <c:v>51064</c:v>
                </c:pt>
                <c:pt idx="1680">
                  <c:v>51071</c:v>
                </c:pt>
                <c:pt idx="1681">
                  <c:v>51078</c:v>
                </c:pt>
                <c:pt idx="1682">
                  <c:v>51088</c:v>
                </c:pt>
                <c:pt idx="1683">
                  <c:v>51092</c:v>
                </c:pt>
                <c:pt idx="1684">
                  <c:v>51099</c:v>
                </c:pt>
                <c:pt idx="1685">
                  <c:v>51106</c:v>
                </c:pt>
                <c:pt idx="1686">
                  <c:v>51113</c:v>
                </c:pt>
                <c:pt idx="1687">
                  <c:v>51120</c:v>
                </c:pt>
                <c:pt idx="1688">
                  <c:v>51127</c:v>
                </c:pt>
                <c:pt idx="1689">
                  <c:v>51134</c:v>
                </c:pt>
                <c:pt idx="1690">
                  <c:v>51141</c:v>
                </c:pt>
                <c:pt idx="1691">
                  <c:v>51148</c:v>
                </c:pt>
                <c:pt idx="1692">
                  <c:v>51155</c:v>
                </c:pt>
                <c:pt idx="1693">
                  <c:v>51162</c:v>
                </c:pt>
                <c:pt idx="1694">
                  <c:v>51169</c:v>
                </c:pt>
                <c:pt idx="1695">
                  <c:v>51176</c:v>
                </c:pt>
                <c:pt idx="1696">
                  <c:v>51183</c:v>
                </c:pt>
                <c:pt idx="1697">
                  <c:v>51190</c:v>
                </c:pt>
                <c:pt idx="1698">
                  <c:v>51197</c:v>
                </c:pt>
                <c:pt idx="1699">
                  <c:v>51204</c:v>
                </c:pt>
                <c:pt idx="1700">
                  <c:v>51211</c:v>
                </c:pt>
                <c:pt idx="1701">
                  <c:v>51218</c:v>
                </c:pt>
                <c:pt idx="1702">
                  <c:v>51229</c:v>
                </c:pt>
                <c:pt idx="1703">
                  <c:v>51232</c:v>
                </c:pt>
                <c:pt idx="1704">
                  <c:v>51239</c:v>
                </c:pt>
                <c:pt idx="1705">
                  <c:v>51246</c:v>
                </c:pt>
                <c:pt idx="1706">
                  <c:v>51253</c:v>
                </c:pt>
                <c:pt idx="1707">
                  <c:v>51260</c:v>
                </c:pt>
                <c:pt idx="1708">
                  <c:v>51267</c:v>
                </c:pt>
                <c:pt idx="1709">
                  <c:v>51274</c:v>
                </c:pt>
                <c:pt idx="1710">
                  <c:v>51281</c:v>
                </c:pt>
                <c:pt idx="1711">
                  <c:v>51288</c:v>
                </c:pt>
                <c:pt idx="1712">
                  <c:v>51295</c:v>
                </c:pt>
                <c:pt idx="1713">
                  <c:v>51302</c:v>
                </c:pt>
                <c:pt idx="1714">
                  <c:v>51309</c:v>
                </c:pt>
                <c:pt idx="1715">
                  <c:v>51316</c:v>
                </c:pt>
                <c:pt idx="1716">
                  <c:v>51323</c:v>
                </c:pt>
                <c:pt idx="1717">
                  <c:v>51330</c:v>
                </c:pt>
                <c:pt idx="1718">
                  <c:v>51337</c:v>
                </c:pt>
                <c:pt idx="1719">
                  <c:v>51344</c:v>
                </c:pt>
                <c:pt idx="1720">
                  <c:v>51351</c:v>
                </c:pt>
                <c:pt idx="1721">
                  <c:v>51358</c:v>
                </c:pt>
                <c:pt idx="1722">
                  <c:v>51365</c:v>
                </c:pt>
                <c:pt idx="1723">
                  <c:v>51372</c:v>
                </c:pt>
                <c:pt idx="1724">
                  <c:v>51379</c:v>
                </c:pt>
                <c:pt idx="1725">
                  <c:v>51386</c:v>
                </c:pt>
                <c:pt idx="1726">
                  <c:v>51393</c:v>
                </c:pt>
                <c:pt idx="1727">
                  <c:v>51400</c:v>
                </c:pt>
                <c:pt idx="1728">
                  <c:v>51407</c:v>
                </c:pt>
                <c:pt idx="1729">
                  <c:v>51414</c:v>
                </c:pt>
                <c:pt idx="1730">
                  <c:v>51421</c:v>
                </c:pt>
                <c:pt idx="1731">
                  <c:v>51428</c:v>
                </c:pt>
                <c:pt idx="1732">
                  <c:v>51435</c:v>
                </c:pt>
                <c:pt idx="1733">
                  <c:v>51442</c:v>
                </c:pt>
                <c:pt idx="1734">
                  <c:v>51449</c:v>
                </c:pt>
                <c:pt idx="1735">
                  <c:v>51456</c:v>
                </c:pt>
                <c:pt idx="1736">
                  <c:v>51463</c:v>
                </c:pt>
                <c:pt idx="1737">
                  <c:v>51470</c:v>
                </c:pt>
                <c:pt idx="1738">
                  <c:v>51477</c:v>
                </c:pt>
                <c:pt idx="1739">
                  <c:v>51484</c:v>
                </c:pt>
                <c:pt idx="1740">
                  <c:v>51491</c:v>
                </c:pt>
                <c:pt idx="1741">
                  <c:v>51501</c:v>
                </c:pt>
                <c:pt idx="1742">
                  <c:v>51508</c:v>
                </c:pt>
                <c:pt idx="1743">
                  <c:v>51515</c:v>
                </c:pt>
                <c:pt idx="1744">
                  <c:v>51523</c:v>
                </c:pt>
                <c:pt idx="1745">
                  <c:v>51529</c:v>
                </c:pt>
                <c:pt idx="1746">
                  <c:v>51536</c:v>
                </c:pt>
                <c:pt idx="1747">
                  <c:v>51543</c:v>
                </c:pt>
                <c:pt idx="1748">
                  <c:v>51551</c:v>
                </c:pt>
                <c:pt idx="1749">
                  <c:v>51557</c:v>
                </c:pt>
                <c:pt idx="1750">
                  <c:v>51564</c:v>
                </c:pt>
                <c:pt idx="1751">
                  <c:v>51571</c:v>
                </c:pt>
                <c:pt idx="1752">
                  <c:v>51578</c:v>
                </c:pt>
                <c:pt idx="1753">
                  <c:v>51585</c:v>
                </c:pt>
                <c:pt idx="1754">
                  <c:v>51592</c:v>
                </c:pt>
                <c:pt idx="1755">
                  <c:v>51599</c:v>
                </c:pt>
                <c:pt idx="1756">
                  <c:v>51606</c:v>
                </c:pt>
                <c:pt idx="1757">
                  <c:v>51615</c:v>
                </c:pt>
                <c:pt idx="1758">
                  <c:v>51620</c:v>
                </c:pt>
                <c:pt idx="1759">
                  <c:v>51628</c:v>
                </c:pt>
                <c:pt idx="1760">
                  <c:v>51634</c:v>
                </c:pt>
                <c:pt idx="1761">
                  <c:v>51641</c:v>
                </c:pt>
                <c:pt idx="1762">
                  <c:v>51649</c:v>
                </c:pt>
                <c:pt idx="1763">
                  <c:v>51655</c:v>
                </c:pt>
                <c:pt idx="1764">
                  <c:v>51662</c:v>
                </c:pt>
                <c:pt idx="1765">
                  <c:v>51669</c:v>
                </c:pt>
                <c:pt idx="1766">
                  <c:v>51676</c:v>
                </c:pt>
                <c:pt idx="1767">
                  <c:v>51683</c:v>
                </c:pt>
                <c:pt idx="1768">
                  <c:v>51690</c:v>
                </c:pt>
                <c:pt idx="1769">
                  <c:v>51697</c:v>
                </c:pt>
                <c:pt idx="1770">
                  <c:v>51704</c:v>
                </c:pt>
                <c:pt idx="1771">
                  <c:v>51711</c:v>
                </c:pt>
                <c:pt idx="1772">
                  <c:v>51718</c:v>
                </c:pt>
                <c:pt idx="1773">
                  <c:v>51725</c:v>
                </c:pt>
                <c:pt idx="1774">
                  <c:v>51732</c:v>
                </c:pt>
                <c:pt idx="1775">
                  <c:v>51740</c:v>
                </c:pt>
                <c:pt idx="1776">
                  <c:v>51747</c:v>
                </c:pt>
                <c:pt idx="1777">
                  <c:v>51753</c:v>
                </c:pt>
                <c:pt idx="1778">
                  <c:v>51760</c:v>
                </c:pt>
                <c:pt idx="1779">
                  <c:v>51767</c:v>
                </c:pt>
                <c:pt idx="1780">
                  <c:v>51774</c:v>
                </c:pt>
                <c:pt idx="1781">
                  <c:v>51781</c:v>
                </c:pt>
                <c:pt idx="1782">
                  <c:v>51789</c:v>
                </c:pt>
                <c:pt idx="1783">
                  <c:v>51795</c:v>
                </c:pt>
                <c:pt idx="1784">
                  <c:v>51802</c:v>
                </c:pt>
                <c:pt idx="1785">
                  <c:v>51809</c:v>
                </c:pt>
                <c:pt idx="1786">
                  <c:v>51817</c:v>
                </c:pt>
                <c:pt idx="1787">
                  <c:v>51823</c:v>
                </c:pt>
                <c:pt idx="1788">
                  <c:v>51830</c:v>
                </c:pt>
                <c:pt idx="1789">
                  <c:v>51837</c:v>
                </c:pt>
                <c:pt idx="1790">
                  <c:v>51844</c:v>
                </c:pt>
                <c:pt idx="1791">
                  <c:v>51851</c:v>
                </c:pt>
                <c:pt idx="1792">
                  <c:v>51858</c:v>
                </c:pt>
                <c:pt idx="1793">
                  <c:v>51866</c:v>
                </c:pt>
                <c:pt idx="1794">
                  <c:v>51873</c:v>
                </c:pt>
                <c:pt idx="1795">
                  <c:v>51880</c:v>
                </c:pt>
                <c:pt idx="1796">
                  <c:v>51887</c:v>
                </c:pt>
                <c:pt idx="1797">
                  <c:v>51894</c:v>
                </c:pt>
                <c:pt idx="1798">
                  <c:v>51901</c:v>
                </c:pt>
                <c:pt idx="1799">
                  <c:v>51908</c:v>
                </c:pt>
                <c:pt idx="1800">
                  <c:v>51915</c:v>
                </c:pt>
                <c:pt idx="1801">
                  <c:v>51922</c:v>
                </c:pt>
                <c:pt idx="1802">
                  <c:v>51929</c:v>
                </c:pt>
                <c:pt idx="1803">
                  <c:v>51936</c:v>
                </c:pt>
                <c:pt idx="1804">
                  <c:v>51943</c:v>
                </c:pt>
                <c:pt idx="1805">
                  <c:v>51950</c:v>
                </c:pt>
                <c:pt idx="1806">
                  <c:v>51957</c:v>
                </c:pt>
                <c:pt idx="1807">
                  <c:v>51966</c:v>
                </c:pt>
                <c:pt idx="1808">
                  <c:v>51973</c:v>
                </c:pt>
                <c:pt idx="1809">
                  <c:v>51980</c:v>
                </c:pt>
                <c:pt idx="1810">
                  <c:v>51987</c:v>
                </c:pt>
                <c:pt idx="1811">
                  <c:v>51994</c:v>
                </c:pt>
                <c:pt idx="1812">
                  <c:v>52001</c:v>
                </c:pt>
                <c:pt idx="1813">
                  <c:v>52008</c:v>
                </c:pt>
                <c:pt idx="1814">
                  <c:v>52015</c:v>
                </c:pt>
                <c:pt idx="1815">
                  <c:v>52022</c:v>
                </c:pt>
                <c:pt idx="1816">
                  <c:v>52029</c:v>
                </c:pt>
                <c:pt idx="1817">
                  <c:v>52036</c:v>
                </c:pt>
                <c:pt idx="1818">
                  <c:v>52043</c:v>
                </c:pt>
                <c:pt idx="1819">
                  <c:v>52050</c:v>
                </c:pt>
                <c:pt idx="1820">
                  <c:v>52057</c:v>
                </c:pt>
                <c:pt idx="1821">
                  <c:v>52064</c:v>
                </c:pt>
                <c:pt idx="1822">
                  <c:v>52071</c:v>
                </c:pt>
                <c:pt idx="1823">
                  <c:v>52078</c:v>
                </c:pt>
                <c:pt idx="1824">
                  <c:v>52085</c:v>
                </c:pt>
                <c:pt idx="1825">
                  <c:v>52092</c:v>
                </c:pt>
                <c:pt idx="1826">
                  <c:v>52099</c:v>
                </c:pt>
                <c:pt idx="1827">
                  <c:v>52106</c:v>
                </c:pt>
                <c:pt idx="1828">
                  <c:v>52113</c:v>
                </c:pt>
                <c:pt idx="1829">
                  <c:v>52120</c:v>
                </c:pt>
                <c:pt idx="1830">
                  <c:v>52127</c:v>
                </c:pt>
                <c:pt idx="1831">
                  <c:v>52134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52198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52233</c:v>
                </c:pt>
                <c:pt idx="1846">
                  <c:v>52239</c:v>
                </c:pt>
                <c:pt idx="1847">
                  <c:v>52246</c:v>
                </c:pt>
                <c:pt idx="1848">
                  <c:v>52253</c:v>
                </c:pt>
                <c:pt idx="1849">
                  <c:v>52260</c:v>
                </c:pt>
                <c:pt idx="1850">
                  <c:v>52267</c:v>
                </c:pt>
                <c:pt idx="1851">
                  <c:v>52274</c:v>
                </c:pt>
                <c:pt idx="1852">
                  <c:v>52281</c:v>
                </c:pt>
                <c:pt idx="1853">
                  <c:v>52288</c:v>
                </c:pt>
                <c:pt idx="1854">
                  <c:v>52295</c:v>
                </c:pt>
                <c:pt idx="1855">
                  <c:v>52302</c:v>
                </c:pt>
                <c:pt idx="1856">
                  <c:v>52309</c:v>
                </c:pt>
                <c:pt idx="1857">
                  <c:v>52316</c:v>
                </c:pt>
                <c:pt idx="1858">
                  <c:v>52323</c:v>
                </c:pt>
                <c:pt idx="1859">
                  <c:v>52330</c:v>
                </c:pt>
                <c:pt idx="1860">
                  <c:v>52337</c:v>
                </c:pt>
                <c:pt idx="1861">
                  <c:v>52344</c:v>
                </c:pt>
                <c:pt idx="1862">
                  <c:v>52351</c:v>
                </c:pt>
                <c:pt idx="1863">
                  <c:v>52358</c:v>
                </c:pt>
                <c:pt idx="1864">
                  <c:v>52365</c:v>
                </c:pt>
                <c:pt idx="1865">
                  <c:v>52372</c:v>
                </c:pt>
                <c:pt idx="1866">
                  <c:v>52379</c:v>
                </c:pt>
                <c:pt idx="1867">
                  <c:v>52386</c:v>
                </c:pt>
                <c:pt idx="1868">
                  <c:v>52393</c:v>
                </c:pt>
                <c:pt idx="1869">
                  <c:v>52400</c:v>
                </c:pt>
                <c:pt idx="1870">
                  <c:v>52407</c:v>
                </c:pt>
                <c:pt idx="1871">
                  <c:v>52414</c:v>
                </c:pt>
                <c:pt idx="1872">
                  <c:v>52421</c:v>
                </c:pt>
                <c:pt idx="1873">
                  <c:v>52428</c:v>
                </c:pt>
                <c:pt idx="1874">
                  <c:v>52435</c:v>
                </c:pt>
                <c:pt idx="1875">
                  <c:v>52442</c:v>
                </c:pt>
                <c:pt idx="1876">
                  <c:v>52449</c:v>
                </c:pt>
                <c:pt idx="1877">
                  <c:v>52456</c:v>
                </c:pt>
                <c:pt idx="1878">
                  <c:v>52463</c:v>
                </c:pt>
                <c:pt idx="1879">
                  <c:v>52470</c:v>
                </c:pt>
                <c:pt idx="1880">
                  <c:v>52477</c:v>
                </c:pt>
                <c:pt idx="1881">
                  <c:v>52484</c:v>
                </c:pt>
                <c:pt idx="1882">
                  <c:v>52491</c:v>
                </c:pt>
                <c:pt idx="1883">
                  <c:v>52498</c:v>
                </c:pt>
                <c:pt idx="1884">
                  <c:v>52505</c:v>
                </c:pt>
                <c:pt idx="1885">
                  <c:v>52512</c:v>
                </c:pt>
                <c:pt idx="1886">
                  <c:v>52519</c:v>
                </c:pt>
                <c:pt idx="1887">
                  <c:v>52526</c:v>
                </c:pt>
                <c:pt idx="1888">
                  <c:v>52533</c:v>
                </c:pt>
                <c:pt idx="1889">
                  <c:v>52540</c:v>
                </c:pt>
                <c:pt idx="1890">
                  <c:v>52547</c:v>
                </c:pt>
                <c:pt idx="1891">
                  <c:v>52554</c:v>
                </c:pt>
                <c:pt idx="1892">
                  <c:v>52562</c:v>
                </c:pt>
                <c:pt idx="1893">
                  <c:v>52568</c:v>
                </c:pt>
                <c:pt idx="1894">
                  <c:v>52575</c:v>
                </c:pt>
                <c:pt idx="1895">
                  <c:v>52582</c:v>
                </c:pt>
                <c:pt idx="1896">
                  <c:v>52589</c:v>
                </c:pt>
                <c:pt idx="1897">
                  <c:v>52596</c:v>
                </c:pt>
                <c:pt idx="1898">
                  <c:v>52603</c:v>
                </c:pt>
                <c:pt idx="1899">
                  <c:v>52610</c:v>
                </c:pt>
                <c:pt idx="1900">
                  <c:v>52617</c:v>
                </c:pt>
                <c:pt idx="1901">
                  <c:v>52624</c:v>
                </c:pt>
                <c:pt idx="1902">
                  <c:v>52631</c:v>
                </c:pt>
                <c:pt idx="1903">
                  <c:v>52638</c:v>
                </c:pt>
                <c:pt idx="1904">
                  <c:v>52645</c:v>
                </c:pt>
                <c:pt idx="1905">
                  <c:v>52652</c:v>
                </c:pt>
                <c:pt idx="1906">
                  <c:v>52659</c:v>
                </c:pt>
                <c:pt idx="1907">
                  <c:v>52666</c:v>
                </c:pt>
                <c:pt idx="1908">
                  <c:v>52673</c:v>
                </c:pt>
                <c:pt idx="1909">
                  <c:v>52680</c:v>
                </c:pt>
                <c:pt idx="1910">
                  <c:v>52687</c:v>
                </c:pt>
                <c:pt idx="1911">
                  <c:v>52694</c:v>
                </c:pt>
                <c:pt idx="1912">
                  <c:v>52701</c:v>
                </c:pt>
                <c:pt idx="1913">
                  <c:v>52708</c:v>
                </c:pt>
                <c:pt idx="1914">
                  <c:v>52715</c:v>
                </c:pt>
                <c:pt idx="1915">
                  <c:v>52722</c:v>
                </c:pt>
                <c:pt idx="1916">
                  <c:v>52729</c:v>
                </c:pt>
                <c:pt idx="1917">
                  <c:v>52736</c:v>
                </c:pt>
                <c:pt idx="1918">
                  <c:v>52743</c:v>
                </c:pt>
                <c:pt idx="1919">
                  <c:v>52750</c:v>
                </c:pt>
                <c:pt idx="1920">
                  <c:v>52757</c:v>
                </c:pt>
                <c:pt idx="1921">
                  <c:v>52764</c:v>
                </c:pt>
                <c:pt idx="1922">
                  <c:v>52771</c:v>
                </c:pt>
                <c:pt idx="1923">
                  <c:v>52778</c:v>
                </c:pt>
                <c:pt idx="1924">
                  <c:v>52785</c:v>
                </c:pt>
                <c:pt idx="1925">
                  <c:v>52792</c:v>
                </c:pt>
                <c:pt idx="1926">
                  <c:v>52799</c:v>
                </c:pt>
                <c:pt idx="1927">
                  <c:v>52806</c:v>
                </c:pt>
                <c:pt idx="1928">
                  <c:v>52813</c:v>
                </c:pt>
                <c:pt idx="1929">
                  <c:v>52820</c:v>
                </c:pt>
                <c:pt idx="1930">
                  <c:v>52827</c:v>
                </c:pt>
                <c:pt idx="1931">
                  <c:v>52834</c:v>
                </c:pt>
                <c:pt idx="1932">
                  <c:v>52841</c:v>
                </c:pt>
                <c:pt idx="1933">
                  <c:v>52848</c:v>
                </c:pt>
                <c:pt idx="1934">
                  <c:v>52855</c:v>
                </c:pt>
                <c:pt idx="1935">
                  <c:v>52862</c:v>
                </c:pt>
                <c:pt idx="1936">
                  <c:v>52869</c:v>
                </c:pt>
                <c:pt idx="1937">
                  <c:v>52876</c:v>
                </c:pt>
                <c:pt idx="1938">
                  <c:v>52883</c:v>
                </c:pt>
                <c:pt idx="1939">
                  <c:v>52890</c:v>
                </c:pt>
                <c:pt idx="1940">
                  <c:v>52897</c:v>
                </c:pt>
                <c:pt idx="1941">
                  <c:v>52904</c:v>
                </c:pt>
                <c:pt idx="1942">
                  <c:v>52911</c:v>
                </c:pt>
                <c:pt idx="1943">
                  <c:v>52918</c:v>
                </c:pt>
                <c:pt idx="1944">
                  <c:v>52926</c:v>
                </c:pt>
                <c:pt idx="1945">
                  <c:v>52932</c:v>
                </c:pt>
                <c:pt idx="1946">
                  <c:v>52939</c:v>
                </c:pt>
                <c:pt idx="1947">
                  <c:v>52946</c:v>
                </c:pt>
                <c:pt idx="1948">
                  <c:v>52953</c:v>
                </c:pt>
                <c:pt idx="1949">
                  <c:v>52961</c:v>
                </c:pt>
                <c:pt idx="1950">
                  <c:v>52968</c:v>
                </c:pt>
                <c:pt idx="1951">
                  <c:v>52975</c:v>
                </c:pt>
                <c:pt idx="1952">
                  <c:v>52982</c:v>
                </c:pt>
                <c:pt idx="1953">
                  <c:v>52989</c:v>
                </c:pt>
                <c:pt idx="1954">
                  <c:v>52996</c:v>
                </c:pt>
                <c:pt idx="1955">
                  <c:v>53003</c:v>
                </c:pt>
                <c:pt idx="1956">
                  <c:v>53010</c:v>
                </c:pt>
                <c:pt idx="1957">
                  <c:v>53017</c:v>
                </c:pt>
                <c:pt idx="1958">
                  <c:v>53024</c:v>
                </c:pt>
                <c:pt idx="1959">
                  <c:v>53031</c:v>
                </c:pt>
                <c:pt idx="1960">
                  <c:v>53038</c:v>
                </c:pt>
                <c:pt idx="1961">
                  <c:v>53045</c:v>
                </c:pt>
                <c:pt idx="1962">
                  <c:v>53052</c:v>
                </c:pt>
                <c:pt idx="1963">
                  <c:v>53063</c:v>
                </c:pt>
                <c:pt idx="1964">
                  <c:v>53066</c:v>
                </c:pt>
                <c:pt idx="1965">
                  <c:v>53073</c:v>
                </c:pt>
                <c:pt idx="1966">
                  <c:v>53080</c:v>
                </c:pt>
                <c:pt idx="1967">
                  <c:v>53087</c:v>
                </c:pt>
                <c:pt idx="1968">
                  <c:v>53094</c:v>
                </c:pt>
                <c:pt idx="1969">
                  <c:v>53101</c:v>
                </c:pt>
                <c:pt idx="1970">
                  <c:v>53108</c:v>
                </c:pt>
                <c:pt idx="1971">
                  <c:v>53115</c:v>
                </c:pt>
                <c:pt idx="1972">
                  <c:v>53122</c:v>
                </c:pt>
                <c:pt idx="1973">
                  <c:v>53129</c:v>
                </c:pt>
                <c:pt idx="1974">
                  <c:v>53136</c:v>
                </c:pt>
                <c:pt idx="1975">
                  <c:v>53143</c:v>
                </c:pt>
                <c:pt idx="1976">
                  <c:v>53150</c:v>
                </c:pt>
                <c:pt idx="1977">
                  <c:v>53157</c:v>
                </c:pt>
                <c:pt idx="1978">
                  <c:v>53164</c:v>
                </c:pt>
                <c:pt idx="1979">
                  <c:v>53171</c:v>
                </c:pt>
                <c:pt idx="1980">
                  <c:v>53178</c:v>
                </c:pt>
                <c:pt idx="1981">
                  <c:v>53185</c:v>
                </c:pt>
                <c:pt idx="1982">
                  <c:v>53192</c:v>
                </c:pt>
                <c:pt idx="1983">
                  <c:v>53199</c:v>
                </c:pt>
                <c:pt idx="1984">
                  <c:v>53206</c:v>
                </c:pt>
                <c:pt idx="1985">
                  <c:v>53213</c:v>
                </c:pt>
                <c:pt idx="1986">
                  <c:v>53220</c:v>
                </c:pt>
                <c:pt idx="1987">
                  <c:v>53227</c:v>
                </c:pt>
                <c:pt idx="1988">
                  <c:v>53234</c:v>
                </c:pt>
                <c:pt idx="1989">
                  <c:v>53241</c:v>
                </c:pt>
                <c:pt idx="1990">
                  <c:v>53248</c:v>
                </c:pt>
                <c:pt idx="1991">
                  <c:v>53255</c:v>
                </c:pt>
                <c:pt idx="1992">
                  <c:v>53262</c:v>
                </c:pt>
                <c:pt idx="1993">
                  <c:v>53269</c:v>
                </c:pt>
                <c:pt idx="1994">
                  <c:v>53279</c:v>
                </c:pt>
                <c:pt idx="1995">
                  <c:v>53283</c:v>
                </c:pt>
                <c:pt idx="1996">
                  <c:v>53290</c:v>
                </c:pt>
                <c:pt idx="1997">
                  <c:v>53297</c:v>
                </c:pt>
                <c:pt idx="1998">
                  <c:v>53304</c:v>
                </c:pt>
                <c:pt idx="1999">
                  <c:v>53311</c:v>
                </c:pt>
                <c:pt idx="2000">
                  <c:v>53318</c:v>
                </c:pt>
                <c:pt idx="2001">
                  <c:v>53325</c:v>
                </c:pt>
                <c:pt idx="2002">
                  <c:v>53332</c:v>
                </c:pt>
                <c:pt idx="2003">
                  <c:v>53339</c:v>
                </c:pt>
                <c:pt idx="2004">
                  <c:v>53346</c:v>
                </c:pt>
                <c:pt idx="2005">
                  <c:v>53353</c:v>
                </c:pt>
                <c:pt idx="2006">
                  <c:v>53360</c:v>
                </c:pt>
                <c:pt idx="2007">
                  <c:v>53367</c:v>
                </c:pt>
                <c:pt idx="2008">
                  <c:v>53374</c:v>
                </c:pt>
                <c:pt idx="2009">
                  <c:v>53381</c:v>
                </c:pt>
                <c:pt idx="2010">
                  <c:v>53388</c:v>
                </c:pt>
                <c:pt idx="2011">
                  <c:v>53395</c:v>
                </c:pt>
                <c:pt idx="2012">
                  <c:v>53402</c:v>
                </c:pt>
                <c:pt idx="2013">
                  <c:v>53413</c:v>
                </c:pt>
                <c:pt idx="2014">
                  <c:v>53416</c:v>
                </c:pt>
                <c:pt idx="2015">
                  <c:v>53423</c:v>
                </c:pt>
                <c:pt idx="2016">
                  <c:v>53430</c:v>
                </c:pt>
                <c:pt idx="2017">
                  <c:v>53437</c:v>
                </c:pt>
                <c:pt idx="2018">
                  <c:v>53444</c:v>
                </c:pt>
                <c:pt idx="2019">
                  <c:v>53451</c:v>
                </c:pt>
                <c:pt idx="2020">
                  <c:v>53458</c:v>
                </c:pt>
                <c:pt idx="2021">
                  <c:v>53465</c:v>
                </c:pt>
                <c:pt idx="2022">
                  <c:v>53472</c:v>
                </c:pt>
                <c:pt idx="2023">
                  <c:v>53479</c:v>
                </c:pt>
                <c:pt idx="2024">
                  <c:v>53486</c:v>
                </c:pt>
                <c:pt idx="2025">
                  <c:v>53493</c:v>
                </c:pt>
                <c:pt idx="2026">
                  <c:v>53500</c:v>
                </c:pt>
                <c:pt idx="2027">
                  <c:v>53507</c:v>
                </c:pt>
                <c:pt idx="2028">
                  <c:v>53514</c:v>
                </c:pt>
                <c:pt idx="2029">
                  <c:v>53521</c:v>
                </c:pt>
                <c:pt idx="2030">
                  <c:v>53528</c:v>
                </c:pt>
                <c:pt idx="2031">
                  <c:v>53535</c:v>
                </c:pt>
                <c:pt idx="2032">
                  <c:v>53542</c:v>
                </c:pt>
                <c:pt idx="2033">
                  <c:v>53549</c:v>
                </c:pt>
                <c:pt idx="2034">
                  <c:v>53556</c:v>
                </c:pt>
                <c:pt idx="2035">
                  <c:v>53563</c:v>
                </c:pt>
                <c:pt idx="2036">
                  <c:v>53570</c:v>
                </c:pt>
                <c:pt idx="2037">
                  <c:v>53577</c:v>
                </c:pt>
                <c:pt idx="2038">
                  <c:v>53584</c:v>
                </c:pt>
                <c:pt idx="2039">
                  <c:v>53591</c:v>
                </c:pt>
                <c:pt idx="2040">
                  <c:v>53598</c:v>
                </c:pt>
                <c:pt idx="2041">
                  <c:v>53605</c:v>
                </c:pt>
                <c:pt idx="2042">
                  <c:v>53612</c:v>
                </c:pt>
                <c:pt idx="2043">
                  <c:v>53619</c:v>
                </c:pt>
                <c:pt idx="2044">
                  <c:v>53626</c:v>
                </c:pt>
                <c:pt idx="2045">
                  <c:v>53633</c:v>
                </c:pt>
                <c:pt idx="2046">
                  <c:v>53640</c:v>
                </c:pt>
                <c:pt idx="2047">
                  <c:v>53647</c:v>
                </c:pt>
                <c:pt idx="2048">
                  <c:v>53654</c:v>
                </c:pt>
                <c:pt idx="2049">
                  <c:v>53661</c:v>
                </c:pt>
                <c:pt idx="2050">
                  <c:v>53668</c:v>
                </c:pt>
                <c:pt idx="2051">
                  <c:v>53675</c:v>
                </c:pt>
                <c:pt idx="2052">
                  <c:v>53682</c:v>
                </c:pt>
                <c:pt idx="2053">
                  <c:v>53692</c:v>
                </c:pt>
                <c:pt idx="2054">
                  <c:v>53699</c:v>
                </c:pt>
                <c:pt idx="2055">
                  <c:v>53706</c:v>
                </c:pt>
                <c:pt idx="2056">
                  <c:v>53714</c:v>
                </c:pt>
                <c:pt idx="2057">
                  <c:v>53720</c:v>
                </c:pt>
                <c:pt idx="2058">
                  <c:v>53727</c:v>
                </c:pt>
                <c:pt idx="2059">
                  <c:v>53734</c:v>
                </c:pt>
                <c:pt idx="2060">
                  <c:v>53742</c:v>
                </c:pt>
                <c:pt idx="2061">
                  <c:v>53748</c:v>
                </c:pt>
                <c:pt idx="2062">
                  <c:v>53755</c:v>
                </c:pt>
                <c:pt idx="2063">
                  <c:v>53762</c:v>
                </c:pt>
                <c:pt idx="2064">
                  <c:v>53769</c:v>
                </c:pt>
                <c:pt idx="2065">
                  <c:v>53776</c:v>
                </c:pt>
                <c:pt idx="2066">
                  <c:v>53783</c:v>
                </c:pt>
                <c:pt idx="2067">
                  <c:v>53790</c:v>
                </c:pt>
                <c:pt idx="2068">
                  <c:v>53799</c:v>
                </c:pt>
                <c:pt idx="2069">
                  <c:v>53804</c:v>
                </c:pt>
                <c:pt idx="2070">
                  <c:v>53811</c:v>
                </c:pt>
                <c:pt idx="2071">
                  <c:v>53819</c:v>
                </c:pt>
                <c:pt idx="2072">
                  <c:v>53825</c:v>
                </c:pt>
                <c:pt idx="2073">
                  <c:v>53832</c:v>
                </c:pt>
                <c:pt idx="2074">
                  <c:v>53840</c:v>
                </c:pt>
                <c:pt idx="2075">
                  <c:v>53846</c:v>
                </c:pt>
                <c:pt idx="2076">
                  <c:v>53853</c:v>
                </c:pt>
                <c:pt idx="2077">
                  <c:v>53860</c:v>
                </c:pt>
                <c:pt idx="2078">
                  <c:v>53867</c:v>
                </c:pt>
                <c:pt idx="2079">
                  <c:v>53874</c:v>
                </c:pt>
                <c:pt idx="2080">
                  <c:v>53881</c:v>
                </c:pt>
                <c:pt idx="2081">
                  <c:v>53888</c:v>
                </c:pt>
                <c:pt idx="2082">
                  <c:v>53895</c:v>
                </c:pt>
                <c:pt idx="2083">
                  <c:v>53902</c:v>
                </c:pt>
                <c:pt idx="2084">
                  <c:v>53909</c:v>
                </c:pt>
                <c:pt idx="2085">
                  <c:v>53916</c:v>
                </c:pt>
                <c:pt idx="2086">
                  <c:v>53923</c:v>
                </c:pt>
                <c:pt idx="2087">
                  <c:v>53931</c:v>
                </c:pt>
                <c:pt idx="2088">
                  <c:v>53938</c:v>
                </c:pt>
                <c:pt idx="2089">
                  <c:v>53944</c:v>
                </c:pt>
                <c:pt idx="2090">
                  <c:v>53951</c:v>
                </c:pt>
                <c:pt idx="2091">
                  <c:v>53958</c:v>
                </c:pt>
                <c:pt idx="2092">
                  <c:v>53965</c:v>
                </c:pt>
                <c:pt idx="2093">
                  <c:v>53972</c:v>
                </c:pt>
                <c:pt idx="2094">
                  <c:v>53980</c:v>
                </c:pt>
                <c:pt idx="2095">
                  <c:v>53986</c:v>
                </c:pt>
                <c:pt idx="2096">
                  <c:v>53993</c:v>
                </c:pt>
                <c:pt idx="2097">
                  <c:v>54000</c:v>
                </c:pt>
                <c:pt idx="2098">
                  <c:v>54008</c:v>
                </c:pt>
                <c:pt idx="2099">
                  <c:v>54014</c:v>
                </c:pt>
                <c:pt idx="2100">
                  <c:v>54021</c:v>
                </c:pt>
                <c:pt idx="2101">
                  <c:v>54028</c:v>
                </c:pt>
                <c:pt idx="2102">
                  <c:v>54035</c:v>
                </c:pt>
                <c:pt idx="2103">
                  <c:v>54042</c:v>
                </c:pt>
                <c:pt idx="2104">
                  <c:v>54049</c:v>
                </c:pt>
                <c:pt idx="2105">
                  <c:v>54057</c:v>
                </c:pt>
                <c:pt idx="2106">
                  <c:v>54064</c:v>
                </c:pt>
                <c:pt idx="2107">
                  <c:v>54071</c:v>
                </c:pt>
                <c:pt idx="2108">
                  <c:v>54078</c:v>
                </c:pt>
                <c:pt idx="2109">
                  <c:v>54085</c:v>
                </c:pt>
                <c:pt idx="2110">
                  <c:v>54092</c:v>
                </c:pt>
                <c:pt idx="2111">
                  <c:v>54099</c:v>
                </c:pt>
                <c:pt idx="2112">
                  <c:v>54106</c:v>
                </c:pt>
                <c:pt idx="2113">
                  <c:v>54113</c:v>
                </c:pt>
                <c:pt idx="2114">
                  <c:v>54120</c:v>
                </c:pt>
                <c:pt idx="2115">
                  <c:v>54127</c:v>
                </c:pt>
                <c:pt idx="2116">
                  <c:v>54134</c:v>
                </c:pt>
                <c:pt idx="2117">
                  <c:v>54141</c:v>
                </c:pt>
                <c:pt idx="2118">
                  <c:v>54148</c:v>
                </c:pt>
                <c:pt idx="2119">
                  <c:v>54157</c:v>
                </c:pt>
                <c:pt idx="2120">
                  <c:v>54164</c:v>
                </c:pt>
                <c:pt idx="2121">
                  <c:v>54171</c:v>
                </c:pt>
                <c:pt idx="2122">
                  <c:v>54178</c:v>
                </c:pt>
                <c:pt idx="2123">
                  <c:v>54185</c:v>
                </c:pt>
                <c:pt idx="2124">
                  <c:v>54192</c:v>
                </c:pt>
                <c:pt idx="2125">
                  <c:v>54199</c:v>
                </c:pt>
                <c:pt idx="2126">
                  <c:v>54206</c:v>
                </c:pt>
                <c:pt idx="2127">
                  <c:v>54213</c:v>
                </c:pt>
                <c:pt idx="2128">
                  <c:v>54220</c:v>
                </c:pt>
                <c:pt idx="2129">
                  <c:v>54227</c:v>
                </c:pt>
                <c:pt idx="2130">
                  <c:v>54234</c:v>
                </c:pt>
                <c:pt idx="2131">
                  <c:v>54241</c:v>
                </c:pt>
                <c:pt idx="2132">
                  <c:v>54248</c:v>
                </c:pt>
                <c:pt idx="2133">
                  <c:v>54255</c:v>
                </c:pt>
                <c:pt idx="2134">
                  <c:v>54262</c:v>
                </c:pt>
                <c:pt idx="2135">
                  <c:v>54269</c:v>
                </c:pt>
                <c:pt idx="2136">
                  <c:v>54276</c:v>
                </c:pt>
                <c:pt idx="2137">
                  <c:v>54283</c:v>
                </c:pt>
                <c:pt idx="2138">
                  <c:v>54290</c:v>
                </c:pt>
                <c:pt idx="2139">
                  <c:v>54297</c:v>
                </c:pt>
                <c:pt idx="2140">
                  <c:v>54304</c:v>
                </c:pt>
                <c:pt idx="2141">
                  <c:v>54311</c:v>
                </c:pt>
                <c:pt idx="2142">
                  <c:v>54318</c:v>
                </c:pt>
                <c:pt idx="2143">
                  <c:v>54325</c:v>
                </c:pt>
                <c:pt idx="2144">
                  <c:v>54332</c:v>
                </c:pt>
                <c:pt idx="2145">
                  <c:v>54339</c:v>
                </c:pt>
                <c:pt idx="2146">
                  <c:v>54346</c:v>
                </c:pt>
                <c:pt idx="2147">
                  <c:v>54353</c:v>
                </c:pt>
                <c:pt idx="2148">
                  <c:v>54360</c:v>
                </c:pt>
                <c:pt idx="2149">
                  <c:v>54367</c:v>
                </c:pt>
                <c:pt idx="2150">
                  <c:v>54374</c:v>
                </c:pt>
                <c:pt idx="2151">
                  <c:v>54381</c:v>
                </c:pt>
                <c:pt idx="2152">
                  <c:v>54389</c:v>
                </c:pt>
                <c:pt idx="2153">
                  <c:v>54395</c:v>
                </c:pt>
                <c:pt idx="2154">
                  <c:v>54402</c:v>
                </c:pt>
                <c:pt idx="2155">
                  <c:v>54409</c:v>
                </c:pt>
                <c:pt idx="2156">
                  <c:v>54416</c:v>
                </c:pt>
                <c:pt idx="2157">
                  <c:v>54423</c:v>
                </c:pt>
                <c:pt idx="2158">
                  <c:v>54430</c:v>
                </c:pt>
                <c:pt idx="2159">
                  <c:v>54437</c:v>
                </c:pt>
                <c:pt idx="2160">
                  <c:v>54444</c:v>
                </c:pt>
                <c:pt idx="2161">
                  <c:v>54451</c:v>
                </c:pt>
                <c:pt idx="2162">
                  <c:v>54458</c:v>
                </c:pt>
                <c:pt idx="2163">
                  <c:v>54465</c:v>
                </c:pt>
                <c:pt idx="2164">
                  <c:v>54472</c:v>
                </c:pt>
                <c:pt idx="2165">
                  <c:v>54479</c:v>
                </c:pt>
                <c:pt idx="2166">
                  <c:v>54486</c:v>
                </c:pt>
                <c:pt idx="2167">
                  <c:v>54493</c:v>
                </c:pt>
                <c:pt idx="2168">
                  <c:v>54500</c:v>
                </c:pt>
                <c:pt idx="2169">
                  <c:v>54507</c:v>
                </c:pt>
                <c:pt idx="2170">
                  <c:v>54514</c:v>
                </c:pt>
                <c:pt idx="2171">
                  <c:v>54521</c:v>
                </c:pt>
                <c:pt idx="2172">
                  <c:v>54528</c:v>
                </c:pt>
                <c:pt idx="2173">
                  <c:v>54535</c:v>
                </c:pt>
                <c:pt idx="2174">
                  <c:v>54542</c:v>
                </c:pt>
                <c:pt idx="2175">
                  <c:v>54549</c:v>
                </c:pt>
                <c:pt idx="2176">
                  <c:v>54556</c:v>
                </c:pt>
                <c:pt idx="2177">
                  <c:v>54563</c:v>
                </c:pt>
                <c:pt idx="2178">
                  <c:v>54570</c:v>
                </c:pt>
                <c:pt idx="2179">
                  <c:v>54577</c:v>
                </c:pt>
                <c:pt idx="2180">
                  <c:v>54584</c:v>
                </c:pt>
                <c:pt idx="2181">
                  <c:v>54591</c:v>
                </c:pt>
                <c:pt idx="2182">
                  <c:v>54598</c:v>
                </c:pt>
                <c:pt idx="2183">
                  <c:v>54605</c:v>
                </c:pt>
                <c:pt idx="2184">
                  <c:v>54612</c:v>
                </c:pt>
                <c:pt idx="2185">
                  <c:v>54619</c:v>
                </c:pt>
                <c:pt idx="2186">
                  <c:v>54626</c:v>
                </c:pt>
                <c:pt idx="2187">
                  <c:v>54633</c:v>
                </c:pt>
                <c:pt idx="2188">
                  <c:v>54640</c:v>
                </c:pt>
                <c:pt idx="2189">
                  <c:v>54647</c:v>
                </c:pt>
                <c:pt idx="2190">
                  <c:v>54654</c:v>
                </c:pt>
                <c:pt idx="2191">
                  <c:v>54661</c:v>
                </c:pt>
                <c:pt idx="2192">
                  <c:v>54668</c:v>
                </c:pt>
                <c:pt idx="2193">
                  <c:v>54675</c:v>
                </c:pt>
                <c:pt idx="2194">
                  <c:v>54682</c:v>
                </c:pt>
                <c:pt idx="2195">
                  <c:v>54689</c:v>
                </c:pt>
                <c:pt idx="2196">
                  <c:v>54696</c:v>
                </c:pt>
                <c:pt idx="2197">
                  <c:v>54703</c:v>
                </c:pt>
                <c:pt idx="2198">
                  <c:v>54710</c:v>
                </c:pt>
                <c:pt idx="2199">
                  <c:v>54717</c:v>
                </c:pt>
                <c:pt idx="2200">
                  <c:v>54724</c:v>
                </c:pt>
                <c:pt idx="2201">
                  <c:v>54731</c:v>
                </c:pt>
                <c:pt idx="2202">
                  <c:v>54739</c:v>
                </c:pt>
                <c:pt idx="2203">
                  <c:v>54745</c:v>
                </c:pt>
                <c:pt idx="2204">
                  <c:v>54753</c:v>
                </c:pt>
                <c:pt idx="2205">
                  <c:v>54759</c:v>
                </c:pt>
                <c:pt idx="2206">
                  <c:v>54766</c:v>
                </c:pt>
                <c:pt idx="2207">
                  <c:v>54773</c:v>
                </c:pt>
                <c:pt idx="2208">
                  <c:v>54780</c:v>
                </c:pt>
                <c:pt idx="2209">
                  <c:v>54792</c:v>
                </c:pt>
                <c:pt idx="2210">
                  <c:v>54795</c:v>
                </c:pt>
                <c:pt idx="2211">
                  <c:v>54802</c:v>
                </c:pt>
                <c:pt idx="2212">
                  <c:v>54809</c:v>
                </c:pt>
                <c:pt idx="2213">
                  <c:v>54816</c:v>
                </c:pt>
                <c:pt idx="2214">
                  <c:v>54823</c:v>
                </c:pt>
                <c:pt idx="2215">
                  <c:v>54830</c:v>
                </c:pt>
                <c:pt idx="2216">
                  <c:v>54837</c:v>
                </c:pt>
                <c:pt idx="2217">
                  <c:v>54844</c:v>
                </c:pt>
                <c:pt idx="2218">
                  <c:v>54851</c:v>
                </c:pt>
                <c:pt idx="2219">
                  <c:v>54858</c:v>
                </c:pt>
                <c:pt idx="2220">
                  <c:v>54865</c:v>
                </c:pt>
                <c:pt idx="2221">
                  <c:v>54872</c:v>
                </c:pt>
                <c:pt idx="2222">
                  <c:v>54879</c:v>
                </c:pt>
                <c:pt idx="2223">
                  <c:v>54890</c:v>
                </c:pt>
                <c:pt idx="2224">
                  <c:v>54893</c:v>
                </c:pt>
                <c:pt idx="2225">
                  <c:v>54900</c:v>
                </c:pt>
                <c:pt idx="2226">
                  <c:v>54907</c:v>
                </c:pt>
                <c:pt idx="2227">
                  <c:v>54914</c:v>
                </c:pt>
                <c:pt idx="2228">
                  <c:v>54921</c:v>
                </c:pt>
                <c:pt idx="2229">
                  <c:v>54928</c:v>
                </c:pt>
                <c:pt idx="2230">
                  <c:v>54935</c:v>
                </c:pt>
                <c:pt idx="2231">
                  <c:v>54942</c:v>
                </c:pt>
                <c:pt idx="2232">
                  <c:v>54949</c:v>
                </c:pt>
                <c:pt idx="2233">
                  <c:v>54956</c:v>
                </c:pt>
                <c:pt idx="2234">
                  <c:v>54963</c:v>
                </c:pt>
                <c:pt idx="2235">
                  <c:v>54970</c:v>
                </c:pt>
                <c:pt idx="2236">
                  <c:v>54977</c:v>
                </c:pt>
                <c:pt idx="2237">
                  <c:v>54984</c:v>
                </c:pt>
                <c:pt idx="2238">
                  <c:v>54991</c:v>
                </c:pt>
                <c:pt idx="2239">
                  <c:v>54998</c:v>
                </c:pt>
                <c:pt idx="2240">
                  <c:v>55005</c:v>
                </c:pt>
                <c:pt idx="2241">
                  <c:v>55012</c:v>
                </c:pt>
                <c:pt idx="2242">
                  <c:v>55019</c:v>
                </c:pt>
                <c:pt idx="2243">
                  <c:v>55026</c:v>
                </c:pt>
                <c:pt idx="2244">
                  <c:v>55033</c:v>
                </c:pt>
                <c:pt idx="2245">
                  <c:v>55040</c:v>
                </c:pt>
                <c:pt idx="2246">
                  <c:v>55047</c:v>
                </c:pt>
                <c:pt idx="2247">
                  <c:v>55054</c:v>
                </c:pt>
                <c:pt idx="2248">
                  <c:v>55061</c:v>
                </c:pt>
                <c:pt idx="2249">
                  <c:v>55068</c:v>
                </c:pt>
                <c:pt idx="2250">
                  <c:v>55075</c:v>
                </c:pt>
                <c:pt idx="2251">
                  <c:v>55082</c:v>
                </c:pt>
                <c:pt idx="2252">
                  <c:v>55089</c:v>
                </c:pt>
                <c:pt idx="2253">
                  <c:v>55096</c:v>
                </c:pt>
                <c:pt idx="2254">
                  <c:v>55106</c:v>
                </c:pt>
                <c:pt idx="2255">
                  <c:v>55110</c:v>
                </c:pt>
                <c:pt idx="2256">
                  <c:v>55117</c:v>
                </c:pt>
                <c:pt idx="2257">
                  <c:v>55124</c:v>
                </c:pt>
                <c:pt idx="2258">
                  <c:v>55131</c:v>
                </c:pt>
                <c:pt idx="2259">
                  <c:v>55138</c:v>
                </c:pt>
                <c:pt idx="2260">
                  <c:v>55145</c:v>
                </c:pt>
                <c:pt idx="2261">
                  <c:v>55152</c:v>
                </c:pt>
                <c:pt idx="2262">
                  <c:v>55159</c:v>
                </c:pt>
                <c:pt idx="2263">
                  <c:v>55166</c:v>
                </c:pt>
                <c:pt idx="2264">
                  <c:v>55173</c:v>
                </c:pt>
                <c:pt idx="2265">
                  <c:v>55180</c:v>
                </c:pt>
                <c:pt idx="2266">
                  <c:v>55187</c:v>
                </c:pt>
                <c:pt idx="2267">
                  <c:v>55194</c:v>
                </c:pt>
                <c:pt idx="2268">
                  <c:v>55201</c:v>
                </c:pt>
                <c:pt idx="2269">
                  <c:v>55208</c:v>
                </c:pt>
                <c:pt idx="2270">
                  <c:v>55215</c:v>
                </c:pt>
                <c:pt idx="2271">
                  <c:v>55222</c:v>
                </c:pt>
                <c:pt idx="2272">
                  <c:v>55229</c:v>
                </c:pt>
                <c:pt idx="2273">
                  <c:v>55236</c:v>
                </c:pt>
                <c:pt idx="2274">
                  <c:v>55247</c:v>
                </c:pt>
                <c:pt idx="2275">
                  <c:v>55250</c:v>
                </c:pt>
                <c:pt idx="2276">
                  <c:v>55257</c:v>
                </c:pt>
                <c:pt idx="2277">
                  <c:v>55264</c:v>
                </c:pt>
                <c:pt idx="2278">
                  <c:v>55271</c:v>
                </c:pt>
                <c:pt idx="2279">
                  <c:v>55278</c:v>
                </c:pt>
                <c:pt idx="2280">
                  <c:v>55285</c:v>
                </c:pt>
                <c:pt idx="2281">
                  <c:v>55292</c:v>
                </c:pt>
                <c:pt idx="2282">
                  <c:v>55299</c:v>
                </c:pt>
                <c:pt idx="2283">
                  <c:v>55306</c:v>
                </c:pt>
                <c:pt idx="2284">
                  <c:v>55313</c:v>
                </c:pt>
                <c:pt idx="2285">
                  <c:v>55320</c:v>
                </c:pt>
                <c:pt idx="2286">
                  <c:v>55327</c:v>
                </c:pt>
                <c:pt idx="2287">
                  <c:v>55334</c:v>
                </c:pt>
                <c:pt idx="2288">
                  <c:v>55341</c:v>
                </c:pt>
                <c:pt idx="2289">
                  <c:v>55348</c:v>
                </c:pt>
                <c:pt idx="2290">
                  <c:v>55355</c:v>
                </c:pt>
                <c:pt idx="2291">
                  <c:v>55362</c:v>
                </c:pt>
                <c:pt idx="2292">
                  <c:v>55369</c:v>
                </c:pt>
                <c:pt idx="2293">
                  <c:v>55376</c:v>
                </c:pt>
                <c:pt idx="2294">
                  <c:v>55383</c:v>
                </c:pt>
                <c:pt idx="2295">
                  <c:v>55390</c:v>
                </c:pt>
                <c:pt idx="2296">
                  <c:v>55397</c:v>
                </c:pt>
                <c:pt idx="2297">
                  <c:v>55404</c:v>
                </c:pt>
                <c:pt idx="2298">
                  <c:v>55411</c:v>
                </c:pt>
                <c:pt idx="2299">
                  <c:v>55418</c:v>
                </c:pt>
                <c:pt idx="2300">
                  <c:v>55425</c:v>
                </c:pt>
                <c:pt idx="2301">
                  <c:v>55432</c:v>
                </c:pt>
                <c:pt idx="2302">
                  <c:v>55439</c:v>
                </c:pt>
                <c:pt idx="2303">
                  <c:v>55446</c:v>
                </c:pt>
                <c:pt idx="2304">
                  <c:v>55453</c:v>
                </c:pt>
                <c:pt idx="2305">
                  <c:v>55460</c:v>
                </c:pt>
                <c:pt idx="2306">
                  <c:v>55470</c:v>
                </c:pt>
                <c:pt idx="2307">
                  <c:v>55474</c:v>
                </c:pt>
                <c:pt idx="2308">
                  <c:v>55481</c:v>
                </c:pt>
                <c:pt idx="2309">
                  <c:v>55488</c:v>
                </c:pt>
                <c:pt idx="2310">
                  <c:v>55495</c:v>
                </c:pt>
                <c:pt idx="2311">
                  <c:v>55502</c:v>
                </c:pt>
                <c:pt idx="2312">
                  <c:v>55509</c:v>
                </c:pt>
                <c:pt idx="2313">
                  <c:v>55516</c:v>
                </c:pt>
                <c:pt idx="2314">
                  <c:v>55523</c:v>
                </c:pt>
                <c:pt idx="2315">
                  <c:v>55530</c:v>
                </c:pt>
                <c:pt idx="2316">
                  <c:v>55537</c:v>
                </c:pt>
                <c:pt idx="2317">
                  <c:v>55544</c:v>
                </c:pt>
                <c:pt idx="2318">
                  <c:v>55551</c:v>
                </c:pt>
                <c:pt idx="2319">
                  <c:v>55558</c:v>
                </c:pt>
                <c:pt idx="2320">
                  <c:v>55565</c:v>
                </c:pt>
                <c:pt idx="2321">
                  <c:v>55572</c:v>
                </c:pt>
                <c:pt idx="2322">
                  <c:v>55579</c:v>
                </c:pt>
                <c:pt idx="2323">
                  <c:v>55586</c:v>
                </c:pt>
                <c:pt idx="2324">
                  <c:v>55593</c:v>
                </c:pt>
                <c:pt idx="2325">
                  <c:v>55600</c:v>
                </c:pt>
                <c:pt idx="2326">
                  <c:v>55607</c:v>
                </c:pt>
                <c:pt idx="2327">
                  <c:v>55614</c:v>
                </c:pt>
                <c:pt idx="2328">
                  <c:v>55621</c:v>
                </c:pt>
                <c:pt idx="2329">
                  <c:v>55632</c:v>
                </c:pt>
                <c:pt idx="2330">
                  <c:v>55635</c:v>
                </c:pt>
                <c:pt idx="2331">
                  <c:v>55642</c:v>
                </c:pt>
                <c:pt idx="2332">
                  <c:v>55649</c:v>
                </c:pt>
                <c:pt idx="2333">
                  <c:v>55656</c:v>
                </c:pt>
                <c:pt idx="2334">
                  <c:v>55663</c:v>
                </c:pt>
                <c:pt idx="2335">
                  <c:v>55670</c:v>
                </c:pt>
                <c:pt idx="2336">
                  <c:v>55677</c:v>
                </c:pt>
                <c:pt idx="2337">
                  <c:v>55684</c:v>
                </c:pt>
                <c:pt idx="2338">
                  <c:v>55691</c:v>
                </c:pt>
                <c:pt idx="2339">
                  <c:v>55698</c:v>
                </c:pt>
                <c:pt idx="2340">
                  <c:v>55705</c:v>
                </c:pt>
                <c:pt idx="2341">
                  <c:v>55712</c:v>
                </c:pt>
                <c:pt idx="2342">
                  <c:v>55719</c:v>
                </c:pt>
                <c:pt idx="2343">
                  <c:v>55726</c:v>
                </c:pt>
                <c:pt idx="2344">
                  <c:v>55733</c:v>
                </c:pt>
                <c:pt idx="2345">
                  <c:v>55740</c:v>
                </c:pt>
                <c:pt idx="2346">
                  <c:v>55747</c:v>
                </c:pt>
                <c:pt idx="2347">
                  <c:v>55754</c:v>
                </c:pt>
                <c:pt idx="2348">
                  <c:v>55761</c:v>
                </c:pt>
                <c:pt idx="2349">
                  <c:v>55768</c:v>
                </c:pt>
                <c:pt idx="2350">
                  <c:v>55775</c:v>
                </c:pt>
                <c:pt idx="2351">
                  <c:v>55782</c:v>
                </c:pt>
                <c:pt idx="2352">
                  <c:v>55789</c:v>
                </c:pt>
                <c:pt idx="2353">
                  <c:v>55796</c:v>
                </c:pt>
                <c:pt idx="2354">
                  <c:v>55803</c:v>
                </c:pt>
                <c:pt idx="2355">
                  <c:v>55810</c:v>
                </c:pt>
                <c:pt idx="2356">
                  <c:v>55817</c:v>
                </c:pt>
                <c:pt idx="2357">
                  <c:v>55824</c:v>
                </c:pt>
                <c:pt idx="2358">
                  <c:v>55831</c:v>
                </c:pt>
                <c:pt idx="2359">
                  <c:v>55838</c:v>
                </c:pt>
                <c:pt idx="2360">
                  <c:v>55845</c:v>
                </c:pt>
                <c:pt idx="2361">
                  <c:v>55852</c:v>
                </c:pt>
                <c:pt idx="2362">
                  <c:v>55859</c:v>
                </c:pt>
                <c:pt idx="2363">
                  <c:v>55866</c:v>
                </c:pt>
                <c:pt idx="2364">
                  <c:v>55873</c:v>
                </c:pt>
                <c:pt idx="2365">
                  <c:v>55884</c:v>
                </c:pt>
                <c:pt idx="2366">
                  <c:v>55891</c:v>
                </c:pt>
                <c:pt idx="2367">
                  <c:v>55898</c:v>
                </c:pt>
                <c:pt idx="2368">
                  <c:v>55905</c:v>
                </c:pt>
                <c:pt idx="2369">
                  <c:v>55912</c:v>
                </c:pt>
                <c:pt idx="2370">
                  <c:v>55919</c:v>
                </c:pt>
                <c:pt idx="2371">
                  <c:v>55926</c:v>
                </c:pt>
                <c:pt idx="2372">
                  <c:v>55933</c:v>
                </c:pt>
                <c:pt idx="2373">
                  <c:v>55940</c:v>
                </c:pt>
                <c:pt idx="2374">
                  <c:v>55947</c:v>
                </c:pt>
                <c:pt idx="2375">
                  <c:v>55954</c:v>
                </c:pt>
                <c:pt idx="2376">
                  <c:v>55961</c:v>
                </c:pt>
                <c:pt idx="2377">
                  <c:v>55968</c:v>
                </c:pt>
                <c:pt idx="2378">
                  <c:v>55975</c:v>
                </c:pt>
                <c:pt idx="2379">
                  <c:v>55984</c:v>
                </c:pt>
                <c:pt idx="2380">
                  <c:v>55991</c:v>
                </c:pt>
                <c:pt idx="2381">
                  <c:v>55998</c:v>
                </c:pt>
                <c:pt idx="2382">
                  <c:v>56005</c:v>
                </c:pt>
                <c:pt idx="2383">
                  <c:v>56012</c:v>
                </c:pt>
                <c:pt idx="2384">
                  <c:v>56019</c:v>
                </c:pt>
                <c:pt idx="2385">
                  <c:v>56026</c:v>
                </c:pt>
                <c:pt idx="2386">
                  <c:v>56033</c:v>
                </c:pt>
                <c:pt idx="2387">
                  <c:v>56040</c:v>
                </c:pt>
                <c:pt idx="2388">
                  <c:v>56047</c:v>
                </c:pt>
                <c:pt idx="2389">
                  <c:v>56054</c:v>
                </c:pt>
                <c:pt idx="2390">
                  <c:v>56061</c:v>
                </c:pt>
                <c:pt idx="2391">
                  <c:v>56068</c:v>
                </c:pt>
                <c:pt idx="2392">
                  <c:v>56075</c:v>
                </c:pt>
                <c:pt idx="2393">
                  <c:v>56082</c:v>
                </c:pt>
                <c:pt idx="2394">
                  <c:v>56089</c:v>
                </c:pt>
                <c:pt idx="2395">
                  <c:v>56096</c:v>
                </c:pt>
                <c:pt idx="2396">
                  <c:v>56103</c:v>
                </c:pt>
                <c:pt idx="2397">
                  <c:v>56110</c:v>
                </c:pt>
                <c:pt idx="2398">
                  <c:v>56117</c:v>
                </c:pt>
                <c:pt idx="2399">
                  <c:v>56124</c:v>
                </c:pt>
                <c:pt idx="2400">
                  <c:v>56131</c:v>
                </c:pt>
                <c:pt idx="2401">
                  <c:v>56138</c:v>
                </c:pt>
                <c:pt idx="2402">
                  <c:v>56145</c:v>
                </c:pt>
                <c:pt idx="2403">
                  <c:v>56152</c:v>
                </c:pt>
                <c:pt idx="2404">
                  <c:v>56159</c:v>
                </c:pt>
                <c:pt idx="2405">
                  <c:v>56166</c:v>
                </c:pt>
                <c:pt idx="2406">
                  <c:v>56173</c:v>
                </c:pt>
                <c:pt idx="2407">
                  <c:v>56180</c:v>
                </c:pt>
                <c:pt idx="2408">
                  <c:v>56187</c:v>
                </c:pt>
                <c:pt idx="2409">
                  <c:v>56194</c:v>
                </c:pt>
                <c:pt idx="2410">
                  <c:v>56201</c:v>
                </c:pt>
                <c:pt idx="2411">
                  <c:v>56208</c:v>
                </c:pt>
                <c:pt idx="2412">
                  <c:v>56216</c:v>
                </c:pt>
                <c:pt idx="2413">
                  <c:v>56222</c:v>
                </c:pt>
                <c:pt idx="2414">
                  <c:v>56229</c:v>
                </c:pt>
                <c:pt idx="2415">
                  <c:v>56236</c:v>
                </c:pt>
                <c:pt idx="2416">
                  <c:v>56247</c:v>
                </c:pt>
                <c:pt idx="2417">
                  <c:v>56251</c:v>
                </c:pt>
                <c:pt idx="2418">
                  <c:v>56257</c:v>
                </c:pt>
                <c:pt idx="2419">
                  <c:v>56264</c:v>
                </c:pt>
                <c:pt idx="2420">
                  <c:v>56271</c:v>
                </c:pt>
                <c:pt idx="2421">
                  <c:v>56278</c:v>
                </c:pt>
                <c:pt idx="2422">
                  <c:v>56285</c:v>
                </c:pt>
                <c:pt idx="2423">
                  <c:v>56292</c:v>
                </c:pt>
                <c:pt idx="2424">
                  <c:v>56299</c:v>
                </c:pt>
                <c:pt idx="2425">
                  <c:v>56306</c:v>
                </c:pt>
                <c:pt idx="2426">
                  <c:v>56313</c:v>
                </c:pt>
                <c:pt idx="2427">
                  <c:v>56320</c:v>
                </c:pt>
                <c:pt idx="2428">
                  <c:v>56327</c:v>
                </c:pt>
                <c:pt idx="2429">
                  <c:v>56334</c:v>
                </c:pt>
                <c:pt idx="2430">
                  <c:v>56341</c:v>
                </c:pt>
                <c:pt idx="2431">
                  <c:v>56348</c:v>
                </c:pt>
                <c:pt idx="2432">
                  <c:v>56355</c:v>
                </c:pt>
                <c:pt idx="2433">
                  <c:v>56362</c:v>
                </c:pt>
                <c:pt idx="2434">
                  <c:v>56369</c:v>
                </c:pt>
                <c:pt idx="2435">
                  <c:v>56376</c:v>
                </c:pt>
                <c:pt idx="2436">
                  <c:v>56383</c:v>
                </c:pt>
                <c:pt idx="2437">
                  <c:v>56390</c:v>
                </c:pt>
                <c:pt idx="2438">
                  <c:v>56397</c:v>
                </c:pt>
                <c:pt idx="2439">
                  <c:v>56404</c:v>
                </c:pt>
                <c:pt idx="2440">
                  <c:v>56411</c:v>
                </c:pt>
                <c:pt idx="2441">
                  <c:v>56418</c:v>
                </c:pt>
                <c:pt idx="2442">
                  <c:v>56425</c:v>
                </c:pt>
                <c:pt idx="2443">
                  <c:v>56432</c:v>
                </c:pt>
                <c:pt idx="2444">
                  <c:v>56439</c:v>
                </c:pt>
                <c:pt idx="2445">
                  <c:v>56446</c:v>
                </c:pt>
                <c:pt idx="2446">
                  <c:v>56453</c:v>
                </c:pt>
                <c:pt idx="2447">
                  <c:v>56460</c:v>
                </c:pt>
                <c:pt idx="2448">
                  <c:v>56467</c:v>
                </c:pt>
                <c:pt idx="2449">
                  <c:v>56474</c:v>
                </c:pt>
                <c:pt idx="2450">
                  <c:v>56481</c:v>
                </c:pt>
                <c:pt idx="2451">
                  <c:v>56488</c:v>
                </c:pt>
                <c:pt idx="2452">
                  <c:v>56495</c:v>
                </c:pt>
                <c:pt idx="2453">
                  <c:v>56502</c:v>
                </c:pt>
                <c:pt idx="2454">
                  <c:v>56509</c:v>
                </c:pt>
                <c:pt idx="2455">
                  <c:v>56516</c:v>
                </c:pt>
                <c:pt idx="2456">
                  <c:v>56523</c:v>
                </c:pt>
                <c:pt idx="2457">
                  <c:v>56530</c:v>
                </c:pt>
                <c:pt idx="2458">
                  <c:v>56537</c:v>
                </c:pt>
                <c:pt idx="2459">
                  <c:v>56544</c:v>
                </c:pt>
                <c:pt idx="2460">
                  <c:v>56551</c:v>
                </c:pt>
                <c:pt idx="2461">
                  <c:v>56558</c:v>
                </c:pt>
                <c:pt idx="2462">
                  <c:v>56565</c:v>
                </c:pt>
                <c:pt idx="2463">
                  <c:v>56572</c:v>
                </c:pt>
                <c:pt idx="2464">
                  <c:v>56580</c:v>
                </c:pt>
                <c:pt idx="2465">
                  <c:v>56586</c:v>
                </c:pt>
                <c:pt idx="2466">
                  <c:v>56593</c:v>
                </c:pt>
                <c:pt idx="2467">
                  <c:v>56600</c:v>
                </c:pt>
                <c:pt idx="2468">
                  <c:v>56607</c:v>
                </c:pt>
                <c:pt idx="2469">
                  <c:v>56614</c:v>
                </c:pt>
                <c:pt idx="2470">
                  <c:v>56621</c:v>
                </c:pt>
                <c:pt idx="2471">
                  <c:v>56628</c:v>
                </c:pt>
                <c:pt idx="2472">
                  <c:v>56635</c:v>
                </c:pt>
                <c:pt idx="2473">
                  <c:v>56642</c:v>
                </c:pt>
                <c:pt idx="2474">
                  <c:v>56649</c:v>
                </c:pt>
                <c:pt idx="2475">
                  <c:v>56656</c:v>
                </c:pt>
                <c:pt idx="2476">
                  <c:v>56663</c:v>
                </c:pt>
                <c:pt idx="2477">
                  <c:v>56670</c:v>
                </c:pt>
                <c:pt idx="2478">
                  <c:v>56677</c:v>
                </c:pt>
                <c:pt idx="2479">
                  <c:v>56684</c:v>
                </c:pt>
                <c:pt idx="2480">
                  <c:v>56691</c:v>
                </c:pt>
                <c:pt idx="2481">
                  <c:v>56698</c:v>
                </c:pt>
                <c:pt idx="2482">
                  <c:v>56705</c:v>
                </c:pt>
                <c:pt idx="2483">
                  <c:v>56712</c:v>
                </c:pt>
                <c:pt idx="2484">
                  <c:v>56719</c:v>
                </c:pt>
                <c:pt idx="2485">
                  <c:v>56726</c:v>
                </c:pt>
                <c:pt idx="2486">
                  <c:v>56733</c:v>
                </c:pt>
                <c:pt idx="2487">
                  <c:v>56740</c:v>
                </c:pt>
                <c:pt idx="2488">
                  <c:v>56747</c:v>
                </c:pt>
                <c:pt idx="2489">
                  <c:v>56754</c:v>
                </c:pt>
                <c:pt idx="2490">
                  <c:v>56761</c:v>
                </c:pt>
                <c:pt idx="2491">
                  <c:v>56768</c:v>
                </c:pt>
                <c:pt idx="2492">
                  <c:v>56775</c:v>
                </c:pt>
                <c:pt idx="2493">
                  <c:v>56782</c:v>
                </c:pt>
                <c:pt idx="2494">
                  <c:v>56789</c:v>
                </c:pt>
                <c:pt idx="2495">
                  <c:v>56796</c:v>
                </c:pt>
                <c:pt idx="2496">
                  <c:v>56803</c:v>
                </c:pt>
                <c:pt idx="2497">
                  <c:v>56810</c:v>
                </c:pt>
                <c:pt idx="2498">
                  <c:v>56817</c:v>
                </c:pt>
                <c:pt idx="2499">
                  <c:v>56824</c:v>
                </c:pt>
                <c:pt idx="2500">
                  <c:v>56831</c:v>
                </c:pt>
                <c:pt idx="2501">
                  <c:v>56838</c:v>
                </c:pt>
                <c:pt idx="2502">
                  <c:v>56845</c:v>
                </c:pt>
                <c:pt idx="2503">
                  <c:v>56852</c:v>
                </c:pt>
                <c:pt idx="2504">
                  <c:v>56859</c:v>
                </c:pt>
                <c:pt idx="2505">
                  <c:v>56866</c:v>
                </c:pt>
                <c:pt idx="2506">
                  <c:v>56873</c:v>
                </c:pt>
                <c:pt idx="2507">
                  <c:v>56880</c:v>
                </c:pt>
                <c:pt idx="2508">
                  <c:v>56887</c:v>
                </c:pt>
                <c:pt idx="2509">
                  <c:v>56894</c:v>
                </c:pt>
                <c:pt idx="2510">
                  <c:v>56901</c:v>
                </c:pt>
                <c:pt idx="2511">
                  <c:v>56908</c:v>
                </c:pt>
                <c:pt idx="2512">
                  <c:v>56915</c:v>
                </c:pt>
                <c:pt idx="2513">
                  <c:v>56922</c:v>
                </c:pt>
                <c:pt idx="2514">
                  <c:v>56930</c:v>
                </c:pt>
                <c:pt idx="2515">
                  <c:v>56936</c:v>
                </c:pt>
                <c:pt idx="2516">
                  <c:v>56944</c:v>
                </c:pt>
                <c:pt idx="2517">
                  <c:v>56950</c:v>
                </c:pt>
                <c:pt idx="2518">
                  <c:v>56957</c:v>
                </c:pt>
                <c:pt idx="2519">
                  <c:v>56964</c:v>
                </c:pt>
                <c:pt idx="2520">
                  <c:v>56971</c:v>
                </c:pt>
                <c:pt idx="2521">
                  <c:v>56983</c:v>
                </c:pt>
                <c:pt idx="2522">
                  <c:v>56986</c:v>
                </c:pt>
                <c:pt idx="2523">
                  <c:v>56993</c:v>
                </c:pt>
                <c:pt idx="2524">
                  <c:v>57000</c:v>
                </c:pt>
                <c:pt idx="2525">
                  <c:v>57007</c:v>
                </c:pt>
                <c:pt idx="2526">
                  <c:v>57014</c:v>
                </c:pt>
                <c:pt idx="2527">
                  <c:v>57021</c:v>
                </c:pt>
                <c:pt idx="2528">
                  <c:v>57028</c:v>
                </c:pt>
                <c:pt idx="2529">
                  <c:v>57035</c:v>
                </c:pt>
                <c:pt idx="2530">
                  <c:v>57042</c:v>
                </c:pt>
                <c:pt idx="2531">
                  <c:v>57049</c:v>
                </c:pt>
                <c:pt idx="2532">
                  <c:v>57056</c:v>
                </c:pt>
                <c:pt idx="2533">
                  <c:v>57063</c:v>
                </c:pt>
                <c:pt idx="2534">
                  <c:v>57074</c:v>
                </c:pt>
                <c:pt idx="2535">
                  <c:v>57077</c:v>
                </c:pt>
                <c:pt idx="2536">
                  <c:v>57084</c:v>
                </c:pt>
                <c:pt idx="2537">
                  <c:v>57091</c:v>
                </c:pt>
                <c:pt idx="2538">
                  <c:v>57098</c:v>
                </c:pt>
                <c:pt idx="2539">
                  <c:v>57105</c:v>
                </c:pt>
                <c:pt idx="2540">
                  <c:v>57112</c:v>
                </c:pt>
                <c:pt idx="2541">
                  <c:v>57119</c:v>
                </c:pt>
                <c:pt idx="2542">
                  <c:v>57126</c:v>
                </c:pt>
                <c:pt idx="2543">
                  <c:v>57133</c:v>
                </c:pt>
                <c:pt idx="2544">
                  <c:v>57140</c:v>
                </c:pt>
                <c:pt idx="2545">
                  <c:v>57147</c:v>
                </c:pt>
                <c:pt idx="2546">
                  <c:v>57154</c:v>
                </c:pt>
                <c:pt idx="2547">
                  <c:v>57161</c:v>
                </c:pt>
                <c:pt idx="2548">
                  <c:v>57168</c:v>
                </c:pt>
                <c:pt idx="2549">
                  <c:v>57175</c:v>
                </c:pt>
                <c:pt idx="2550">
                  <c:v>57182</c:v>
                </c:pt>
                <c:pt idx="2551">
                  <c:v>57189</c:v>
                </c:pt>
                <c:pt idx="2552">
                  <c:v>57196</c:v>
                </c:pt>
                <c:pt idx="2553">
                  <c:v>57203</c:v>
                </c:pt>
                <c:pt idx="2554">
                  <c:v>57210</c:v>
                </c:pt>
                <c:pt idx="2555">
                  <c:v>57217</c:v>
                </c:pt>
                <c:pt idx="2556">
                  <c:v>57224</c:v>
                </c:pt>
                <c:pt idx="2557">
                  <c:v>57231</c:v>
                </c:pt>
                <c:pt idx="2558">
                  <c:v>57238</c:v>
                </c:pt>
                <c:pt idx="2559">
                  <c:v>57245</c:v>
                </c:pt>
                <c:pt idx="2560">
                  <c:v>57252</c:v>
                </c:pt>
                <c:pt idx="2561">
                  <c:v>57259</c:v>
                </c:pt>
                <c:pt idx="2562">
                  <c:v>57266</c:v>
                </c:pt>
                <c:pt idx="2563">
                  <c:v>57273</c:v>
                </c:pt>
                <c:pt idx="2564">
                  <c:v>57280</c:v>
                </c:pt>
                <c:pt idx="2565">
                  <c:v>57287</c:v>
                </c:pt>
                <c:pt idx="2566">
                  <c:v>57297</c:v>
                </c:pt>
                <c:pt idx="2567">
                  <c:v>57301</c:v>
                </c:pt>
                <c:pt idx="2568">
                  <c:v>57308</c:v>
                </c:pt>
                <c:pt idx="2569">
                  <c:v>57315</c:v>
                </c:pt>
                <c:pt idx="2570">
                  <c:v>57322</c:v>
                </c:pt>
                <c:pt idx="2571">
                  <c:v>57329</c:v>
                </c:pt>
                <c:pt idx="2572">
                  <c:v>57336</c:v>
                </c:pt>
                <c:pt idx="2573">
                  <c:v>57343</c:v>
                </c:pt>
                <c:pt idx="2574">
                  <c:v>57350</c:v>
                </c:pt>
                <c:pt idx="2575">
                  <c:v>57357</c:v>
                </c:pt>
                <c:pt idx="2576">
                  <c:v>57364</c:v>
                </c:pt>
                <c:pt idx="2577">
                  <c:v>57371</c:v>
                </c:pt>
                <c:pt idx="2578">
                  <c:v>57378</c:v>
                </c:pt>
                <c:pt idx="2579">
                  <c:v>57385</c:v>
                </c:pt>
                <c:pt idx="2580">
                  <c:v>57392</c:v>
                </c:pt>
                <c:pt idx="2581">
                  <c:v>57399</c:v>
                </c:pt>
                <c:pt idx="2582">
                  <c:v>57406</c:v>
                </c:pt>
                <c:pt idx="2583">
                  <c:v>57413</c:v>
                </c:pt>
                <c:pt idx="2584">
                  <c:v>57420</c:v>
                </c:pt>
                <c:pt idx="2585">
                  <c:v>57427</c:v>
                </c:pt>
                <c:pt idx="2586">
                  <c:v>57434</c:v>
                </c:pt>
                <c:pt idx="2587">
                  <c:v>57441</c:v>
                </c:pt>
                <c:pt idx="2588">
                  <c:v>57448</c:v>
                </c:pt>
                <c:pt idx="2589">
                  <c:v>57459</c:v>
                </c:pt>
                <c:pt idx="2590">
                  <c:v>57462</c:v>
                </c:pt>
                <c:pt idx="2591">
                  <c:v>57469</c:v>
                </c:pt>
                <c:pt idx="2592">
                  <c:v>57476</c:v>
                </c:pt>
                <c:pt idx="2593">
                  <c:v>57483</c:v>
                </c:pt>
                <c:pt idx="2594">
                  <c:v>57490</c:v>
                </c:pt>
                <c:pt idx="2595">
                  <c:v>57497</c:v>
                </c:pt>
                <c:pt idx="2596">
                  <c:v>57504</c:v>
                </c:pt>
                <c:pt idx="2597">
                  <c:v>57511</c:v>
                </c:pt>
                <c:pt idx="2598">
                  <c:v>57518</c:v>
                </c:pt>
                <c:pt idx="2599">
                  <c:v>57525</c:v>
                </c:pt>
                <c:pt idx="2600">
                  <c:v>57532</c:v>
                </c:pt>
                <c:pt idx="2601">
                  <c:v>57539</c:v>
                </c:pt>
                <c:pt idx="2602">
                  <c:v>57546</c:v>
                </c:pt>
                <c:pt idx="2603">
                  <c:v>57553</c:v>
                </c:pt>
                <c:pt idx="2604">
                  <c:v>57560</c:v>
                </c:pt>
                <c:pt idx="2605">
                  <c:v>57567</c:v>
                </c:pt>
                <c:pt idx="2606">
                  <c:v>57574</c:v>
                </c:pt>
                <c:pt idx="2607">
                  <c:v>57581</c:v>
                </c:pt>
                <c:pt idx="2608">
                  <c:v>57588</c:v>
                </c:pt>
                <c:pt idx="2609">
                  <c:v>57595</c:v>
                </c:pt>
                <c:pt idx="2610">
                  <c:v>57602</c:v>
                </c:pt>
                <c:pt idx="2611">
                  <c:v>57609</c:v>
                </c:pt>
                <c:pt idx="2612">
                  <c:v>57616</c:v>
                </c:pt>
                <c:pt idx="2613">
                  <c:v>57623</c:v>
                </c:pt>
                <c:pt idx="2614">
                  <c:v>57630</c:v>
                </c:pt>
                <c:pt idx="2615">
                  <c:v>57637</c:v>
                </c:pt>
                <c:pt idx="2616">
                  <c:v>57644</c:v>
                </c:pt>
                <c:pt idx="2617">
                  <c:v>57651</c:v>
                </c:pt>
                <c:pt idx="2618">
                  <c:v>57658</c:v>
                </c:pt>
                <c:pt idx="2619">
                  <c:v>57665</c:v>
                </c:pt>
                <c:pt idx="2620">
                  <c:v>57672</c:v>
                </c:pt>
                <c:pt idx="2621">
                  <c:v>57679</c:v>
                </c:pt>
                <c:pt idx="2622">
                  <c:v>57686</c:v>
                </c:pt>
                <c:pt idx="2623">
                  <c:v>57693</c:v>
                </c:pt>
                <c:pt idx="2624">
                  <c:v>57700</c:v>
                </c:pt>
                <c:pt idx="2625">
                  <c:v>57710</c:v>
                </c:pt>
                <c:pt idx="2626">
                  <c:v>57717</c:v>
                </c:pt>
                <c:pt idx="2627">
                  <c:v>57724</c:v>
                </c:pt>
                <c:pt idx="2628">
                  <c:v>57732</c:v>
                </c:pt>
                <c:pt idx="2629">
                  <c:v>57738</c:v>
                </c:pt>
                <c:pt idx="2630">
                  <c:v>57745</c:v>
                </c:pt>
                <c:pt idx="2631">
                  <c:v>57752</c:v>
                </c:pt>
                <c:pt idx="2632">
                  <c:v>57760</c:v>
                </c:pt>
                <c:pt idx="2633">
                  <c:v>57766</c:v>
                </c:pt>
                <c:pt idx="2634">
                  <c:v>57773</c:v>
                </c:pt>
                <c:pt idx="2635">
                  <c:v>57780</c:v>
                </c:pt>
                <c:pt idx="2636">
                  <c:v>57787</c:v>
                </c:pt>
                <c:pt idx="2637">
                  <c:v>57794</c:v>
                </c:pt>
                <c:pt idx="2638">
                  <c:v>57801</c:v>
                </c:pt>
                <c:pt idx="2639">
                  <c:v>57808</c:v>
                </c:pt>
                <c:pt idx="2640">
                  <c:v>57817</c:v>
                </c:pt>
                <c:pt idx="2641">
                  <c:v>57822</c:v>
                </c:pt>
                <c:pt idx="2642">
                  <c:v>57829</c:v>
                </c:pt>
                <c:pt idx="2643">
                  <c:v>57837</c:v>
                </c:pt>
                <c:pt idx="2644">
                  <c:v>57843</c:v>
                </c:pt>
                <c:pt idx="2645">
                  <c:v>57850</c:v>
                </c:pt>
                <c:pt idx="2646">
                  <c:v>57858</c:v>
                </c:pt>
                <c:pt idx="2647">
                  <c:v>57864</c:v>
                </c:pt>
                <c:pt idx="2648">
                  <c:v>57871</c:v>
                </c:pt>
                <c:pt idx="2649">
                  <c:v>57878</c:v>
                </c:pt>
                <c:pt idx="2650">
                  <c:v>57885</c:v>
                </c:pt>
                <c:pt idx="2651">
                  <c:v>57892</c:v>
                </c:pt>
                <c:pt idx="2652">
                  <c:v>57899</c:v>
                </c:pt>
                <c:pt idx="2653">
                  <c:v>57906</c:v>
                </c:pt>
                <c:pt idx="2654">
                  <c:v>57913</c:v>
                </c:pt>
                <c:pt idx="2655">
                  <c:v>57920</c:v>
                </c:pt>
                <c:pt idx="2656">
                  <c:v>57927</c:v>
                </c:pt>
                <c:pt idx="2657">
                  <c:v>57934</c:v>
                </c:pt>
                <c:pt idx="2658">
                  <c:v>57941</c:v>
                </c:pt>
                <c:pt idx="2659">
                  <c:v>57949</c:v>
                </c:pt>
                <c:pt idx="2660">
                  <c:v>57956</c:v>
                </c:pt>
                <c:pt idx="2661">
                  <c:v>57962</c:v>
                </c:pt>
                <c:pt idx="2662">
                  <c:v>57969</c:v>
                </c:pt>
                <c:pt idx="2663">
                  <c:v>57976</c:v>
                </c:pt>
                <c:pt idx="2664">
                  <c:v>57983</c:v>
                </c:pt>
                <c:pt idx="2665">
                  <c:v>57990</c:v>
                </c:pt>
                <c:pt idx="2666">
                  <c:v>57998</c:v>
                </c:pt>
                <c:pt idx="2667">
                  <c:v>58004</c:v>
                </c:pt>
                <c:pt idx="2668">
                  <c:v>58011</c:v>
                </c:pt>
                <c:pt idx="2669">
                  <c:v>58018</c:v>
                </c:pt>
                <c:pt idx="2670">
                  <c:v>58026</c:v>
                </c:pt>
                <c:pt idx="2671">
                  <c:v>58032</c:v>
                </c:pt>
                <c:pt idx="2672">
                  <c:v>58039</c:v>
                </c:pt>
                <c:pt idx="2673">
                  <c:v>58046</c:v>
                </c:pt>
                <c:pt idx="2674">
                  <c:v>58053</c:v>
                </c:pt>
                <c:pt idx="2675">
                  <c:v>58060</c:v>
                </c:pt>
                <c:pt idx="2676">
                  <c:v>58067</c:v>
                </c:pt>
                <c:pt idx="2677">
                  <c:v>58075</c:v>
                </c:pt>
                <c:pt idx="2678">
                  <c:v>58082</c:v>
                </c:pt>
                <c:pt idx="2679">
                  <c:v>58089</c:v>
                </c:pt>
                <c:pt idx="2680">
                  <c:v>58096</c:v>
                </c:pt>
                <c:pt idx="2681">
                  <c:v>58103</c:v>
                </c:pt>
                <c:pt idx="2682">
                  <c:v>58110</c:v>
                </c:pt>
                <c:pt idx="2683">
                  <c:v>58117</c:v>
                </c:pt>
                <c:pt idx="2684">
                  <c:v>58124</c:v>
                </c:pt>
                <c:pt idx="2685">
                  <c:v>58131</c:v>
                </c:pt>
                <c:pt idx="2686">
                  <c:v>58138</c:v>
                </c:pt>
                <c:pt idx="2687">
                  <c:v>58145</c:v>
                </c:pt>
                <c:pt idx="2688">
                  <c:v>58152</c:v>
                </c:pt>
                <c:pt idx="2689">
                  <c:v>58159</c:v>
                </c:pt>
                <c:pt idx="2690">
                  <c:v>58168</c:v>
                </c:pt>
                <c:pt idx="2691">
                  <c:v>58175</c:v>
                </c:pt>
                <c:pt idx="2692">
                  <c:v>58182</c:v>
                </c:pt>
                <c:pt idx="2693">
                  <c:v>58189</c:v>
                </c:pt>
                <c:pt idx="2694">
                  <c:v>58196</c:v>
                </c:pt>
                <c:pt idx="2695">
                  <c:v>58203</c:v>
                </c:pt>
                <c:pt idx="2696">
                  <c:v>58210</c:v>
                </c:pt>
                <c:pt idx="2697">
                  <c:v>58217</c:v>
                </c:pt>
                <c:pt idx="2698">
                  <c:v>58224</c:v>
                </c:pt>
                <c:pt idx="2699">
                  <c:v>58231</c:v>
                </c:pt>
                <c:pt idx="2700">
                  <c:v>58238</c:v>
                </c:pt>
                <c:pt idx="2701">
                  <c:v>58245</c:v>
                </c:pt>
                <c:pt idx="2702">
                  <c:v>58252</c:v>
                </c:pt>
                <c:pt idx="2703">
                  <c:v>58259</c:v>
                </c:pt>
                <c:pt idx="2704">
                  <c:v>58266</c:v>
                </c:pt>
                <c:pt idx="2705">
                  <c:v>58273</c:v>
                </c:pt>
                <c:pt idx="2706">
                  <c:v>58280</c:v>
                </c:pt>
                <c:pt idx="2707">
                  <c:v>58287</c:v>
                </c:pt>
                <c:pt idx="2708">
                  <c:v>58294</c:v>
                </c:pt>
                <c:pt idx="2709">
                  <c:v>58301</c:v>
                </c:pt>
                <c:pt idx="2710">
                  <c:v>58308</c:v>
                </c:pt>
                <c:pt idx="2711">
                  <c:v>58315</c:v>
                </c:pt>
                <c:pt idx="2712">
                  <c:v>58322</c:v>
                </c:pt>
                <c:pt idx="2713">
                  <c:v>58329</c:v>
                </c:pt>
                <c:pt idx="2714">
                  <c:v>58336</c:v>
                </c:pt>
                <c:pt idx="2715">
                  <c:v>58343</c:v>
                </c:pt>
                <c:pt idx="2716">
                  <c:v>58350</c:v>
                </c:pt>
                <c:pt idx="2717">
                  <c:v>58357</c:v>
                </c:pt>
                <c:pt idx="2718">
                  <c:v>58364</c:v>
                </c:pt>
                <c:pt idx="2719">
                  <c:v>58371</c:v>
                </c:pt>
                <c:pt idx="2720">
                  <c:v>58378</c:v>
                </c:pt>
                <c:pt idx="2721">
                  <c:v>58385</c:v>
                </c:pt>
                <c:pt idx="2722">
                  <c:v>58392</c:v>
                </c:pt>
                <c:pt idx="2723">
                  <c:v>58399</c:v>
                </c:pt>
                <c:pt idx="2724">
                  <c:v>58407</c:v>
                </c:pt>
                <c:pt idx="2725">
                  <c:v>58413</c:v>
                </c:pt>
                <c:pt idx="2726">
                  <c:v>58420</c:v>
                </c:pt>
                <c:pt idx="2727">
                  <c:v>58427</c:v>
                </c:pt>
                <c:pt idx="2728">
                  <c:v>58438</c:v>
                </c:pt>
                <c:pt idx="2729">
                  <c:v>58442</c:v>
                </c:pt>
                <c:pt idx="2730">
                  <c:v>58448</c:v>
                </c:pt>
                <c:pt idx="2731">
                  <c:v>58455</c:v>
                </c:pt>
                <c:pt idx="2732">
                  <c:v>58462</c:v>
                </c:pt>
                <c:pt idx="2733">
                  <c:v>58469</c:v>
                </c:pt>
                <c:pt idx="2734">
                  <c:v>58476</c:v>
                </c:pt>
                <c:pt idx="2735">
                  <c:v>58483</c:v>
                </c:pt>
                <c:pt idx="2736">
                  <c:v>58490</c:v>
                </c:pt>
                <c:pt idx="2737">
                  <c:v>58497</c:v>
                </c:pt>
                <c:pt idx="2738">
                  <c:v>58504</c:v>
                </c:pt>
                <c:pt idx="2739">
                  <c:v>58511</c:v>
                </c:pt>
                <c:pt idx="2740">
                  <c:v>58518</c:v>
                </c:pt>
                <c:pt idx="2741">
                  <c:v>58525</c:v>
                </c:pt>
                <c:pt idx="2742">
                  <c:v>58532</c:v>
                </c:pt>
                <c:pt idx="2743">
                  <c:v>58539</c:v>
                </c:pt>
                <c:pt idx="2744">
                  <c:v>58546</c:v>
                </c:pt>
                <c:pt idx="2745">
                  <c:v>58553</c:v>
                </c:pt>
                <c:pt idx="2746">
                  <c:v>58560</c:v>
                </c:pt>
                <c:pt idx="2747">
                  <c:v>58567</c:v>
                </c:pt>
                <c:pt idx="2748">
                  <c:v>58574</c:v>
                </c:pt>
                <c:pt idx="2749">
                  <c:v>58581</c:v>
                </c:pt>
                <c:pt idx="2750">
                  <c:v>58588</c:v>
                </c:pt>
                <c:pt idx="2751">
                  <c:v>58595</c:v>
                </c:pt>
                <c:pt idx="2752">
                  <c:v>58602</c:v>
                </c:pt>
                <c:pt idx="2753">
                  <c:v>58609</c:v>
                </c:pt>
                <c:pt idx="2754">
                  <c:v>58616</c:v>
                </c:pt>
                <c:pt idx="2755">
                  <c:v>58623</c:v>
                </c:pt>
                <c:pt idx="2756">
                  <c:v>58630</c:v>
                </c:pt>
                <c:pt idx="2757">
                  <c:v>58637</c:v>
                </c:pt>
                <c:pt idx="2758">
                  <c:v>58644</c:v>
                </c:pt>
                <c:pt idx="2759">
                  <c:v>58651</c:v>
                </c:pt>
                <c:pt idx="2760">
                  <c:v>58658</c:v>
                </c:pt>
                <c:pt idx="2761">
                  <c:v>58665</c:v>
                </c:pt>
                <c:pt idx="2762">
                  <c:v>58672</c:v>
                </c:pt>
                <c:pt idx="2763">
                  <c:v>58679</c:v>
                </c:pt>
                <c:pt idx="2764">
                  <c:v>58686</c:v>
                </c:pt>
                <c:pt idx="2765">
                  <c:v>58693</c:v>
                </c:pt>
                <c:pt idx="2766">
                  <c:v>58700</c:v>
                </c:pt>
                <c:pt idx="2767">
                  <c:v>58707</c:v>
                </c:pt>
                <c:pt idx="2768">
                  <c:v>58714</c:v>
                </c:pt>
                <c:pt idx="2769">
                  <c:v>58721</c:v>
                </c:pt>
                <c:pt idx="2770">
                  <c:v>58728</c:v>
                </c:pt>
                <c:pt idx="2771">
                  <c:v>58735</c:v>
                </c:pt>
                <c:pt idx="2772">
                  <c:v>58742</c:v>
                </c:pt>
                <c:pt idx="2773">
                  <c:v>58749</c:v>
                </c:pt>
                <c:pt idx="2774">
                  <c:v>58757</c:v>
                </c:pt>
                <c:pt idx="2775">
                  <c:v>58763</c:v>
                </c:pt>
                <c:pt idx="2776">
                  <c:v>58771</c:v>
                </c:pt>
                <c:pt idx="2777">
                  <c:v>58777</c:v>
                </c:pt>
                <c:pt idx="2778">
                  <c:v>58784</c:v>
                </c:pt>
                <c:pt idx="2779">
                  <c:v>58791</c:v>
                </c:pt>
                <c:pt idx="2780">
                  <c:v>58798</c:v>
                </c:pt>
                <c:pt idx="2781">
                  <c:v>58810</c:v>
                </c:pt>
                <c:pt idx="2782">
                  <c:v>58813</c:v>
                </c:pt>
                <c:pt idx="2783">
                  <c:v>58820</c:v>
                </c:pt>
                <c:pt idx="2784">
                  <c:v>58827</c:v>
                </c:pt>
                <c:pt idx="2785">
                  <c:v>58834</c:v>
                </c:pt>
                <c:pt idx="2786">
                  <c:v>58841</c:v>
                </c:pt>
                <c:pt idx="2787">
                  <c:v>58848</c:v>
                </c:pt>
                <c:pt idx="2788">
                  <c:v>58855</c:v>
                </c:pt>
                <c:pt idx="2789">
                  <c:v>58862</c:v>
                </c:pt>
                <c:pt idx="2790">
                  <c:v>58869</c:v>
                </c:pt>
                <c:pt idx="2791">
                  <c:v>58876</c:v>
                </c:pt>
                <c:pt idx="2792">
                  <c:v>58883</c:v>
                </c:pt>
                <c:pt idx="2793">
                  <c:v>58890</c:v>
                </c:pt>
                <c:pt idx="2794">
                  <c:v>58897</c:v>
                </c:pt>
                <c:pt idx="2795">
                  <c:v>58908</c:v>
                </c:pt>
                <c:pt idx="2796">
                  <c:v>58911</c:v>
                </c:pt>
                <c:pt idx="2797">
                  <c:v>58918</c:v>
                </c:pt>
                <c:pt idx="2798">
                  <c:v>58925</c:v>
                </c:pt>
                <c:pt idx="2799">
                  <c:v>58932</c:v>
                </c:pt>
                <c:pt idx="2800">
                  <c:v>58939</c:v>
                </c:pt>
                <c:pt idx="2801">
                  <c:v>58946</c:v>
                </c:pt>
                <c:pt idx="2802">
                  <c:v>58953</c:v>
                </c:pt>
                <c:pt idx="2803">
                  <c:v>58960</c:v>
                </c:pt>
                <c:pt idx="2804">
                  <c:v>58967</c:v>
                </c:pt>
                <c:pt idx="2805">
                  <c:v>58974</c:v>
                </c:pt>
                <c:pt idx="2806">
                  <c:v>58981</c:v>
                </c:pt>
                <c:pt idx="2807">
                  <c:v>58988</c:v>
                </c:pt>
                <c:pt idx="2808">
                  <c:v>58995</c:v>
                </c:pt>
                <c:pt idx="2809">
                  <c:v>59002</c:v>
                </c:pt>
                <c:pt idx="2810">
                  <c:v>59009</c:v>
                </c:pt>
                <c:pt idx="2811">
                  <c:v>59016</c:v>
                </c:pt>
                <c:pt idx="2812">
                  <c:v>59023</c:v>
                </c:pt>
                <c:pt idx="2813">
                  <c:v>59030</c:v>
                </c:pt>
                <c:pt idx="2814">
                  <c:v>59037</c:v>
                </c:pt>
                <c:pt idx="2815">
                  <c:v>59044</c:v>
                </c:pt>
                <c:pt idx="2816">
                  <c:v>59051</c:v>
                </c:pt>
                <c:pt idx="2817">
                  <c:v>59058</c:v>
                </c:pt>
                <c:pt idx="2818">
                  <c:v>59065</c:v>
                </c:pt>
                <c:pt idx="2819">
                  <c:v>59072</c:v>
                </c:pt>
                <c:pt idx="2820">
                  <c:v>59079</c:v>
                </c:pt>
                <c:pt idx="2821">
                  <c:v>59086</c:v>
                </c:pt>
                <c:pt idx="2822">
                  <c:v>59093</c:v>
                </c:pt>
                <c:pt idx="2823">
                  <c:v>59100</c:v>
                </c:pt>
                <c:pt idx="2824">
                  <c:v>59107</c:v>
                </c:pt>
                <c:pt idx="2825">
                  <c:v>59114</c:v>
                </c:pt>
                <c:pt idx="2826">
                  <c:v>59124</c:v>
                </c:pt>
                <c:pt idx="2827">
                  <c:v>59128</c:v>
                </c:pt>
                <c:pt idx="2828">
                  <c:v>59135</c:v>
                </c:pt>
                <c:pt idx="2829">
                  <c:v>59142</c:v>
                </c:pt>
                <c:pt idx="2830">
                  <c:v>59149</c:v>
                </c:pt>
                <c:pt idx="2831">
                  <c:v>59156</c:v>
                </c:pt>
                <c:pt idx="2832">
                  <c:v>59163</c:v>
                </c:pt>
                <c:pt idx="2833">
                  <c:v>59170</c:v>
                </c:pt>
                <c:pt idx="2834">
                  <c:v>59177</c:v>
                </c:pt>
                <c:pt idx="2835">
                  <c:v>59184</c:v>
                </c:pt>
                <c:pt idx="2836">
                  <c:v>59191</c:v>
                </c:pt>
                <c:pt idx="2837">
                  <c:v>59198</c:v>
                </c:pt>
                <c:pt idx="2838">
                  <c:v>59205</c:v>
                </c:pt>
                <c:pt idx="2839">
                  <c:v>59212</c:v>
                </c:pt>
                <c:pt idx="2840">
                  <c:v>59219</c:v>
                </c:pt>
                <c:pt idx="2841">
                  <c:v>59226</c:v>
                </c:pt>
                <c:pt idx="2842">
                  <c:v>59233</c:v>
                </c:pt>
                <c:pt idx="2843">
                  <c:v>59240</c:v>
                </c:pt>
                <c:pt idx="2844">
                  <c:v>59247</c:v>
                </c:pt>
                <c:pt idx="2845">
                  <c:v>59258</c:v>
                </c:pt>
                <c:pt idx="2846">
                  <c:v>59261</c:v>
                </c:pt>
                <c:pt idx="2847">
                  <c:v>59268</c:v>
                </c:pt>
                <c:pt idx="2848">
                  <c:v>59275</c:v>
                </c:pt>
                <c:pt idx="2849">
                  <c:v>59282</c:v>
                </c:pt>
                <c:pt idx="2850">
                  <c:v>59289</c:v>
                </c:pt>
                <c:pt idx="2851">
                  <c:v>59296</c:v>
                </c:pt>
                <c:pt idx="2852">
                  <c:v>59303</c:v>
                </c:pt>
                <c:pt idx="2853">
                  <c:v>59310</c:v>
                </c:pt>
                <c:pt idx="2854">
                  <c:v>59317</c:v>
                </c:pt>
                <c:pt idx="2855">
                  <c:v>59324</c:v>
                </c:pt>
                <c:pt idx="2856">
                  <c:v>59331</c:v>
                </c:pt>
                <c:pt idx="2857">
                  <c:v>59338</c:v>
                </c:pt>
                <c:pt idx="2858">
                  <c:v>59345</c:v>
                </c:pt>
                <c:pt idx="2859">
                  <c:v>59352</c:v>
                </c:pt>
                <c:pt idx="2860">
                  <c:v>59359</c:v>
                </c:pt>
                <c:pt idx="2861">
                  <c:v>59366</c:v>
                </c:pt>
                <c:pt idx="2862">
                  <c:v>59373</c:v>
                </c:pt>
                <c:pt idx="2863">
                  <c:v>59380</c:v>
                </c:pt>
                <c:pt idx="2864">
                  <c:v>59387</c:v>
                </c:pt>
                <c:pt idx="2865">
                  <c:v>59394</c:v>
                </c:pt>
                <c:pt idx="2866">
                  <c:v>59401</c:v>
                </c:pt>
                <c:pt idx="2867">
                  <c:v>59408</c:v>
                </c:pt>
                <c:pt idx="2868">
                  <c:v>59415</c:v>
                </c:pt>
                <c:pt idx="2869">
                  <c:v>59422</c:v>
                </c:pt>
                <c:pt idx="2870">
                  <c:v>59429</c:v>
                </c:pt>
                <c:pt idx="2871">
                  <c:v>59436</c:v>
                </c:pt>
                <c:pt idx="2872">
                  <c:v>59443</c:v>
                </c:pt>
                <c:pt idx="2873">
                  <c:v>59450</c:v>
                </c:pt>
                <c:pt idx="2874">
                  <c:v>59457</c:v>
                </c:pt>
                <c:pt idx="2875">
                  <c:v>59464</c:v>
                </c:pt>
                <c:pt idx="2876">
                  <c:v>59471</c:v>
                </c:pt>
                <c:pt idx="2877">
                  <c:v>59478</c:v>
                </c:pt>
                <c:pt idx="2878">
                  <c:v>59488</c:v>
                </c:pt>
                <c:pt idx="2879">
                  <c:v>59492</c:v>
                </c:pt>
                <c:pt idx="2880">
                  <c:v>59499</c:v>
                </c:pt>
                <c:pt idx="2881">
                  <c:v>59506</c:v>
                </c:pt>
                <c:pt idx="2882">
                  <c:v>59513</c:v>
                </c:pt>
                <c:pt idx="2883">
                  <c:v>59520</c:v>
                </c:pt>
                <c:pt idx="2884">
                  <c:v>59527</c:v>
                </c:pt>
                <c:pt idx="2885">
                  <c:v>59534</c:v>
                </c:pt>
                <c:pt idx="2886">
                  <c:v>59541</c:v>
                </c:pt>
                <c:pt idx="2887">
                  <c:v>59548</c:v>
                </c:pt>
                <c:pt idx="2888">
                  <c:v>59555</c:v>
                </c:pt>
                <c:pt idx="2889">
                  <c:v>59562</c:v>
                </c:pt>
                <c:pt idx="2890">
                  <c:v>59569</c:v>
                </c:pt>
                <c:pt idx="2891">
                  <c:v>59576</c:v>
                </c:pt>
                <c:pt idx="2892">
                  <c:v>59583</c:v>
                </c:pt>
                <c:pt idx="2893">
                  <c:v>59590</c:v>
                </c:pt>
                <c:pt idx="2894">
                  <c:v>59597</c:v>
                </c:pt>
                <c:pt idx="2895">
                  <c:v>59604</c:v>
                </c:pt>
                <c:pt idx="2896">
                  <c:v>59611</c:v>
                </c:pt>
                <c:pt idx="2897">
                  <c:v>59618</c:v>
                </c:pt>
                <c:pt idx="2898">
                  <c:v>59625</c:v>
                </c:pt>
                <c:pt idx="2899">
                  <c:v>59632</c:v>
                </c:pt>
                <c:pt idx="2900">
                  <c:v>59643</c:v>
                </c:pt>
                <c:pt idx="2901">
                  <c:v>59646</c:v>
                </c:pt>
                <c:pt idx="2902">
                  <c:v>59653</c:v>
                </c:pt>
                <c:pt idx="2903">
                  <c:v>59660</c:v>
                </c:pt>
                <c:pt idx="2904">
                  <c:v>59667</c:v>
                </c:pt>
                <c:pt idx="2905">
                  <c:v>59674</c:v>
                </c:pt>
                <c:pt idx="2906">
                  <c:v>59681</c:v>
                </c:pt>
                <c:pt idx="2907">
                  <c:v>59688</c:v>
                </c:pt>
                <c:pt idx="2908">
                  <c:v>59695</c:v>
                </c:pt>
                <c:pt idx="2909">
                  <c:v>59702</c:v>
                </c:pt>
                <c:pt idx="2910">
                  <c:v>59709</c:v>
                </c:pt>
                <c:pt idx="2911">
                  <c:v>59716</c:v>
                </c:pt>
                <c:pt idx="2912">
                  <c:v>59723</c:v>
                </c:pt>
                <c:pt idx="2913">
                  <c:v>59730</c:v>
                </c:pt>
                <c:pt idx="2914">
                  <c:v>59737</c:v>
                </c:pt>
                <c:pt idx="2915">
                  <c:v>59744</c:v>
                </c:pt>
                <c:pt idx="2916">
                  <c:v>59751</c:v>
                </c:pt>
                <c:pt idx="2917">
                  <c:v>59758</c:v>
                </c:pt>
                <c:pt idx="2918">
                  <c:v>59765</c:v>
                </c:pt>
                <c:pt idx="2919">
                  <c:v>59772</c:v>
                </c:pt>
                <c:pt idx="2920">
                  <c:v>59779</c:v>
                </c:pt>
                <c:pt idx="2921">
                  <c:v>59786</c:v>
                </c:pt>
                <c:pt idx="2922">
                  <c:v>59793</c:v>
                </c:pt>
                <c:pt idx="2923">
                  <c:v>59800</c:v>
                </c:pt>
                <c:pt idx="2924">
                  <c:v>59807</c:v>
                </c:pt>
                <c:pt idx="2925">
                  <c:v>59814</c:v>
                </c:pt>
                <c:pt idx="2926">
                  <c:v>59821</c:v>
                </c:pt>
                <c:pt idx="2927">
                  <c:v>59828</c:v>
                </c:pt>
                <c:pt idx="2928">
                  <c:v>59835</c:v>
                </c:pt>
                <c:pt idx="2929">
                  <c:v>59842</c:v>
                </c:pt>
                <c:pt idx="2930">
                  <c:v>59849</c:v>
                </c:pt>
                <c:pt idx="2931">
                  <c:v>59856</c:v>
                </c:pt>
                <c:pt idx="2932">
                  <c:v>59863</c:v>
                </c:pt>
                <c:pt idx="2933">
                  <c:v>59870</c:v>
                </c:pt>
                <c:pt idx="2934">
                  <c:v>59877</c:v>
                </c:pt>
                <c:pt idx="2935">
                  <c:v>59884</c:v>
                </c:pt>
                <c:pt idx="2936">
                  <c:v>59891</c:v>
                </c:pt>
                <c:pt idx="2937">
                  <c:v>59901</c:v>
                </c:pt>
                <c:pt idx="2938">
                  <c:v>59908</c:v>
                </c:pt>
                <c:pt idx="2939">
                  <c:v>59915</c:v>
                </c:pt>
                <c:pt idx="2940">
                  <c:v>59923</c:v>
                </c:pt>
                <c:pt idx="2941">
                  <c:v>59929</c:v>
                </c:pt>
                <c:pt idx="2942">
                  <c:v>59936</c:v>
                </c:pt>
                <c:pt idx="2943">
                  <c:v>59943</c:v>
                </c:pt>
                <c:pt idx="2944">
                  <c:v>59951</c:v>
                </c:pt>
                <c:pt idx="2945">
                  <c:v>59957</c:v>
                </c:pt>
                <c:pt idx="2946">
                  <c:v>59964</c:v>
                </c:pt>
                <c:pt idx="2947">
                  <c:v>59971</c:v>
                </c:pt>
                <c:pt idx="2948">
                  <c:v>59978</c:v>
                </c:pt>
                <c:pt idx="2949">
                  <c:v>59985</c:v>
                </c:pt>
                <c:pt idx="2950">
                  <c:v>59992</c:v>
                </c:pt>
                <c:pt idx="2951">
                  <c:v>60001</c:v>
                </c:pt>
                <c:pt idx="2952">
                  <c:v>60006</c:v>
                </c:pt>
                <c:pt idx="2953">
                  <c:v>60013</c:v>
                </c:pt>
                <c:pt idx="2954">
                  <c:v>60020</c:v>
                </c:pt>
                <c:pt idx="2955">
                  <c:v>60028</c:v>
                </c:pt>
                <c:pt idx="2956">
                  <c:v>60034</c:v>
                </c:pt>
                <c:pt idx="2957">
                  <c:v>60041</c:v>
                </c:pt>
                <c:pt idx="2958">
                  <c:v>60049</c:v>
                </c:pt>
                <c:pt idx="2959">
                  <c:v>60055</c:v>
                </c:pt>
                <c:pt idx="2960">
                  <c:v>60062</c:v>
                </c:pt>
                <c:pt idx="2961">
                  <c:v>60069</c:v>
                </c:pt>
                <c:pt idx="2962">
                  <c:v>60076</c:v>
                </c:pt>
                <c:pt idx="2963">
                  <c:v>60083</c:v>
                </c:pt>
                <c:pt idx="2964">
                  <c:v>60090</c:v>
                </c:pt>
                <c:pt idx="2965">
                  <c:v>60097</c:v>
                </c:pt>
                <c:pt idx="2966">
                  <c:v>60104</c:v>
                </c:pt>
                <c:pt idx="2967">
                  <c:v>60111</c:v>
                </c:pt>
                <c:pt idx="2968">
                  <c:v>60118</c:v>
                </c:pt>
                <c:pt idx="2969">
                  <c:v>60125</c:v>
                </c:pt>
                <c:pt idx="2970">
                  <c:v>60132</c:v>
                </c:pt>
                <c:pt idx="2971">
                  <c:v>60140</c:v>
                </c:pt>
                <c:pt idx="2972">
                  <c:v>60147</c:v>
                </c:pt>
                <c:pt idx="2973">
                  <c:v>60153</c:v>
                </c:pt>
                <c:pt idx="2974">
                  <c:v>60160</c:v>
                </c:pt>
                <c:pt idx="2975">
                  <c:v>60167</c:v>
                </c:pt>
                <c:pt idx="2976">
                  <c:v>60174</c:v>
                </c:pt>
                <c:pt idx="2977">
                  <c:v>60181</c:v>
                </c:pt>
                <c:pt idx="2978">
                  <c:v>60189</c:v>
                </c:pt>
                <c:pt idx="2979">
                  <c:v>60195</c:v>
                </c:pt>
                <c:pt idx="2980">
                  <c:v>60202</c:v>
                </c:pt>
                <c:pt idx="2981">
                  <c:v>60209</c:v>
                </c:pt>
                <c:pt idx="2982">
                  <c:v>60216</c:v>
                </c:pt>
                <c:pt idx="2983">
                  <c:v>60223</c:v>
                </c:pt>
                <c:pt idx="2984">
                  <c:v>60230</c:v>
                </c:pt>
                <c:pt idx="2985">
                  <c:v>60237</c:v>
                </c:pt>
                <c:pt idx="2986">
                  <c:v>60244</c:v>
                </c:pt>
                <c:pt idx="2987">
                  <c:v>60251</c:v>
                </c:pt>
                <c:pt idx="2988">
                  <c:v>60258</c:v>
                </c:pt>
                <c:pt idx="2989">
                  <c:v>60267</c:v>
                </c:pt>
                <c:pt idx="2990">
                  <c:v>60274</c:v>
                </c:pt>
                <c:pt idx="2991">
                  <c:v>60281</c:v>
                </c:pt>
                <c:pt idx="2992">
                  <c:v>60288</c:v>
                </c:pt>
                <c:pt idx="2993">
                  <c:v>60295</c:v>
                </c:pt>
                <c:pt idx="2994">
                  <c:v>60302</c:v>
                </c:pt>
                <c:pt idx="2995">
                  <c:v>60309</c:v>
                </c:pt>
                <c:pt idx="2996">
                  <c:v>60316</c:v>
                </c:pt>
                <c:pt idx="2997">
                  <c:v>60323</c:v>
                </c:pt>
                <c:pt idx="2998">
                  <c:v>60330</c:v>
                </c:pt>
                <c:pt idx="2999">
                  <c:v>60337</c:v>
                </c:pt>
                <c:pt idx="3000">
                  <c:v>60344</c:v>
                </c:pt>
                <c:pt idx="3001">
                  <c:v>60351</c:v>
                </c:pt>
                <c:pt idx="3002">
                  <c:v>60359</c:v>
                </c:pt>
                <c:pt idx="3003">
                  <c:v>60366</c:v>
                </c:pt>
                <c:pt idx="3004">
                  <c:v>60373</c:v>
                </c:pt>
                <c:pt idx="3005">
                  <c:v>60380</c:v>
                </c:pt>
                <c:pt idx="3006">
                  <c:v>60387</c:v>
                </c:pt>
                <c:pt idx="3007">
                  <c:v>60394</c:v>
                </c:pt>
                <c:pt idx="3008">
                  <c:v>60401</c:v>
                </c:pt>
                <c:pt idx="3009">
                  <c:v>60408</c:v>
                </c:pt>
                <c:pt idx="3010">
                  <c:v>60415</c:v>
                </c:pt>
                <c:pt idx="3011">
                  <c:v>60422</c:v>
                </c:pt>
                <c:pt idx="3012">
                  <c:v>60429</c:v>
                </c:pt>
                <c:pt idx="3013">
                  <c:v>60436</c:v>
                </c:pt>
                <c:pt idx="3014">
                  <c:v>60443</c:v>
                </c:pt>
                <c:pt idx="3015">
                  <c:v>60450</c:v>
                </c:pt>
                <c:pt idx="3016">
                  <c:v>60457</c:v>
                </c:pt>
                <c:pt idx="3017">
                  <c:v>60464</c:v>
                </c:pt>
                <c:pt idx="3018">
                  <c:v>60471</c:v>
                </c:pt>
                <c:pt idx="3019">
                  <c:v>60478</c:v>
                </c:pt>
                <c:pt idx="3020">
                  <c:v>60485</c:v>
                </c:pt>
                <c:pt idx="3021">
                  <c:v>60492</c:v>
                </c:pt>
                <c:pt idx="3022">
                  <c:v>60499</c:v>
                </c:pt>
                <c:pt idx="3023">
                  <c:v>60506</c:v>
                </c:pt>
                <c:pt idx="3024">
                  <c:v>60513</c:v>
                </c:pt>
                <c:pt idx="3025">
                  <c:v>60520</c:v>
                </c:pt>
                <c:pt idx="3026">
                  <c:v>60527</c:v>
                </c:pt>
                <c:pt idx="3027">
                  <c:v>60534</c:v>
                </c:pt>
                <c:pt idx="3028">
                  <c:v>60541</c:v>
                </c:pt>
                <c:pt idx="3029">
                  <c:v>60548</c:v>
                </c:pt>
                <c:pt idx="3030">
                  <c:v>60555</c:v>
                </c:pt>
                <c:pt idx="3031">
                  <c:v>60562</c:v>
                </c:pt>
                <c:pt idx="3032">
                  <c:v>60569</c:v>
                </c:pt>
                <c:pt idx="3033">
                  <c:v>60576</c:v>
                </c:pt>
                <c:pt idx="3034">
                  <c:v>60583</c:v>
                </c:pt>
                <c:pt idx="3035">
                  <c:v>60590</c:v>
                </c:pt>
                <c:pt idx="3036">
                  <c:v>60598</c:v>
                </c:pt>
                <c:pt idx="3037">
                  <c:v>60604</c:v>
                </c:pt>
                <c:pt idx="3038">
                  <c:v>60611</c:v>
                </c:pt>
                <c:pt idx="3039">
                  <c:v>60618</c:v>
                </c:pt>
                <c:pt idx="3040">
                  <c:v>60625</c:v>
                </c:pt>
                <c:pt idx="3041">
                  <c:v>60632</c:v>
                </c:pt>
                <c:pt idx="3042">
                  <c:v>60639</c:v>
                </c:pt>
                <c:pt idx="3043">
                  <c:v>60646</c:v>
                </c:pt>
                <c:pt idx="3044">
                  <c:v>60653</c:v>
                </c:pt>
                <c:pt idx="3045">
                  <c:v>60660</c:v>
                </c:pt>
                <c:pt idx="3046">
                  <c:v>60667</c:v>
                </c:pt>
                <c:pt idx="3047">
                  <c:v>60674</c:v>
                </c:pt>
                <c:pt idx="3048">
                  <c:v>60681</c:v>
                </c:pt>
                <c:pt idx="3049">
                  <c:v>60688</c:v>
                </c:pt>
                <c:pt idx="3050">
                  <c:v>60695</c:v>
                </c:pt>
                <c:pt idx="3051">
                  <c:v>60702</c:v>
                </c:pt>
                <c:pt idx="3052">
                  <c:v>60709</c:v>
                </c:pt>
                <c:pt idx="3053">
                  <c:v>60716</c:v>
                </c:pt>
                <c:pt idx="3054">
                  <c:v>60723</c:v>
                </c:pt>
                <c:pt idx="3055">
                  <c:v>60730</c:v>
                </c:pt>
                <c:pt idx="3056">
                  <c:v>60737</c:v>
                </c:pt>
                <c:pt idx="3057">
                  <c:v>60744</c:v>
                </c:pt>
                <c:pt idx="3058">
                  <c:v>60751</c:v>
                </c:pt>
                <c:pt idx="3059">
                  <c:v>60758</c:v>
                </c:pt>
                <c:pt idx="3060">
                  <c:v>60765</c:v>
                </c:pt>
                <c:pt idx="3061">
                  <c:v>60772</c:v>
                </c:pt>
                <c:pt idx="3062">
                  <c:v>60779</c:v>
                </c:pt>
                <c:pt idx="3063">
                  <c:v>60786</c:v>
                </c:pt>
                <c:pt idx="3064">
                  <c:v>60793</c:v>
                </c:pt>
                <c:pt idx="3065">
                  <c:v>60800</c:v>
                </c:pt>
                <c:pt idx="3066">
                  <c:v>60807</c:v>
                </c:pt>
                <c:pt idx="3067">
                  <c:v>60814</c:v>
                </c:pt>
                <c:pt idx="3068">
                  <c:v>60821</c:v>
                </c:pt>
                <c:pt idx="3069">
                  <c:v>60828</c:v>
                </c:pt>
                <c:pt idx="3070">
                  <c:v>60835</c:v>
                </c:pt>
                <c:pt idx="3071">
                  <c:v>60842</c:v>
                </c:pt>
                <c:pt idx="3072">
                  <c:v>60849</c:v>
                </c:pt>
                <c:pt idx="3073">
                  <c:v>60856</c:v>
                </c:pt>
                <c:pt idx="3074">
                  <c:v>60863</c:v>
                </c:pt>
                <c:pt idx="3075">
                  <c:v>60870</c:v>
                </c:pt>
                <c:pt idx="3076">
                  <c:v>60877</c:v>
                </c:pt>
                <c:pt idx="3077">
                  <c:v>60884</c:v>
                </c:pt>
                <c:pt idx="3078">
                  <c:v>60891</c:v>
                </c:pt>
                <c:pt idx="3079">
                  <c:v>60898</c:v>
                </c:pt>
                <c:pt idx="3080">
                  <c:v>60905</c:v>
                </c:pt>
                <c:pt idx="3081">
                  <c:v>60912</c:v>
                </c:pt>
                <c:pt idx="3082">
                  <c:v>60919</c:v>
                </c:pt>
                <c:pt idx="3083">
                  <c:v>60926</c:v>
                </c:pt>
                <c:pt idx="3084">
                  <c:v>60933</c:v>
                </c:pt>
                <c:pt idx="3085">
                  <c:v>60940</c:v>
                </c:pt>
                <c:pt idx="3086">
                  <c:v>60948</c:v>
                </c:pt>
                <c:pt idx="3087">
                  <c:v>60954</c:v>
                </c:pt>
                <c:pt idx="3088">
                  <c:v>60962</c:v>
                </c:pt>
                <c:pt idx="3089">
                  <c:v>60968</c:v>
                </c:pt>
                <c:pt idx="3090">
                  <c:v>60975</c:v>
                </c:pt>
                <c:pt idx="3091">
                  <c:v>60982</c:v>
                </c:pt>
                <c:pt idx="3092">
                  <c:v>60989</c:v>
                </c:pt>
                <c:pt idx="3093">
                  <c:v>61001</c:v>
                </c:pt>
                <c:pt idx="3094">
                  <c:v>61004</c:v>
                </c:pt>
                <c:pt idx="3095">
                  <c:v>61011</c:v>
                </c:pt>
                <c:pt idx="3096">
                  <c:v>61018</c:v>
                </c:pt>
                <c:pt idx="3097">
                  <c:v>61025</c:v>
                </c:pt>
                <c:pt idx="3098">
                  <c:v>61032</c:v>
                </c:pt>
                <c:pt idx="3099">
                  <c:v>61039</c:v>
                </c:pt>
                <c:pt idx="3100">
                  <c:v>61046</c:v>
                </c:pt>
                <c:pt idx="3101">
                  <c:v>61053</c:v>
                </c:pt>
                <c:pt idx="3102">
                  <c:v>61060</c:v>
                </c:pt>
                <c:pt idx="3103">
                  <c:v>61067</c:v>
                </c:pt>
                <c:pt idx="3104">
                  <c:v>61074</c:v>
                </c:pt>
                <c:pt idx="3105">
                  <c:v>61081</c:v>
                </c:pt>
                <c:pt idx="3106">
                  <c:v>61092</c:v>
                </c:pt>
                <c:pt idx="3107">
                  <c:v>61095</c:v>
                </c:pt>
                <c:pt idx="3108">
                  <c:v>61102</c:v>
                </c:pt>
                <c:pt idx="3109">
                  <c:v>61109</c:v>
                </c:pt>
                <c:pt idx="3110">
                  <c:v>61116</c:v>
                </c:pt>
                <c:pt idx="3111">
                  <c:v>61123</c:v>
                </c:pt>
                <c:pt idx="3112">
                  <c:v>61130</c:v>
                </c:pt>
                <c:pt idx="3113">
                  <c:v>61137</c:v>
                </c:pt>
                <c:pt idx="3114">
                  <c:v>61144</c:v>
                </c:pt>
                <c:pt idx="3115">
                  <c:v>61151</c:v>
                </c:pt>
                <c:pt idx="3116">
                  <c:v>61158</c:v>
                </c:pt>
                <c:pt idx="3117">
                  <c:v>61165</c:v>
                </c:pt>
                <c:pt idx="3118">
                  <c:v>61172</c:v>
                </c:pt>
                <c:pt idx="3119">
                  <c:v>61179</c:v>
                </c:pt>
                <c:pt idx="3120">
                  <c:v>61186</c:v>
                </c:pt>
                <c:pt idx="3121">
                  <c:v>61193</c:v>
                </c:pt>
                <c:pt idx="3122">
                  <c:v>61200</c:v>
                </c:pt>
                <c:pt idx="3123">
                  <c:v>61207</c:v>
                </c:pt>
                <c:pt idx="3124">
                  <c:v>61214</c:v>
                </c:pt>
                <c:pt idx="3125">
                  <c:v>61221</c:v>
                </c:pt>
                <c:pt idx="3126">
                  <c:v>61228</c:v>
                </c:pt>
                <c:pt idx="3127">
                  <c:v>61235</c:v>
                </c:pt>
                <c:pt idx="3128">
                  <c:v>61242</c:v>
                </c:pt>
                <c:pt idx="3129">
                  <c:v>61249</c:v>
                </c:pt>
                <c:pt idx="3130">
                  <c:v>61256</c:v>
                </c:pt>
                <c:pt idx="3131">
                  <c:v>61263</c:v>
                </c:pt>
                <c:pt idx="3132">
                  <c:v>61270</c:v>
                </c:pt>
                <c:pt idx="3133">
                  <c:v>61277</c:v>
                </c:pt>
                <c:pt idx="3134">
                  <c:v>61284</c:v>
                </c:pt>
                <c:pt idx="3135">
                  <c:v>61291</c:v>
                </c:pt>
                <c:pt idx="3136">
                  <c:v>61298</c:v>
                </c:pt>
                <c:pt idx="3137">
                  <c:v>61305</c:v>
                </c:pt>
                <c:pt idx="3138">
                  <c:v>61315</c:v>
                </c:pt>
                <c:pt idx="3139">
                  <c:v>61319</c:v>
                </c:pt>
                <c:pt idx="3140">
                  <c:v>61326</c:v>
                </c:pt>
                <c:pt idx="3141">
                  <c:v>61333</c:v>
                </c:pt>
                <c:pt idx="3142">
                  <c:v>61340</c:v>
                </c:pt>
                <c:pt idx="3143">
                  <c:v>61347</c:v>
                </c:pt>
                <c:pt idx="3144">
                  <c:v>61354</c:v>
                </c:pt>
                <c:pt idx="3145">
                  <c:v>61361</c:v>
                </c:pt>
                <c:pt idx="3146">
                  <c:v>61368</c:v>
                </c:pt>
                <c:pt idx="3147">
                  <c:v>61375</c:v>
                </c:pt>
                <c:pt idx="3148">
                  <c:v>61382</c:v>
                </c:pt>
                <c:pt idx="3149">
                  <c:v>61389</c:v>
                </c:pt>
                <c:pt idx="3150">
                  <c:v>61396</c:v>
                </c:pt>
                <c:pt idx="3151">
                  <c:v>61403</c:v>
                </c:pt>
                <c:pt idx="3152">
                  <c:v>61410</c:v>
                </c:pt>
                <c:pt idx="3153">
                  <c:v>61417</c:v>
                </c:pt>
                <c:pt idx="3154">
                  <c:v>61424</c:v>
                </c:pt>
                <c:pt idx="3155">
                  <c:v>61431</c:v>
                </c:pt>
                <c:pt idx="3156">
                  <c:v>61438</c:v>
                </c:pt>
                <c:pt idx="3157">
                  <c:v>61445</c:v>
                </c:pt>
                <c:pt idx="3158">
                  <c:v>61452</c:v>
                </c:pt>
                <c:pt idx="3159">
                  <c:v>61459</c:v>
                </c:pt>
                <c:pt idx="3160">
                  <c:v>61466</c:v>
                </c:pt>
                <c:pt idx="3161">
                  <c:v>61477</c:v>
                </c:pt>
                <c:pt idx="3162">
                  <c:v>61480</c:v>
                </c:pt>
                <c:pt idx="3163">
                  <c:v>61487</c:v>
                </c:pt>
                <c:pt idx="3164">
                  <c:v>61494</c:v>
                </c:pt>
                <c:pt idx="3165">
                  <c:v>61501</c:v>
                </c:pt>
                <c:pt idx="3166">
                  <c:v>61508</c:v>
                </c:pt>
                <c:pt idx="3167">
                  <c:v>61515</c:v>
                </c:pt>
                <c:pt idx="3168">
                  <c:v>61522</c:v>
                </c:pt>
                <c:pt idx="3169">
                  <c:v>61529</c:v>
                </c:pt>
                <c:pt idx="3170">
                  <c:v>61536</c:v>
                </c:pt>
                <c:pt idx="3171">
                  <c:v>61543</c:v>
                </c:pt>
                <c:pt idx="3172">
                  <c:v>61550</c:v>
                </c:pt>
                <c:pt idx="3173">
                  <c:v>61557</c:v>
                </c:pt>
                <c:pt idx="3174">
                  <c:v>61564</c:v>
                </c:pt>
                <c:pt idx="3175">
                  <c:v>61571</c:v>
                </c:pt>
                <c:pt idx="3176">
                  <c:v>61578</c:v>
                </c:pt>
                <c:pt idx="3177">
                  <c:v>61585</c:v>
                </c:pt>
                <c:pt idx="3178">
                  <c:v>61592</c:v>
                </c:pt>
                <c:pt idx="3179">
                  <c:v>61599</c:v>
                </c:pt>
                <c:pt idx="3180">
                  <c:v>61606</c:v>
                </c:pt>
                <c:pt idx="3181">
                  <c:v>61613</c:v>
                </c:pt>
                <c:pt idx="3182">
                  <c:v>61620</c:v>
                </c:pt>
                <c:pt idx="3183">
                  <c:v>61627</c:v>
                </c:pt>
                <c:pt idx="3184">
                  <c:v>61634</c:v>
                </c:pt>
                <c:pt idx="3185">
                  <c:v>61641</c:v>
                </c:pt>
                <c:pt idx="3186">
                  <c:v>61648</c:v>
                </c:pt>
                <c:pt idx="3187">
                  <c:v>61655</c:v>
                </c:pt>
                <c:pt idx="3188">
                  <c:v>61662</c:v>
                </c:pt>
                <c:pt idx="3189">
                  <c:v>61669</c:v>
                </c:pt>
                <c:pt idx="3190">
                  <c:v>61676</c:v>
                </c:pt>
                <c:pt idx="3191">
                  <c:v>61683</c:v>
                </c:pt>
                <c:pt idx="3192">
                  <c:v>61690</c:v>
                </c:pt>
                <c:pt idx="3193">
                  <c:v>61697</c:v>
                </c:pt>
                <c:pt idx="3194">
                  <c:v>61704</c:v>
                </c:pt>
                <c:pt idx="3195">
                  <c:v>61711</c:v>
                </c:pt>
                <c:pt idx="3196">
                  <c:v>61718</c:v>
                </c:pt>
                <c:pt idx="3197">
                  <c:v>61728</c:v>
                </c:pt>
                <c:pt idx="3198">
                  <c:v>61735</c:v>
                </c:pt>
                <c:pt idx="3199">
                  <c:v>61742</c:v>
                </c:pt>
                <c:pt idx="3200">
                  <c:v>61750</c:v>
                </c:pt>
                <c:pt idx="3201">
                  <c:v>61756</c:v>
                </c:pt>
                <c:pt idx="3202">
                  <c:v>61763</c:v>
                </c:pt>
                <c:pt idx="3203">
                  <c:v>61770</c:v>
                </c:pt>
                <c:pt idx="3204">
                  <c:v>61778</c:v>
                </c:pt>
                <c:pt idx="3205">
                  <c:v>61784</c:v>
                </c:pt>
                <c:pt idx="3206">
                  <c:v>61791</c:v>
                </c:pt>
                <c:pt idx="3207">
                  <c:v>61798</c:v>
                </c:pt>
                <c:pt idx="3208">
                  <c:v>61805</c:v>
                </c:pt>
                <c:pt idx="3209">
                  <c:v>61812</c:v>
                </c:pt>
                <c:pt idx="3210">
                  <c:v>61819</c:v>
                </c:pt>
                <c:pt idx="3211">
                  <c:v>61826</c:v>
                </c:pt>
                <c:pt idx="3212">
                  <c:v>61835</c:v>
                </c:pt>
                <c:pt idx="3213">
                  <c:v>61840</c:v>
                </c:pt>
                <c:pt idx="3214">
                  <c:v>61847</c:v>
                </c:pt>
                <c:pt idx="3215">
                  <c:v>61855</c:v>
                </c:pt>
                <c:pt idx="3216">
                  <c:v>61861</c:v>
                </c:pt>
                <c:pt idx="3217">
                  <c:v>61868</c:v>
                </c:pt>
                <c:pt idx="3218">
                  <c:v>61876</c:v>
                </c:pt>
                <c:pt idx="3219">
                  <c:v>61882</c:v>
                </c:pt>
                <c:pt idx="3220">
                  <c:v>61889</c:v>
                </c:pt>
                <c:pt idx="3221">
                  <c:v>61896</c:v>
                </c:pt>
                <c:pt idx="3222">
                  <c:v>61903</c:v>
                </c:pt>
                <c:pt idx="3223">
                  <c:v>61910</c:v>
                </c:pt>
                <c:pt idx="3224">
                  <c:v>61917</c:v>
                </c:pt>
                <c:pt idx="3225">
                  <c:v>61924</c:v>
                </c:pt>
                <c:pt idx="3226">
                  <c:v>61931</c:v>
                </c:pt>
                <c:pt idx="3227">
                  <c:v>61938</c:v>
                </c:pt>
                <c:pt idx="3228">
                  <c:v>61945</c:v>
                </c:pt>
                <c:pt idx="3229">
                  <c:v>61952</c:v>
                </c:pt>
                <c:pt idx="3230">
                  <c:v>61959</c:v>
                </c:pt>
                <c:pt idx="3231">
                  <c:v>61967</c:v>
                </c:pt>
                <c:pt idx="3232">
                  <c:v>61974</c:v>
                </c:pt>
                <c:pt idx="3233">
                  <c:v>61980</c:v>
                </c:pt>
                <c:pt idx="3234">
                  <c:v>61987</c:v>
                </c:pt>
                <c:pt idx="3235">
                  <c:v>61994</c:v>
                </c:pt>
                <c:pt idx="3236">
                  <c:v>62001</c:v>
                </c:pt>
                <c:pt idx="3237">
                  <c:v>62008</c:v>
                </c:pt>
                <c:pt idx="3238">
                  <c:v>62016</c:v>
                </c:pt>
                <c:pt idx="3239">
                  <c:v>62022</c:v>
                </c:pt>
                <c:pt idx="3240">
                  <c:v>62029</c:v>
                </c:pt>
                <c:pt idx="3241">
                  <c:v>62036</c:v>
                </c:pt>
                <c:pt idx="3242">
                  <c:v>62044</c:v>
                </c:pt>
                <c:pt idx="3243">
                  <c:v>62050</c:v>
                </c:pt>
                <c:pt idx="3244">
                  <c:v>62057</c:v>
                </c:pt>
                <c:pt idx="3245">
                  <c:v>62064</c:v>
                </c:pt>
                <c:pt idx="3246">
                  <c:v>62071</c:v>
                </c:pt>
                <c:pt idx="3247">
                  <c:v>62078</c:v>
                </c:pt>
                <c:pt idx="3248">
                  <c:v>62085</c:v>
                </c:pt>
                <c:pt idx="3249">
                  <c:v>62093</c:v>
                </c:pt>
                <c:pt idx="3250">
                  <c:v>62100</c:v>
                </c:pt>
                <c:pt idx="3251">
                  <c:v>62107</c:v>
                </c:pt>
                <c:pt idx="3252">
                  <c:v>62114</c:v>
                </c:pt>
                <c:pt idx="3253">
                  <c:v>62121</c:v>
                </c:pt>
                <c:pt idx="3254">
                  <c:v>62128</c:v>
                </c:pt>
                <c:pt idx="3255">
                  <c:v>62135</c:v>
                </c:pt>
                <c:pt idx="3256">
                  <c:v>62142</c:v>
                </c:pt>
                <c:pt idx="3257">
                  <c:v>62149</c:v>
                </c:pt>
                <c:pt idx="3258">
                  <c:v>62156</c:v>
                </c:pt>
                <c:pt idx="3259">
                  <c:v>62163</c:v>
                </c:pt>
                <c:pt idx="3260">
                  <c:v>62170</c:v>
                </c:pt>
                <c:pt idx="3261">
                  <c:v>62177</c:v>
                </c:pt>
                <c:pt idx="3262">
                  <c:v>62186</c:v>
                </c:pt>
                <c:pt idx="3263">
                  <c:v>62193</c:v>
                </c:pt>
                <c:pt idx="3264">
                  <c:v>62200</c:v>
                </c:pt>
                <c:pt idx="3265">
                  <c:v>62207</c:v>
                </c:pt>
                <c:pt idx="3266">
                  <c:v>62214</c:v>
                </c:pt>
                <c:pt idx="3267">
                  <c:v>62221</c:v>
                </c:pt>
                <c:pt idx="3268">
                  <c:v>62228</c:v>
                </c:pt>
                <c:pt idx="3269">
                  <c:v>62235</c:v>
                </c:pt>
                <c:pt idx="3270">
                  <c:v>62242</c:v>
                </c:pt>
                <c:pt idx="3271">
                  <c:v>62249</c:v>
                </c:pt>
                <c:pt idx="3272">
                  <c:v>62256</c:v>
                </c:pt>
                <c:pt idx="3273">
                  <c:v>62263</c:v>
                </c:pt>
                <c:pt idx="3274">
                  <c:v>62270</c:v>
                </c:pt>
                <c:pt idx="3275">
                  <c:v>62277</c:v>
                </c:pt>
                <c:pt idx="3276">
                  <c:v>62284</c:v>
                </c:pt>
                <c:pt idx="3277">
                  <c:v>62291</c:v>
                </c:pt>
                <c:pt idx="3278">
                  <c:v>62298</c:v>
                </c:pt>
                <c:pt idx="3279">
                  <c:v>62305</c:v>
                </c:pt>
                <c:pt idx="3280">
                  <c:v>62312</c:v>
                </c:pt>
                <c:pt idx="3281">
                  <c:v>62319</c:v>
                </c:pt>
                <c:pt idx="3282">
                  <c:v>62326</c:v>
                </c:pt>
                <c:pt idx="3283">
                  <c:v>62333</c:v>
                </c:pt>
                <c:pt idx="3284">
                  <c:v>62340</c:v>
                </c:pt>
                <c:pt idx="3285">
                  <c:v>62347</c:v>
                </c:pt>
                <c:pt idx="3286">
                  <c:v>62354</c:v>
                </c:pt>
                <c:pt idx="3287">
                  <c:v>62361</c:v>
                </c:pt>
                <c:pt idx="3288">
                  <c:v>62368</c:v>
                </c:pt>
                <c:pt idx="3289">
                  <c:v>62375</c:v>
                </c:pt>
                <c:pt idx="3290">
                  <c:v>62382</c:v>
                </c:pt>
                <c:pt idx="3291">
                  <c:v>62389</c:v>
                </c:pt>
                <c:pt idx="3292">
                  <c:v>62396</c:v>
                </c:pt>
                <c:pt idx="3293">
                  <c:v>62403</c:v>
                </c:pt>
                <c:pt idx="3294">
                  <c:v>62410</c:v>
                </c:pt>
                <c:pt idx="3295">
                  <c:v>62417</c:v>
                </c:pt>
                <c:pt idx="3296">
                  <c:v>62425</c:v>
                </c:pt>
                <c:pt idx="3297">
                  <c:v>62431</c:v>
                </c:pt>
                <c:pt idx="3298">
                  <c:v>62438</c:v>
                </c:pt>
                <c:pt idx="3299">
                  <c:v>62445</c:v>
                </c:pt>
                <c:pt idx="3300">
                  <c:v>62456</c:v>
                </c:pt>
                <c:pt idx="3301">
                  <c:v>62460</c:v>
                </c:pt>
                <c:pt idx="3302">
                  <c:v>62466</c:v>
                </c:pt>
                <c:pt idx="3303">
                  <c:v>62473</c:v>
                </c:pt>
                <c:pt idx="3304">
                  <c:v>62480</c:v>
                </c:pt>
                <c:pt idx="3305">
                  <c:v>62487</c:v>
                </c:pt>
                <c:pt idx="3306">
                  <c:v>62494</c:v>
                </c:pt>
                <c:pt idx="3307">
                  <c:v>62501</c:v>
                </c:pt>
                <c:pt idx="3308">
                  <c:v>62508</c:v>
                </c:pt>
                <c:pt idx="3309">
                  <c:v>62515</c:v>
                </c:pt>
                <c:pt idx="3310">
                  <c:v>62522</c:v>
                </c:pt>
                <c:pt idx="3311">
                  <c:v>62529</c:v>
                </c:pt>
                <c:pt idx="3312">
                  <c:v>62536</c:v>
                </c:pt>
                <c:pt idx="3313">
                  <c:v>62543</c:v>
                </c:pt>
                <c:pt idx="3314">
                  <c:v>62550</c:v>
                </c:pt>
                <c:pt idx="3315">
                  <c:v>62557</c:v>
                </c:pt>
                <c:pt idx="3316">
                  <c:v>62564</c:v>
                </c:pt>
                <c:pt idx="3317">
                  <c:v>62571</c:v>
                </c:pt>
                <c:pt idx="3318">
                  <c:v>62578</c:v>
                </c:pt>
                <c:pt idx="3319">
                  <c:v>62585</c:v>
                </c:pt>
                <c:pt idx="3320">
                  <c:v>62592</c:v>
                </c:pt>
                <c:pt idx="3321">
                  <c:v>62599</c:v>
                </c:pt>
                <c:pt idx="3322">
                  <c:v>62606</c:v>
                </c:pt>
                <c:pt idx="3323">
                  <c:v>62613</c:v>
                </c:pt>
                <c:pt idx="3324">
                  <c:v>62620</c:v>
                </c:pt>
                <c:pt idx="3325">
                  <c:v>62627</c:v>
                </c:pt>
                <c:pt idx="3326">
                  <c:v>62634</c:v>
                </c:pt>
                <c:pt idx="3327">
                  <c:v>62641</c:v>
                </c:pt>
                <c:pt idx="3328">
                  <c:v>62648</c:v>
                </c:pt>
                <c:pt idx="3329">
                  <c:v>62655</c:v>
                </c:pt>
                <c:pt idx="3330">
                  <c:v>62662</c:v>
                </c:pt>
                <c:pt idx="3331">
                  <c:v>62669</c:v>
                </c:pt>
                <c:pt idx="3332">
                  <c:v>62676</c:v>
                </c:pt>
                <c:pt idx="3333">
                  <c:v>62683</c:v>
                </c:pt>
                <c:pt idx="3334">
                  <c:v>62690</c:v>
                </c:pt>
                <c:pt idx="3335">
                  <c:v>62697</c:v>
                </c:pt>
                <c:pt idx="3336">
                  <c:v>62704</c:v>
                </c:pt>
                <c:pt idx="3337">
                  <c:v>62711</c:v>
                </c:pt>
                <c:pt idx="3338">
                  <c:v>62718</c:v>
                </c:pt>
                <c:pt idx="3339">
                  <c:v>62725</c:v>
                </c:pt>
                <c:pt idx="3340">
                  <c:v>62732</c:v>
                </c:pt>
                <c:pt idx="3341">
                  <c:v>62739</c:v>
                </c:pt>
                <c:pt idx="3342">
                  <c:v>62746</c:v>
                </c:pt>
                <c:pt idx="3343">
                  <c:v>62753</c:v>
                </c:pt>
                <c:pt idx="3344">
                  <c:v>62760</c:v>
                </c:pt>
                <c:pt idx="3345">
                  <c:v>62767</c:v>
                </c:pt>
                <c:pt idx="3346">
                  <c:v>62774</c:v>
                </c:pt>
                <c:pt idx="3347">
                  <c:v>62781</c:v>
                </c:pt>
                <c:pt idx="3348">
                  <c:v>62789</c:v>
                </c:pt>
                <c:pt idx="3349">
                  <c:v>62795</c:v>
                </c:pt>
                <c:pt idx="3350">
                  <c:v>62802</c:v>
                </c:pt>
                <c:pt idx="3351">
                  <c:v>62809</c:v>
                </c:pt>
                <c:pt idx="3352">
                  <c:v>62816</c:v>
                </c:pt>
                <c:pt idx="3353">
                  <c:v>62823</c:v>
                </c:pt>
                <c:pt idx="3354">
                  <c:v>62830</c:v>
                </c:pt>
                <c:pt idx="3355">
                  <c:v>62837</c:v>
                </c:pt>
                <c:pt idx="3356">
                  <c:v>62844</c:v>
                </c:pt>
                <c:pt idx="3357">
                  <c:v>62851</c:v>
                </c:pt>
                <c:pt idx="3358">
                  <c:v>62858</c:v>
                </c:pt>
                <c:pt idx="3359">
                  <c:v>62865</c:v>
                </c:pt>
                <c:pt idx="3360">
                  <c:v>62872</c:v>
                </c:pt>
                <c:pt idx="3361">
                  <c:v>62879</c:v>
                </c:pt>
                <c:pt idx="3362">
                  <c:v>62886</c:v>
                </c:pt>
                <c:pt idx="3363">
                  <c:v>62893</c:v>
                </c:pt>
                <c:pt idx="3364">
                  <c:v>62900</c:v>
                </c:pt>
                <c:pt idx="3365">
                  <c:v>62907</c:v>
                </c:pt>
                <c:pt idx="3366">
                  <c:v>62914</c:v>
                </c:pt>
                <c:pt idx="3367">
                  <c:v>62921</c:v>
                </c:pt>
                <c:pt idx="3368">
                  <c:v>62928</c:v>
                </c:pt>
                <c:pt idx="3369">
                  <c:v>62935</c:v>
                </c:pt>
                <c:pt idx="3370">
                  <c:v>62942</c:v>
                </c:pt>
                <c:pt idx="3371">
                  <c:v>62949</c:v>
                </c:pt>
                <c:pt idx="3372">
                  <c:v>62956</c:v>
                </c:pt>
                <c:pt idx="3373">
                  <c:v>62963</c:v>
                </c:pt>
                <c:pt idx="3374">
                  <c:v>62970</c:v>
                </c:pt>
                <c:pt idx="3375">
                  <c:v>62977</c:v>
                </c:pt>
                <c:pt idx="3376">
                  <c:v>62984</c:v>
                </c:pt>
                <c:pt idx="3377">
                  <c:v>62991</c:v>
                </c:pt>
                <c:pt idx="3378">
                  <c:v>62998</c:v>
                </c:pt>
                <c:pt idx="3379">
                  <c:v>63005</c:v>
                </c:pt>
                <c:pt idx="3380">
                  <c:v>63012</c:v>
                </c:pt>
                <c:pt idx="3381">
                  <c:v>63019</c:v>
                </c:pt>
                <c:pt idx="3382">
                  <c:v>63026</c:v>
                </c:pt>
                <c:pt idx="3383">
                  <c:v>63033</c:v>
                </c:pt>
                <c:pt idx="3384">
                  <c:v>63040</c:v>
                </c:pt>
                <c:pt idx="3385">
                  <c:v>63047</c:v>
                </c:pt>
                <c:pt idx="3386">
                  <c:v>63054</c:v>
                </c:pt>
                <c:pt idx="3387">
                  <c:v>63061</c:v>
                </c:pt>
                <c:pt idx="3388">
                  <c:v>63068</c:v>
                </c:pt>
                <c:pt idx="3389">
                  <c:v>63075</c:v>
                </c:pt>
                <c:pt idx="3390">
                  <c:v>63082</c:v>
                </c:pt>
                <c:pt idx="3391">
                  <c:v>63089</c:v>
                </c:pt>
                <c:pt idx="3392">
                  <c:v>63096</c:v>
                </c:pt>
                <c:pt idx="3393">
                  <c:v>63103</c:v>
                </c:pt>
                <c:pt idx="3394">
                  <c:v>63110</c:v>
                </c:pt>
                <c:pt idx="3395">
                  <c:v>63117</c:v>
                </c:pt>
                <c:pt idx="3396">
                  <c:v>63124</c:v>
                </c:pt>
                <c:pt idx="3397">
                  <c:v>63131</c:v>
                </c:pt>
                <c:pt idx="3398">
                  <c:v>63138</c:v>
                </c:pt>
                <c:pt idx="3399">
                  <c:v>63145</c:v>
                </c:pt>
                <c:pt idx="3400">
                  <c:v>63153</c:v>
                </c:pt>
                <c:pt idx="3401">
                  <c:v>63159</c:v>
                </c:pt>
                <c:pt idx="3402">
                  <c:v>63166</c:v>
                </c:pt>
                <c:pt idx="3403">
                  <c:v>63173</c:v>
                </c:pt>
                <c:pt idx="3404">
                  <c:v>63180</c:v>
                </c:pt>
                <c:pt idx="3405">
                  <c:v>63188</c:v>
                </c:pt>
                <c:pt idx="3406">
                  <c:v>63195</c:v>
                </c:pt>
                <c:pt idx="3407">
                  <c:v>63202</c:v>
                </c:pt>
                <c:pt idx="3408">
                  <c:v>63209</c:v>
                </c:pt>
                <c:pt idx="3409">
                  <c:v>63216</c:v>
                </c:pt>
                <c:pt idx="3410">
                  <c:v>63223</c:v>
                </c:pt>
                <c:pt idx="3411">
                  <c:v>63230</c:v>
                </c:pt>
                <c:pt idx="3412">
                  <c:v>63237</c:v>
                </c:pt>
                <c:pt idx="3413">
                  <c:v>63244</c:v>
                </c:pt>
                <c:pt idx="3414">
                  <c:v>63251</c:v>
                </c:pt>
                <c:pt idx="3415">
                  <c:v>63258</c:v>
                </c:pt>
                <c:pt idx="3416">
                  <c:v>63265</c:v>
                </c:pt>
                <c:pt idx="3417">
                  <c:v>63276</c:v>
                </c:pt>
                <c:pt idx="3418">
                  <c:v>63279</c:v>
                </c:pt>
                <c:pt idx="3419">
                  <c:v>63286</c:v>
                </c:pt>
                <c:pt idx="3420">
                  <c:v>63293</c:v>
                </c:pt>
                <c:pt idx="3421">
                  <c:v>63300</c:v>
                </c:pt>
                <c:pt idx="3422">
                  <c:v>63307</c:v>
                </c:pt>
                <c:pt idx="3423">
                  <c:v>63314</c:v>
                </c:pt>
                <c:pt idx="3424">
                  <c:v>63321</c:v>
                </c:pt>
                <c:pt idx="3425">
                  <c:v>63328</c:v>
                </c:pt>
                <c:pt idx="3426">
                  <c:v>63335</c:v>
                </c:pt>
                <c:pt idx="3427">
                  <c:v>63342</c:v>
                </c:pt>
                <c:pt idx="3428">
                  <c:v>63349</c:v>
                </c:pt>
                <c:pt idx="3429">
                  <c:v>63356</c:v>
                </c:pt>
                <c:pt idx="3430">
                  <c:v>63363</c:v>
                </c:pt>
                <c:pt idx="3431">
                  <c:v>63370</c:v>
                </c:pt>
                <c:pt idx="3432">
                  <c:v>63377</c:v>
                </c:pt>
                <c:pt idx="3433">
                  <c:v>63384</c:v>
                </c:pt>
                <c:pt idx="3434">
                  <c:v>63391</c:v>
                </c:pt>
                <c:pt idx="3435">
                  <c:v>63398</c:v>
                </c:pt>
                <c:pt idx="3436">
                  <c:v>63405</c:v>
                </c:pt>
                <c:pt idx="3437">
                  <c:v>63412</c:v>
                </c:pt>
                <c:pt idx="3438">
                  <c:v>63419</c:v>
                </c:pt>
                <c:pt idx="3439">
                  <c:v>63426</c:v>
                </c:pt>
                <c:pt idx="3440">
                  <c:v>63433</c:v>
                </c:pt>
                <c:pt idx="3441">
                  <c:v>63440</c:v>
                </c:pt>
                <c:pt idx="3442">
                  <c:v>63447</c:v>
                </c:pt>
                <c:pt idx="3443">
                  <c:v>63454</c:v>
                </c:pt>
                <c:pt idx="3444">
                  <c:v>63461</c:v>
                </c:pt>
                <c:pt idx="3445">
                  <c:v>63468</c:v>
                </c:pt>
                <c:pt idx="3446">
                  <c:v>63475</c:v>
                </c:pt>
                <c:pt idx="3447">
                  <c:v>63482</c:v>
                </c:pt>
                <c:pt idx="3448">
                  <c:v>63489</c:v>
                </c:pt>
                <c:pt idx="3449">
                  <c:v>63496</c:v>
                </c:pt>
                <c:pt idx="3450">
                  <c:v>63506</c:v>
                </c:pt>
                <c:pt idx="3451">
                  <c:v>63510</c:v>
                </c:pt>
                <c:pt idx="3452">
                  <c:v>63517</c:v>
                </c:pt>
                <c:pt idx="3453">
                  <c:v>63524</c:v>
                </c:pt>
                <c:pt idx="3454">
                  <c:v>63531</c:v>
                </c:pt>
                <c:pt idx="3455">
                  <c:v>63538</c:v>
                </c:pt>
                <c:pt idx="3456">
                  <c:v>63545</c:v>
                </c:pt>
                <c:pt idx="3457">
                  <c:v>63552</c:v>
                </c:pt>
                <c:pt idx="3458">
                  <c:v>63559</c:v>
                </c:pt>
                <c:pt idx="3459">
                  <c:v>63566</c:v>
                </c:pt>
                <c:pt idx="3460">
                  <c:v>63573</c:v>
                </c:pt>
                <c:pt idx="3461">
                  <c:v>63580</c:v>
                </c:pt>
                <c:pt idx="3462">
                  <c:v>63587</c:v>
                </c:pt>
                <c:pt idx="3463">
                  <c:v>63594</c:v>
                </c:pt>
                <c:pt idx="3464">
                  <c:v>63601</c:v>
                </c:pt>
                <c:pt idx="3465">
                  <c:v>63608</c:v>
                </c:pt>
                <c:pt idx="3466">
                  <c:v>63615</c:v>
                </c:pt>
                <c:pt idx="3467">
                  <c:v>63622</c:v>
                </c:pt>
                <c:pt idx="3468">
                  <c:v>63629</c:v>
                </c:pt>
                <c:pt idx="3469">
                  <c:v>63636</c:v>
                </c:pt>
                <c:pt idx="3470">
                  <c:v>63643</c:v>
                </c:pt>
                <c:pt idx="3471">
                  <c:v>63650</c:v>
                </c:pt>
                <c:pt idx="3472">
                  <c:v>63661</c:v>
                </c:pt>
                <c:pt idx="3473">
                  <c:v>63664</c:v>
                </c:pt>
                <c:pt idx="3474">
                  <c:v>63671</c:v>
                </c:pt>
                <c:pt idx="3475">
                  <c:v>63678</c:v>
                </c:pt>
                <c:pt idx="3476">
                  <c:v>63685</c:v>
                </c:pt>
                <c:pt idx="3477">
                  <c:v>63692</c:v>
                </c:pt>
                <c:pt idx="3478">
                  <c:v>63699</c:v>
                </c:pt>
                <c:pt idx="3479">
                  <c:v>63706</c:v>
                </c:pt>
                <c:pt idx="3480">
                  <c:v>63713</c:v>
                </c:pt>
                <c:pt idx="3481">
                  <c:v>63720</c:v>
                </c:pt>
                <c:pt idx="3482">
                  <c:v>63727</c:v>
                </c:pt>
                <c:pt idx="3483">
                  <c:v>63734</c:v>
                </c:pt>
                <c:pt idx="3484">
                  <c:v>63741</c:v>
                </c:pt>
                <c:pt idx="3485">
                  <c:v>63748</c:v>
                </c:pt>
                <c:pt idx="3486">
                  <c:v>63755</c:v>
                </c:pt>
                <c:pt idx="3487">
                  <c:v>63762</c:v>
                </c:pt>
                <c:pt idx="3488">
                  <c:v>63769</c:v>
                </c:pt>
                <c:pt idx="3489">
                  <c:v>63776</c:v>
                </c:pt>
                <c:pt idx="3490">
                  <c:v>63783</c:v>
                </c:pt>
                <c:pt idx="3491">
                  <c:v>63790</c:v>
                </c:pt>
                <c:pt idx="3492">
                  <c:v>63797</c:v>
                </c:pt>
                <c:pt idx="3493">
                  <c:v>63804</c:v>
                </c:pt>
                <c:pt idx="3494">
                  <c:v>63811</c:v>
                </c:pt>
                <c:pt idx="3495">
                  <c:v>63818</c:v>
                </c:pt>
                <c:pt idx="3496">
                  <c:v>63825</c:v>
                </c:pt>
                <c:pt idx="3497">
                  <c:v>63832</c:v>
                </c:pt>
                <c:pt idx="3498">
                  <c:v>63839</c:v>
                </c:pt>
                <c:pt idx="3499">
                  <c:v>63846</c:v>
                </c:pt>
                <c:pt idx="3500">
                  <c:v>63853</c:v>
                </c:pt>
                <c:pt idx="3501">
                  <c:v>63860</c:v>
                </c:pt>
                <c:pt idx="3502">
                  <c:v>63867</c:v>
                </c:pt>
                <c:pt idx="3503">
                  <c:v>63874</c:v>
                </c:pt>
                <c:pt idx="3504">
                  <c:v>63881</c:v>
                </c:pt>
                <c:pt idx="3505">
                  <c:v>63888</c:v>
                </c:pt>
                <c:pt idx="3506">
                  <c:v>63895</c:v>
                </c:pt>
                <c:pt idx="3507">
                  <c:v>63902</c:v>
                </c:pt>
                <c:pt idx="3508">
                  <c:v>63909</c:v>
                </c:pt>
                <c:pt idx="3509">
                  <c:v>63919</c:v>
                </c:pt>
                <c:pt idx="3510">
                  <c:v>63926</c:v>
                </c:pt>
                <c:pt idx="3511">
                  <c:v>63933</c:v>
                </c:pt>
                <c:pt idx="3512">
                  <c:v>63941</c:v>
                </c:pt>
                <c:pt idx="3513">
                  <c:v>63947</c:v>
                </c:pt>
                <c:pt idx="3514">
                  <c:v>63954</c:v>
                </c:pt>
                <c:pt idx="3515">
                  <c:v>63961</c:v>
                </c:pt>
                <c:pt idx="3516">
                  <c:v>63969</c:v>
                </c:pt>
                <c:pt idx="3517">
                  <c:v>63975</c:v>
                </c:pt>
                <c:pt idx="3518">
                  <c:v>63982</c:v>
                </c:pt>
                <c:pt idx="3519">
                  <c:v>63989</c:v>
                </c:pt>
                <c:pt idx="3520">
                  <c:v>63996</c:v>
                </c:pt>
                <c:pt idx="3521">
                  <c:v>64003</c:v>
                </c:pt>
                <c:pt idx="3522">
                  <c:v>64010</c:v>
                </c:pt>
                <c:pt idx="3523">
                  <c:v>64019</c:v>
                </c:pt>
                <c:pt idx="3524">
                  <c:v>64024</c:v>
                </c:pt>
                <c:pt idx="3525">
                  <c:v>64031</c:v>
                </c:pt>
                <c:pt idx="3526">
                  <c:v>64038</c:v>
                </c:pt>
                <c:pt idx="3527">
                  <c:v>64046</c:v>
                </c:pt>
                <c:pt idx="3528">
                  <c:v>64052</c:v>
                </c:pt>
                <c:pt idx="3529">
                  <c:v>64059</c:v>
                </c:pt>
                <c:pt idx="3530">
                  <c:v>64067</c:v>
                </c:pt>
                <c:pt idx="3531">
                  <c:v>64073</c:v>
                </c:pt>
                <c:pt idx="3532">
                  <c:v>64080</c:v>
                </c:pt>
                <c:pt idx="3533">
                  <c:v>64087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1.6935813229412844E-3</c:v>
                </c:pt>
                <c:pt idx="1">
                  <c:v>1.7100939205505483E-3</c:v>
                </c:pt>
                <c:pt idx="2">
                  <c:v>1.729909038736821E-3</c:v>
                </c:pt>
                <c:pt idx="3">
                  <c:v>1.7522877899089906E-3</c:v>
                </c:pt>
                <c:pt idx="4">
                  <c:v>1.7947626576120257E-3</c:v>
                </c:pt>
                <c:pt idx="5">
                  <c:v>1.833450271764292E-3</c:v>
                </c:pt>
                <c:pt idx="6">
                  <c:v>1.8509138725697483E-3</c:v>
                </c:pt>
                <c:pt idx="7">
                  <c:v>1.8672466650482278E-3</c:v>
                </c:pt>
                <c:pt idx="8">
                  <c:v>1.8824486491997305E-3</c:v>
                </c:pt>
                <c:pt idx="9">
                  <c:v>1.9090933792487164E-3</c:v>
                </c:pt>
                <c:pt idx="10">
                  <c:v>1.9319484991786595E-3</c:v>
                </c:pt>
                <c:pt idx="11">
                  <c:v>1.9414964394570688E-3</c:v>
                </c:pt>
                <c:pt idx="12">
                  <c:v>1.9499135706890769E-3</c:v>
                </c:pt>
                <c:pt idx="13">
                  <c:v>1.9571998927947476E-3</c:v>
                </c:pt>
                <c:pt idx="14">
                  <c:v>1.9680139310729317E-3</c:v>
                </c:pt>
                <c:pt idx="15">
                  <c:v>1.9750370881155277E-3</c:v>
                </c:pt>
                <c:pt idx="16">
                  <c:v>1.9766693634704069E-3</c:v>
                </c:pt>
                <c:pt idx="17">
                  <c:v>1.9771708295390766E-3</c:v>
                </c:pt>
                <c:pt idx="18">
                  <c:v>1.9765414860817287E-3</c:v>
                </c:pt>
                <c:pt idx="19">
                  <c:v>1.9715242314433112E-3</c:v>
                </c:pt>
                <c:pt idx="20">
                  <c:v>1.9629558618561305E-3</c:v>
                </c:pt>
                <c:pt idx="21">
                  <c:v>1.9581115315592257E-3</c:v>
                </c:pt>
                <c:pt idx="22">
                  <c:v>1.9535754519672821E-3</c:v>
                </c:pt>
                <c:pt idx="23">
                  <c:v>1.9493476230003637E-3</c:v>
                </c:pt>
                <c:pt idx="24">
                  <c:v>1.9419299421574721E-3</c:v>
                </c:pt>
                <c:pt idx="25">
                  <c:v>1.9355188131431333E-3</c:v>
                </c:pt>
                <c:pt idx="26">
                  <c:v>1.9304539116848929E-3</c:v>
                </c:pt>
                <c:pt idx="27">
                  <c:v>1.9304539116848929E-3</c:v>
                </c:pt>
                <c:pt idx="28">
                  <c:v>1.9283838369332784E-3</c:v>
                </c:pt>
                <c:pt idx="29">
                  <c:v>1.9252814854375799E-3</c:v>
                </c:pt>
                <c:pt idx="30">
                  <c:v>1.9231860432977754E-3</c:v>
                </c:pt>
                <c:pt idx="31">
                  <c:v>1.9226572211916704E-3</c:v>
                </c:pt>
                <c:pt idx="32">
                  <c:v>1.9224366497905265E-3</c:v>
                </c:pt>
                <c:pt idx="33">
                  <c:v>1.9225243287745997E-3</c:v>
                </c:pt>
                <c:pt idx="34">
                  <c:v>1.9237374686298381E-3</c:v>
                </c:pt>
                <c:pt idx="35">
                  <c:v>1.9259575507213356E-3</c:v>
                </c:pt>
                <c:pt idx="36">
                  <c:v>1.9275864825907263E-3</c:v>
                </c:pt>
                <c:pt idx="37">
                  <c:v>1.9295236650052061E-3</c:v>
                </c:pt>
                <c:pt idx="38">
                  <c:v>1.9317690980447111E-3</c:v>
                </c:pt>
                <c:pt idx="39">
                  <c:v>1.9372978911480487E-3</c:v>
                </c:pt>
                <c:pt idx="40">
                  <c:v>1.9438333358934301E-3</c:v>
                </c:pt>
                <c:pt idx="41">
                  <c:v>1.9476200218182527E-3</c:v>
                </c:pt>
                <c:pt idx="42">
                  <c:v>1.9517149583681004E-3</c:v>
                </c:pt>
                <c:pt idx="43">
                  <c:v>1.9561181455429733E-3</c:v>
                </c:pt>
                <c:pt idx="44">
                  <c:v>1.9659627581614103E-3</c:v>
                </c:pt>
                <c:pt idx="45">
                  <c:v>1.9768134008923965E-3</c:v>
                </c:pt>
                <c:pt idx="46">
                  <c:v>1.9827578414322033E-3</c:v>
                </c:pt>
                <c:pt idx="47">
                  <c:v>1.9890105326769714E-3</c:v>
                </c:pt>
                <c:pt idx="48">
                  <c:v>1.9955714747066366E-3</c:v>
                </c:pt>
                <c:pt idx="49">
                  <c:v>2.0097320804079999E-3</c:v>
                </c:pt>
                <c:pt idx="50">
                  <c:v>2.0248977501147181E-3</c:v>
                </c:pt>
                <c:pt idx="51">
                  <c:v>2.0329999459089976E-3</c:v>
                </c:pt>
                <c:pt idx="52">
                  <c:v>2.0414103926480465E-3</c:v>
                </c:pt>
                <c:pt idx="53">
                  <c:v>2.0501290900920566E-3</c:v>
                </c:pt>
                <c:pt idx="54">
                  <c:v>2.0686058744878721E-3</c:v>
                </c:pt>
                <c:pt idx="55">
                  <c:v>2.0880863893957269E-3</c:v>
                </c:pt>
                <c:pt idx="56">
                  <c:v>2.0983463415635839E-3</c:v>
                </c:pt>
                <c:pt idx="57">
                  <c:v>2.1089145447561464E-3</c:v>
                </c:pt>
                <c:pt idx="58">
                  <c:v>2.1197909989734143E-3</c:v>
                </c:pt>
                <c:pt idx="59">
                  <c:v>2.1425841626232511E-3</c:v>
                </c:pt>
                <c:pt idx="60">
                  <c:v>2.1663793267290288E-3</c:v>
                </c:pt>
                <c:pt idx="61">
                  <c:v>2.1787970365494402E-3</c:v>
                </c:pt>
                <c:pt idx="62">
                  <c:v>2.1915229976343653E-3</c:v>
                </c:pt>
                <c:pt idx="63">
                  <c:v>2.2045572099038679E-3</c:v>
                </c:pt>
                <c:pt idx="64">
                  <c:v>2.2380618317607848E-3</c:v>
                </c:pt>
                <c:pt idx="65">
                  <c:v>2.2719004692728362E-3</c:v>
                </c:pt>
                <c:pt idx="66">
                  <c:v>2.2855784984621152E-3</c:v>
                </c:pt>
                <c:pt idx="67">
                  <c:v>2.2993236409263318E-3</c:v>
                </c:pt>
                <c:pt idx="68">
                  <c:v>2.3270526781260514E-3</c:v>
                </c:pt>
                <c:pt idx="69">
                  <c:v>2.3549753423335318E-3</c:v>
                </c:pt>
                <c:pt idx="70">
                  <c:v>2.3690560506928193E-3</c:v>
                </c:pt>
                <c:pt idx="71">
                  <c:v>2.3974188069963986E-3</c:v>
                </c:pt>
                <c:pt idx="72">
                  <c:v>2.3974188069963986E-3</c:v>
                </c:pt>
                <c:pt idx="73">
                  <c:v>2.4260887367066886E-3</c:v>
                </c:pt>
                <c:pt idx="74">
                  <c:v>2.4549496784231906E-3</c:v>
                </c:pt>
                <c:pt idx="75">
                  <c:v>2.4695001794672322E-3</c:v>
                </c:pt>
                <c:pt idx="76">
                  <c:v>2.4841177937062753E-3</c:v>
                </c:pt>
                <c:pt idx="77">
                  <c:v>2.4988025212202558E-3</c:v>
                </c:pt>
                <c:pt idx="78">
                  <c:v>2.5284134447733919E-3</c:v>
                </c:pt>
                <c:pt idx="79">
                  <c:v>2.5582125641854248E-3</c:v>
                </c:pt>
                <c:pt idx="80">
                  <c:v>2.5732328582339647E-3</c:v>
                </c:pt>
                <c:pt idx="81">
                  <c:v>2.5883202655574422E-3</c:v>
                </c:pt>
                <c:pt idx="82">
                  <c:v>2.6034747862357932E-3</c:v>
                </c:pt>
                <c:pt idx="83">
                  <c:v>2.6340268107727383E-3</c:v>
                </c:pt>
                <c:pt idx="84">
                  <c:v>2.6647640024179964E-3</c:v>
                </c:pt>
                <c:pt idx="85">
                  <c:v>2.6802540899506511E-3</c:v>
                </c:pt>
                <c:pt idx="86">
                  <c:v>2.6958112906783072E-3</c:v>
                </c:pt>
                <c:pt idx="87">
                  <c:v>2.711435605000645E-3</c:v>
                </c:pt>
                <c:pt idx="88">
                  <c:v>2.7429288433644672E-3</c:v>
                </c:pt>
                <c:pt idx="89">
                  <c:v>2.7746039959986035E-3</c:v>
                </c:pt>
                <c:pt idx="90">
                  <c:v>2.7905638773351171E-3</c:v>
                </c:pt>
                <c:pt idx="91">
                  <c:v>2.8065908721863764E-3</c:v>
                </c:pt>
                <c:pt idx="92">
                  <c:v>2.8226849803925091E-3</c:v>
                </c:pt>
                <c:pt idx="93">
                  <c:v>2.8551195514747718E-3</c:v>
                </c:pt>
                <c:pt idx="94">
                  <c:v>2.8877325480447524E-3</c:v>
                </c:pt>
                <c:pt idx="95">
                  <c:v>2.9041622236647413E-3</c:v>
                </c:pt>
                <c:pt idx="96">
                  <c:v>2.937222915528892E-3</c:v>
                </c:pt>
                <c:pt idx="97">
                  <c:v>2.937222915528892E-3</c:v>
                </c:pt>
                <c:pt idx="98">
                  <c:v>2.9705989444028802E-3</c:v>
                </c:pt>
                <c:pt idx="99">
                  <c:v>3.0041496615940133E-3</c:v>
                </c:pt>
                <c:pt idx="100">
                  <c:v>3.0210491319770938E-3</c:v>
                </c:pt>
                <c:pt idx="101">
                  <c:v>3.038015715954856E-3</c:v>
                </c:pt>
                <c:pt idx="102">
                  <c:v>3.0550494134473638E-3</c:v>
                </c:pt>
                <c:pt idx="103">
                  <c:v>3.0893670315812471E-3</c:v>
                </c:pt>
                <c:pt idx="104">
                  <c:v>3.1238553397638924E-3</c:v>
                </c:pt>
                <c:pt idx="105">
                  <c:v>3.1412246053896808E-3</c:v>
                </c:pt>
                <c:pt idx="106">
                  <c:v>3.158660984610151E-3</c:v>
                </c:pt>
                <c:pt idx="107">
                  <c:v>3.176164477585175E-3</c:v>
                </c:pt>
                <c:pt idx="108">
                  <c:v>3.2114238227887171E-3</c:v>
                </c:pt>
                <c:pt idx="109">
                  <c:v>3.2468495859117041E-3</c:v>
                </c:pt>
                <c:pt idx="110">
                  <c:v>3.2646886472598169E-3</c:v>
                </c:pt>
                <c:pt idx="111">
                  <c:v>3.2825948222825474E-3</c:v>
                </c:pt>
                <c:pt idx="112">
                  <c:v>3.3005681110598317E-3</c:v>
                </c:pt>
                <c:pt idx="113">
                  <c:v>3.3367693280972333E-3</c:v>
                </c:pt>
                <c:pt idx="114">
                  <c:v>3.373132403474699E-3</c:v>
                </c:pt>
                <c:pt idx="115">
                  <c:v>3.3914412610247524E-3</c:v>
                </c:pt>
                <c:pt idx="116">
                  <c:v>3.4098172322494236E-3</c:v>
                </c:pt>
                <c:pt idx="117">
                  <c:v>3.4282603173885207E-3</c:v>
                </c:pt>
                <c:pt idx="118">
                  <c:v>3.5027037958101914E-3</c:v>
                </c:pt>
                <c:pt idx="119">
                  <c:v>3.5027037958101914E-3</c:v>
                </c:pt>
                <c:pt idx="120">
                  <c:v>3.5214824499618658E-3</c:v>
                </c:pt>
                <c:pt idx="121">
                  <c:v>3.540328218027966E-3</c:v>
                </c:pt>
                <c:pt idx="122">
                  <c:v>3.5592410999285562E-3</c:v>
                </c:pt>
                <c:pt idx="123">
                  <c:v>3.5973265223443462E-3</c:v>
                </c:pt>
                <c:pt idx="124">
                  <c:v>3.635563766515304E-3</c:v>
                </c:pt>
                <c:pt idx="125">
                  <c:v>3.6548122179080877E-3</c:v>
                </c:pt>
                <c:pt idx="126">
                  <c:v>3.6741277832152974E-3</c:v>
                </c:pt>
                <c:pt idx="127">
                  <c:v>3.693510462436933E-3</c:v>
                </c:pt>
                <c:pt idx="128">
                  <c:v>3.7325382327590972E-3</c:v>
                </c:pt>
                <c:pt idx="129">
                  <c:v>3.7913337312023287E-3</c:v>
                </c:pt>
                <c:pt idx="130">
                  <c:v>3.7913337312023287E-3</c:v>
                </c:pt>
                <c:pt idx="131">
                  <c:v>3.8109530876617725E-3</c:v>
                </c:pt>
                <c:pt idx="132">
                  <c:v>3.8305565550711407E-3</c:v>
                </c:pt>
                <c:pt idx="133">
                  <c:v>3.8697521213837405E-3</c:v>
                </c:pt>
                <c:pt idx="134">
                  <c:v>3.9088115313301586E-3</c:v>
                </c:pt>
                <c:pt idx="135">
                  <c:v>3.9283355522101715E-3</c:v>
                </c:pt>
                <c:pt idx="136">
                  <c:v>3.9478436837203645E-3</c:v>
                </c:pt>
                <c:pt idx="137">
                  <c:v>3.9673359259406737E-3</c:v>
                </c:pt>
                <c:pt idx="138">
                  <c:v>4.0063120297784138E-3</c:v>
                </c:pt>
                <c:pt idx="139">
                  <c:v>4.0451460019230723E-3</c:v>
                </c:pt>
                <c:pt idx="140">
                  <c:v>4.0645587976140263E-3</c:v>
                </c:pt>
                <c:pt idx="141">
                  <c:v>4.0839557040150964E-3</c:v>
                </c:pt>
                <c:pt idx="142">
                  <c:v>4.1033367211262828E-3</c:v>
                </c:pt>
                <c:pt idx="143">
                  <c:v>4.1420934477276461E-3</c:v>
                </c:pt>
                <c:pt idx="144">
                  <c:v>4.1807018961925735E-3</c:v>
                </c:pt>
                <c:pt idx="145">
                  <c:v>4.2000034665345964E-3</c:v>
                </c:pt>
                <c:pt idx="146">
                  <c:v>4.2192891476666716E-3</c:v>
                </c:pt>
                <c:pt idx="147">
                  <c:v>4.2771365937639416E-3</c:v>
                </c:pt>
                <c:pt idx="148">
                  <c:v>4.3346695581725214E-3</c:v>
                </c:pt>
                <c:pt idx="149">
                  <c:v>4.3538440138757295E-3</c:v>
                </c:pt>
                <c:pt idx="150">
                  <c:v>4.4017814354480045E-3</c:v>
                </c:pt>
                <c:pt idx="151">
                  <c:v>4.4494779520043437E-3</c:v>
                </c:pt>
                <c:pt idx="152">
                  <c:v>4.4685570715685685E-3</c:v>
                </c:pt>
                <c:pt idx="153">
                  <c:v>4.4876203017629734E-3</c:v>
                </c:pt>
                <c:pt idx="154">
                  <c:v>4.5066676425076224E-3</c:v>
                </c:pt>
                <c:pt idx="155">
                  <c:v>4.5447667327636054E-3</c:v>
                </c:pt>
                <c:pt idx="156">
                  <c:v>4.5826981119478916E-3</c:v>
                </c:pt>
                <c:pt idx="157">
                  <c:v>4.6016660058434411E-3</c:v>
                </c:pt>
                <c:pt idx="158">
                  <c:v>4.6206180103691707E-3</c:v>
                </c:pt>
                <c:pt idx="159">
                  <c:v>4.6395541255250805E-3</c:v>
                </c:pt>
                <c:pt idx="160">
                  <c:v>4.6774341627919824E-3</c:v>
                </c:pt>
                <c:pt idx="161">
                  <c:v>4.7151396920508404E-3</c:v>
                </c:pt>
                <c:pt idx="162">
                  <c:v>4.7339963601977786E-3</c:v>
                </c:pt>
                <c:pt idx="163">
                  <c:v>4.7716620282223232E-3</c:v>
                </c:pt>
                <c:pt idx="164">
                  <c:v>4.7716620282223232E-3</c:v>
                </c:pt>
                <c:pt idx="165">
                  <c:v>4.8093230893186956E-3</c:v>
                </c:pt>
                <c:pt idx="166">
                  <c:v>4.8468026915138296E-3</c:v>
                </c:pt>
                <c:pt idx="167">
                  <c:v>4.8655481336723483E-3</c:v>
                </c:pt>
                <c:pt idx="168">
                  <c:v>4.8842776865409832E-3</c:v>
                </c:pt>
                <c:pt idx="169">
                  <c:v>4.9029913499598621E-3</c:v>
                </c:pt>
                <c:pt idx="170">
                  <c:v>4.9404335098124363E-3</c:v>
                </c:pt>
                <c:pt idx="171">
                  <c:v>4.9776871092976904E-3</c:v>
                </c:pt>
                <c:pt idx="172">
                  <c:v>4.9963213255477257E-3</c:v>
                </c:pt>
                <c:pt idx="173">
                  <c:v>5.014939652348005E-3</c:v>
                </c:pt>
                <c:pt idx="174">
                  <c:v>5.0335420896985283E-3</c:v>
                </c:pt>
                <c:pt idx="175">
                  <c:v>5.0707654217152509E-3</c:v>
                </c:pt>
                <c:pt idx="176">
                  <c:v>5.1077929447629344E-3</c:v>
                </c:pt>
                <c:pt idx="177">
                  <c:v>5.1263159348646781E-3</c:v>
                </c:pt>
                <c:pt idx="178">
                  <c:v>5.1448230355166658E-3</c:v>
                </c:pt>
                <c:pt idx="179">
                  <c:v>5.1633142467988336E-3</c:v>
                </c:pt>
                <c:pt idx="180">
                  <c:v>5.2003188224691854E-3</c:v>
                </c:pt>
                <c:pt idx="181">
                  <c:v>5.2371201969503289E-3</c:v>
                </c:pt>
                <c:pt idx="182">
                  <c:v>5.2555319608238449E-3</c:v>
                </c:pt>
                <c:pt idx="183">
                  <c:v>5.2923078201416729E-3</c:v>
                </c:pt>
                <c:pt idx="184">
                  <c:v>5.2923078201416729E-3</c:v>
                </c:pt>
                <c:pt idx="185">
                  <c:v>5.3290937095962221E-3</c:v>
                </c:pt>
                <c:pt idx="186">
                  <c:v>5.3656688650605133E-3</c:v>
                </c:pt>
                <c:pt idx="187">
                  <c:v>5.3839694026258655E-3</c:v>
                </c:pt>
                <c:pt idx="188">
                  <c:v>5.4022540505815897E-3</c:v>
                </c:pt>
                <c:pt idx="189">
                  <c:v>5.4205228090875579E-3</c:v>
                </c:pt>
                <c:pt idx="190">
                  <c:v>5.4570900805650524E-3</c:v>
                </c:pt>
                <c:pt idx="191">
                  <c:v>5.4934508375037439E-3</c:v>
                </c:pt>
                <c:pt idx="192">
                  <c:v>5.511711483778825E-3</c:v>
                </c:pt>
                <c:pt idx="193">
                  <c:v>5.5300275758618511E-3</c:v>
                </c:pt>
                <c:pt idx="194">
                  <c:v>5.5483991137528221E-3</c:v>
                </c:pt>
                <c:pt idx="195">
                  <c:v>5.5854136642707886E-3</c:v>
                </c:pt>
                <c:pt idx="196">
                  <c:v>5.6224397233961554E-3</c:v>
                </c:pt>
                <c:pt idx="197">
                  <c:v>5.6410884904867231E-3</c:v>
                </c:pt>
                <c:pt idx="198">
                  <c:v>5.6597927033052997E-3</c:v>
                </c:pt>
                <c:pt idx="199">
                  <c:v>5.6785523620117573E-3</c:v>
                </c:pt>
                <c:pt idx="200">
                  <c:v>5.7163472646060143E-3</c:v>
                </c:pt>
                <c:pt idx="201">
                  <c:v>5.7541454554765892E-3</c:v>
                </c:pt>
                <c:pt idx="202">
                  <c:v>5.7731823435425156E-3</c:v>
                </c:pt>
                <c:pt idx="203">
                  <c:v>5.792274677576259E-3</c:v>
                </c:pt>
                <c:pt idx="204">
                  <c:v>5.8114224574978834E-3</c:v>
                </c:pt>
                <c:pt idx="205">
                  <c:v>5.8499978966075616E-3</c:v>
                </c:pt>
                <c:pt idx="206">
                  <c:v>5.8885680364628712E-3</c:v>
                </c:pt>
                <c:pt idx="207">
                  <c:v>5.9079930461436447E-3</c:v>
                </c:pt>
                <c:pt idx="208">
                  <c:v>5.9274735017122993E-3</c:v>
                </c:pt>
                <c:pt idx="209">
                  <c:v>5.9865020806011415E-3</c:v>
                </c:pt>
                <c:pt idx="210">
                  <c:v>6.0455206011678086E-3</c:v>
                </c:pt>
                <c:pt idx="211">
                  <c:v>6.0653891788309267E-3</c:v>
                </c:pt>
                <c:pt idx="212">
                  <c:v>6.0853132025417978E-3</c:v>
                </c:pt>
                <c:pt idx="213">
                  <c:v>6.1254502921403997E-3</c:v>
                </c:pt>
                <c:pt idx="214">
                  <c:v>6.1655637578628131E-3</c:v>
                </c:pt>
                <c:pt idx="215">
                  <c:v>6.1857650118923857E-3</c:v>
                </c:pt>
                <c:pt idx="216">
                  <c:v>6.2060217119697114E-3</c:v>
                </c:pt>
                <c:pt idx="217">
                  <c:v>6.2263338582546623E-3</c:v>
                </c:pt>
                <c:pt idx="218">
                  <c:v>6.2672520743767279E-3</c:v>
                </c:pt>
                <c:pt idx="219">
                  <c:v>6.3081369044315494E-3</c:v>
                </c:pt>
                <c:pt idx="220">
                  <c:v>6.3287262813549461E-3</c:v>
                </c:pt>
                <c:pt idx="221">
                  <c:v>6.349371104485968E-3</c:v>
                </c:pt>
                <c:pt idx="222">
                  <c:v>6.370071373664743E-3</c:v>
                </c:pt>
                <c:pt idx="223">
                  <c:v>6.4117709256894528E-3</c:v>
                </c:pt>
                <c:pt idx="224">
                  <c:v>6.4534269126159671E-3</c:v>
                </c:pt>
                <c:pt idx="225">
                  <c:v>6.4744044128328682E-3</c:v>
                </c:pt>
                <c:pt idx="226">
                  <c:v>6.4954373593373305E-3</c:v>
                </c:pt>
                <c:pt idx="227">
                  <c:v>6.516525752049418E-3</c:v>
                </c:pt>
                <c:pt idx="228">
                  <c:v>6.5590068559107095E-3</c:v>
                </c:pt>
                <c:pt idx="229">
                  <c:v>6.6014337856135086E-3</c:v>
                </c:pt>
                <c:pt idx="230">
                  <c:v>6.6227994096834664E-3</c:v>
                </c:pt>
                <c:pt idx="231">
                  <c:v>6.6442204800409854E-3</c:v>
                </c:pt>
                <c:pt idx="232">
                  <c:v>6.6656969967660018E-3</c:v>
                </c:pt>
                <c:pt idx="233">
                  <c:v>6.7198536628776395E-3</c:v>
                </c:pt>
                <c:pt idx="234">
                  <c:v>6.773911275104183E-3</c:v>
                </c:pt>
                <c:pt idx="235">
                  <c:v>6.7957204698743112E-3</c:v>
                </c:pt>
                <c:pt idx="236">
                  <c:v>6.8175851110918728E-3</c:v>
                </c:pt>
                <c:pt idx="237">
                  <c:v>6.86162999326001E-3</c:v>
                </c:pt>
                <c:pt idx="238">
                  <c:v>6.9055981395571564E-3</c:v>
                </c:pt>
                <c:pt idx="239">
                  <c:v>6.9277400127720767E-3</c:v>
                </c:pt>
                <c:pt idx="240">
                  <c:v>6.9499373323544944E-3</c:v>
                </c:pt>
                <c:pt idx="241">
                  <c:v>6.9721900984642815E-3</c:v>
                </c:pt>
                <c:pt idx="242">
                  <c:v>7.0170172209316206E-3</c:v>
                </c:pt>
                <c:pt idx="243">
                  <c:v>7.0617556274576998E-3</c:v>
                </c:pt>
                <c:pt idx="244">
                  <c:v>7.0842856259645259E-3</c:v>
                </c:pt>
                <c:pt idx="245">
                  <c:v>7.1068710709187854E-3</c:v>
                </c:pt>
                <c:pt idx="246">
                  <c:v>7.1295119624004144E-3</c:v>
                </c:pt>
                <c:pt idx="247">
                  <c:v>7.1751215686255421E-3</c:v>
                </c:pt>
                <c:pt idx="248">
                  <c:v>7.2206299939203689E-3</c:v>
                </c:pt>
                <c:pt idx="249">
                  <c:v>7.2435481182786532E-3</c:v>
                </c:pt>
                <c:pt idx="250">
                  <c:v>7.2665216890843709E-3</c:v>
                </c:pt>
                <c:pt idx="251">
                  <c:v>7.2895507065773302E-3</c:v>
                </c:pt>
                <c:pt idx="252">
                  <c:v>7.3476254200555147E-3</c:v>
                </c:pt>
                <c:pt idx="253">
                  <c:v>7.4055155622954061E-3</c:v>
                </c:pt>
                <c:pt idx="254">
                  <c:v>7.4288056734150842E-3</c:v>
                </c:pt>
                <c:pt idx="255">
                  <c:v>7.4520796451249538E-3</c:v>
                </c:pt>
                <c:pt idx="256">
                  <c:v>7.4987299814655017E-3</c:v>
                </c:pt>
                <c:pt idx="257">
                  <c:v>7.5450141372268575E-3</c:v>
                </c:pt>
                <c:pt idx="258">
                  <c:v>7.5682074114880038E-3</c:v>
                </c:pt>
                <c:pt idx="259">
                  <c:v>7.5913845464192775E-3</c:v>
                </c:pt>
                <c:pt idx="260">
                  <c:v>7.6145455417009345E-3</c:v>
                </c:pt>
                <c:pt idx="261">
                  <c:v>7.6609767572133336E-3</c:v>
                </c:pt>
                <c:pt idx="262">
                  <c:v>7.7070281282498598E-3</c:v>
                </c:pt>
                <c:pt idx="263">
                  <c:v>7.7301084260827935E-3</c:v>
                </c:pt>
                <c:pt idx="264">
                  <c:v>7.7531725845059185E-3</c:v>
                </c:pt>
                <c:pt idx="265">
                  <c:v>7.7762206034392989E-3</c:v>
                </c:pt>
                <c:pt idx="266">
                  <c:v>7.8224328095810591E-3</c:v>
                </c:pt>
                <c:pt idx="267">
                  <c:v>7.8682512837158214E-3</c:v>
                </c:pt>
                <c:pt idx="268">
                  <c:v>7.8912186050406063E-3</c:v>
                </c:pt>
                <c:pt idx="269">
                  <c:v>7.9141697867157745E-3</c:v>
                </c:pt>
                <c:pt idx="270">
                  <c:v>7.9371048289811341E-3</c:v>
                </c:pt>
                <c:pt idx="271">
                  <c:v>7.983098135371236E-3</c:v>
                </c:pt>
                <c:pt idx="272">
                  <c:v>8.0286836025855735E-3</c:v>
                </c:pt>
                <c:pt idx="273">
                  <c:v>8.0515379471624016E-3</c:v>
                </c:pt>
                <c:pt idx="274">
                  <c:v>8.0743761520896129E-3</c:v>
                </c:pt>
                <c:pt idx="275">
                  <c:v>8.0971982175270796E-3</c:v>
                </c:pt>
                <c:pt idx="276">
                  <c:v>8.142972731386422E-3</c:v>
                </c:pt>
                <c:pt idx="277">
                  <c:v>8.1883250837400112E-3</c:v>
                </c:pt>
                <c:pt idx="278">
                  <c:v>8.2110664514090104E-3</c:v>
                </c:pt>
                <c:pt idx="279">
                  <c:v>8.2565007679580305E-3</c:v>
                </c:pt>
                <c:pt idx="280">
                  <c:v>8.2565007679580305E-3</c:v>
                </c:pt>
                <c:pt idx="281">
                  <c:v>8.3020565944824654E-3</c:v>
                </c:pt>
                <c:pt idx="282">
                  <c:v>8.3471757261399659E-3</c:v>
                </c:pt>
                <c:pt idx="283">
                  <c:v>8.369804116741264E-3</c:v>
                </c:pt>
                <c:pt idx="284">
                  <c:v>8.3924163677728814E-3</c:v>
                </c:pt>
                <c:pt idx="285">
                  <c:v>8.4150124791548819E-3</c:v>
                </c:pt>
                <c:pt idx="286">
                  <c:v>8.4603497215152146E-3</c:v>
                </c:pt>
                <c:pt idx="287">
                  <c:v>8.5052355288262049E-3</c:v>
                </c:pt>
                <c:pt idx="288">
                  <c:v>8.5277509421999298E-3</c:v>
                </c:pt>
                <c:pt idx="289">
                  <c:v>8.5502502160039739E-3</c:v>
                </c:pt>
                <c:pt idx="290">
                  <c:v>8.5727333501584013E-3</c:v>
                </c:pt>
                <c:pt idx="291">
                  <c:v>8.617852109340518E-3</c:v>
                </c:pt>
                <c:pt idx="292">
                  <c:v>8.6625044906796234E-3</c:v>
                </c:pt>
                <c:pt idx="293">
                  <c:v>8.6849069266659029E-3</c:v>
                </c:pt>
                <c:pt idx="294">
                  <c:v>8.7072932230825018E-3</c:v>
                </c:pt>
                <c:pt idx="295">
                  <c:v>8.7296633798494838E-3</c:v>
                </c:pt>
                <c:pt idx="296">
                  <c:v>8.7745637548408695E-3</c:v>
                </c:pt>
                <c:pt idx="297">
                  <c:v>8.8189826105811164E-3</c:v>
                </c:pt>
                <c:pt idx="298">
                  <c:v>8.8412720691000146E-3</c:v>
                </c:pt>
                <c:pt idx="299">
                  <c:v>8.8635453880492321E-3</c:v>
                </c:pt>
                <c:pt idx="300">
                  <c:v>8.8858025672688967E-3</c:v>
                </c:pt>
                <c:pt idx="301">
                  <c:v>8.9304846549520533E-3</c:v>
                </c:pt>
                <c:pt idx="302">
                  <c:v>8.9746698876513875E-3</c:v>
                </c:pt>
                <c:pt idx="303">
                  <c:v>8.9968463685430322E-3</c:v>
                </c:pt>
                <c:pt idx="304">
                  <c:v>9.0190067097850601E-3</c:v>
                </c:pt>
                <c:pt idx="305">
                  <c:v>9.0411509113774713E-3</c:v>
                </c:pt>
                <c:pt idx="306">
                  <c:v>9.0856148065565634E-3</c:v>
                </c:pt>
                <c:pt idx="307">
                  <c:v>9.1295663207713318E-3</c:v>
                </c:pt>
                <c:pt idx="308">
                  <c:v>9.1516298239557869E-3</c:v>
                </c:pt>
                <c:pt idx="309">
                  <c:v>9.1736771873307532E-3</c:v>
                </c:pt>
                <c:pt idx="310">
                  <c:v>9.1957084110561027E-3</c:v>
                </c:pt>
                <c:pt idx="311">
                  <c:v>9.2399542065901841E-3</c:v>
                </c:pt>
                <c:pt idx="312">
                  <c:v>9.2836719089817166E-3</c:v>
                </c:pt>
                <c:pt idx="313">
                  <c:v>9.305622434139238E-3</c:v>
                </c:pt>
                <c:pt idx="314">
                  <c:v>9.3275568196471426E-3</c:v>
                </c:pt>
                <c:pt idx="315">
                  <c:v>9.3494750654254943E-3</c:v>
                </c:pt>
                <c:pt idx="316">
                  <c:v>9.4045584817536998E-3</c:v>
                </c:pt>
                <c:pt idx="317">
                  <c:v>9.4588241982940247E-3</c:v>
                </c:pt>
                <c:pt idx="318">
                  <c:v>9.4806456057749955E-3</c:v>
                </c:pt>
                <c:pt idx="319">
                  <c:v>9.5024508733665414E-3</c:v>
                </c:pt>
                <c:pt idx="320">
                  <c:v>9.5462607398211219E-3</c:v>
                </c:pt>
                <c:pt idx="321">
                  <c:v>9.5895105465171326E-3</c:v>
                </c:pt>
                <c:pt idx="322">
                  <c:v>9.6112351153809783E-3</c:v>
                </c:pt>
                <c:pt idx="323">
                  <c:v>9.6546358339200111E-3</c:v>
                </c:pt>
                <c:pt idx="324">
                  <c:v>9.6546358339200111E-3</c:v>
                </c:pt>
                <c:pt idx="325">
                  <c:v>9.6982278669432986E-3</c:v>
                </c:pt>
                <c:pt idx="326">
                  <c:v>9.7412435938437625E-3</c:v>
                </c:pt>
                <c:pt idx="327">
                  <c:v>9.7628551842809941E-3</c:v>
                </c:pt>
                <c:pt idx="328">
                  <c:v>9.7844506350686089E-3</c:v>
                </c:pt>
                <c:pt idx="329">
                  <c:v>9.8060299460467348E-3</c:v>
                </c:pt>
                <c:pt idx="330">
                  <c:v>9.8494042303709506E-3</c:v>
                </c:pt>
                <c:pt idx="331">
                  <c:v>9.8921857921041578E-3</c:v>
                </c:pt>
                <c:pt idx="332">
                  <c:v>9.9136844041147754E-3</c:v>
                </c:pt>
                <c:pt idx="333">
                  <c:v>9.9351668763958401E-3</c:v>
                </c:pt>
                <c:pt idx="334">
                  <c:v>9.9566332087874798E-3</c:v>
                </c:pt>
                <c:pt idx="335">
                  <c:v>9.999789827173089E-3</c:v>
                </c:pt>
                <c:pt idx="336">
                  <c:v>1.0042337140498958E-2</c:v>
                </c:pt>
                <c:pt idx="337">
                  <c:v>1.0063722773843153E-2</c:v>
                </c:pt>
                <c:pt idx="338">
                  <c:v>1.0085092267457796E-2</c:v>
                </c:pt>
                <c:pt idx="339">
                  <c:v>1.0106445621183013E-2</c:v>
                </c:pt>
                <c:pt idx="340">
                  <c:v>1.0149384654285498E-2</c:v>
                </c:pt>
                <c:pt idx="341">
                  <c:v>1.0191697637909058E-2</c:v>
                </c:pt>
                <c:pt idx="342">
                  <c:v>1.0212970292506895E-2</c:v>
                </c:pt>
                <c:pt idx="343">
                  <c:v>1.0234226807215308E-2</c:v>
                </c:pt>
                <c:pt idx="344">
                  <c:v>1.0255467182194167E-2</c:v>
                </c:pt>
                <c:pt idx="345">
                  <c:v>1.0298188708857126E-2</c:v>
                </c:pt>
                <c:pt idx="346">
                  <c:v>1.0340267283375226E-2</c:v>
                </c:pt>
                <c:pt idx="347">
                  <c:v>1.0361426959066833E-2</c:v>
                </c:pt>
                <c:pt idx="348">
                  <c:v>1.0403697890781771E-2</c:v>
                </c:pt>
                <c:pt idx="349">
                  <c:v>1.0403697890781771E-2</c:v>
                </c:pt>
                <c:pt idx="350">
                  <c:v>1.0446201987877046E-2</c:v>
                </c:pt>
                <c:pt idx="351">
                  <c:v>1.0488046075938229E-2</c:v>
                </c:pt>
                <c:pt idx="352">
                  <c:v>1.0509092772483797E-2</c:v>
                </c:pt>
                <c:pt idx="353">
                  <c:v>1.0530123329219876E-2</c:v>
                </c:pt>
                <c:pt idx="354">
                  <c:v>1.055113774606653E-2</c:v>
                </c:pt>
                <c:pt idx="355">
                  <c:v>1.0593424488440917E-2</c:v>
                </c:pt>
                <c:pt idx="356">
                  <c:v>1.0635034014558897E-2</c:v>
                </c:pt>
                <c:pt idx="357">
                  <c:v>1.0655967731958427E-2</c:v>
                </c:pt>
                <c:pt idx="358">
                  <c:v>1.0676885309388595E-2</c:v>
                </c:pt>
                <c:pt idx="359">
                  <c:v>1.0697786747009275E-2</c:v>
                </c:pt>
                <c:pt idx="360">
                  <c:v>1.0739856207617748E-2</c:v>
                </c:pt>
                <c:pt idx="361">
                  <c:v>1.0781231098357935E-2</c:v>
                </c:pt>
                <c:pt idx="362">
                  <c:v>1.0802051836371618E-2</c:v>
                </c:pt>
                <c:pt idx="363">
                  <c:v>1.0822856434575812E-2</c:v>
                </c:pt>
                <c:pt idx="364">
                  <c:v>1.0843644892730708E-2</c:v>
                </c:pt>
                <c:pt idx="365">
                  <c:v>1.0885497142556488E-2</c:v>
                </c:pt>
                <c:pt idx="366">
                  <c:v>1.0926637326296174E-2</c:v>
                </c:pt>
                <c:pt idx="367">
                  <c:v>1.0947345084844073E-2</c:v>
                </c:pt>
                <c:pt idx="368">
                  <c:v>1.0968036703502548E-2</c:v>
                </c:pt>
                <c:pt idx="369">
                  <c:v>1.0988712182191662E-2</c:v>
                </c:pt>
                <c:pt idx="370">
                  <c:v>1.1030347290326148E-2</c:v>
                </c:pt>
                <c:pt idx="371">
                  <c:v>1.1071252697494316E-2</c:v>
                </c:pt>
                <c:pt idx="372">
                  <c:v>1.1112426115449381E-2</c:v>
                </c:pt>
                <c:pt idx="373">
                  <c:v>1.1112426115449381E-2</c:v>
                </c:pt>
                <c:pt idx="374">
                  <c:v>1.1132988614432904E-2</c:v>
                </c:pt>
                <c:pt idx="375">
                  <c:v>1.1174406648075674E-2</c:v>
                </c:pt>
                <c:pt idx="376">
                  <c:v>1.1215077210913194E-2</c:v>
                </c:pt>
                <c:pt idx="377">
                  <c:v>1.1235559010129847E-2</c:v>
                </c:pt>
                <c:pt idx="378">
                  <c:v>1.1256024669297204E-2</c:v>
                </c:pt>
                <c:pt idx="379">
                  <c:v>1.1276474188575136E-2</c:v>
                </c:pt>
                <c:pt idx="380">
                  <c:v>1.131767521298066E-2</c:v>
                </c:pt>
                <c:pt idx="381">
                  <c:v>1.1378479685024701E-2</c:v>
                </c:pt>
                <c:pt idx="382">
                  <c:v>1.1378479685024701E-2</c:v>
                </c:pt>
                <c:pt idx="383">
                  <c:v>1.1398832364246658E-2</c:v>
                </c:pt>
                <c:pt idx="384">
                  <c:v>1.1419168903579191E-2</c:v>
                </c:pt>
                <c:pt idx="385">
                  <c:v>1.1460152982216698E-2</c:v>
                </c:pt>
                <c:pt idx="386">
                  <c:v>1.1500353660736096E-2</c:v>
                </c:pt>
                <c:pt idx="387">
                  <c:v>1.1520609500061951E-2</c:v>
                </c:pt>
                <c:pt idx="388">
                  <c:v>1.154084919933851E-2</c:v>
                </c:pt>
                <c:pt idx="389">
                  <c:v>1.1561072758565771E-2</c:v>
                </c:pt>
                <c:pt idx="390">
                  <c:v>1.160183995290609E-2</c:v>
                </c:pt>
                <c:pt idx="391">
                  <c:v>1.1641805595381527E-2</c:v>
                </c:pt>
                <c:pt idx="392">
                  <c:v>1.1661948454442239E-2</c:v>
                </c:pt>
                <c:pt idx="393">
                  <c:v>1.168207517353359E-2</c:v>
                </c:pt>
                <c:pt idx="394">
                  <c:v>1.1702185752655581E-2</c:v>
                </c:pt>
                <c:pt idx="395">
                  <c:v>1.1742736122304365E-2</c:v>
                </c:pt>
                <c:pt idx="396">
                  <c:v>1.1782466668410763E-2</c:v>
                </c:pt>
                <c:pt idx="397">
                  <c:v>1.1802496547286268E-2</c:v>
                </c:pt>
                <c:pt idx="398">
                  <c:v>1.1822510286032539E-2</c:v>
                </c:pt>
                <c:pt idx="399">
                  <c:v>1.1842507884729514E-2</c:v>
                </c:pt>
                <c:pt idx="400">
                  <c:v>1.1903174763386204E-2</c:v>
                </c:pt>
                <c:pt idx="401">
                  <c:v>1.1962154535796188E-2</c:v>
                </c:pt>
                <c:pt idx="402">
                  <c:v>1.1982039154068147E-2</c:v>
                </c:pt>
                <c:pt idx="403">
                  <c:v>1.2032273183284481E-2</c:v>
                </c:pt>
                <c:pt idx="404">
                  <c:v>1.2081220144208871E-2</c:v>
                </c:pt>
                <c:pt idx="405">
                  <c:v>1.2101007921945239E-2</c:v>
                </c:pt>
                <c:pt idx="406">
                  <c:v>1.2120779559632311E-2</c:v>
                </c:pt>
                <c:pt idx="407">
                  <c:v>1.2160679794881446E-2</c:v>
                </c:pt>
                <c:pt idx="408">
                  <c:v>1.2199704709328074E-2</c:v>
                </c:pt>
                <c:pt idx="409">
                  <c:v>1.2219395646528852E-2</c:v>
                </c:pt>
                <c:pt idx="410">
                  <c:v>1.2239070443600397E-2</c:v>
                </c:pt>
                <c:pt idx="411">
                  <c:v>1.2258729100542709E-2</c:v>
                </c:pt>
                <c:pt idx="412">
                  <c:v>1.2298412731350794E-2</c:v>
                </c:pt>
                <c:pt idx="413">
                  <c:v>1.2337202327179497E-2</c:v>
                </c:pt>
                <c:pt idx="414">
                  <c:v>1.2356780283635516E-2</c:v>
                </c:pt>
                <c:pt idx="415">
                  <c:v>1.2395887775920045E-2</c:v>
                </c:pt>
                <c:pt idx="416">
                  <c:v>1.2395887775920045E-2</c:v>
                </c:pt>
                <c:pt idx="417">
                  <c:v>1.2435354852726732E-2</c:v>
                </c:pt>
                <c:pt idx="418">
                  <c:v>1.2473909078938306E-2</c:v>
                </c:pt>
                <c:pt idx="419">
                  <c:v>1.2493374054409756E-2</c:v>
                </c:pt>
                <c:pt idx="420">
                  <c:v>1.2512822889672037E-2</c:v>
                </c:pt>
                <c:pt idx="421">
                  <c:v>1.2532255584805085E-2</c:v>
                </c:pt>
                <c:pt idx="422">
                  <c:v>1.2571506156344725E-2</c:v>
                </c:pt>
                <c:pt idx="423">
                  <c:v>1.2609824963725202E-2</c:v>
                </c:pt>
                <c:pt idx="424">
                  <c:v>1.2629176958132149E-2</c:v>
                </c:pt>
                <c:pt idx="425">
                  <c:v>1.2648512812329926E-2</c:v>
                </c:pt>
                <c:pt idx="426">
                  <c:v>1.2667832526318534E-2</c:v>
                </c:pt>
                <c:pt idx="427">
                  <c:v>1.2706866639460301E-2</c:v>
                </c:pt>
                <c:pt idx="428">
                  <c:v>1.2744949980660891E-2</c:v>
                </c:pt>
                <c:pt idx="429">
                  <c:v>1.2764188993843462E-2</c:v>
                </c:pt>
                <c:pt idx="430">
                  <c:v>1.2783411866816863E-2</c:v>
                </c:pt>
                <c:pt idx="431">
                  <c:v>1.2802618599581095E-2</c:v>
                </c:pt>
                <c:pt idx="432">
                  <c:v>1.2841436299408926E-2</c:v>
                </c:pt>
                <c:pt idx="433">
                  <c:v>1.2879284128866075E-2</c:v>
                </c:pt>
                <c:pt idx="434">
                  <c:v>1.2898410160584461E-2</c:v>
                </c:pt>
                <c:pt idx="435">
                  <c:v>1.291752005225355E-2</c:v>
                </c:pt>
                <c:pt idx="436">
                  <c:v>1.293661380371347E-2</c:v>
                </c:pt>
                <c:pt idx="437">
                  <c:v>1.2975215133552709E-2</c:v>
                </c:pt>
                <c:pt idx="438">
                  <c:v>1.3012827407301586E-2</c:v>
                </c:pt>
                <c:pt idx="439">
                  <c:v>1.303184045771566E-2</c:v>
                </c:pt>
                <c:pt idx="440">
                  <c:v>1.3069818137756428E-2</c:v>
                </c:pt>
                <c:pt idx="441">
                  <c:v>1.3069818137756428E-2</c:v>
                </c:pt>
                <c:pt idx="442">
                  <c:v>1.3108203139227115E-2</c:v>
                </c:pt>
                <c:pt idx="443">
                  <c:v>1.3145579815247999E-2</c:v>
                </c:pt>
                <c:pt idx="444">
                  <c:v>1.3164479884038016E-2</c:v>
                </c:pt>
                <c:pt idx="445">
                  <c:v>1.3183363812618865E-2</c:v>
                </c:pt>
                <c:pt idx="446">
                  <c:v>1.3202231600910608E-2</c:v>
                </c:pt>
                <c:pt idx="447">
                  <c:v>1.3240400313820899E-2</c:v>
                </c:pt>
                <c:pt idx="448">
                  <c:v>1.3277541351826017E-2</c:v>
                </c:pt>
                <c:pt idx="449">
                  <c:v>1.3296328438832106E-2</c:v>
                </c:pt>
                <c:pt idx="450">
                  <c:v>1.3315099385788898E-2</c:v>
                </c:pt>
                <c:pt idx="451">
                  <c:v>1.3333854192296712E-2</c:v>
                </c:pt>
                <c:pt idx="452">
                  <c:v>1.3371806654696172E-2</c:v>
                </c:pt>
                <c:pt idx="453">
                  <c:v>1.3408712016076407E-2</c:v>
                </c:pt>
                <c:pt idx="454">
                  <c:v>1.3427386121298568E-2</c:v>
                </c:pt>
                <c:pt idx="455">
                  <c:v>1.3446044086311559E-2</c:v>
                </c:pt>
                <c:pt idx="456">
                  <c:v>1.3464685911035446E-2</c:v>
                </c:pt>
                <c:pt idx="457">
                  <c:v>1.3502422159268335E-2</c:v>
                </c:pt>
                <c:pt idx="458">
                  <c:v>1.353909180719981E-2</c:v>
                </c:pt>
                <c:pt idx="459">
                  <c:v>1.355765293047817E-2</c:v>
                </c:pt>
                <c:pt idx="460">
                  <c:v>1.3576197913547361E-2</c:v>
                </c:pt>
                <c:pt idx="461">
                  <c:v>1.359472675624751E-2</c:v>
                </c:pt>
                <c:pt idx="462">
                  <c:v>1.3632246824979433E-2</c:v>
                </c:pt>
                <c:pt idx="463">
                  <c:v>1.3668680724316928E-2</c:v>
                </c:pt>
                <c:pt idx="464">
                  <c:v>1.3687128865571552E-2</c:v>
                </c:pt>
                <c:pt idx="465">
                  <c:v>1.3705560866457134E-2</c:v>
                </c:pt>
                <c:pt idx="466">
                  <c:v>1.3723976727133547E-2</c:v>
                </c:pt>
                <c:pt idx="467">
                  <c:v>1.3761280649244867E-2</c:v>
                </c:pt>
                <c:pt idx="468">
                  <c:v>1.3797478766548466E-2</c:v>
                </c:pt>
                <c:pt idx="469">
                  <c:v>1.381581392561948E-2</c:v>
                </c:pt>
                <c:pt idx="470">
                  <c:v>1.3834132944401389E-2</c:v>
                </c:pt>
                <c:pt idx="471">
                  <c:v>1.3852435822734321E-2</c:v>
                </c:pt>
                <c:pt idx="472">
                  <c:v>1.3889523629480038E-2</c:v>
                </c:pt>
                <c:pt idx="473">
                  <c:v>1.3925485933095061E-2</c:v>
                </c:pt>
                <c:pt idx="474">
                  <c:v>1.3943708109902531E-2</c:v>
                </c:pt>
                <c:pt idx="475">
                  <c:v>1.3961914146261023E-2</c:v>
                </c:pt>
                <c:pt idx="476">
                  <c:v>1.4017510759158469E-2</c:v>
                </c:pt>
                <c:pt idx="477">
                  <c:v>1.4070811417461471E-2</c:v>
                </c:pt>
                <c:pt idx="478">
                  <c:v>1.4088904471396546E-2</c:v>
                </c:pt>
                <c:pt idx="479">
                  <c:v>1.410698138496258E-2</c:v>
                </c:pt>
                <c:pt idx="480">
                  <c:v>1.4143637047814295E-2</c:v>
                </c:pt>
                <c:pt idx="481">
                  <c:v>1.4179127635776112E-2</c:v>
                </c:pt>
                <c:pt idx="482">
                  <c:v>1.419712384749694E-2</c:v>
                </c:pt>
                <c:pt idx="483">
                  <c:v>1.4215103918928662E-2</c:v>
                </c:pt>
                <c:pt idx="484">
                  <c:v>1.4233067849911407E-2</c:v>
                </c:pt>
                <c:pt idx="485">
                  <c:v>1.427874640718807E-2</c:v>
                </c:pt>
                <c:pt idx="486">
                  <c:v>1.4322645399209577E-2</c:v>
                </c:pt>
                <c:pt idx="487">
                  <c:v>1.4340512487898138E-2</c:v>
                </c:pt>
                <c:pt idx="488">
                  <c:v>1.4358363436297594E-2</c:v>
                </c:pt>
                <c:pt idx="489">
                  <c:v>1.4394587059918251E-2</c:v>
                </c:pt>
                <c:pt idx="490">
                  <c:v>1.4429605825485581E-2</c:v>
                </c:pt>
                <c:pt idx="491">
                  <c:v>1.4447376071800022E-2</c:v>
                </c:pt>
                <c:pt idx="492">
                  <c:v>1.4465130177745422E-2</c:v>
                </c:pt>
                <c:pt idx="493">
                  <c:v>1.4482868143161909E-2</c:v>
                </c:pt>
                <c:pt idx="494">
                  <c:v>1.4518875782432161E-2</c:v>
                </c:pt>
                <c:pt idx="495">
                  <c:v>1.455365860097757E-2</c:v>
                </c:pt>
                <c:pt idx="496">
                  <c:v>1.4571315864388978E-2</c:v>
                </c:pt>
                <c:pt idx="497">
                  <c:v>1.4588956987351409E-2</c:v>
                </c:pt>
                <c:pt idx="498">
                  <c:v>1.4606581969864862E-2</c:v>
                </c:pt>
                <c:pt idx="499">
                  <c:v>1.4642373645967766E-2</c:v>
                </c:pt>
                <c:pt idx="500">
                  <c:v>1.4676920495748647E-2</c:v>
                </c:pt>
                <c:pt idx="501">
                  <c:v>1.4694464776177085E-2</c:v>
                </c:pt>
                <c:pt idx="502">
                  <c:v>1.4711992916076611E-2</c:v>
                </c:pt>
                <c:pt idx="503">
                  <c:v>1.4729504915607095E-2</c:v>
                </c:pt>
                <c:pt idx="504">
                  <c:v>1.477411360125247E-2</c:v>
                </c:pt>
                <c:pt idx="505">
                  <c:v>1.4816821595893259E-2</c:v>
                </c:pt>
                <c:pt idx="506">
                  <c:v>1.4834229490459094E-2</c:v>
                </c:pt>
                <c:pt idx="507">
                  <c:v>1.4851613982305167E-2</c:v>
                </c:pt>
                <c:pt idx="508">
                  <c:v>1.4886920526500091E-2</c:v>
                </c:pt>
                <c:pt idx="509">
                  <c:v>1.4920917922651711E-2</c:v>
                </c:pt>
                <c:pt idx="510">
                  <c:v>1.4938185400898973E-2</c:v>
                </c:pt>
                <c:pt idx="511">
                  <c:v>1.495542947650641E-2</c:v>
                </c:pt>
                <c:pt idx="512">
                  <c:v>1.4972650149314148E-2</c:v>
                </c:pt>
                <c:pt idx="513">
                  <c:v>1.5007639078881141E-2</c:v>
                </c:pt>
                <c:pt idx="514">
                  <c:v>1.5041298813347481E-2</c:v>
                </c:pt>
                <c:pt idx="515">
                  <c:v>1.5058402472476473E-2</c:v>
                </c:pt>
                <c:pt idx="516">
                  <c:v>1.5075482728965639E-2</c:v>
                </c:pt>
                <c:pt idx="517">
                  <c:v>1.5092539582655107E-2</c:v>
                </c:pt>
                <c:pt idx="518">
                  <c:v>1.5211282281129002E-2</c:v>
                </c:pt>
                <c:pt idx="519">
                  <c:v>1.53288782437766E-2</c:v>
                </c:pt>
                <c:pt idx="520">
                  <c:v>1.547904576035819E-2</c:v>
                </c:pt>
                <c:pt idx="521">
                  <c:v>1.5560629956716809E-2</c:v>
                </c:pt>
                <c:pt idx="522">
                  <c:v>1.5674785704851146E-2</c:v>
                </c:pt>
                <c:pt idx="523">
                  <c:v>1.5787794712602832E-2</c:v>
                </c:pt>
                <c:pt idx="524">
                  <c:v>1.5899656978852761E-2</c:v>
                </c:pt>
                <c:pt idx="525">
                  <c:v>1.6010372502641701E-2</c:v>
                </c:pt>
                <c:pt idx="526">
                  <c:v>1.6119941282930483E-2</c:v>
                </c:pt>
                <c:pt idx="527">
                  <c:v>1.6228363318520067E-2</c:v>
                </c:pt>
                <c:pt idx="528">
                  <c:v>1.6366814297441579E-2</c:v>
                </c:pt>
                <c:pt idx="529">
                  <c:v>1.6441767151844644E-2</c:v>
                </c:pt>
                <c:pt idx="530">
                  <c:v>1.6546748947421364E-2</c:v>
                </c:pt>
                <c:pt idx="531">
                  <c:v>1.6650583994302082E-2</c:v>
                </c:pt>
                <c:pt idx="532">
                  <c:v>1.6753272291527566E-2</c:v>
                </c:pt>
                <c:pt idx="533">
                  <c:v>1.6854813838058647E-2</c:v>
                </c:pt>
                <c:pt idx="534">
                  <c:v>1.6955208633016028E-2</c:v>
                </c:pt>
                <c:pt idx="535">
                  <c:v>1.7054456675360541E-2</c:v>
                </c:pt>
                <c:pt idx="536">
                  <c:v>1.7152557964132953E-2</c:v>
                </c:pt>
                <c:pt idx="537">
                  <c:v>1.7249512498453967E-2</c:v>
                </c:pt>
                <c:pt idx="538">
                  <c:v>1.7345320277284415E-2</c:v>
                </c:pt>
                <c:pt idx="539">
                  <c:v>1.7439981299904872E-2</c:v>
                </c:pt>
                <c:pt idx="540">
                  <c:v>1.7533495565196233E-2</c:v>
                </c:pt>
                <c:pt idx="541">
                  <c:v>1.7625863072439074E-2</c:v>
                </c:pt>
                <c:pt idx="542">
                  <c:v>1.7717083820674162E-2</c:v>
                </c:pt>
                <c:pt idx="543">
                  <c:v>1.7807157808942264E-2</c:v>
                </c:pt>
                <c:pt idx="544">
                  <c:v>1.7896085036603893E-2</c:v>
                </c:pt>
                <c:pt idx="545">
                  <c:v>1.8045863736046996E-2</c:v>
                </c:pt>
                <c:pt idx="546">
                  <c:v>1.8095942805311793E-2</c:v>
                </c:pt>
                <c:pt idx="547">
                  <c:v>1.8155986146437542E-2</c:v>
                </c:pt>
                <c:pt idx="548">
                  <c:v>1.8240326322720435E-2</c:v>
                </c:pt>
                <c:pt idx="549">
                  <c:v>1.8323519734080307E-2</c:v>
                </c:pt>
                <c:pt idx="550">
                  <c:v>1.8405566379797733E-2</c:v>
                </c:pt>
                <c:pt idx="551">
                  <c:v>1.8486466259073353E-2</c:v>
                </c:pt>
                <c:pt idx="552">
                  <c:v>1.856621937102787E-2</c:v>
                </c:pt>
                <c:pt idx="553">
                  <c:v>1.8644825715101732E-2</c:v>
                </c:pt>
                <c:pt idx="554">
                  <c:v>1.8722285290415641E-2</c:v>
                </c:pt>
                <c:pt idx="555">
                  <c:v>1.8798598096170238E-2</c:v>
                </c:pt>
                <c:pt idx="556">
                  <c:v>1.887376413180597E-2</c:v>
                </c:pt>
                <c:pt idx="557">
                  <c:v>1.894778339644354E-2</c:v>
                </c:pt>
                <c:pt idx="558">
                  <c:v>1.9043256944614839E-2</c:v>
                </c:pt>
                <c:pt idx="559">
                  <c:v>1.9132852858598781E-2</c:v>
                </c:pt>
                <c:pt idx="560">
                  <c:v>1.9202776507070141E-2</c:v>
                </c:pt>
                <c:pt idx="561">
                  <c:v>1.9271553381505768E-2</c:v>
                </c:pt>
                <c:pt idx="562">
                  <c:v>1.933918348118624E-2</c:v>
                </c:pt>
                <c:pt idx="563">
                  <c:v>1.9415070808967982E-2</c:v>
                </c:pt>
                <c:pt idx="564">
                  <c:v>1.9471003353883631E-2</c:v>
                </c:pt>
                <c:pt idx="565">
                  <c:v>1.9535193125541639E-2</c:v>
                </c:pt>
                <c:pt idx="566">
                  <c:v>1.9607151497842423E-2</c:v>
                </c:pt>
                <c:pt idx="567">
                  <c:v>1.9660494324957867E-2</c:v>
                </c:pt>
                <c:pt idx="568">
                  <c:v>1.9722440890435067E-2</c:v>
                </c:pt>
                <c:pt idx="569">
                  <c:v>1.9784078666518212E-2</c:v>
                </c:pt>
                <c:pt idx="570">
                  <c:v>1.9845407653127367E-2</c:v>
                </c:pt>
                <c:pt idx="571">
                  <c:v>1.9906427850102659E-2</c:v>
                </c:pt>
                <c:pt idx="572">
                  <c:v>1.9967139257124344E-2</c:v>
                </c:pt>
                <c:pt idx="573">
                  <c:v>2.0027541874192423E-2</c:v>
                </c:pt>
                <c:pt idx="574">
                  <c:v>2.0087635701147022E-2</c:v>
                </c:pt>
                <c:pt idx="575">
                  <c:v>2.014742073782827E-2</c:v>
                </c:pt>
                <c:pt idx="576">
                  <c:v>2.0206896983916423E-2</c:v>
                </c:pt>
                <c:pt idx="577">
                  <c:v>2.0266064439491416E-2</c:v>
                </c:pt>
                <c:pt idx="578">
                  <c:v>2.0324923104313442E-2</c:v>
                </c:pt>
                <c:pt idx="579">
                  <c:v>2.0391812038464963E-2</c:v>
                </c:pt>
                <c:pt idx="580">
                  <c:v>2.0441714060979166E-2</c:v>
                </c:pt>
                <c:pt idx="581">
                  <c:v>2.0499646352583056E-2</c:v>
                </c:pt>
                <c:pt idx="582">
                  <c:v>2.0557269852874427E-2</c:v>
                </c:pt>
                <c:pt idx="583">
                  <c:v>2.0614584561533533E-2</c:v>
                </c:pt>
                <c:pt idx="584">
                  <c:v>2.0671590478560375E-2</c:v>
                </c:pt>
                <c:pt idx="585">
                  <c:v>2.0728287603875017E-2</c:v>
                </c:pt>
                <c:pt idx="586">
                  <c:v>2.0784675937157715E-2</c:v>
                </c:pt>
                <c:pt idx="587">
                  <c:v>2.0840755478408468E-2</c:v>
                </c:pt>
                <c:pt idx="588">
                  <c:v>2.0896526227307533E-2</c:v>
                </c:pt>
                <c:pt idx="589">
                  <c:v>2.0951988183934844E-2</c:v>
                </c:pt>
                <c:pt idx="590">
                  <c:v>2.1007141347890723E-2</c:v>
                </c:pt>
                <c:pt idx="591">
                  <c:v>2.1061985719335041E-2</c:v>
                </c:pt>
                <c:pt idx="592">
                  <c:v>2.1124286887239663E-2</c:v>
                </c:pt>
                <c:pt idx="593">
                  <c:v>2.1170748083489954E-2</c:v>
                </c:pt>
                <c:pt idx="594">
                  <c:v>2.1224666075960741E-2</c:v>
                </c:pt>
                <c:pt idx="595">
                  <c:v>2.1278275275280478E-2</c:v>
                </c:pt>
                <c:pt idx="596">
                  <c:v>2.134042763008992E-2</c:v>
                </c:pt>
                <c:pt idx="597">
                  <c:v>2.1407183455970369E-2</c:v>
                </c:pt>
                <c:pt idx="598">
                  <c:v>2.1452245629083322E-2</c:v>
                </c:pt>
                <c:pt idx="599">
                  <c:v>2.1504531427254392E-2</c:v>
                </c:pt>
                <c:pt idx="600">
                  <c:v>2.1563908510104923E-2</c:v>
                </c:pt>
                <c:pt idx="601">
                  <c:v>2.1608176641665366E-2</c:v>
                </c:pt>
                <c:pt idx="602">
                  <c:v>2.1659536057505591E-2</c:v>
                </c:pt>
                <c:pt idx="603">
                  <c:v>2.1710586679075661E-2</c:v>
                </c:pt>
                <c:pt idx="604">
                  <c:v>2.1768552130954077E-2</c:v>
                </c:pt>
                <c:pt idx="605">
                  <c:v>2.1811761538685914E-2</c:v>
                </c:pt>
                <c:pt idx="606">
                  <c:v>2.1861885776406353E-2</c:v>
                </c:pt>
                <c:pt idx="607">
                  <c:v>2.1911701219297086E-2</c:v>
                </c:pt>
                <c:pt idx="608">
                  <c:v>2.196120786719824E-2</c:v>
                </c:pt>
                <c:pt idx="609">
                  <c:v>2.2010405719870008E-2</c:v>
                </c:pt>
                <c:pt idx="610">
                  <c:v>2.2059294777392324E-2</c:v>
                </c:pt>
                <c:pt idx="611">
                  <c:v>2.2107875039525382E-2</c:v>
                </c:pt>
                <c:pt idx="612">
                  <c:v>2.2156146506109309E-2</c:v>
                </c:pt>
                <c:pt idx="613">
                  <c:v>2.2225940037516878E-2</c:v>
                </c:pt>
                <c:pt idx="614">
                  <c:v>2.2251763052389961E-2</c:v>
                </c:pt>
                <c:pt idx="615">
                  <c:v>2.2305846506665006E-2</c:v>
                </c:pt>
                <c:pt idx="616">
                  <c:v>2.2346144415115177E-2</c:v>
                </c:pt>
                <c:pt idx="617">
                  <c:v>2.2392871902354727E-2</c:v>
                </c:pt>
                <c:pt idx="618">
                  <c:v>2.2445914307542836E-2</c:v>
                </c:pt>
                <c:pt idx="619">
                  <c:v>2.2485602417541273E-2</c:v>
                </c:pt>
                <c:pt idx="620">
                  <c:v>2.2531872513456008E-2</c:v>
                </c:pt>
                <c:pt idx="621">
                  <c:v>2.2578107394979341E-2</c:v>
                </c:pt>
                <c:pt idx="622">
                  <c:v>2.2624307062111271E-2</c:v>
                </c:pt>
                <c:pt idx="623">
                  <c:v>2.2670471514691926E-2</c:v>
                </c:pt>
                <c:pt idx="624">
                  <c:v>2.2716600752881178E-2</c:v>
                </c:pt>
                <c:pt idx="625">
                  <c:v>2.2762694776519155E-2</c:v>
                </c:pt>
                <c:pt idx="626">
                  <c:v>2.2808753585685793E-2</c:v>
                </c:pt>
                <c:pt idx="627">
                  <c:v>2.2854777180381092E-2</c:v>
                </c:pt>
                <c:pt idx="628">
                  <c:v>2.2900765560525116E-2</c:v>
                </c:pt>
                <c:pt idx="629">
                  <c:v>2.2946718726117865E-2</c:v>
                </c:pt>
                <c:pt idx="630">
                  <c:v>2.2992636677239275E-2</c:v>
                </c:pt>
                <c:pt idx="631">
                  <c:v>2.3045071215790358E-2</c:v>
                </c:pt>
                <c:pt idx="632">
                  <c:v>2.3090913707033422E-2</c:v>
                </c:pt>
                <c:pt idx="633">
                  <c:v>2.3130179243056048E-2</c:v>
                </c:pt>
                <c:pt idx="634">
                  <c:v>2.317595633573255E-2</c:v>
                </c:pt>
                <c:pt idx="635">
                  <c:v>2.3221698213937714E-2</c:v>
                </c:pt>
                <c:pt idx="636">
                  <c:v>2.3267404877351794E-2</c:v>
                </c:pt>
                <c:pt idx="637">
                  <c:v>2.3313076326294535E-2</c:v>
                </c:pt>
                <c:pt idx="638">
                  <c:v>2.3365229147875866E-2</c:v>
                </c:pt>
                <c:pt idx="639">
                  <c:v>2.340431357996664E-2</c:v>
                </c:pt>
                <c:pt idx="640">
                  <c:v>2.3449879384855876E-2</c:v>
                </c:pt>
                <c:pt idx="641">
                  <c:v>2.3495409975033965E-2</c:v>
                </c:pt>
                <c:pt idx="642">
                  <c:v>2.354740181514714E-2</c:v>
                </c:pt>
                <c:pt idx="643">
                  <c:v>2.3586365511176766E-2</c:v>
                </c:pt>
                <c:pt idx="644">
                  <c:v>2.3631790457141477E-2</c:v>
                </c:pt>
                <c:pt idx="645">
                  <c:v>2.3677180188395042E-2</c:v>
                </c:pt>
                <c:pt idx="646">
                  <c:v>2.3722534704857523E-2</c:v>
                </c:pt>
                <c:pt idx="647">
                  <c:v>2.3767854006608857E-2</c:v>
                </c:pt>
                <c:pt idx="648">
                  <c:v>2.3834112323681822E-2</c:v>
                </c:pt>
                <c:pt idx="649">
                  <c:v>2.387935209870129E-2</c:v>
                </c:pt>
                <c:pt idx="650">
                  <c:v>2.3910056842115779E-2</c:v>
                </c:pt>
                <c:pt idx="651">
                  <c:v>2.3955230253926985E-2</c:v>
                </c:pt>
                <c:pt idx="652">
                  <c:v>2.4000368450867171E-2</c:v>
                </c:pt>
                <c:pt idx="653">
                  <c:v>2.4045471432936338E-2</c:v>
                </c:pt>
                <c:pt idx="654">
                  <c:v>2.4090539200134486E-2</c:v>
                </c:pt>
                <c:pt idx="655">
                  <c:v>2.4135571752461615E-2</c:v>
                </c:pt>
                <c:pt idx="656">
                  <c:v>2.4180569089917725E-2</c:v>
                </c:pt>
                <c:pt idx="657">
                  <c:v>2.4225531212422879E-2</c:v>
                </c:pt>
                <c:pt idx="658">
                  <c:v>2.4270458120057015E-2</c:v>
                </c:pt>
                <c:pt idx="659">
                  <c:v>2.4315349812660259E-2</c:v>
                </c:pt>
                <c:pt idx="660">
                  <c:v>2.4360206290392483E-2</c:v>
                </c:pt>
                <c:pt idx="661">
                  <c:v>2.4405027553093817E-2</c:v>
                </c:pt>
                <c:pt idx="662">
                  <c:v>2.4449813600924131E-2</c:v>
                </c:pt>
                <c:pt idx="663">
                  <c:v>2.4510680147702857E-2</c:v>
                </c:pt>
                <c:pt idx="664">
                  <c:v>2.4564816022190072E-2</c:v>
                </c:pt>
                <c:pt idx="665">
                  <c:v>2.4609476302064337E-2</c:v>
                </c:pt>
                <c:pt idx="666">
                  <c:v>2.4660473501487701E-2</c:v>
                </c:pt>
                <c:pt idx="667">
                  <c:v>2.4698691216800128E-2</c:v>
                </c:pt>
                <c:pt idx="668">
                  <c:v>2.4743245851501783E-2</c:v>
                </c:pt>
                <c:pt idx="669">
                  <c:v>2.4794122313585021E-2</c:v>
                </c:pt>
                <c:pt idx="670">
                  <c:v>2.4832133615291241E-2</c:v>
                </c:pt>
                <c:pt idx="671">
                  <c:v>2.4875944422193541E-2</c:v>
                </c:pt>
                <c:pt idx="672">
                  <c:v>2.4919161604106677E-2</c:v>
                </c:pt>
                <c:pt idx="673">
                  <c:v>2.4961785160870775E-2</c:v>
                </c:pt>
                <c:pt idx="674">
                  <c:v>2.5003815092086157E-2</c:v>
                </c:pt>
                <c:pt idx="675">
                  <c:v>2.5045251397672885E-2</c:v>
                </c:pt>
                <c:pt idx="676">
                  <c:v>2.5086094077391152E-2</c:v>
                </c:pt>
                <c:pt idx="677">
                  <c:v>2.5126343131081086E-2</c:v>
                </c:pt>
                <c:pt idx="678">
                  <c:v>2.5165998558422942E-2</c:v>
                </c:pt>
                <c:pt idx="679">
                  <c:v>2.520506035941672E-2</c:v>
                </c:pt>
                <c:pt idx="680">
                  <c:v>2.524352853366274E-2</c:v>
                </c:pt>
                <c:pt idx="681">
                  <c:v>2.5281403081161002E-2</c:v>
                </c:pt>
                <c:pt idx="682">
                  <c:v>2.5318684001511826E-2</c:v>
                </c:pt>
                <c:pt idx="683">
                  <c:v>2.5360563877239173E-2</c:v>
                </c:pt>
                <c:pt idx="684">
                  <c:v>2.5391464960451415E-2</c:v>
                </c:pt>
                <c:pt idx="685">
                  <c:v>2.54269649986405E-2</c:v>
                </c:pt>
                <c:pt idx="686">
                  <c:v>2.5461871409122594E-2</c:v>
                </c:pt>
                <c:pt idx="687">
                  <c:v>2.5496184191657889E-2</c:v>
                </c:pt>
                <c:pt idx="688">
                  <c:v>2.5529903346086513E-2</c:v>
                </c:pt>
                <c:pt idx="689">
                  <c:v>2.556302887232853E-2</c:v>
                </c:pt>
                <c:pt idx="690">
                  <c:v>2.5595560770064196E-2</c:v>
                </c:pt>
                <c:pt idx="691">
                  <c:v>2.5627499039213575E-2</c:v>
                </c:pt>
                <c:pt idx="692">
                  <c:v>2.5658843679616794E-2</c:v>
                </c:pt>
                <c:pt idx="693">
                  <c:v>2.5689594691193918E-2</c:v>
                </c:pt>
                <c:pt idx="694">
                  <c:v>2.5719752073625202E-2</c:v>
                </c:pt>
                <c:pt idx="695">
                  <c:v>2.5749315826910646E-2</c:v>
                </c:pt>
                <c:pt idx="696">
                  <c:v>2.5782376080405456E-2</c:v>
                </c:pt>
                <c:pt idx="697">
                  <c:v>2.5806662445244655E-2</c:v>
                </c:pt>
                <c:pt idx="698">
                  <c:v>2.5834445310053411E-2</c:v>
                </c:pt>
                <c:pt idx="699">
                  <c:v>2.5861634545156775E-2</c:v>
                </c:pt>
                <c:pt idx="700">
                  <c:v>2.5895719860526967E-2</c:v>
                </c:pt>
                <c:pt idx="701">
                  <c:v>2.5917898233664971E-2</c:v>
                </c:pt>
                <c:pt idx="702">
                  <c:v>2.593964047031605E-2</c:v>
                </c:pt>
                <c:pt idx="703">
                  <c:v>2.5964455184919188E-2</c:v>
                </c:pt>
                <c:pt idx="704">
                  <c:v>2.5988676269177446E-2</c:v>
                </c:pt>
                <c:pt idx="705">
                  <c:v>2.6012303722930952E-2</c:v>
                </c:pt>
                <c:pt idx="706">
                  <c:v>2.6035337546019832E-2</c:v>
                </c:pt>
                <c:pt idx="707">
                  <c:v>2.6057777738284216E-2</c:v>
                </c:pt>
                <c:pt idx="708">
                  <c:v>2.6079624299724102E-2</c:v>
                </c:pt>
                <c:pt idx="709">
                  <c:v>2.610087723017962E-2</c:v>
                </c:pt>
                <c:pt idx="710">
                  <c:v>2.6121536529490896E-2</c:v>
                </c:pt>
                <c:pt idx="711">
                  <c:v>2.6141602197657932E-2</c:v>
                </c:pt>
                <c:pt idx="712">
                  <c:v>2.616107423460079E-2</c:v>
                </c:pt>
                <c:pt idx="713">
                  <c:v>2.6179952640079662E-2</c:v>
                </c:pt>
                <c:pt idx="714">
                  <c:v>2.6203352600928653E-2</c:v>
                </c:pt>
                <c:pt idx="715">
                  <c:v>2.6215928556565515E-2</c:v>
                </c:pt>
                <c:pt idx="716">
                  <c:v>2.6233026067412624E-2</c:v>
                </c:pt>
                <c:pt idx="717">
                  <c:v>2.6249529946476002E-2</c:v>
                </c:pt>
                <c:pt idx="718">
                  <c:v>2.6267664626473675E-2</c:v>
                </c:pt>
                <c:pt idx="719">
                  <c:v>2.6280756809091699E-2</c:v>
                </c:pt>
                <c:pt idx="720">
                  <c:v>2.6295479792404208E-2</c:v>
                </c:pt>
                <c:pt idx="721">
                  <c:v>2.6309609143773116E-2</c:v>
                </c:pt>
                <c:pt idx="722">
                  <c:v>2.6325180076556265E-2</c:v>
                </c:pt>
                <c:pt idx="723">
                  <c:v>2.6336900880004066E-2</c:v>
                </c:pt>
                <c:pt idx="724">
                  <c:v>2.6350695228787302E-2</c:v>
                </c:pt>
                <c:pt idx="725">
                  <c:v>2.6364618892289471E-2</c:v>
                </c:pt>
                <c:pt idx="726">
                  <c:v>2.6378671870590509E-2</c:v>
                </c:pt>
                <c:pt idx="727">
                  <c:v>2.6392854163770352E-2</c:v>
                </c:pt>
                <c:pt idx="728">
                  <c:v>2.6407165771749064E-2</c:v>
                </c:pt>
                <c:pt idx="729">
                  <c:v>2.6421606694526645E-2</c:v>
                </c:pt>
                <c:pt idx="730">
                  <c:v>2.6436176932183031E-2</c:v>
                </c:pt>
                <c:pt idx="731">
                  <c:v>2.6450876484718222E-2</c:v>
                </c:pt>
                <c:pt idx="732">
                  <c:v>2.6465705352212154E-2</c:v>
                </c:pt>
                <c:pt idx="733">
                  <c:v>2.6480663534504956E-2</c:v>
                </c:pt>
                <c:pt idx="734">
                  <c:v>2.6495751031836434E-2</c:v>
                </c:pt>
                <c:pt idx="735">
                  <c:v>2.6513152230638326E-2</c:v>
                </c:pt>
                <c:pt idx="736">
                  <c:v>2.6526313971215743E-2</c:v>
                </c:pt>
                <c:pt idx="737">
                  <c:v>2.6541789413343508E-2</c:v>
                </c:pt>
                <c:pt idx="738">
                  <c:v>2.6557394170509951E-2</c:v>
                </c:pt>
                <c:pt idx="739">
                  <c:v>2.6573128242635136E-2</c:v>
                </c:pt>
                <c:pt idx="740">
                  <c:v>2.6588991629798997E-2</c:v>
                </c:pt>
                <c:pt idx="741">
                  <c:v>2.6604984332001536E-2</c:v>
                </c:pt>
                <c:pt idx="742">
                  <c:v>2.6621106349242751E-2</c:v>
                </c:pt>
                <c:pt idx="743">
                  <c:v>2.663735768160258E-2</c:v>
                </c:pt>
                <c:pt idx="744">
                  <c:v>2.6653738329081023E-2</c:v>
                </c:pt>
                <c:pt idx="745">
                  <c:v>2.6670248291518206E-2</c:v>
                </c:pt>
                <c:pt idx="746">
                  <c:v>2.6689275165274751E-2</c:v>
                </c:pt>
                <c:pt idx="747">
                  <c:v>2.6703656162068157E-2</c:v>
                </c:pt>
                <c:pt idx="748">
                  <c:v>2.6722978613307191E-2</c:v>
                </c:pt>
                <c:pt idx="749">
                  <c:v>2.6737581293252433E-2</c:v>
                </c:pt>
                <c:pt idx="750">
                  <c:v>2.6754737831602426E-2</c:v>
                </c:pt>
                <c:pt idx="751">
                  <c:v>2.677202368515097E-2</c:v>
                </c:pt>
                <c:pt idx="752">
                  <c:v>2.6794438368300533E-2</c:v>
                </c:pt>
                <c:pt idx="753">
                  <c:v>2.681454198906863E-2</c:v>
                </c:pt>
                <c:pt idx="754">
                  <c:v>2.6827192522329568E-2</c:v>
                </c:pt>
                <c:pt idx="755">
                  <c:v>2.6845014110614684E-2</c:v>
                </c:pt>
                <c:pt idx="756">
                  <c:v>2.6862965014178286E-2</c:v>
                </c:pt>
                <c:pt idx="757">
                  <c:v>2.6881045233100309E-2</c:v>
                </c:pt>
                <c:pt idx="758">
                  <c:v>2.6899254767380754E-2</c:v>
                </c:pt>
                <c:pt idx="759">
                  <c:v>2.6917593617099556E-2</c:v>
                </c:pt>
                <c:pt idx="760">
                  <c:v>2.6936061782096843E-2</c:v>
                </c:pt>
                <c:pt idx="761">
                  <c:v>2.6954659262612424E-2</c:v>
                </c:pt>
                <c:pt idx="762">
                  <c:v>2.6973386058486426E-2</c:v>
                </c:pt>
                <c:pt idx="763">
                  <c:v>2.6992242169878722E-2</c:v>
                </c:pt>
                <c:pt idx="764">
                  <c:v>2.7011227596709375E-2</c:v>
                </c:pt>
                <c:pt idx="765">
                  <c:v>2.7030342338978386E-2</c:v>
                </c:pt>
                <c:pt idx="766">
                  <c:v>2.7049586396845626E-2</c:v>
                </c:pt>
                <c:pt idx="767">
                  <c:v>2.7068959770311096E-2</c:v>
                </c:pt>
                <c:pt idx="768">
                  <c:v>2.7094058407879373E-2</c:v>
                </c:pt>
                <c:pt idx="769">
                  <c:v>2.7108094463716981E-2</c:v>
                </c:pt>
                <c:pt idx="770">
                  <c:v>2.7130689385970186E-2</c:v>
                </c:pt>
                <c:pt idx="771">
                  <c:v>2.7147746419675656E-2</c:v>
                </c:pt>
                <c:pt idx="772">
                  <c:v>2.7167766371052338E-2</c:v>
                </c:pt>
                <c:pt idx="773">
                  <c:v>2.7187915638107185E-2</c:v>
                </c:pt>
                <c:pt idx="774">
                  <c:v>2.7211091210608274E-2</c:v>
                </c:pt>
                <c:pt idx="775">
                  <c:v>2.7228348450005768E-2</c:v>
                </c:pt>
                <c:pt idx="776">
                  <c:v>2.7248192201447807E-2</c:v>
                </c:pt>
                <c:pt idx="777">
                  <c:v>2.7267723974047087E-2</c:v>
                </c:pt>
                <c:pt idx="778">
                  <c:v>2.7286943767803606E-2</c:v>
                </c:pt>
                <c:pt idx="779">
                  <c:v>2.7305851582557494E-2</c:v>
                </c:pt>
                <c:pt idx="780">
                  <c:v>2.7324447418468623E-2</c:v>
                </c:pt>
                <c:pt idx="781">
                  <c:v>2.7342731275297183E-2</c:v>
                </c:pt>
                <c:pt idx="782">
                  <c:v>2.7360703153043175E-2</c:v>
                </c:pt>
                <c:pt idx="783">
                  <c:v>2.73783630517066E-2</c:v>
                </c:pt>
                <c:pt idx="784">
                  <c:v>2.7395710971207521E-2</c:v>
                </c:pt>
                <c:pt idx="785">
                  <c:v>2.7412746911466002E-2</c:v>
                </c:pt>
                <c:pt idx="786">
                  <c:v>2.7429470872561978E-2</c:v>
                </c:pt>
                <c:pt idx="787">
                  <c:v>2.7448201955406759E-2</c:v>
                </c:pt>
                <c:pt idx="788">
                  <c:v>2.7461982856706868E-2</c:v>
                </c:pt>
                <c:pt idx="789">
                  <c:v>2.7477770879755781E-2</c:v>
                </c:pt>
                <c:pt idx="790">
                  <c:v>2.7493246923402381E-2</c:v>
                </c:pt>
                <c:pt idx="791">
                  <c:v>2.7508410987486798E-2</c:v>
                </c:pt>
                <c:pt idx="792">
                  <c:v>2.7523263072248838E-2</c:v>
                </c:pt>
                <c:pt idx="793">
                  <c:v>2.7537803177368758E-2</c:v>
                </c:pt>
                <c:pt idx="794">
                  <c:v>2.7552031302926494E-2</c:v>
                </c:pt>
                <c:pt idx="795">
                  <c:v>2.756594744884211E-2</c:v>
                </c:pt>
                <c:pt idx="796">
                  <c:v>2.7579551615195541E-2</c:v>
                </c:pt>
                <c:pt idx="797">
                  <c:v>2.7592843801826916E-2</c:v>
                </c:pt>
                <c:pt idx="798">
                  <c:v>2.7607652856209697E-2</c:v>
                </c:pt>
                <c:pt idx="799">
                  <c:v>2.7618492235843561E-2</c:v>
                </c:pt>
                <c:pt idx="800">
                  <c:v>2.7630848483228831E-2</c:v>
                </c:pt>
                <c:pt idx="801">
                  <c:v>2.7642892750732173E-2</c:v>
                </c:pt>
                <c:pt idx="802">
                  <c:v>2.7654625038513458E-2</c:v>
                </c:pt>
                <c:pt idx="803">
                  <c:v>2.7666045346332879E-2</c:v>
                </c:pt>
                <c:pt idx="804">
                  <c:v>2.7680270179804012E-2</c:v>
                </c:pt>
                <c:pt idx="805">
                  <c:v>2.7689466889917469E-2</c:v>
                </c:pt>
                <c:pt idx="806">
                  <c:v>2.7698434390259763E-2</c:v>
                </c:pt>
                <c:pt idx="807">
                  <c:v>2.7708606778311662E-2</c:v>
                </c:pt>
                <c:pt idx="808">
                  <c:v>2.7718467186401696E-2</c:v>
                </c:pt>
                <c:pt idx="809">
                  <c:v>2.7728015614369994E-2</c:v>
                </c:pt>
                <c:pt idx="810">
                  <c:v>2.7737252062296491E-2</c:v>
                </c:pt>
                <c:pt idx="811">
                  <c:v>2.7746176530101252E-2</c:v>
                </c:pt>
                <c:pt idx="812">
                  <c:v>2.7754789017784276E-2</c:v>
                </c:pt>
                <c:pt idx="813">
                  <c:v>2.7763089525345563E-2</c:v>
                </c:pt>
                <c:pt idx="814">
                  <c:v>2.7771078052785114E-2</c:v>
                </c:pt>
                <c:pt idx="815">
                  <c:v>2.7778754600022992E-2</c:v>
                </c:pt>
                <c:pt idx="816">
                  <c:v>2.7786119167059198E-2</c:v>
                </c:pt>
                <c:pt idx="817">
                  <c:v>2.7793171753813795E-2</c:v>
                </c:pt>
                <c:pt idx="818">
                  <c:v>2.7799912360446655E-2</c:v>
                </c:pt>
                <c:pt idx="819">
                  <c:v>2.7808120434587025E-2</c:v>
                </c:pt>
                <c:pt idx="820">
                  <c:v>2.7812457632787613E-2</c:v>
                </c:pt>
                <c:pt idx="821">
                  <c:v>2.7818262298495711E-2</c:v>
                </c:pt>
                <c:pt idx="822">
                  <c:v>2.7824514185583737E-2</c:v>
                </c:pt>
                <c:pt idx="823">
                  <c:v>2.7828935689147016E-2</c:v>
                </c:pt>
                <c:pt idx="824">
                  <c:v>2.7833804414010288E-2</c:v>
                </c:pt>
                <c:pt idx="825">
                  <c:v>2.7838361158512015E-2</c:v>
                </c:pt>
                <c:pt idx="826">
                  <c:v>2.7843198101757949E-2</c:v>
                </c:pt>
                <c:pt idx="827">
                  <c:v>2.784681036336778E-2</c:v>
                </c:pt>
                <c:pt idx="828">
                  <c:v>2.7851173803137286E-2</c:v>
                </c:pt>
                <c:pt idx="829">
                  <c:v>2.78556978493949E-2</c:v>
                </c:pt>
                <c:pt idx="830">
                  <c:v>2.7860382502060688E-2</c:v>
                </c:pt>
                <c:pt idx="831">
                  <c:v>2.7865227761134648E-2</c:v>
                </c:pt>
                <c:pt idx="832">
                  <c:v>2.7870233626776653E-2</c:v>
                </c:pt>
                <c:pt idx="833">
                  <c:v>2.7875400098746894E-2</c:v>
                </c:pt>
                <c:pt idx="834">
                  <c:v>2.7880727177205245E-2</c:v>
                </c:pt>
                <c:pt idx="835">
                  <c:v>2.7886214862151704E-2</c:v>
                </c:pt>
                <c:pt idx="836">
                  <c:v>2.7891863153586272E-2</c:v>
                </c:pt>
                <c:pt idx="837">
                  <c:v>2.7897672051588884E-2</c:v>
                </c:pt>
                <c:pt idx="838">
                  <c:v>2.7903641556079606E-2</c:v>
                </c:pt>
                <c:pt idx="839">
                  <c:v>2.7910660507819429E-2</c:v>
                </c:pt>
                <c:pt idx="840">
                  <c:v>2.7916062384525375E-2</c:v>
                </c:pt>
                <c:pt idx="841">
                  <c:v>2.7922513708480423E-2</c:v>
                </c:pt>
                <c:pt idx="842">
                  <c:v>2.7929125639003516E-2</c:v>
                </c:pt>
                <c:pt idx="843">
                  <c:v>2.7935898176014717E-2</c:v>
                </c:pt>
                <c:pt idx="844">
                  <c:v>2.7942831319593964E-2</c:v>
                </c:pt>
                <c:pt idx="845">
                  <c:v>2.7949925069821191E-2</c:v>
                </c:pt>
                <c:pt idx="846">
                  <c:v>2.7957179426536527E-2</c:v>
                </c:pt>
                <c:pt idx="847">
                  <c:v>2.7964594389819908E-2</c:v>
                </c:pt>
                <c:pt idx="848">
                  <c:v>2.797216995975127E-2</c:v>
                </c:pt>
                <c:pt idx="849">
                  <c:v>2.7979906136330612E-2</c:v>
                </c:pt>
                <c:pt idx="850">
                  <c:v>2.7988944141954519E-2</c:v>
                </c:pt>
                <c:pt idx="851">
                  <c:v>2.7995860309113496E-2</c:v>
                </c:pt>
                <c:pt idx="852">
                  <c:v>2.8004078305476909E-2</c:v>
                </c:pt>
                <c:pt idx="853">
                  <c:v>2.8012456908408367E-2</c:v>
                </c:pt>
                <c:pt idx="854">
                  <c:v>2.8020996118067742E-2</c:v>
                </c:pt>
                <c:pt idx="855">
                  <c:v>2.8029695934375098E-2</c:v>
                </c:pt>
                <c:pt idx="856">
                  <c:v>2.8041117405983584E-2</c:v>
                </c:pt>
                <c:pt idx="857">
                  <c:v>2.8048879216377998E-2</c:v>
                </c:pt>
                <c:pt idx="858">
                  <c:v>2.8056759023504796E-2</c:v>
                </c:pt>
                <c:pt idx="859">
                  <c:v>2.8066101266563948E-2</c:v>
                </c:pt>
                <c:pt idx="860">
                  <c:v>2.8075604116351016E-2</c:v>
                </c:pt>
                <c:pt idx="861">
                  <c:v>2.8085267572866002E-2</c:v>
                </c:pt>
                <c:pt idx="862">
                  <c:v>2.809509163618884E-2</c:v>
                </c:pt>
                <c:pt idx="863">
                  <c:v>2.8105076306319532E-2</c:v>
                </c:pt>
                <c:pt idx="864">
                  <c:v>2.8115221583098204E-2</c:v>
                </c:pt>
                <c:pt idx="865">
                  <c:v>2.8125527466764666E-2</c:v>
                </c:pt>
                <c:pt idx="866">
                  <c:v>2.8135993957159044E-2</c:v>
                </c:pt>
                <c:pt idx="867">
                  <c:v>2.8146621054441212E-2</c:v>
                </c:pt>
                <c:pt idx="868">
                  <c:v>2.8157408758451297E-2</c:v>
                </c:pt>
                <c:pt idx="869">
                  <c:v>2.8168357069429106E-2</c:v>
                </c:pt>
                <c:pt idx="870">
                  <c:v>2.8182669462939458E-2</c:v>
                </c:pt>
                <c:pt idx="871">
                  <c:v>2.8190735511888221E-2</c:v>
                </c:pt>
                <c:pt idx="872">
                  <c:v>2.8202165643449462E-2</c:v>
                </c:pt>
                <c:pt idx="873">
                  <c:v>2.8213756381818555E-2</c:v>
                </c:pt>
                <c:pt idx="874">
                  <c:v>2.8225507727235311E-2</c:v>
                </c:pt>
                <c:pt idx="875">
                  <c:v>2.8239134497827223E-2</c:v>
                </c:pt>
                <c:pt idx="876">
                  <c:v>2.824949223889206E-2</c:v>
                </c:pt>
                <c:pt idx="877">
                  <c:v>2.8261725405132054E-2</c:v>
                </c:pt>
                <c:pt idx="878">
                  <c:v>2.8275896787279819E-2</c:v>
                </c:pt>
                <c:pt idx="879">
                  <c:v>2.8286527715737364E-2</c:v>
                </c:pt>
                <c:pt idx="880">
                  <c:v>2.8298844008523005E-2</c:v>
                </c:pt>
                <c:pt idx="881">
                  <c:v>2.8311067193627082E-2</c:v>
                </c:pt>
                <c:pt idx="882">
                  <c:v>2.8323197270969658E-2</c:v>
                </c:pt>
                <c:pt idx="883">
                  <c:v>2.8335234240710605E-2</c:v>
                </c:pt>
                <c:pt idx="884">
                  <c:v>2.8347178102769988E-2</c:v>
                </c:pt>
                <c:pt idx="885">
                  <c:v>2.8359028857147806E-2</c:v>
                </c:pt>
                <c:pt idx="886">
                  <c:v>2.8370786503684187E-2</c:v>
                </c:pt>
                <c:pt idx="887">
                  <c:v>2.8382451042539003E-2</c:v>
                </c:pt>
                <c:pt idx="888">
                  <c:v>2.8394022473712255E-2</c:v>
                </c:pt>
                <c:pt idx="889">
                  <c:v>2.8405500797124006E-2</c:v>
                </c:pt>
                <c:pt idx="890">
                  <c:v>2.8416886012774256E-2</c:v>
                </c:pt>
                <c:pt idx="891">
                  <c:v>2.8429783678269871E-2</c:v>
                </c:pt>
                <c:pt idx="892">
                  <c:v>2.8439377120790255E-2</c:v>
                </c:pt>
                <c:pt idx="893">
                  <c:v>2.8450483013156003E-2</c:v>
                </c:pt>
                <c:pt idx="894">
                  <c:v>2.8461495797680314E-2</c:v>
                </c:pt>
                <c:pt idx="895">
                  <c:v>2.8472415474523061E-2</c:v>
                </c:pt>
                <c:pt idx="896">
                  <c:v>2.8483242043444434E-2</c:v>
                </c:pt>
                <c:pt idx="897">
                  <c:v>2.8493975504604308E-2</c:v>
                </c:pt>
                <c:pt idx="898">
                  <c:v>2.8504615857922744E-2</c:v>
                </c:pt>
                <c:pt idx="899">
                  <c:v>2.8515163103399743E-2</c:v>
                </c:pt>
                <c:pt idx="900">
                  <c:v>2.8525617241035306E-2</c:v>
                </c:pt>
                <c:pt idx="901">
                  <c:v>2.8535978270909368E-2</c:v>
                </c:pt>
                <c:pt idx="902">
                  <c:v>2.8546246192782121E-2</c:v>
                </c:pt>
                <c:pt idx="903">
                  <c:v>2.8556421006893373E-2</c:v>
                </c:pt>
                <c:pt idx="904">
                  <c:v>2.8566502713163189E-2</c:v>
                </c:pt>
                <c:pt idx="905">
                  <c:v>2.8576491311511631E-2</c:v>
                </c:pt>
                <c:pt idx="906">
                  <c:v>2.8586386802018637E-2</c:v>
                </c:pt>
                <c:pt idx="907">
                  <c:v>2.859618918460427E-2</c:v>
                </c:pt>
                <c:pt idx="908">
                  <c:v>2.8609550592184618E-2</c:v>
                </c:pt>
                <c:pt idx="909">
                  <c:v>2.8623242645569036E-2</c:v>
                </c:pt>
                <c:pt idx="910">
                  <c:v>2.862774145739877E-2</c:v>
                </c:pt>
                <c:pt idx="911">
                  <c:v>2.8637144806058501E-2</c:v>
                </c:pt>
                <c:pt idx="912">
                  <c:v>2.8646455046796859E-2</c:v>
                </c:pt>
                <c:pt idx="913">
                  <c:v>2.8655672179533909E-2</c:v>
                </c:pt>
                <c:pt idx="914">
                  <c:v>2.8664796204429521E-2</c:v>
                </c:pt>
                <c:pt idx="915">
                  <c:v>2.8673827121323825E-2</c:v>
                </c:pt>
                <c:pt idx="916">
                  <c:v>2.8682764930296756E-2</c:v>
                </c:pt>
                <c:pt idx="917">
                  <c:v>2.8691609631188442E-2</c:v>
                </c:pt>
                <c:pt idx="918">
                  <c:v>2.8700361224238691E-2</c:v>
                </c:pt>
                <c:pt idx="919">
                  <c:v>2.8709019709207695E-2</c:v>
                </c:pt>
                <c:pt idx="920">
                  <c:v>2.8717585086255326E-2</c:v>
                </c:pt>
                <c:pt idx="921">
                  <c:v>2.8726057355301648E-2</c:v>
                </c:pt>
                <c:pt idx="922">
                  <c:v>2.8734436516346662E-2</c:v>
                </c:pt>
                <c:pt idx="923">
                  <c:v>2.8742722569390367E-2</c:v>
                </c:pt>
                <c:pt idx="924">
                  <c:v>2.8757830769121639E-2</c:v>
                </c:pt>
                <c:pt idx="925">
                  <c:v>2.8763602026034008E-2</c:v>
                </c:pt>
                <c:pt idx="926">
                  <c:v>2.8772684167472917E-2</c:v>
                </c:pt>
                <c:pt idx="927">
                  <c:v>2.8779415966750932E-2</c:v>
                </c:pt>
                <c:pt idx="928">
                  <c:v>2.8787183275067463E-2</c:v>
                </c:pt>
                <c:pt idx="929">
                  <c:v>2.8795946188981958E-2</c:v>
                </c:pt>
                <c:pt idx="930">
                  <c:v>2.8802434337800165E-2</c:v>
                </c:pt>
                <c:pt idx="931">
                  <c:v>2.8809904752407078E-2</c:v>
                </c:pt>
                <c:pt idx="932">
                  <c:v>2.8817268393703799E-2</c:v>
                </c:pt>
                <c:pt idx="933">
                  <c:v>2.8824525261690326E-2</c:v>
                </c:pt>
                <c:pt idx="934">
                  <c:v>2.8831675356446596E-2</c:v>
                </c:pt>
                <c:pt idx="935">
                  <c:v>2.8838718677892672E-2</c:v>
                </c:pt>
                <c:pt idx="936">
                  <c:v>2.8845655226028555E-2</c:v>
                </c:pt>
                <c:pt idx="937">
                  <c:v>2.8852485000854244E-2</c:v>
                </c:pt>
                <c:pt idx="938">
                  <c:v>2.8859208002369741E-2</c:v>
                </c:pt>
                <c:pt idx="939">
                  <c:v>2.8865824230495107E-2</c:v>
                </c:pt>
                <c:pt idx="940">
                  <c:v>2.8872333685390217E-2</c:v>
                </c:pt>
                <c:pt idx="941">
                  <c:v>2.8878736366895197E-2</c:v>
                </c:pt>
                <c:pt idx="942">
                  <c:v>2.888592297436432E-2</c:v>
                </c:pt>
                <c:pt idx="943">
                  <c:v>2.8891221409894641E-2</c:v>
                </c:pt>
                <c:pt idx="944">
                  <c:v>2.8897303771469041E-2</c:v>
                </c:pt>
                <c:pt idx="945">
                  <c:v>2.8903279359573375E-2</c:v>
                </c:pt>
                <c:pt idx="946">
                  <c:v>2.8909148174367516E-2</c:v>
                </c:pt>
                <c:pt idx="947">
                  <c:v>2.8914910215771528E-2</c:v>
                </c:pt>
                <c:pt idx="948">
                  <c:v>2.892056548378541E-2</c:v>
                </c:pt>
                <c:pt idx="949">
                  <c:v>2.8926113978489099E-2</c:v>
                </c:pt>
                <c:pt idx="950">
                  <c:v>2.8931555699722722E-2</c:v>
                </c:pt>
                <c:pt idx="951">
                  <c:v>2.8936890647646152E-2</c:v>
                </c:pt>
                <c:pt idx="952">
                  <c:v>2.8942118822179452E-2</c:v>
                </c:pt>
                <c:pt idx="953">
                  <c:v>2.8947240223322623E-2</c:v>
                </c:pt>
                <c:pt idx="954">
                  <c:v>2.8952254851075665E-2</c:v>
                </c:pt>
                <c:pt idx="955">
                  <c:v>2.8957162705358641E-2</c:v>
                </c:pt>
                <c:pt idx="956">
                  <c:v>2.8962640938745565E-2</c:v>
                </c:pt>
                <c:pt idx="957">
                  <c:v>2.8966658093754205E-2</c:v>
                </c:pt>
                <c:pt idx="958">
                  <c:v>2.8971245627786857E-2</c:v>
                </c:pt>
                <c:pt idx="959">
                  <c:v>2.8975726388509315E-2</c:v>
                </c:pt>
                <c:pt idx="960">
                  <c:v>2.8982802942132402E-2</c:v>
                </c:pt>
                <c:pt idx="961">
                  <c:v>2.89849684752852E-2</c:v>
                </c:pt>
                <c:pt idx="962">
                  <c:v>2.8988528029856298E-2</c:v>
                </c:pt>
                <c:pt idx="963">
                  <c:v>2.899258169677843E-2</c:v>
                </c:pt>
                <c:pt idx="964">
                  <c:v>2.8996528590310433E-2</c:v>
                </c:pt>
                <c:pt idx="965">
                  <c:v>2.9000368710452307E-2</c:v>
                </c:pt>
                <c:pt idx="966">
                  <c:v>2.9004102056964243E-2</c:v>
                </c:pt>
                <c:pt idx="967">
                  <c:v>2.9007728630165985E-2</c:v>
                </c:pt>
                <c:pt idx="968">
                  <c:v>2.9011248429817726E-2</c:v>
                </c:pt>
                <c:pt idx="969">
                  <c:v>2.9014661456079338E-2</c:v>
                </c:pt>
                <c:pt idx="970">
                  <c:v>2.9017967708870884E-2</c:v>
                </c:pt>
                <c:pt idx="971">
                  <c:v>2.9021167188192365E-2</c:v>
                </c:pt>
                <c:pt idx="972">
                  <c:v>2.902425989404378E-2</c:v>
                </c:pt>
                <c:pt idx="973">
                  <c:v>2.9027245826505066E-2</c:v>
                </c:pt>
                <c:pt idx="974">
                  <c:v>2.903092799075857E-2</c:v>
                </c:pt>
                <c:pt idx="975">
                  <c:v>2.9032897370857569E-2</c:v>
                </c:pt>
                <c:pt idx="976">
                  <c:v>2.9035562982828722E-2</c:v>
                </c:pt>
                <c:pt idx="977">
                  <c:v>2.9038121821249874E-2</c:v>
                </c:pt>
                <c:pt idx="978">
                  <c:v>2.9040915465046169E-2</c:v>
                </c:pt>
                <c:pt idx="979">
                  <c:v>2.9042919177841853E-2</c:v>
                </c:pt>
                <c:pt idx="980">
                  <c:v>2.9045157695932744E-2</c:v>
                </c:pt>
                <c:pt idx="981">
                  <c:v>2.9047585259203146E-2</c:v>
                </c:pt>
                <c:pt idx="982">
                  <c:v>2.9049314411464522E-2</c:v>
                </c:pt>
                <c:pt idx="983">
                  <c:v>2.9051232609145217E-2</c:v>
                </c:pt>
                <c:pt idx="984">
                  <c:v>2.9053044033195974E-2</c:v>
                </c:pt>
                <c:pt idx="985">
                  <c:v>2.9054748683776666E-2</c:v>
                </c:pt>
                <c:pt idx="986">
                  <c:v>2.9056346560887292E-2</c:v>
                </c:pt>
                <c:pt idx="987">
                  <c:v>2.9057837664527852E-2</c:v>
                </c:pt>
                <c:pt idx="988">
                  <c:v>2.9059221994618412E-2</c:v>
                </c:pt>
                <c:pt idx="989">
                  <c:v>2.9060499551238905E-2</c:v>
                </c:pt>
                <c:pt idx="990">
                  <c:v>2.9061670334309397E-2</c:v>
                </c:pt>
                <c:pt idx="991">
                  <c:v>2.9062734343909824E-2</c:v>
                </c:pt>
                <c:pt idx="992">
                  <c:v>2.9063691580120121E-2</c:v>
                </c:pt>
                <c:pt idx="993">
                  <c:v>2.9064542042700481E-2</c:v>
                </c:pt>
                <c:pt idx="994">
                  <c:v>2.9065285731730839E-2</c:v>
                </c:pt>
                <c:pt idx="995">
                  <c:v>2.9066004919080513E-2</c:v>
                </c:pt>
                <c:pt idx="996">
                  <c:v>2.9066452789461295E-2</c:v>
                </c:pt>
                <c:pt idx="997">
                  <c:v>2.906687615800152E-2</c:v>
                </c:pt>
                <c:pt idx="998">
                  <c:v>2.906719275307168E-2</c:v>
                </c:pt>
                <c:pt idx="999">
                  <c:v>2.9067402574671775E-2</c:v>
                </c:pt>
                <c:pt idx="1000">
                  <c:v>2.9067505622721868E-2</c:v>
                </c:pt>
                <c:pt idx="1001">
                  <c:v>2.9067501897301895E-2</c:v>
                </c:pt>
                <c:pt idx="1002">
                  <c:v>2.9067391398331921E-2</c:v>
                </c:pt>
                <c:pt idx="1003">
                  <c:v>2.9067174125891881E-2</c:v>
                </c:pt>
                <c:pt idx="1004">
                  <c:v>2.9066850079981776E-2</c:v>
                </c:pt>
                <c:pt idx="1005">
                  <c:v>2.9066419260441734E-2</c:v>
                </c:pt>
                <c:pt idx="1006">
                  <c:v>2.9065881667511562E-2</c:v>
                </c:pt>
                <c:pt idx="1007">
                  <c:v>2.9065237301031388E-2</c:v>
                </c:pt>
                <c:pt idx="1008">
                  <c:v>2.9064370139089135E-2</c:v>
                </c:pt>
                <c:pt idx="1009">
                  <c:v>2.9063628247580908E-2</c:v>
                </c:pt>
                <c:pt idx="1010">
                  <c:v>2.9062663560610602E-2</c:v>
                </c:pt>
                <c:pt idx="1011">
                  <c:v>2.9061592100090294E-2</c:v>
                </c:pt>
                <c:pt idx="1012">
                  <c:v>2.9060057616430157E-2</c:v>
                </c:pt>
                <c:pt idx="1013">
                  <c:v>2.9058936569894556E-2</c:v>
                </c:pt>
                <c:pt idx="1014">
                  <c:v>2.9057737077629042E-2</c:v>
                </c:pt>
                <c:pt idx="1015">
                  <c:v>2.9056238523148537E-2</c:v>
                </c:pt>
                <c:pt idx="1016">
                  <c:v>2.9054633195197965E-2</c:v>
                </c:pt>
                <c:pt idx="1017">
                  <c:v>2.9052921093697393E-2</c:v>
                </c:pt>
                <c:pt idx="1018">
                  <c:v>2.9051102218726754E-2</c:v>
                </c:pt>
                <c:pt idx="1019">
                  <c:v>2.904917657028605E-2</c:v>
                </c:pt>
                <c:pt idx="1020">
                  <c:v>2.9047144148375281E-2</c:v>
                </c:pt>
                <c:pt idx="1021">
                  <c:v>2.904500495291451E-2</c:v>
                </c:pt>
                <c:pt idx="1022">
                  <c:v>2.9042758983983674E-2</c:v>
                </c:pt>
                <c:pt idx="1023">
                  <c:v>2.9040406241582772E-2</c:v>
                </c:pt>
                <c:pt idx="1024">
                  <c:v>2.9037946725631869E-2</c:v>
                </c:pt>
                <c:pt idx="1025">
                  <c:v>2.9034627599298091E-2</c:v>
                </c:pt>
                <c:pt idx="1026">
                  <c:v>2.9032707373479738E-2</c:v>
                </c:pt>
                <c:pt idx="1027">
                  <c:v>2.9029927537118638E-2</c:v>
                </c:pt>
                <c:pt idx="1028">
                  <c:v>2.9027040927367409E-2</c:v>
                </c:pt>
                <c:pt idx="1029">
                  <c:v>2.9024047544066178E-2</c:v>
                </c:pt>
                <c:pt idx="1030">
                  <c:v>2.9020495791654E-2</c:v>
                </c:pt>
                <c:pt idx="1031">
                  <c:v>2.9017740457133456E-2</c:v>
                </c:pt>
                <c:pt idx="1032">
                  <c:v>2.9014426753501965E-2</c:v>
                </c:pt>
                <c:pt idx="1033">
                  <c:v>2.9011006276320472E-2</c:v>
                </c:pt>
                <c:pt idx="1034">
                  <c:v>2.9006995448010997E-2</c:v>
                </c:pt>
                <c:pt idx="1035">
                  <c:v>2.9004002532655448E-2</c:v>
                </c:pt>
                <c:pt idx="1036">
                  <c:v>2.9000541578731998E-2</c:v>
                </c:pt>
                <c:pt idx="1037">
                  <c:v>2.89971137731726E-2</c:v>
                </c:pt>
                <c:pt idx="1038">
                  <c:v>2.8993719115817385E-2</c:v>
                </c:pt>
                <c:pt idx="1039">
                  <c:v>2.8990357606906159E-2</c:v>
                </c:pt>
                <c:pt idx="1040">
                  <c:v>2.8987029246199114E-2</c:v>
                </c:pt>
                <c:pt idx="1041">
                  <c:v>2.8983734033856123E-2</c:v>
                </c:pt>
                <c:pt idx="1042">
                  <c:v>2.898047196979725E-2</c:v>
                </c:pt>
                <c:pt idx="1043">
                  <c:v>2.8977243054022495E-2</c:v>
                </c:pt>
                <c:pt idx="1044">
                  <c:v>2.8974047286691729E-2</c:v>
                </c:pt>
                <c:pt idx="1045">
                  <c:v>2.8970884667485208E-2</c:v>
                </c:pt>
                <c:pt idx="1046">
                  <c:v>2.8967755196722678E-2</c:v>
                </c:pt>
                <c:pt idx="1047">
                  <c:v>2.8964219248468481E-2</c:v>
                </c:pt>
                <c:pt idx="1048">
                  <c:v>2.8961595700049969E-2</c:v>
                </c:pt>
                <c:pt idx="1049">
                  <c:v>2.8958565674219727E-2</c:v>
                </c:pt>
                <c:pt idx="1050">
                  <c:v>2.8955568796673603E-2</c:v>
                </c:pt>
                <c:pt idx="1051">
                  <c:v>2.8952605067411596E-2</c:v>
                </c:pt>
                <c:pt idx="1052">
                  <c:v>2.8949674486433707E-2</c:v>
                </c:pt>
                <c:pt idx="1053">
                  <c:v>2.8946777053819872E-2</c:v>
                </c:pt>
                <c:pt idx="1054">
                  <c:v>2.8943912769410218E-2</c:v>
                </c:pt>
                <c:pt idx="1055">
                  <c:v>2.8941081633364618E-2</c:v>
                </c:pt>
                <c:pt idx="1056">
                  <c:v>2.8938283645603136E-2</c:v>
                </c:pt>
                <c:pt idx="1057">
                  <c:v>2.8935518806205707E-2</c:v>
                </c:pt>
                <c:pt idx="1058">
                  <c:v>2.8932399579488788E-2</c:v>
                </c:pt>
                <c:pt idx="1059">
                  <c:v>2.8930088572263202E-2</c:v>
                </c:pt>
                <c:pt idx="1060">
                  <c:v>2.8927045112938643E-2</c:v>
                </c:pt>
                <c:pt idx="1061">
                  <c:v>2.8924790931537103E-2</c:v>
                </c:pt>
                <c:pt idx="1062">
                  <c:v>2.8922191833480326E-2</c:v>
                </c:pt>
                <c:pt idx="1063">
                  <c:v>2.8919625883867539E-2</c:v>
                </c:pt>
                <c:pt idx="1064">
                  <c:v>2.8916375513414749E-2</c:v>
                </c:pt>
                <c:pt idx="1065">
                  <c:v>2.8913532297032418E-2</c:v>
                </c:pt>
                <c:pt idx="1066">
                  <c:v>2.8911777272906392E-2</c:v>
                </c:pt>
                <c:pt idx="1067">
                  <c:v>2.8909348651842137E-2</c:v>
                </c:pt>
                <c:pt idx="1068">
                  <c:v>2.8906953179141937E-2</c:v>
                </c:pt>
                <c:pt idx="1069">
                  <c:v>2.8904590854725853E-2</c:v>
                </c:pt>
                <c:pt idx="1070">
                  <c:v>2.8902261678593888E-2</c:v>
                </c:pt>
                <c:pt idx="1071">
                  <c:v>2.889996565074604E-2</c:v>
                </c:pt>
                <c:pt idx="1072">
                  <c:v>2.8897702771262246E-2</c:v>
                </c:pt>
                <c:pt idx="1073">
                  <c:v>2.8895473040062569E-2</c:v>
                </c:pt>
                <c:pt idx="1074">
                  <c:v>2.8893276457067074E-2</c:v>
                </c:pt>
                <c:pt idx="1075">
                  <c:v>2.8891113022355697E-2</c:v>
                </c:pt>
                <c:pt idx="1076">
                  <c:v>2.8888982736008373E-2</c:v>
                </c:pt>
                <c:pt idx="1077">
                  <c:v>2.8886885597865231E-2</c:v>
                </c:pt>
                <c:pt idx="1078">
                  <c:v>2.8884821608086142E-2</c:v>
                </c:pt>
                <c:pt idx="1079">
                  <c:v>2.8882790766591171E-2</c:v>
                </c:pt>
                <c:pt idx="1080">
                  <c:v>2.888022839227844E-2</c:v>
                </c:pt>
                <c:pt idx="1081">
                  <c:v>2.8878828528373646E-2</c:v>
                </c:pt>
                <c:pt idx="1082">
                  <c:v>2.8876623923874689E-2</c:v>
                </c:pt>
                <c:pt idx="1083">
                  <c:v>2.8874998883372527E-2</c:v>
                </c:pt>
                <c:pt idx="1084">
                  <c:v>2.8873133783218208E-2</c:v>
                </c:pt>
                <c:pt idx="1085">
                  <c:v>2.8871301831427942E-2</c:v>
                </c:pt>
                <c:pt idx="1086">
                  <c:v>2.8869248761953514E-2</c:v>
                </c:pt>
                <c:pt idx="1087">
                  <c:v>2.8867737372699764E-2</c:v>
                </c:pt>
                <c:pt idx="1088">
                  <c:v>2.8866004865681916E-2</c:v>
                </c:pt>
                <c:pt idx="1089">
                  <c:v>2.8864305507028121E-2</c:v>
                </c:pt>
                <c:pt idx="1090">
                  <c:v>2.8862639296658443E-2</c:v>
                </c:pt>
                <c:pt idx="1091">
                  <c:v>2.8861006234492947E-2</c:v>
                </c:pt>
                <c:pt idx="1092">
                  <c:v>2.8859406320611569E-2</c:v>
                </c:pt>
                <c:pt idx="1093">
                  <c:v>2.8857839555094245E-2</c:v>
                </c:pt>
                <c:pt idx="1094">
                  <c:v>2.8856305937781102E-2</c:v>
                </c:pt>
                <c:pt idx="1095">
                  <c:v>2.8854805468752076E-2</c:v>
                </c:pt>
                <c:pt idx="1096">
                  <c:v>2.8853338148007168E-2</c:v>
                </c:pt>
                <c:pt idx="1097">
                  <c:v>2.8851903975546378E-2</c:v>
                </c:pt>
                <c:pt idx="1098">
                  <c:v>2.8850502951369705E-2</c:v>
                </c:pt>
                <c:pt idx="1099">
                  <c:v>2.8848942370665043E-2</c:v>
                </c:pt>
                <c:pt idx="1100">
                  <c:v>2.8847800347868713E-2</c:v>
                </c:pt>
                <c:pt idx="1101">
                  <c:v>2.8846498768624329E-2</c:v>
                </c:pt>
                <c:pt idx="1102">
                  <c:v>2.8845230337424255E-2</c:v>
                </c:pt>
                <c:pt idx="1103">
                  <c:v>2.8843995054748106E-2</c:v>
                </c:pt>
                <c:pt idx="1104">
                  <c:v>2.8842792920196203E-2</c:v>
                </c:pt>
                <c:pt idx="1105">
                  <c:v>2.8841623933928418E-2</c:v>
                </c:pt>
                <c:pt idx="1106">
                  <c:v>2.8840488096024686E-2</c:v>
                </c:pt>
                <c:pt idx="1107">
                  <c:v>2.8839385406245199E-2</c:v>
                </c:pt>
                <c:pt idx="1108">
                  <c:v>2.8838315864829767E-2</c:v>
                </c:pt>
                <c:pt idx="1109">
                  <c:v>2.8837279471698452E-2</c:v>
                </c:pt>
                <c:pt idx="1110">
                  <c:v>2.8836135612131386E-2</c:v>
                </c:pt>
                <c:pt idx="1111">
                  <c:v>2.8835306130208238E-2</c:v>
                </c:pt>
                <c:pt idx="1112">
                  <c:v>2.883436918184934E-2</c:v>
                </c:pt>
                <c:pt idx="1113">
                  <c:v>2.8833465381854495E-2</c:v>
                </c:pt>
                <c:pt idx="1114">
                  <c:v>2.8832594730063832E-2</c:v>
                </c:pt>
                <c:pt idx="1115">
                  <c:v>2.8831757226557286E-2</c:v>
                </c:pt>
                <c:pt idx="1116">
                  <c:v>2.8830729143978218E-2</c:v>
                </c:pt>
                <c:pt idx="1117">
                  <c:v>2.8830074197960798E-2</c:v>
                </c:pt>
                <c:pt idx="1118">
                  <c:v>2.8829443605582483E-2</c:v>
                </c:pt>
                <c:pt idx="1119">
                  <c:v>2.8828738695212408E-2</c:v>
                </c:pt>
                <c:pt idx="1120">
                  <c:v>2.8828066933046514E-2</c:v>
                </c:pt>
                <c:pt idx="1121">
                  <c:v>2.8827428319164738E-2</c:v>
                </c:pt>
                <c:pt idx="1122">
                  <c:v>2.882682285356708E-2</c:v>
                </c:pt>
                <c:pt idx="1123">
                  <c:v>2.8826250536173603E-2</c:v>
                </c:pt>
                <c:pt idx="1124">
                  <c:v>2.882571136714418E-2</c:v>
                </c:pt>
                <c:pt idx="1125">
                  <c:v>2.8825205346398874E-2</c:v>
                </c:pt>
                <c:pt idx="1126">
                  <c:v>2.882473247385775E-2</c:v>
                </c:pt>
                <c:pt idx="1127">
                  <c:v>2.8824292749520808E-2</c:v>
                </c:pt>
                <c:pt idx="1128">
                  <c:v>2.8823886173547919E-2</c:v>
                </c:pt>
                <c:pt idx="1129">
                  <c:v>2.8823512745779212E-2</c:v>
                </c:pt>
                <c:pt idx="1130">
                  <c:v>2.8823081332154388E-2</c:v>
                </c:pt>
                <c:pt idx="1131">
                  <c:v>2.8822865335174086E-2</c:v>
                </c:pt>
                <c:pt idx="1132">
                  <c:v>2.8822591352257732E-2</c:v>
                </c:pt>
                <c:pt idx="1133">
                  <c:v>2.8822350517545559E-2</c:v>
                </c:pt>
                <c:pt idx="1134">
                  <c:v>2.8822142831277375E-2</c:v>
                </c:pt>
                <c:pt idx="1135">
                  <c:v>2.882194606515398E-2</c:v>
                </c:pt>
                <c:pt idx="1136">
                  <c:v>2.8821826903273617E-2</c:v>
                </c:pt>
                <c:pt idx="1137">
                  <c:v>2.8821718661777851E-2</c:v>
                </c:pt>
                <c:pt idx="1138">
                  <c:v>2.8821635546742996E-2</c:v>
                </c:pt>
                <c:pt idx="1139">
                  <c:v>2.8821601623318926E-2</c:v>
                </c:pt>
                <c:pt idx="1140">
                  <c:v>2.8821592826595577E-2</c:v>
                </c:pt>
                <c:pt idx="1141">
                  <c:v>2.8821617178076409E-2</c:v>
                </c:pt>
                <c:pt idx="1142">
                  <c:v>2.8821674677841358E-2</c:v>
                </c:pt>
                <c:pt idx="1143">
                  <c:v>2.8821765325970361E-2</c:v>
                </c:pt>
                <c:pt idx="1144">
                  <c:v>2.882188912222361E-2</c:v>
                </c:pt>
                <c:pt idx="1145">
                  <c:v>2.8822046066840912E-2</c:v>
                </c:pt>
                <c:pt idx="1146">
                  <c:v>2.8822236159662395E-2</c:v>
                </c:pt>
                <c:pt idx="1147">
                  <c:v>2.8822459400767997E-2</c:v>
                </c:pt>
                <c:pt idx="1148">
                  <c:v>2.8822715790157716E-2</c:v>
                </c:pt>
                <c:pt idx="1149">
                  <c:v>2.8823005327831552E-2</c:v>
                </c:pt>
                <c:pt idx="1150">
                  <c:v>2.8823328013789506E-2</c:v>
                </c:pt>
                <c:pt idx="1151">
                  <c:v>2.8823737387444481E-2</c:v>
                </c:pt>
                <c:pt idx="1152">
                  <c:v>2.8824072830397895E-2</c:v>
                </c:pt>
                <c:pt idx="1153">
                  <c:v>2.8824494961128266E-2</c:v>
                </c:pt>
                <c:pt idx="1154">
                  <c:v>2.8824950240222691E-2</c:v>
                </c:pt>
                <c:pt idx="1155">
                  <c:v>2.8825438667441361E-2</c:v>
                </c:pt>
                <c:pt idx="1156">
                  <c:v>2.8825960242944149E-2</c:v>
                </c:pt>
                <c:pt idx="1157">
                  <c:v>2.882651496681099E-2</c:v>
                </c:pt>
                <c:pt idx="1158">
                  <c:v>2.8827102838882013E-2</c:v>
                </c:pt>
                <c:pt idx="1159">
                  <c:v>2.8827723859237153E-2</c:v>
                </c:pt>
                <c:pt idx="1160">
                  <c:v>2.8828378027876411E-2</c:v>
                </c:pt>
                <c:pt idx="1161">
                  <c:v>2.8829065344799787E-2</c:v>
                </c:pt>
                <c:pt idx="1162">
                  <c:v>2.8829785809927344E-2</c:v>
                </c:pt>
                <c:pt idx="1163">
                  <c:v>2.8830539423418955E-2</c:v>
                </c:pt>
                <c:pt idx="1164">
                  <c:v>2.8831326185034811E-2</c:v>
                </c:pt>
                <c:pt idx="1165">
                  <c:v>2.8832146095094657E-2</c:v>
                </c:pt>
                <c:pt idx="1166">
                  <c:v>2.8832999153278749E-2</c:v>
                </c:pt>
                <c:pt idx="1167">
                  <c:v>2.883388535990683E-2</c:v>
                </c:pt>
                <c:pt idx="1168">
                  <c:v>2.8835073475912409E-2</c:v>
                </c:pt>
                <c:pt idx="1169">
                  <c:v>2.8836035449932851E-2</c:v>
                </c:pt>
                <c:pt idx="1170">
                  <c:v>2.8836886382457294E-2</c:v>
                </c:pt>
                <c:pt idx="1171">
                  <c:v>2.8837909917474036E-2</c:v>
                </c:pt>
                <c:pt idx="1172">
                  <c:v>2.8839120261539009E-2</c:v>
                </c:pt>
                <c:pt idx="1173">
                  <c:v>2.8840056432519745E-2</c:v>
                </c:pt>
                <c:pt idx="1174">
                  <c:v>2.884117941238884E-2</c:v>
                </c:pt>
                <c:pt idx="1175">
                  <c:v>2.8842335540542052E-2</c:v>
                </c:pt>
                <c:pt idx="1176">
                  <c:v>2.8843697419711489E-2</c:v>
                </c:pt>
                <c:pt idx="1177">
                  <c:v>2.8844747241780766E-2</c:v>
                </c:pt>
                <c:pt idx="1178">
                  <c:v>2.8846002814706395E-2</c:v>
                </c:pt>
                <c:pt idx="1179">
                  <c:v>2.8847291535996078E-2</c:v>
                </c:pt>
                <c:pt idx="1180">
                  <c:v>2.8848613405569878E-2</c:v>
                </c:pt>
                <c:pt idx="1181">
                  <c:v>2.8849968423427796E-2</c:v>
                </c:pt>
                <c:pt idx="1182">
                  <c:v>2.8851356589569832E-2</c:v>
                </c:pt>
                <c:pt idx="1183">
                  <c:v>2.8852777903916049E-2</c:v>
                </c:pt>
                <c:pt idx="1184">
                  <c:v>2.885423236662632E-2</c:v>
                </c:pt>
                <c:pt idx="1185">
                  <c:v>2.8858680987484675E-2</c:v>
                </c:pt>
                <c:pt idx="1186">
                  <c:v>2.8857240736739342E-2</c:v>
                </c:pt>
                <c:pt idx="1187">
                  <c:v>2.8859019337046377E-2</c:v>
                </c:pt>
                <c:pt idx="1188">
                  <c:v>2.8860381700068771E-2</c:v>
                </c:pt>
                <c:pt idx="1189">
                  <c:v>2.8862001904119694E-2</c:v>
                </c:pt>
                <c:pt idx="1190">
                  <c:v>2.8863890056793906E-2</c:v>
                </c:pt>
                <c:pt idx="1191">
                  <c:v>2.8865294943321018E-2</c:v>
                </c:pt>
                <c:pt idx="1192">
                  <c:v>2.8866905863438319E-2</c:v>
                </c:pt>
                <c:pt idx="1193">
                  <c:v>2.886848650673457E-2</c:v>
                </c:pt>
                <c:pt idx="1194">
                  <c:v>2.8870036873289706E-2</c:v>
                </c:pt>
                <c:pt idx="1195">
                  <c:v>2.8871556962943856E-2</c:v>
                </c:pt>
                <c:pt idx="1196">
                  <c:v>2.8873046775776956E-2</c:v>
                </c:pt>
                <c:pt idx="1197">
                  <c:v>2.8874506311709069E-2</c:v>
                </c:pt>
                <c:pt idx="1198">
                  <c:v>2.8875935570980005E-2</c:v>
                </c:pt>
                <c:pt idx="1199">
                  <c:v>2.8877334553349954E-2</c:v>
                </c:pt>
                <c:pt idx="1200">
                  <c:v>2.8878703258898852E-2</c:v>
                </c:pt>
                <c:pt idx="1201">
                  <c:v>2.8880041687626701E-2</c:v>
                </c:pt>
                <c:pt idx="1202">
                  <c:v>2.8881349839533499E-2</c:v>
                </c:pt>
                <c:pt idx="1203">
                  <c:v>2.8882807796568599E-2</c:v>
                </c:pt>
                <c:pt idx="1204">
                  <c:v>2.8884051069493211E-2</c:v>
                </c:pt>
                <c:pt idx="1205">
                  <c:v>2.8885092634167719E-2</c:v>
                </c:pt>
                <c:pt idx="1206">
                  <c:v>2.888627967871038E-2</c:v>
                </c:pt>
                <c:pt idx="1207">
                  <c:v>2.8887436446511927E-2</c:v>
                </c:pt>
                <c:pt idx="1208">
                  <c:v>2.8888562937412487E-2</c:v>
                </c:pt>
                <c:pt idx="1209">
                  <c:v>2.8889659151491998E-2</c:v>
                </c:pt>
                <c:pt idx="1210">
                  <c:v>2.889087489387876E-2</c:v>
                </c:pt>
                <c:pt idx="1211">
                  <c:v>2.8891760749107931E-2</c:v>
                </c:pt>
                <c:pt idx="1212">
                  <c:v>2.889276613272429E-2</c:v>
                </c:pt>
                <c:pt idx="1213">
                  <c:v>2.8893741239439663E-2</c:v>
                </c:pt>
                <c:pt idx="1214">
                  <c:v>2.889481857358156E-2</c:v>
                </c:pt>
                <c:pt idx="1215">
                  <c:v>2.8895600622487194E-2</c:v>
                </c:pt>
                <c:pt idx="1216">
                  <c:v>2.8896484898739416E-2</c:v>
                </c:pt>
                <c:pt idx="1217">
                  <c:v>2.8897338898170588E-2</c:v>
                </c:pt>
                <c:pt idx="1218">
                  <c:v>2.889816262078071E-2</c:v>
                </c:pt>
                <c:pt idx="1219">
                  <c:v>2.8898956066489845E-2</c:v>
                </c:pt>
                <c:pt idx="1220">
                  <c:v>2.8902356929227935E-2</c:v>
                </c:pt>
                <c:pt idx="1221">
                  <c:v>2.8903076961128704E-2</c:v>
                </c:pt>
                <c:pt idx="1222">
                  <c:v>2.8901252644777387E-2</c:v>
                </c:pt>
                <c:pt idx="1223">
                  <c:v>2.8901920658022107E-2</c:v>
                </c:pt>
                <c:pt idx="1224">
                  <c:v>2.890255839436584E-2</c:v>
                </c:pt>
                <c:pt idx="1225">
                  <c:v>2.8903165853808588E-2</c:v>
                </c:pt>
                <c:pt idx="1226">
                  <c:v>2.8903743036510221E-2</c:v>
                </c:pt>
                <c:pt idx="1227">
                  <c:v>2.8904289942310868E-2</c:v>
                </c:pt>
                <c:pt idx="1228">
                  <c:v>2.8904806571290464E-2</c:v>
                </c:pt>
                <c:pt idx="1229">
                  <c:v>2.8905292923449011E-2</c:v>
                </c:pt>
                <c:pt idx="1230">
                  <c:v>2.8905748998786507E-2</c:v>
                </c:pt>
                <c:pt idx="1231">
                  <c:v>2.8906174797302953E-2</c:v>
                </c:pt>
                <c:pt idx="1232">
                  <c:v>2.8906570318918412E-2</c:v>
                </c:pt>
                <c:pt idx="1233">
                  <c:v>2.8906935563792757E-2</c:v>
                </c:pt>
                <c:pt idx="1234">
                  <c:v>2.8907270531766116E-2</c:v>
                </c:pt>
                <c:pt idx="1235">
                  <c:v>2.8912298985691365E-2</c:v>
                </c:pt>
                <c:pt idx="1236">
                  <c:v>2.8907992851729958E-2</c:v>
                </c:pt>
                <c:pt idx="1237">
                  <c:v>2.890821968811963E-2</c:v>
                </c:pt>
                <c:pt idx="1238">
                  <c:v>2.8908441856083655E-2</c:v>
                </c:pt>
                <c:pt idx="1239">
                  <c:v>2.8908582530435822E-2</c:v>
                </c:pt>
                <c:pt idx="1240">
                  <c:v>2.8908718536442279E-2</c:v>
                </c:pt>
                <c:pt idx="1241">
                  <c:v>2.8908836898002832E-2</c:v>
                </c:pt>
                <c:pt idx="1242">
                  <c:v>2.8908899717752234E-2</c:v>
                </c:pt>
                <c:pt idx="1243">
                  <c:v>2.8908944893135669E-2</c:v>
                </c:pt>
                <c:pt idx="1244">
                  <c:v>2.8908959791777988E-2</c:v>
                </c:pt>
                <c:pt idx="1245">
                  <c:v>2.8908944413519322E-2</c:v>
                </c:pt>
                <c:pt idx="1246">
                  <c:v>2.8908898758439605E-2</c:v>
                </c:pt>
                <c:pt idx="1247">
                  <c:v>2.8908822826458902E-2</c:v>
                </c:pt>
                <c:pt idx="1248">
                  <c:v>2.8908716617737085E-2</c:v>
                </c:pt>
                <c:pt idx="1249">
                  <c:v>2.8908580132194217E-2</c:v>
                </c:pt>
                <c:pt idx="1250">
                  <c:v>2.8908413369750363E-2</c:v>
                </c:pt>
                <c:pt idx="1251">
                  <c:v>2.8908216330485459E-2</c:v>
                </c:pt>
                <c:pt idx="1252">
                  <c:v>2.8907989014399504E-2</c:v>
                </c:pt>
                <c:pt idx="1253">
                  <c:v>2.8907731421412564E-2</c:v>
                </c:pt>
                <c:pt idx="1254">
                  <c:v>2.8907399955837576E-2</c:v>
                </c:pt>
                <c:pt idx="1255">
                  <c:v>2.8907125405055467E-2</c:v>
                </c:pt>
                <c:pt idx="1256">
                  <c:v>2.8906776981605375E-2</c:v>
                </c:pt>
                <c:pt idx="1257">
                  <c:v>2.8906398281334234E-2</c:v>
                </c:pt>
                <c:pt idx="1258">
                  <c:v>2.8905989304242041E-2</c:v>
                </c:pt>
                <c:pt idx="1259">
                  <c:v>2.8905550050328799E-2</c:v>
                </c:pt>
                <c:pt idx="1260">
                  <c:v>2.890508051951457E-2</c:v>
                </c:pt>
                <c:pt idx="1261">
                  <c:v>2.8904580711879291E-2</c:v>
                </c:pt>
                <c:pt idx="1262">
                  <c:v>2.8904050627422961E-2</c:v>
                </c:pt>
                <c:pt idx="1263">
                  <c:v>2.8903490266145582E-2</c:v>
                </c:pt>
                <c:pt idx="1264">
                  <c:v>2.8902899628047152E-2</c:v>
                </c:pt>
                <c:pt idx="1265">
                  <c:v>2.8902278713047735E-2</c:v>
                </c:pt>
                <c:pt idx="1266">
                  <c:v>2.8901627521387141E-2</c:v>
                </c:pt>
                <c:pt idx="1267">
                  <c:v>2.8900946052665688E-2</c:v>
                </c:pt>
                <c:pt idx="1268">
                  <c:v>2.8900130157714088E-2</c:v>
                </c:pt>
                <c:pt idx="1269">
                  <c:v>2.8899492284919504E-2</c:v>
                </c:pt>
                <c:pt idx="1270">
                  <c:v>2.8898719985894772E-2</c:v>
                </c:pt>
                <c:pt idx="1271">
                  <c:v>2.8897917409889118E-2</c:v>
                </c:pt>
                <c:pt idx="1272">
                  <c:v>2.8897939450298615E-2</c:v>
                </c:pt>
                <c:pt idx="1273">
                  <c:v>2.8896095651704812E-2</c:v>
                </c:pt>
                <c:pt idx="1274">
                  <c:v>2.889532802102579E-2</c:v>
                </c:pt>
                <c:pt idx="1275">
                  <c:v>2.8894404337735935E-2</c:v>
                </c:pt>
                <c:pt idx="1276">
                  <c:v>2.889345037762503E-2</c:v>
                </c:pt>
                <c:pt idx="1277">
                  <c:v>2.889246614077301E-2</c:v>
                </c:pt>
                <c:pt idx="1278">
                  <c:v>2.8891451626940068E-2</c:v>
                </c:pt>
                <c:pt idx="1279">
                  <c:v>2.8890406836286076E-2</c:v>
                </c:pt>
                <c:pt idx="1280">
                  <c:v>2.8889331768890969E-2</c:v>
                </c:pt>
                <c:pt idx="1281">
                  <c:v>2.8888226424594876E-2</c:v>
                </c:pt>
                <c:pt idx="1282">
                  <c:v>2.8887090803477733E-2</c:v>
                </c:pt>
                <c:pt idx="1283">
                  <c:v>2.888592490553954E-2</c:v>
                </c:pt>
                <c:pt idx="1284">
                  <c:v>2.8884728730780296E-2</c:v>
                </c:pt>
                <c:pt idx="1285">
                  <c:v>2.8883146303391172E-2</c:v>
                </c:pt>
                <c:pt idx="1286">
                  <c:v>2.8882245550798658E-2</c:v>
                </c:pt>
                <c:pt idx="1287">
                  <c:v>2.8880958545496327E-2</c:v>
                </c:pt>
                <c:pt idx="1288">
                  <c:v>2.8879641263532818E-2</c:v>
                </c:pt>
                <c:pt idx="1289">
                  <c:v>2.8878293704588387E-2</c:v>
                </c:pt>
                <c:pt idx="1290">
                  <c:v>2.8876716563610572E-2</c:v>
                </c:pt>
                <c:pt idx="1291">
                  <c:v>2.8875507756236374E-2</c:v>
                </c:pt>
                <c:pt idx="1292">
                  <c:v>2.8874069366908728E-2</c:v>
                </c:pt>
                <c:pt idx="1293">
                  <c:v>2.8872600700680096E-2</c:v>
                </c:pt>
                <c:pt idx="1294">
                  <c:v>2.8870885151297543E-2</c:v>
                </c:pt>
                <c:pt idx="1295">
                  <c:v>2.8869572537839616E-2</c:v>
                </c:pt>
                <c:pt idx="1296">
                  <c:v>2.8868013041067897E-2</c:v>
                </c:pt>
                <c:pt idx="1297">
                  <c:v>2.8866423267555064E-2</c:v>
                </c:pt>
                <c:pt idx="1298">
                  <c:v>2.886480321722118E-2</c:v>
                </c:pt>
                <c:pt idx="1299">
                  <c:v>2.8863152890066246E-2</c:v>
                </c:pt>
                <c:pt idx="1300">
                  <c:v>2.8861472286090262E-2</c:v>
                </c:pt>
                <c:pt idx="1301">
                  <c:v>2.8859761405293227E-2</c:v>
                </c:pt>
                <c:pt idx="1302">
                  <c:v>2.8858020247595206E-2</c:v>
                </c:pt>
                <c:pt idx="1303">
                  <c:v>2.8856248813156071E-2</c:v>
                </c:pt>
                <c:pt idx="1304">
                  <c:v>2.8854447101975822E-2</c:v>
                </c:pt>
                <c:pt idx="1305">
                  <c:v>2.885261511381465E-2</c:v>
                </c:pt>
                <c:pt idx="1306">
                  <c:v>2.8850752848912364E-2</c:v>
                </c:pt>
                <c:pt idx="1307">
                  <c:v>2.8848587472474208E-2</c:v>
                </c:pt>
                <c:pt idx="1308">
                  <c:v>2.8846937488564706E-2</c:v>
                </c:pt>
                <c:pt idx="1309">
                  <c:v>2.8844984393199269E-2</c:v>
                </c:pt>
                <c:pt idx="1310">
                  <c:v>2.8843001021012782E-2</c:v>
                </c:pt>
                <c:pt idx="1311">
                  <c:v>2.8840987372005245E-2</c:v>
                </c:pt>
                <c:pt idx="1312">
                  <c:v>2.8838943446096721E-2</c:v>
                </c:pt>
                <c:pt idx="1313">
                  <c:v>2.8836869243527019E-2</c:v>
                </c:pt>
                <c:pt idx="1314">
                  <c:v>2.8834764763976395E-2</c:v>
                </c:pt>
                <c:pt idx="1315">
                  <c:v>2.8832630007764593E-2</c:v>
                </c:pt>
                <c:pt idx="1316">
                  <c:v>2.8830464974571868E-2</c:v>
                </c:pt>
                <c:pt idx="1317">
                  <c:v>2.8828269664717965E-2</c:v>
                </c:pt>
                <c:pt idx="1318">
                  <c:v>2.8825723665386604E-2</c:v>
                </c:pt>
                <c:pt idx="1319">
                  <c:v>2.8823788214387136E-2</c:v>
                </c:pt>
                <c:pt idx="1320">
                  <c:v>2.8821173011053247E-2</c:v>
                </c:pt>
                <c:pt idx="1321">
                  <c:v>2.8819185656772106E-2</c:v>
                </c:pt>
                <c:pt idx="1322">
                  <c:v>2.8816838962892888E-2</c:v>
                </c:pt>
                <c:pt idx="1323">
                  <c:v>2.8814461992112683E-2</c:v>
                </c:pt>
                <c:pt idx="1324">
                  <c:v>2.8811361398330959E-2</c:v>
                </c:pt>
                <c:pt idx="1325">
                  <c:v>2.8808563298259315E-2</c:v>
                </c:pt>
                <c:pt idx="1326">
                  <c:v>2.880679440410816E-2</c:v>
                </c:pt>
                <c:pt idx="1327">
                  <c:v>2.8804292000863541E-2</c:v>
                </c:pt>
                <c:pt idx="1328">
                  <c:v>2.8801759320717935E-2</c:v>
                </c:pt>
                <c:pt idx="1329">
                  <c:v>2.8799196363831214E-2</c:v>
                </c:pt>
                <c:pt idx="1330">
                  <c:v>2.8796603130043508E-2</c:v>
                </c:pt>
                <c:pt idx="1331">
                  <c:v>2.8793979619594623E-2</c:v>
                </c:pt>
                <c:pt idx="1332">
                  <c:v>2.8791325832164816E-2</c:v>
                </c:pt>
                <c:pt idx="1333">
                  <c:v>2.878864176807383E-2</c:v>
                </c:pt>
                <c:pt idx="1334">
                  <c:v>2.8785927427001923E-2</c:v>
                </c:pt>
                <c:pt idx="1335">
                  <c:v>2.8783182809348773E-2</c:v>
                </c:pt>
                <c:pt idx="1336">
                  <c:v>2.8780407914794637E-2</c:v>
                </c:pt>
                <c:pt idx="1337">
                  <c:v>2.877760274341945E-2</c:v>
                </c:pt>
                <c:pt idx="1338">
                  <c:v>2.8774767295223214E-2</c:v>
                </c:pt>
                <c:pt idx="1339">
                  <c:v>2.8771901570285863E-2</c:v>
                </c:pt>
                <c:pt idx="1340">
                  <c:v>2.876817257837061E-2</c:v>
                </c:pt>
                <c:pt idx="1341">
                  <c:v>2.876607928994801E-2</c:v>
                </c:pt>
                <c:pt idx="1342">
                  <c:v>2.8762697897901646E-2</c:v>
                </c:pt>
                <c:pt idx="1343">
                  <c:v>2.8760135902325956E-2</c:v>
                </c:pt>
                <c:pt idx="1344">
                  <c:v>2.8757118793443226E-2</c:v>
                </c:pt>
                <c:pt idx="1345">
                  <c:v>2.8754071407659509E-2</c:v>
                </c:pt>
                <c:pt idx="1346">
                  <c:v>2.875055160736828E-2</c:v>
                </c:pt>
                <c:pt idx="1347">
                  <c:v>2.8747885805788798E-2</c:v>
                </c:pt>
                <c:pt idx="1348">
                  <c:v>2.874474758954193E-2</c:v>
                </c:pt>
                <c:pt idx="1349">
                  <c:v>2.8741579096633885E-2</c:v>
                </c:pt>
                <c:pt idx="1350">
                  <c:v>2.8738380326824853E-2</c:v>
                </c:pt>
                <c:pt idx="1351">
                  <c:v>2.8735151280354643E-2</c:v>
                </c:pt>
                <c:pt idx="1352">
                  <c:v>2.8731891956983446E-2</c:v>
                </c:pt>
                <c:pt idx="1353">
                  <c:v>2.8728602356871136E-2</c:v>
                </c:pt>
                <c:pt idx="1354">
                  <c:v>2.8725282480017711E-2</c:v>
                </c:pt>
                <c:pt idx="1355">
                  <c:v>2.87219323262633E-2</c:v>
                </c:pt>
                <c:pt idx="1356">
                  <c:v>2.871855189584771E-2</c:v>
                </c:pt>
                <c:pt idx="1357">
                  <c:v>2.8715141188531135E-2</c:v>
                </c:pt>
                <c:pt idx="1358">
                  <c:v>2.8711700204473445E-2</c:v>
                </c:pt>
                <c:pt idx="1359">
                  <c:v>2.8707730577606227E-2</c:v>
                </c:pt>
                <c:pt idx="1360">
                  <c:v>2.870472740597485E-2</c:v>
                </c:pt>
                <c:pt idx="1361">
                  <c:v>2.8701195591533946E-2</c:v>
                </c:pt>
                <c:pt idx="1362">
                  <c:v>2.8697633500351927E-2</c:v>
                </c:pt>
                <c:pt idx="1363">
                  <c:v>2.8694041132428794E-2</c:v>
                </c:pt>
                <c:pt idx="1364">
                  <c:v>2.8690418487604674E-2</c:v>
                </c:pt>
                <c:pt idx="1365">
                  <c:v>2.8686765566119377E-2</c:v>
                </c:pt>
                <c:pt idx="1366">
                  <c:v>2.8683082367733093E-2</c:v>
                </c:pt>
                <c:pt idx="1367">
                  <c:v>2.8679368892765567E-2</c:v>
                </c:pt>
                <c:pt idx="1368">
                  <c:v>2.8675625140817118E-2</c:v>
                </c:pt>
                <c:pt idx="1369">
                  <c:v>2.8671851112127555E-2</c:v>
                </c:pt>
                <c:pt idx="1370">
                  <c:v>2.8667500862926687E-2</c:v>
                </c:pt>
                <c:pt idx="1371">
                  <c:v>2.8664212224445151E-2</c:v>
                </c:pt>
                <c:pt idx="1372">
                  <c:v>2.8660347365532246E-2</c:v>
                </c:pt>
                <c:pt idx="1373">
                  <c:v>2.865645222979829E-2</c:v>
                </c:pt>
                <c:pt idx="1374">
                  <c:v>2.8652526817323221E-2</c:v>
                </c:pt>
                <c:pt idx="1375">
                  <c:v>2.8648571127947164E-2</c:v>
                </c:pt>
                <c:pt idx="1376">
                  <c:v>2.8643440753421956E-2</c:v>
                </c:pt>
                <c:pt idx="1377">
                  <c:v>2.863999269854034E-2</c:v>
                </c:pt>
                <c:pt idx="1378">
                  <c:v>2.8636522399532183E-2</c:v>
                </c:pt>
                <c:pt idx="1379">
                  <c:v>2.8632445603111734E-2</c:v>
                </c:pt>
                <c:pt idx="1380">
                  <c:v>2.862833852995017E-2</c:v>
                </c:pt>
                <c:pt idx="1381">
                  <c:v>2.8624201180047493E-2</c:v>
                </c:pt>
                <c:pt idx="1382">
                  <c:v>2.8620033553483637E-2</c:v>
                </c:pt>
                <c:pt idx="1383">
                  <c:v>2.8615835650018795E-2</c:v>
                </c:pt>
                <c:pt idx="1384">
                  <c:v>2.8611607469892775E-2</c:v>
                </c:pt>
                <c:pt idx="1385">
                  <c:v>2.8607349012945704E-2</c:v>
                </c:pt>
                <c:pt idx="1386">
                  <c:v>2.8603060279177583E-2</c:v>
                </c:pt>
                <c:pt idx="1387">
                  <c:v>2.8598741268828221E-2</c:v>
                </c:pt>
                <c:pt idx="1388">
                  <c:v>2.8594391981577871E-2</c:v>
                </c:pt>
                <c:pt idx="1389">
                  <c:v>2.8590012417506472E-2</c:v>
                </c:pt>
                <c:pt idx="1390">
                  <c:v>2.8585602576773894E-2</c:v>
                </c:pt>
                <c:pt idx="1391">
                  <c:v>2.8579888293327471E-2</c:v>
                </c:pt>
                <c:pt idx="1392">
                  <c:v>2.8576692065165332E-2</c:v>
                </c:pt>
                <c:pt idx="1393">
                  <c:v>2.8572191394129476E-2</c:v>
                </c:pt>
                <c:pt idx="1394">
                  <c:v>2.8567010696498585E-2</c:v>
                </c:pt>
                <c:pt idx="1395">
                  <c:v>2.8563099221914356E-2</c:v>
                </c:pt>
                <c:pt idx="1396">
                  <c:v>2.8558507720655157E-2</c:v>
                </c:pt>
                <c:pt idx="1397">
                  <c:v>2.8553885942654844E-2</c:v>
                </c:pt>
                <c:pt idx="1398">
                  <c:v>2.8548566837098832E-2</c:v>
                </c:pt>
                <c:pt idx="1399">
                  <c:v>2.8544551556430875E-2</c:v>
                </c:pt>
                <c:pt idx="1400">
                  <c:v>2.8539838948207219E-2</c:v>
                </c:pt>
                <c:pt idx="1401">
                  <c:v>2.8535096063242449E-2</c:v>
                </c:pt>
                <c:pt idx="1402">
                  <c:v>2.8530322901616501E-2</c:v>
                </c:pt>
                <c:pt idx="1403">
                  <c:v>2.8525519463169502E-2</c:v>
                </c:pt>
                <c:pt idx="1404">
                  <c:v>2.8520685747981389E-2</c:v>
                </c:pt>
                <c:pt idx="1405">
                  <c:v>2.8515821756052162E-2</c:v>
                </c:pt>
                <c:pt idx="1406">
                  <c:v>2.8510927487381821E-2</c:v>
                </c:pt>
                <c:pt idx="1407">
                  <c:v>2.8506002942050301E-2</c:v>
                </c:pt>
                <c:pt idx="1408">
                  <c:v>2.8501048119897732E-2</c:v>
                </c:pt>
                <c:pt idx="1409">
                  <c:v>2.8496063021004048E-2</c:v>
                </c:pt>
                <c:pt idx="1410">
                  <c:v>2.8491047645449186E-2</c:v>
                </c:pt>
                <c:pt idx="1411">
                  <c:v>2.848527871403661E-2</c:v>
                </c:pt>
                <c:pt idx="1412">
                  <c:v>2.8480926064116119E-2</c:v>
                </c:pt>
                <c:pt idx="1413">
                  <c:v>2.8475819858257978E-2</c:v>
                </c:pt>
                <c:pt idx="1414">
                  <c:v>2.8470683375898531E-2</c:v>
                </c:pt>
                <c:pt idx="1415">
                  <c:v>2.8465516616558162E-2</c:v>
                </c:pt>
                <c:pt idx="1416">
                  <c:v>2.8460319580636551E-2</c:v>
                </c:pt>
                <c:pt idx="1417">
                  <c:v>2.8455092267893889E-2</c:v>
                </c:pt>
                <c:pt idx="1418">
                  <c:v>2.8449834678569985E-2</c:v>
                </c:pt>
                <c:pt idx="1419">
                  <c:v>2.8444546812425031E-2</c:v>
                </c:pt>
                <c:pt idx="1420">
                  <c:v>2.8439228669618899E-2</c:v>
                </c:pt>
                <c:pt idx="1421">
                  <c:v>2.8433880250071653E-2</c:v>
                </c:pt>
                <c:pt idx="1422">
                  <c:v>2.8427730697124787E-2</c:v>
                </c:pt>
                <c:pt idx="1423">
                  <c:v>2.8423092580833753E-2</c:v>
                </c:pt>
                <c:pt idx="1424">
                  <c:v>2.8417653331223036E-2</c:v>
                </c:pt>
                <c:pt idx="1425">
                  <c:v>2.8412183804791269E-2</c:v>
                </c:pt>
                <c:pt idx="1426">
                  <c:v>2.8406684001698324E-2</c:v>
                </c:pt>
                <c:pt idx="1427">
                  <c:v>2.8401153921864264E-2</c:v>
                </c:pt>
                <c:pt idx="1428">
                  <c:v>2.8393999331024489E-2</c:v>
                </c:pt>
                <c:pt idx="1429">
                  <c:v>2.8389201798573183E-2</c:v>
                </c:pt>
                <c:pt idx="1430">
                  <c:v>2.8384382022155208E-2</c:v>
                </c:pt>
                <c:pt idx="1431">
                  <c:v>2.8378730835516564E-2</c:v>
                </c:pt>
                <c:pt idx="1432">
                  <c:v>2.8373049372136805E-2</c:v>
                </c:pt>
                <c:pt idx="1433">
                  <c:v>2.8367337632095868E-2</c:v>
                </c:pt>
                <c:pt idx="1434">
                  <c:v>2.8361595615393753E-2</c:v>
                </c:pt>
                <c:pt idx="1435">
                  <c:v>2.8355823321870588E-2</c:v>
                </c:pt>
                <c:pt idx="1436">
                  <c:v>2.8350020751846117E-2</c:v>
                </c:pt>
                <c:pt idx="1437">
                  <c:v>2.8344187904920659E-2</c:v>
                </c:pt>
                <c:pt idx="1438">
                  <c:v>2.8338324781334023E-2</c:v>
                </c:pt>
                <c:pt idx="1439">
                  <c:v>2.8332431381246082E-2</c:v>
                </c:pt>
                <c:pt idx="1440">
                  <c:v>2.8326507704337089E-2</c:v>
                </c:pt>
                <c:pt idx="1441">
                  <c:v>2.8318847060138097E-2</c:v>
                </c:pt>
                <c:pt idx="1442">
                  <c:v>2.8314569520375699E-2</c:v>
                </c:pt>
                <c:pt idx="1443">
                  <c:v>2.8308555013483172E-2</c:v>
                </c:pt>
                <c:pt idx="1444">
                  <c:v>2.8302510229849531E-2</c:v>
                </c:pt>
                <c:pt idx="1445">
                  <c:v>2.8296435169474776E-2</c:v>
                </c:pt>
                <c:pt idx="1446">
                  <c:v>2.8290329832438843E-2</c:v>
                </c:pt>
                <c:pt idx="1447">
                  <c:v>2.8283315230979156E-2</c:v>
                </c:pt>
                <c:pt idx="1448">
                  <c:v>2.8278028328383442E-2</c:v>
                </c:pt>
                <c:pt idx="1449">
                  <c:v>2.8271832161363974E-2</c:v>
                </c:pt>
                <c:pt idx="1450">
                  <c:v>2.8264714848624806E-2</c:v>
                </c:pt>
                <c:pt idx="1451">
                  <c:v>2.8259375422843291E-2</c:v>
                </c:pt>
                <c:pt idx="1452">
                  <c:v>2.8253160666293908E-2</c:v>
                </c:pt>
                <c:pt idx="1453">
                  <c:v>2.8246961604230236E-2</c:v>
                </c:pt>
                <c:pt idx="1454">
                  <c:v>2.8240778236652275E-2</c:v>
                </c:pt>
                <c:pt idx="1455">
                  <c:v>2.8234610563560025E-2</c:v>
                </c:pt>
                <c:pt idx="1456">
                  <c:v>2.8228458585113358E-2</c:v>
                </c:pt>
                <c:pt idx="1457">
                  <c:v>2.8222322301152403E-2</c:v>
                </c:pt>
                <c:pt idx="1458">
                  <c:v>2.8216201711677158E-2</c:v>
                </c:pt>
                <c:pt idx="1459">
                  <c:v>2.821009681676756E-2</c:v>
                </c:pt>
                <c:pt idx="1460">
                  <c:v>2.8204007616343674E-2</c:v>
                </c:pt>
                <c:pt idx="1461">
                  <c:v>2.819793411056537E-2</c:v>
                </c:pt>
                <c:pt idx="1462">
                  <c:v>2.8191876299112906E-2</c:v>
                </c:pt>
                <c:pt idx="1463">
                  <c:v>2.8184972303897382E-2</c:v>
                </c:pt>
                <c:pt idx="1464">
                  <c:v>2.8179807759904918E-2</c:v>
                </c:pt>
                <c:pt idx="1465">
                  <c:v>2.8173797032149395E-2</c:v>
                </c:pt>
                <c:pt idx="1466">
                  <c:v>2.8167801998879582E-2</c:v>
                </c:pt>
                <c:pt idx="1467">
                  <c:v>2.8161822660095481E-2</c:v>
                </c:pt>
                <c:pt idx="1468">
                  <c:v>2.8155859015877027E-2</c:v>
                </c:pt>
                <c:pt idx="1469">
                  <c:v>2.8149911066064348E-2</c:v>
                </c:pt>
                <c:pt idx="1470">
                  <c:v>2.8143978810897252E-2</c:v>
                </c:pt>
                <c:pt idx="1471">
                  <c:v>2.8138062250135931E-2</c:v>
                </c:pt>
                <c:pt idx="1472">
                  <c:v>2.8132161383940257E-2</c:v>
                </c:pt>
                <c:pt idx="1473">
                  <c:v>2.8126276212310231E-2</c:v>
                </c:pt>
                <c:pt idx="1474">
                  <c:v>2.8120406735085979E-2</c:v>
                </c:pt>
                <c:pt idx="1475">
                  <c:v>2.8114552952427374E-2</c:v>
                </c:pt>
                <c:pt idx="1476">
                  <c:v>2.8108714864334416E-2</c:v>
                </c:pt>
                <c:pt idx="1477">
                  <c:v>2.8102892470647234E-2</c:v>
                </c:pt>
                <c:pt idx="1478">
                  <c:v>2.8097085771525698E-2</c:v>
                </c:pt>
                <c:pt idx="1479">
                  <c:v>2.809129476696981E-2</c:v>
                </c:pt>
                <c:pt idx="1480">
                  <c:v>2.808387225092801E-2</c:v>
                </c:pt>
                <c:pt idx="1481">
                  <c:v>2.8078117119436641E-2</c:v>
                </c:pt>
                <c:pt idx="1482">
                  <c:v>2.8073196641091869E-2</c:v>
                </c:pt>
                <c:pt idx="1483">
                  <c:v>2.8067470656525373E-2</c:v>
                </c:pt>
                <c:pt idx="1484">
                  <c:v>2.8060945892036671E-2</c:v>
                </c:pt>
                <c:pt idx="1485">
                  <c:v>2.8056065771009386E-2</c:v>
                </c:pt>
                <c:pt idx="1486">
                  <c:v>2.8050386870139832E-2</c:v>
                </c:pt>
                <c:pt idx="1487">
                  <c:v>2.804472366351618E-2</c:v>
                </c:pt>
                <c:pt idx="1488">
                  <c:v>2.8038270645316388E-2</c:v>
                </c:pt>
                <c:pt idx="1489">
                  <c:v>2.8033444333965818E-2</c:v>
                </c:pt>
                <c:pt idx="1490">
                  <c:v>2.8027828211039107E-2</c:v>
                </c:pt>
                <c:pt idx="1491">
                  <c:v>2.8022227782518172E-2</c:v>
                </c:pt>
                <c:pt idx="1492">
                  <c:v>2.8016643048403012E-2</c:v>
                </c:pt>
                <c:pt idx="1493">
                  <c:v>2.8011074008933434E-2</c:v>
                </c:pt>
                <c:pt idx="1494">
                  <c:v>2.8005520663949568E-2</c:v>
                </c:pt>
                <c:pt idx="1495">
                  <c:v>2.7999983013371477E-2</c:v>
                </c:pt>
                <c:pt idx="1496">
                  <c:v>2.7994276021345854E-2</c:v>
                </c:pt>
                <c:pt idx="1497">
                  <c:v>2.7988954795912235E-2</c:v>
                </c:pt>
                <c:pt idx="1498">
                  <c:v>2.7983464228711341E-2</c:v>
                </c:pt>
                <c:pt idx="1499">
                  <c:v>2.7977208512766083E-2</c:v>
                </c:pt>
                <c:pt idx="1500">
                  <c:v>2.7972530178166366E-2</c:v>
                </c:pt>
                <c:pt idx="1501">
                  <c:v>2.7967086694502541E-2</c:v>
                </c:pt>
                <c:pt idx="1502">
                  <c:v>2.7960884788233997E-2</c:v>
                </c:pt>
                <c:pt idx="1503">
                  <c:v>2.7956246811031704E-2</c:v>
                </c:pt>
                <c:pt idx="1504">
                  <c:v>2.7950850410825012E-2</c:v>
                </c:pt>
                <c:pt idx="1505">
                  <c:v>2.7945469705263903E-2</c:v>
                </c:pt>
                <c:pt idx="1506">
                  <c:v>2.7940104694028634E-2</c:v>
                </c:pt>
                <c:pt idx="1507">
                  <c:v>2.7934755377438947E-2</c:v>
                </c:pt>
                <c:pt idx="1508">
                  <c:v>2.7929421755255035E-2</c:v>
                </c:pt>
                <c:pt idx="1509">
                  <c:v>2.792410382763677E-2</c:v>
                </c:pt>
                <c:pt idx="1510">
                  <c:v>2.7918801594504217E-2</c:v>
                </c:pt>
                <c:pt idx="1511">
                  <c:v>2.7913515055857374E-2</c:v>
                </c:pt>
                <c:pt idx="1512">
                  <c:v>2.790824421153637E-2</c:v>
                </c:pt>
                <c:pt idx="1513">
                  <c:v>2.790298906186095E-2</c:v>
                </c:pt>
                <c:pt idx="1514">
                  <c:v>2.7897749606591304E-2</c:v>
                </c:pt>
                <c:pt idx="1515">
                  <c:v>2.7891780875561878E-2</c:v>
                </c:pt>
                <c:pt idx="1516">
                  <c:v>2.7886575051310203E-2</c:v>
                </c:pt>
                <c:pt idx="1517">
                  <c:v>2.7882125407696634E-2</c:v>
                </c:pt>
                <c:pt idx="1518">
                  <c:v>2.7876948730449769E-2</c:v>
                </c:pt>
                <c:pt idx="1519">
                  <c:v>2.7871787747608678E-2</c:v>
                </c:pt>
                <c:pt idx="1520">
                  <c:v>2.7866642459333235E-2</c:v>
                </c:pt>
                <c:pt idx="1521">
                  <c:v>2.7861512865383631E-2</c:v>
                </c:pt>
                <c:pt idx="1522">
                  <c:v>2.7855669690000084E-2</c:v>
                </c:pt>
                <c:pt idx="1523">
                  <c:v>2.7851300761021491E-2</c:v>
                </c:pt>
                <c:pt idx="1524">
                  <c:v>2.7846218250608956E-2</c:v>
                </c:pt>
                <c:pt idx="1525">
                  <c:v>2.7841151434602196E-2</c:v>
                </c:pt>
                <c:pt idx="1526">
                  <c:v>2.7836100313081147E-2</c:v>
                </c:pt>
                <c:pt idx="1527">
                  <c:v>2.7831064886045809E-2</c:v>
                </c:pt>
                <c:pt idx="1528">
                  <c:v>2.7826045153576118E-2</c:v>
                </c:pt>
                <c:pt idx="1529">
                  <c:v>2.7821041115432266E-2</c:v>
                </c:pt>
                <c:pt idx="1530">
                  <c:v>2.7816052771854061E-2</c:v>
                </c:pt>
                <c:pt idx="1531">
                  <c:v>2.7811080122681631E-2</c:v>
                </c:pt>
                <c:pt idx="1532">
                  <c:v>2.7809005440511569E-2</c:v>
                </c:pt>
                <c:pt idx="1533">
                  <c:v>2.7797662045152549E-2</c:v>
                </c:pt>
                <c:pt idx="1534">
                  <c:v>2.7796296226174633E-2</c:v>
                </c:pt>
                <c:pt idx="1535">
                  <c:v>2.7791392324036934E-2</c:v>
                </c:pt>
                <c:pt idx="1536">
                  <c:v>2.7786504118916255E-2</c:v>
                </c:pt>
                <c:pt idx="1537">
                  <c:v>2.7781631610865887E-2</c:v>
                </c:pt>
                <c:pt idx="1538">
                  <c:v>2.7776774799752602E-2</c:v>
                </c:pt>
                <c:pt idx="1539">
                  <c:v>2.7771933685736272E-2</c:v>
                </c:pt>
                <c:pt idx="1540">
                  <c:v>2.7767108268683671E-2</c:v>
                </c:pt>
                <c:pt idx="1541">
                  <c:v>2.7762298548674735E-2</c:v>
                </c:pt>
                <c:pt idx="1542">
                  <c:v>2.7757504525682819E-2</c:v>
                </c:pt>
                <c:pt idx="1543">
                  <c:v>2.7752726199681277E-2</c:v>
                </c:pt>
                <c:pt idx="1544">
                  <c:v>2.77479635707234E-2</c:v>
                </c:pt>
                <c:pt idx="1545">
                  <c:v>2.7743216638702606E-2</c:v>
                </c:pt>
                <c:pt idx="1546">
                  <c:v>2.7734325728481224E-2</c:v>
                </c:pt>
                <c:pt idx="1547">
                  <c:v>2.7730289265956998E-2</c:v>
                </c:pt>
                <c:pt idx="1548">
                  <c:v>2.7725594632954653E-2</c:v>
                </c:pt>
                <c:pt idx="1549">
                  <c:v>2.7720915694517956E-2</c:v>
                </c:pt>
                <c:pt idx="1550">
                  <c:v>2.7715587554029142E-2</c:v>
                </c:pt>
                <c:pt idx="1551">
                  <c:v>2.7711604901021758E-2</c:v>
                </c:pt>
                <c:pt idx="1552">
                  <c:v>2.7706973045962258E-2</c:v>
                </c:pt>
                <c:pt idx="1553">
                  <c:v>2.7701698714990286E-2</c:v>
                </c:pt>
                <c:pt idx="1554">
                  <c:v>2.7697756419140518E-2</c:v>
                </c:pt>
                <c:pt idx="1555">
                  <c:v>2.7693171647458215E-2</c:v>
                </c:pt>
                <c:pt idx="1556">
                  <c:v>2.7688602570261622E-2</c:v>
                </c:pt>
                <c:pt idx="1557">
                  <c:v>2.7684049187470805E-2</c:v>
                </c:pt>
                <c:pt idx="1558">
                  <c:v>2.7679511499165699E-2</c:v>
                </c:pt>
                <c:pt idx="1559">
                  <c:v>2.7674989505186431E-2</c:v>
                </c:pt>
                <c:pt idx="1560">
                  <c:v>2.7670483205772811E-2</c:v>
                </c:pt>
                <c:pt idx="1561">
                  <c:v>2.7665992600844902E-2</c:v>
                </c:pt>
                <c:pt idx="1562">
                  <c:v>2.7661517690242832E-2</c:v>
                </c:pt>
                <c:pt idx="1563">
                  <c:v>2.7657058474206409E-2</c:v>
                </c:pt>
                <c:pt idx="1564">
                  <c:v>2.765261495257576E-2</c:v>
                </c:pt>
                <c:pt idx="1565">
                  <c:v>2.7648187125430823E-2</c:v>
                </c:pt>
                <c:pt idx="1566">
                  <c:v>2.7643774992611725E-2</c:v>
                </c:pt>
                <c:pt idx="1567">
                  <c:v>2.7638751772931514E-2</c:v>
                </c:pt>
                <c:pt idx="1568">
                  <c:v>2.7634997810590534E-2</c:v>
                </c:pt>
                <c:pt idx="1569">
                  <c:v>2.7630632761148632E-2</c:v>
                </c:pt>
                <c:pt idx="1570">
                  <c:v>2.7626283406192442E-2</c:v>
                </c:pt>
                <c:pt idx="1571">
                  <c:v>2.7621949745721963E-2</c:v>
                </c:pt>
                <c:pt idx="1572">
                  <c:v>2.7617631779657259E-2</c:v>
                </c:pt>
                <c:pt idx="1573">
                  <c:v>2.7613329508078266E-2</c:v>
                </c:pt>
                <c:pt idx="1574">
                  <c:v>2.7609042930905048E-2</c:v>
                </c:pt>
                <c:pt idx="1575">
                  <c:v>2.7604772048217541E-2</c:v>
                </c:pt>
                <c:pt idx="1576">
                  <c:v>2.7600516860015745E-2</c:v>
                </c:pt>
                <c:pt idx="1577">
                  <c:v>2.7596277366139788E-2</c:v>
                </c:pt>
                <c:pt idx="1578">
                  <c:v>2.7592053566749541E-2</c:v>
                </c:pt>
                <c:pt idx="1579">
                  <c:v>2.7587845461845006E-2</c:v>
                </c:pt>
                <c:pt idx="1580">
                  <c:v>2.7583055416684488E-2</c:v>
                </c:pt>
                <c:pt idx="1581">
                  <c:v>2.7579476335173325E-2</c:v>
                </c:pt>
                <c:pt idx="1582">
                  <c:v>2.7575315313645987E-2</c:v>
                </c:pt>
                <c:pt idx="1583">
                  <c:v>2.7571169986364552E-2</c:v>
                </c:pt>
                <c:pt idx="1584">
                  <c:v>2.7565863341241226E-2</c:v>
                </c:pt>
                <c:pt idx="1585">
                  <c:v>2.7562339991149543E-2</c:v>
                </c:pt>
                <c:pt idx="1586">
                  <c:v>2.7558828171514449E-2</c:v>
                </c:pt>
                <c:pt idx="1587">
                  <c:v>2.7554745622095922E-2</c:v>
                </c:pt>
                <c:pt idx="1588">
                  <c:v>2.7550678767163106E-2</c:v>
                </c:pt>
                <c:pt idx="1589">
                  <c:v>2.7546627606556129E-2</c:v>
                </c:pt>
                <c:pt idx="1590">
                  <c:v>2.7542592140434863E-2</c:v>
                </c:pt>
                <c:pt idx="1591">
                  <c:v>2.7538572368799308E-2</c:v>
                </c:pt>
                <c:pt idx="1592">
                  <c:v>2.7534568291489592E-2</c:v>
                </c:pt>
                <c:pt idx="1593">
                  <c:v>2.7530579908665587E-2</c:v>
                </c:pt>
                <c:pt idx="1594">
                  <c:v>2.7526607220327293E-2</c:v>
                </c:pt>
                <c:pt idx="1595">
                  <c:v>2.7522650226394774E-2</c:v>
                </c:pt>
                <c:pt idx="1596">
                  <c:v>2.751870892686803E-2</c:v>
                </c:pt>
                <c:pt idx="1597">
                  <c:v>2.7514783321747061E-2</c:v>
                </c:pt>
                <c:pt idx="1598">
                  <c:v>2.7510873411111803E-2</c:v>
                </c:pt>
                <c:pt idx="1599">
                  <c:v>2.7506979194962256E-2</c:v>
                </c:pt>
                <c:pt idx="1600">
                  <c:v>2.7503100673058611E-2</c:v>
                </c:pt>
                <c:pt idx="1601">
                  <c:v>2.7498137063455275E-2</c:v>
                </c:pt>
                <c:pt idx="1602">
                  <c:v>2.7494842403550379E-2</c:v>
                </c:pt>
                <c:pt idx="1603">
                  <c:v>2.7491559274421817E-2</c:v>
                </c:pt>
                <c:pt idx="1604">
                  <c:v>2.7487743530221209E-2</c:v>
                </c:pt>
                <c:pt idx="1605">
                  <c:v>2.7483943480586248E-2</c:v>
                </c:pt>
                <c:pt idx="1606">
                  <c:v>2.7479619784385179E-2</c:v>
                </c:pt>
                <c:pt idx="1607">
                  <c:v>2.7476390464613587E-2</c:v>
                </c:pt>
                <c:pt idx="1608">
                  <c:v>2.7472637498195951E-2</c:v>
                </c:pt>
                <c:pt idx="1609">
                  <c:v>2.7468900226343962E-2</c:v>
                </c:pt>
                <c:pt idx="1610">
                  <c:v>2.7465178648817812E-2</c:v>
                </c:pt>
                <c:pt idx="1611">
                  <c:v>2.7461472765777373E-2</c:v>
                </c:pt>
                <c:pt idx="1612">
                  <c:v>2.7457782577062773E-2</c:v>
                </c:pt>
                <c:pt idx="1613">
                  <c:v>2.7454108082833883E-2</c:v>
                </c:pt>
                <c:pt idx="1614">
                  <c:v>2.7450449283090705E-2</c:v>
                </c:pt>
                <c:pt idx="1615">
                  <c:v>2.7446806177673366E-2</c:v>
                </c:pt>
                <c:pt idx="1616">
                  <c:v>2.7443178766741738E-2</c:v>
                </c:pt>
                <c:pt idx="1617">
                  <c:v>2.7439567050135949E-2</c:v>
                </c:pt>
                <c:pt idx="1618">
                  <c:v>2.7435971027935935E-2</c:v>
                </c:pt>
                <c:pt idx="1619">
                  <c:v>2.7431880506094686E-2</c:v>
                </c:pt>
                <c:pt idx="1620">
                  <c:v>2.7428826067072976E-2</c:v>
                </c:pt>
                <c:pt idx="1621">
                  <c:v>2.7425277128250158E-2</c:v>
                </c:pt>
                <c:pt idx="1622">
                  <c:v>2.742174388375318E-2</c:v>
                </c:pt>
                <c:pt idx="1623">
                  <c:v>2.7418226333741913E-2</c:v>
                </c:pt>
                <c:pt idx="1624">
                  <c:v>2.7414724478056485E-2</c:v>
                </c:pt>
                <c:pt idx="1625">
                  <c:v>2.7411238316936704E-2</c:v>
                </c:pt>
                <c:pt idx="1626">
                  <c:v>2.7407767850222697E-2</c:v>
                </c:pt>
                <c:pt idx="1627">
                  <c:v>2.740431307783453E-2</c:v>
                </c:pt>
                <c:pt idx="1628">
                  <c:v>2.7400873999932074E-2</c:v>
                </c:pt>
                <c:pt idx="1629">
                  <c:v>2.7397450616435393E-2</c:v>
                </c:pt>
                <c:pt idx="1630">
                  <c:v>2.7393557395729573E-2</c:v>
                </c:pt>
                <c:pt idx="1631">
                  <c:v>2.7390650932579419E-2</c:v>
                </c:pt>
                <c:pt idx="1632">
                  <c:v>2.7386793584938118E-2</c:v>
                </c:pt>
                <c:pt idx="1633">
                  <c:v>2.7383914026426481E-2</c:v>
                </c:pt>
                <c:pt idx="1634">
                  <c:v>2.7380569115118547E-2</c:v>
                </c:pt>
                <c:pt idx="1635">
                  <c:v>2.737723989797658E-2</c:v>
                </c:pt>
                <c:pt idx="1636">
                  <c:v>2.7372982537352541E-2</c:v>
                </c:pt>
                <c:pt idx="1637">
                  <c:v>2.7369219996753458E-2</c:v>
                </c:pt>
                <c:pt idx="1638">
                  <c:v>2.7366878818462226E-2</c:v>
                </c:pt>
                <c:pt idx="1639">
                  <c:v>2.7363614621149779E-2</c:v>
                </c:pt>
                <c:pt idx="1640">
                  <c:v>2.7360366118323043E-2</c:v>
                </c:pt>
                <c:pt idx="1641">
                  <c:v>2.735713330974221E-2</c:v>
                </c:pt>
                <c:pt idx="1642">
                  <c:v>2.7353916195647088E-2</c:v>
                </c:pt>
                <c:pt idx="1643">
                  <c:v>2.7350714775957741E-2</c:v>
                </c:pt>
                <c:pt idx="1644">
                  <c:v>2.7347529050754105E-2</c:v>
                </c:pt>
                <c:pt idx="1645">
                  <c:v>2.7344359019956244E-2</c:v>
                </c:pt>
                <c:pt idx="1646">
                  <c:v>2.7341204683564158E-2</c:v>
                </c:pt>
                <c:pt idx="1647">
                  <c:v>2.733806604149791E-2</c:v>
                </c:pt>
                <c:pt idx="1648">
                  <c:v>2.7334943093837438E-2</c:v>
                </c:pt>
                <c:pt idx="1649">
                  <c:v>2.7331835840582741E-2</c:v>
                </c:pt>
                <c:pt idx="1650">
                  <c:v>2.7328744281813755E-2</c:v>
                </c:pt>
                <c:pt idx="1651">
                  <c:v>2.7324792481646654E-2</c:v>
                </c:pt>
                <c:pt idx="1652">
                  <c:v>2.7322608247493108E-2</c:v>
                </c:pt>
                <c:pt idx="1653">
                  <c:v>2.731956377186151E-2</c:v>
                </c:pt>
                <c:pt idx="1654">
                  <c:v>2.7316103588841401E-2</c:v>
                </c:pt>
                <c:pt idx="1655">
                  <c:v>2.7313521903975513E-2</c:v>
                </c:pt>
                <c:pt idx="1656">
                  <c:v>2.7310524511561241E-2</c:v>
                </c:pt>
                <c:pt idx="1657">
                  <c:v>2.7307542813712615E-2</c:v>
                </c:pt>
                <c:pt idx="1658">
                  <c:v>2.7304154376421863E-2</c:v>
                </c:pt>
                <c:pt idx="1659">
                  <c:v>2.7301626500992882E-2</c:v>
                </c:pt>
                <c:pt idx="1660">
                  <c:v>2.7298691886201709E-2</c:v>
                </c:pt>
                <c:pt idx="1661">
                  <c:v>2.7295772965816312E-2</c:v>
                </c:pt>
                <c:pt idx="1662">
                  <c:v>2.7292869739916625E-2</c:v>
                </c:pt>
                <c:pt idx="1663">
                  <c:v>2.7289982208342778E-2</c:v>
                </c:pt>
                <c:pt idx="1664">
                  <c:v>2.7287110371334578E-2</c:v>
                </c:pt>
                <c:pt idx="1665">
                  <c:v>2.7284254228492344E-2</c:v>
                </c:pt>
                <c:pt idx="1666">
                  <c:v>2.7281413780215757E-2</c:v>
                </c:pt>
                <c:pt idx="1667">
                  <c:v>2.727858902626501E-2</c:v>
                </c:pt>
                <c:pt idx="1668">
                  <c:v>2.7275779966720037E-2</c:v>
                </c:pt>
                <c:pt idx="1669">
                  <c:v>2.727298660158084E-2</c:v>
                </c:pt>
                <c:pt idx="1670">
                  <c:v>2.7270208930847417E-2</c:v>
                </c:pt>
                <c:pt idx="1671">
                  <c:v>2.7267053667676677E-2</c:v>
                </c:pt>
                <c:pt idx="1672">
                  <c:v>2.7264700672597897E-2</c:v>
                </c:pt>
                <c:pt idx="1673">
                  <c:v>2.7261970085081799E-2</c:v>
                </c:pt>
                <c:pt idx="1674">
                  <c:v>2.7259255191971477E-2</c:v>
                </c:pt>
                <c:pt idx="1675">
                  <c:v>2.7256555993266929E-2</c:v>
                </c:pt>
                <c:pt idx="1676">
                  <c:v>2.725387248888822E-2</c:v>
                </c:pt>
                <c:pt idx="1677">
                  <c:v>2.7251204678995222E-2</c:v>
                </c:pt>
                <c:pt idx="1678">
                  <c:v>2.7248552563428063E-2</c:v>
                </c:pt>
                <c:pt idx="1679">
                  <c:v>2.7245916142186744E-2</c:v>
                </c:pt>
                <c:pt idx="1680">
                  <c:v>2.7243295415511071E-2</c:v>
                </c:pt>
                <c:pt idx="1681">
                  <c:v>2.7240690383241173E-2</c:v>
                </c:pt>
                <c:pt idx="1682">
                  <c:v>2.7237732420966054E-2</c:v>
                </c:pt>
                <c:pt idx="1683">
                  <c:v>2.7235527401678894E-2</c:v>
                </c:pt>
                <c:pt idx="1684">
                  <c:v>2.7232969452626321E-2</c:v>
                </c:pt>
                <c:pt idx="1685">
                  <c:v>2.7230427197739715E-2</c:v>
                </c:pt>
                <c:pt idx="1686">
                  <c:v>2.722790063733882E-2</c:v>
                </c:pt>
                <c:pt idx="1687">
                  <c:v>2.72253897713437E-2</c:v>
                </c:pt>
                <c:pt idx="1688">
                  <c:v>2.7222184576274344E-2</c:v>
                </c:pt>
                <c:pt idx="1689">
                  <c:v>2.7220062192805372E-2</c:v>
                </c:pt>
                <c:pt idx="1690">
                  <c:v>2.721795133979299E-2</c:v>
                </c:pt>
                <c:pt idx="1691">
                  <c:v>2.7215503251420969E-2</c:v>
                </c:pt>
                <c:pt idx="1692">
                  <c:v>2.7213070857374788E-2</c:v>
                </c:pt>
                <c:pt idx="1693">
                  <c:v>2.7210654157814318E-2</c:v>
                </c:pt>
                <c:pt idx="1694">
                  <c:v>2.7208253152499751E-2</c:v>
                </c:pt>
                <c:pt idx="1695">
                  <c:v>2.720586784175083E-2</c:v>
                </c:pt>
                <c:pt idx="1696">
                  <c:v>2.7203498225247813E-2</c:v>
                </c:pt>
                <c:pt idx="1697">
                  <c:v>2.7201144303230507E-2</c:v>
                </c:pt>
                <c:pt idx="1698">
                  <c:v>2.7198806075539039E-2</c:v>
                </c:pt>
                <c:pt idx="1699">
                  <c:v>2.7196483542333283E-2</c:v>
                </c:pt>
                <c:pt idx="1700">
                  <c:v>2.7194176703373429E-2</c:v>
                </c:pt>
                <c:pt idx="1701">
                  <c:v>2.7191885558899287E-2</c:v>
                </c:pt>
                <c:pt idx="1702">
                  <c:v>2.7188962862814137E-2</c:v>
                </c:pt>
                <c:pt idx="1703">
                  <c:v>2.7187350353168327E-2</c:v>
                </c:pt>
                <c:pt idx="1704">
                  <c:v>2.7185106291831573E-2</c:v>
                </c:pt>
                <c:pt idx="1705">
                  <c:v>2.7182877924900595E-2</c:v>
                </c:pt>
                <c:pt idx="1706">
                  <c:v>2.7180665252215519E-2</c:v>
                </c:pt>
                <c:pt idx="1707">
                  <c:v>2.7178155701248485E-2</c:v>
                </c:pt>
                <c:pt idx="1708">
                  <c:v>2.7176286990382437E-2</c:v>
                </c:pt>
                <c:pt idx="1709">
                  <c:v>2.7174121400994622E-2</c:v>
                </c:pt>
                <c:pt idx="1710">
                  <c:v>2.7171665451630744E-2</c:v>
                </c:pt>
                <c:pt idx="1711">
                  <c:v>2.7169832294324792E-2</c:v>
                </c:pt>
                <c:pt idx="1712">
                  <c:v>2.7167700089272273E-2</c:v>
                </c:pt>
                <c:pt idx="1713">
                  <c:v>2.7165574861118813E-2</c:v>
                </c:pt>
                <c:pt idx="1714">
                  <c:v>2.7163456609944348E-2</c:v>
                </c:pt>
                <c:pt idx="1715">
                  <c:v>2.716134533566894E-2</c:v>
                </c:pt>
                <c:pt idx="1716">
                  <c:v>2.7159241038452464E-2</c:v>
                </c:pt>
                <c:pt idx="1717">
                  <c:v>2.715714371805511E-2</c:v>
                </c:pt>
                <c:pt idx="1718">
                  <c:v>2.7155053374636751E-2</c:v>
                </c:pt>
                <c:pt idx="1719">
                  <c:v>2.7152970008037514E-2</c:v>
                </c:pt>
                <c:pt idx="1720">
                  <c:v>2.7150893618577143E-2</c:v>
                </c:pt>
                <c:pt idx="1721">
                  <c:v>2.7148824205935895E-2</c:v>
                </c:pt>
                <c:pt idx="1722">
                  <c:v>2.7146761770273642E-2</c:v>
                </c:pt>
                <c:pt idx="1723">
                  <c:v>2.7144413244180043E-2</c:v>
                </c:pt>
                <c:pt idx="1724">
                  <c:v>2.7142657829806183E-2</c:v>
                </c:pt>
                <c:pt idx="1725">
                  <c:v>2.7140616325000977E-2</c:v>
                </c:pt>
                <c:pt idx="1726">
                  <c:v>2.713858179709483E-2</c:v>
                </c:pt>
                <c:pt idx="1727">
                  <c:v>2.7136554246167677E-2</c:v>
                </c:pt>
                <c:pt idx="1728">
                  <c:v>2.7134533672139582E-2</c:v>
                </c:pt>
                <c:pt idx="1729">
                  <c:v>2.7132520075090483E-2</c:v>
                </c:pt>
                <c:pt idx="1730">
                  <c:v>2.7130513454860505E-2</c:v>
                </c:pt>
                <c:pt idx="1731">
                  <c:v>2.7128513811769395E-2</c:v>
                </c:pt>
                <c:pt idx="1732">
                  <c:v>2.712652114541747E-2</c:v>
                </c:pt>
                <c:pt idx="1733">
                  <c:v>2.7124535456124477E-2</c:v>
                </c:pt>
                <c:pt idx="1734">
                  <c:v>2.7122556743810478E-2</c:v>
                </c:pt>
                <c:pt idx="1735">
                  <c:v>2.7120585008315601E-2</c:v>
                </c:pt>
                <c:pt idx="1736">
                  <c:v>2.7118620249799719E-2</c:v>
                </c:pt>
                <c:pt idx="1737">
                  <c:v>2.7116662468262831E-2</c:v>
                </c:pt>
                <c:pt idx="1738">
                  <c:v>2.7114711663625002E-2</c:v>
                </c:pt>
                <c:pt idx="1739">
                  <c:v>2.7112767835886231E-2</c:v>
                </c:pt>
                <c:pt idx="1740">
                  <c:v>2.7110278880684291E-2</c:v>
                </c:pt>
                <c:pt idx="1741">
                  <c:v>2.7108351000428854E-2</c:v>
                </c:pt>
                <c:pt idx="1742">
                  <c:v>2.7106704084545186E-2</c:v>
                </c:pt>
                <c:pt idx="1743">
                  <c:v>2.7104789161285225E-2</c:v>
                </c:pt>
                <c:pt idx="1744">
                  <c:v>2.7102609220817087E-2</c:v>
                </c:pt>
                <c:pt idx="1745">
                  <c:v>2.7100980245702289E-2</c:v>
                </c:pt>
                <c:pt idx="1746">
                  <c:v>2.709908625321944E-2</c:v>
                </c:pt>
                <c:pt idx="1747">
                  <c:v>2.7097199237795522E-2</c:v>
                </c:pt>
                <c:pt idx="1748">
                  <c:v>2.7095051191814434E-2</c:v>
                </c:pt>
                <c:pt idx="1749">
                  <c:v>2.7093446137564925E-2</c:v>
                </c:pt>
                <c:pt idx="1750">
                  <c:v>2.7091580052998054E-2</c:v>
                </c:pt>
                <c:pt idx="1751">
                  <c:v>2.708972094517037E-2</c:v>
                </c:pt>
                <c:pt idx="1752">
                  <c:v>2.7087868814401617E-2</c:v>
                </c:pt>
                <c:pt idx="1753">
                  <c:v>2.7086023660611858E-2</c:v>
                </c:pt>
                <c:pt idx="1754">
                  <c:v>2.7084185483721157E-2</c:v>
                </c:pt>
                <c:pt idx="1755">
                  <c:v>2.7082354283649579E-2</c:v>
                </c:pt>
                <c:pt idx="1756">
                  <c:v>2.7080530060636931E-2</c:v>
                </c:pt>
                <c:pt idx="1757">
                  <c:v>2.7079972936370211E-2</c:v>
                </c:pt>
                <c:pt idx="1758">
                  <c:v>2.7076902545388748E-2</c:v>
                </c:pt>
                <c:pt idx="1759">
                  <c:v>2.7074842209566796E-2</c:v>
                </c:pt>
                <c:pt idx="1760">
                  <c:v>2.7073302937816734E-2</c:v>
                </c:pt>
                <c:pt idx="1761">
                  <c:v>2.7071513599459252E-2</c:v>
                </c:pt>
                <c:pt idx="1762">
                  <c:v>2.7069477184502588E-2</c:v>
                </c:pt>
                <c:pt idx="1763">
                  <c:v>2.7067955853521397E-2</c:v>
                </c:pt>
                <c:pt idx="1764">
                  <c:v>2.7066187446020962E-2</c:v>
                </c:pt>
                <c:pt idx="1765">
                  <c:v>2.7064426015339649E-2</c:v>
                </c:pt>
                <c:pt idx="1766">
                  <c:v>2.7062671561717266E-2</c:v>
                </c:pt>
                <c:pt idx="1767">
                  <c:v>2.7060924084914006E-2</c:v>
                </c:pt>
                <c:pt idx="1768">
                  <c:v>2.7059183585089741E-2</c:v>
                </c:pt>
                <c:pt idx="1769">
                  <c:v>2.7057450062164534E-2</c:v>
                </c:pt>
                <c:pt idx="1770">
                  <c:v>2.7055723516378194E-2</c:v>
                </c:pt>
                <c:pt idx="1771">
                  <c:v>2.7054003947251104E-2</c:v>
                </c:pt>
                <c:pt idx="1772">
                  <c:v>2.7052291355182945E-2</c:v>
                </c:pt>
                <c:pt idx="1773">
                  <c:v>2.7050585740173716E-2</c:v>
                </c:pt>
                <c:pt idx="1774">
                  <c:v>2.704888710198361E-2</c:v>
                </c:pt>
                <c:pt idx="1775">
                  <c:v>2.7046954344269736E-2</c:v>
                </c:pt>
                <c:pt idx="1776">
                  <c:v>2.7045270656680387E-2</c:v>
                </c:pt>
                <c:pt idx="1777">
                  <c:v>2.7043833048887578E-2</c:v>
                </c:pt>
                <c:pt idx="1778">
                  <c:v>2.7042162318533514E-2</c:v>
                </c:pt>
                <c:pt idx="1779">
                  <c:v>2.70404985648387E-2</c:v>
                </c:pt>
                <c:pt idx="1780">
                  <c:v>2.7038841788282753E-2</c:v>
                </c:pt>
                <c:pt idx="1781">
                  <c:v>2.7037191988625864E-2</c:v>
                </c:pt>
                <c:pt idx="1782">
                  <c:v>2.7035315046584074E-2</c:v>
                </c:pt>
                <c:pt idx="1783">
                  <c:v>2.7033913320169134E-2</c:v>
                </c:pt>
                <c:pt idx="1784">
                  <c:v>2.7032284451289357E-2</c:v>
                </c:pt>
                <c:pt idx="1785">
                  <c:v>2.7030662559388574E-2</c:v>
                </c:pt>
                <c:pt idx="1786">
                  <c:v>2.70288175117539E-2</c:v>
                </c:pt>
                <c:pt idx="1787">
                  <c:v>2.7027439706284184E-2</c:v>
                </c:pt>
                <c:pt idx="1788">
                  <c:v>2.7025838745160513E-2</c:v>
                </c:pt>
                <c:pt idx="1789">
                  <c:v>2.7024244761015837E-2</c:v>
                </c:pt>
                <c:pt idx="1790">
                  <c:v>2.7022657753690282E-2</c:v>
                </c:pt>
                <c:pt idx="1791">
                  <c:v>2.7021077723343723E-2</c:v>
                </c:pt>
                <c:pt idx="1792">
                  <c:v>2.7020860564146432E-2</c:v>
                </c:pt>
                <c:pt idx="1793">
                  <c:v>2.7019297243180418E-2</c:v>
                </c:pt>
                <c:pt idx="1794">
                  <c:v>2.7016157335006952E-2</c:v>
                </c:pt>
                <c:pt idx="1795">
                  <c:v>2.7014606209219139E-2</c:v>
                </c:pt>
                <c:pt idx="1796">
                  <c:v>2.7013062060250448E-2</c:v>
                </c:pt>
                <c:pt idx="1797">
                  <c:v>2.7011524888260752E-2</c:v>
                </c:pt>
                <c:pt idx="1798">
                  <c:v>2.7009994693090178E-2</c:v>
                </c:pt>
                <c:pt idx="1799">
                  <c:v>2.7008471474978535E-2</c:v>
                </c:pt>
                <c:pt idx="1800">
                  <c:v>2.7006955233686014E-2</c:v>
                </c:pt>
                <c:pt idx="1801">
                  <c:v>2.7005445969452424E-2</c:v>
                </c:pt>
                <c:pt idx="1802">
                  <c:v>2.7003943682037956E-2</c:v>
                </c:pt>
                <c:pt idx="1803">
                  <c:v>2.7002448371682419E-2</c:v>
                </c:pt>
                <c:pt idx="1804">
                  <c:v>2.7000960038146005E-2</c:v>
                </c:pt>
                <c:pt idx="1805">
                  <c:v>2.6999478681588585E-2</c:v>
                </c:pt>
                <c:pt idx="1806">
                  <c:v>2.7001634053549495E-2</c:v>
                </c:pt>
                <c:pt idx="1807">
                  <c:v>2.6995701515888371E-2</c:v>
                </c:pt>
                <c:pt idx="1808">
                  <c:v>2.6994245076918943E-2</c:v>
                </c:pt>
                <c:pt idx="1809">
                  <c:v>2.6992795614928511E-2</c:v>
                </c:pt>
                <c:pt idx="1810">
                  <c:v>2.6991147630059942E-2</c:v>
                </c:pt>
                <c:pt idx="1811">
                  <c:v>2.6989917621644821E-2</c:v>
                </c:pt>
                <c:pt idx="1812">
                  <c:v>2.6988489090511436E-2</c:v>
                </c:pt>
                <c:pt idx="1813">
                  <c:v>2.6986865026588092E-2</c:v>
                </c:pt>
                <c:pt idx="1814">
                  <c:v>2.6985652958781969E-2</c:v>
                </c:pt>
                <c:pt idx="1815">
                  <c:v>2.698424535834576E-2</c:v>
                </c:pt>
                <c:pt idx="1816">
                  <c:v>2.6982844734808609E-2</c:v>
                </c:pt>
                <c:pt idx="1817">
                  <c:v>2.6981451088330388E-2</c:v>
                </c:pt>
                <c:pt idx="1818">
                  <c:v>2.698006441867129E-2</c:v>
                </c:pt>
                <c:pt idx="1819">
                  <c:v>2.6978684725991187E-2</c:v>
                </c:pt>
                <c:pt idx="1820">
                  <c:v>2.6977312010130206E-2</c:v>
                </c:pt>
                <c:pt idx="1821">
                  <c:v>2.6975946271328155E-2</c:v>
                </c:pt>
                <c:pt idx="1822">
                  <c:v>2.6974587509425163E-2</c:v>
                </c:pt>
                <c:pt idx="1823">
                  <c:v>2.697323572442123E-2</c:v>
                </c:pt>
                <c:pt idx="1824">
                  <c:v>2.6971890916396291E-2</c:v>
                </c:pt>
                <c:pt idx="1825">
                  <c:v>2.697055308527041E-2</c:v>
                </c:pt>
                <c:pt idx="1826">
                  <c:v>2.6969032678509919E-2</c:v>
                </c:pt>
                <c:pt idx="1827">
                  <c:v>2.6967898353715825E-2</c:v>
                </c:pt>
                <c:pt idx="1828">
                  <c:v>2.6966581453446992E-2</c:v>
                </c:pt>
                <c:pt idx="1829">
                  <c:v>2.6965271529997281E-2</c:v>
                </c:pt>
                <c:pt idx="1830">
                  <c:v>2.6963968583526565E-2</c:v>
                </c:pt>
                <c:pt idx="1831">
                  <c:v>2.6962672613954908E-2</c:v>
                </c:pt>
                <c:pt idx="1832">
                  <c:v>2.6961383621362245E-2</c:v>
                </c:pt>
                <c:pt idx="1833">
                  <c:v>2.696010160566864E-2</c:v>
                </c:pt>
                <c:pt idx="1834">
                  <c:v>2.6958826566954031E-2</c:v>
                </c:pt>
                <c:pt idx="1835">
                  <c:v>2.6957558505138479E-2</c:v>
                </c:pt>
                <c:pt idx="1836">
                  <c:v>2.6956297420221986E-2</c:v>
                </c:pt>
                <c:pt idx="1837">
                  <c:v>2.6955043312284488E-2</c:v>
                </c:pt>
                <c:pt idx="1838">
                  <c:v>2.6953796181166112E-2</c:v>
                </c:pt>
                <c:pt idx="1839">
                  <c:v>2.6952556027106667E-2</c:v>
                </c:pt>
                <c:pt idx="1840">
                  <c:v>2.6951147251210728E-2</c:v>
                </c:pt>
                <c:pt idx="1841">
                  <c:v>2.6950096649605015E-2</c:v>
                </c:pt>
                <c:pt idx="1842">
                  <c:v>2.6948877426322682E-2</c:v>
                </c:pt>
                <c:pt idx="1843">
                  <c:v>2.6947665179939406E-2</c:v>
                </c:pt>
                <c:pt idx="1844">
                  <c:v>2.6947039622093882E-2</c:v>
                </c:pt>
                <c:pt idx="1845">
                  <c:v>2.6945091002827937E-2</c:v>
                </c:pt>
                <c:pt idx="1846">
                  <c:v>2.6944070302343803E-2</c:v>
                </c:pt>
                <c:pt idx="1847">
                  <c:v>2.6942885963636698E-2</c:v>
                </c:pt>
                <c:pt idx="1848">
                  <c:v>2.6941708601908587E-2</c:v>
                </c:pt>
                <c:pt idx="1849">
                  <c:v>2.6940538216999599E-2</c:v>
                </c:pt>
                <c:pt idx="1850">
                  <c:v>2.6939374809069605E-2</c:v>
                </c:pt>
                <c:pt idx="1851">
                  <c:v>2.6938218378198542E-2</c:v>
                </c:pt>
                <c:pt idx="1852">
                  <c:v>2.6937068924146601E-2</c:v>
                </c:pt>
                <c:pt idx="1853">
                  <c:v>2.6935926446993719E-2</c:v>
                </c:pt>
                <c:pt idx="1854">
                  <c:v>2.6934790946819831E-2</c:v>
                </c:pt>
                <c:pt idx="1855">
                  <c:v>2.6933662423624938E-2</c:v>
                </c:pt>
                <c:pt idx="1856">
                  <c:v>2.6932540877249167E-2</c:v>
                </c:pt>
                <c:pt idx="1857">
                  <c:v>2.6931109140919673E-2</c:v>
                </c:pt>
                <c:pt idx="1858">
                  <c:v>2.6930318715434609E-2</c:v>
                </c:pt>
                <c:pt idx="1859">
                  <c:v>2.692921809983595E-2</c:v>
                </c:pt>
                <c:pt idx="1860">
                  <c:v>2.6928124461216285E-2</c:v>
                </c:pt>
                <c:pt idx="1861">
                  <c:v>2.6927037799575615E-2</c:v>
                </c:pt>
                <c:pt idx="1862">
                  <c:v>2.6925804443678203E-2</c:v>
                </c:pt>
                <c:pt idx="1863">
                  <c:v>2.692488540699145E-2</c:v>
                </c:pt>
                <c:pt idx="1864">
                  <c:v>2.6923819676127891E-2</c:v>
                </c:pt>
                <c:pt idx="1865">
                  <c:v>2.6922610241015832E-2</c:v>
                </c:pt>
                <c:pt idx="1866">
                  <c:v>2.6921709145018013E-2</c:v>
                </c:pt>
                <c:pt idx="1867">
                  <c:v>2.692066434485163E-2</c:v>
                </c:pt>
                <c:pt idx="1868">
                  <c:v>2.6919626521744178E-2</c:v>
                </c:pt>
                <c:pt idx="1869">
                  <c:v>2.6918595675375911E-2</c:v>
                </c:pt>
                <c:pt idx="1870">
                  <c:v>2.6917571806066576E-2</c:v>
                </c:pt>
                <c:pt idx="1871">
                  <c:v>2.6916554913656299E-2</c:v>
                </c:pt>
                <c:pt idx="1872">
                  <c:v>2.6915544998225016E-2</c:v>
                </c:pt>
                <c:pt idx="1873">
                  <c:v>2.6914542059692792E-2</c:v>
                </c:pt>
                <c:pt idx="1874">
                  <c:v>2.691354609797969E-2</c:v>
                </c:pt>
                <c:pt idx="1875">
                  <c:v>2.6912557113325519E-2</c:v>
                </c:pt>
                <c:pt idx="1876">
                  <c:v>2.6911575105570407E-2</c:v>
                </c:pt>
                <c:pt idx="1877">
                  <c:v>2.6910600074634417E-2</c:v>
                </c:pt>
                <c:pt idx="1878">
                  <c:v>2.6909632020757357E-2</c:v>
                </c:pt>
                <c:pt idx="1879">
                  <c:v>2.6908534216589786E-2</c:v>
                </c:pt>
                <c:pt idx="1880">
                  <c:v>2.6907716843620477E-2</c:v>
                </c:pt>
                <c:pt idx="1881">
                  <c:v>2.6906769720520529E-2</c:v>
                </c:pt>
                <c:pt idx="1882">
                  <c:v>2.690582957431964E-2</c:v>
                </c:pt>
                <c:pt idx="1883">
                  <c:v>2.6904896405017809E-2</c:v>
                </c:pt>
                <c:pt idx="1884">
                  <c:v>2.6903970212694972E-2</c:v>
                </c:pt>
                <c:pt idx="1885">
                  <c:v>2.6903050997191258E-2</c:v>
                </c:pt>
                <c:pt idx="1886">
                  <c:v>2.6902138758666538E-2</c:v>
                </c:pt>
                <c:pt idx="1887">
                  <c:v>2.6901233497040877E-2</c:v>
                </c:pt>
                <c:pt idx="1888">
                  <c:v>2.6900335212394211E-2</c:v>
                </c:pt>
                <c:pt idx="1889">
                  <c:v>2.6899443904646603E-2</c:v>
                </c:pt>
                <c:pt idx="1890">
                  <c:v>2.6898559573877989E-2</c:v>
                </c:pt>
                <c:pt idx="1891">
                  <c:v>2.6897682219928498E-2</c:v>
                </c:pt>
                <c:pt idx="1892">
                  <c:v>2.6896688073003716E-2</c:v>
                </c:pt>
                <c:pt idx="1893">
                  <c:v>2.6895948443046436E-2</c:v>
                </c:pt>
                <c:pt idx="1894">
                  <c:v>2.6895092019874056E-2</c:v>
                </c:pt>
                <c:pt idx="1895">
                  <c:v>2.6894242573680671E-2</c:v>
                </c:pt>
                <c:pt idx="1896">
                  <c:v>2.6893160680465655E-2</c:v>
                </c:pt>
                <c:pt idx="1897">
                  <c:v>2.6892445825570377E-2</c:v>
                </c:pt>
                <c:pt idx="1898">
                  <c:v>2.6891736096734675E-2</c:v>
                </c:pt>
                <c:pt idx="1899">
                  <c:v>2.689091455821746E-2</c:v>
                </c:pt>
                <c:pt idx="1900">
                  <c:v>2.689009999667924E-2</c:v>
                </c:pt>
                <c:pt idx="1901">
                  <c:v>2.6889292412040078E-2</c:v>
                </c:pt>
                <c:pt idx="1902">
                  <c:v>2.688849180437991E-2</c:v>
                </c:pt>
                <c:pt idx="1903">
                  <c:v>2.6887698173538865E-2</c:v>
                </c:pt>
                <c:pt idx="1904">
                  <c:v>2.6886911519756751E-2</c:v>
                </c:pt>
                <c:pt idx="1905">
                  <c:v>2.6886131842873695E-2</c:v>
                </c:pt>
                <c:pt idx="1906">
                  <c:v>2.6885359142809762E-2</c:v>
                </c:pt>
                <c:pt idx="1907">
                  <c:v>2.6884593419644887E-2</c:v>
                </c:pt>
                <c:pt idx="1908">
                  <c:v>2.6883834673538942E-2</c:v>
                </c:pt>
                <c:pt idx="1909">
                  <c:v>2.6883082904332056E-2</c:v>
                </c:pt>
                <c:pt idx="1910">
                  <c:v>2.6882338112024229E-2</c:v>
                </c:pt>
                <c:pt idx="1911">
                  <c:v>2.6881600296695396E-2</c:v>
                </c:pt>
                <c:pt idx="1912">
                  <c:v>2.6880661928752048E-2</c:v>
                </c:pt>
                <c:pt idx="1913">
                  <c:v>2.6880145596734906E-2</c:v>
                </c:pt>
                <c:pt idx="1914">
                  <c:v>2.6879326869488906E-2</c:v>
                </c:pt>
                <c:pt idx="1915">
                  <c:v>2.6878718804370649E-2</c:v>
                </c:pt>
                <c:pt idx="1916">
                  <c:v>2.6878015873617045E-2</c:v>
                </c:pt>
                <c:pt idx="1917">
                  <c:v>2.6877319919842435E-2</c:v>
                </c:pt>
                <c:pt idx="1918">
                  <c:v>2.6876533087243359E-2</c:v>
                </c:pt>
                <c:pt idx="1919">
                  <c:v>2.6875948942910455E-2</c:v>
                </c:pt>
                <c:pt idx="1920">
                  <c:v>2.6875273919912956E-2</c:v>
                </c:pt>
                <c:pt idx="1921">
                  <c:v>2.6874605873734581E-2</c:v>
                </c:pt>
                <c:pt idx="1922">
                  <c:v>2.6873944804615135E-2</c:v>
                </c:pt>
                <c:pt idx="1923">
                  <c:v>2.6873290712234876E-2</c:v>
                </c:pt>
                <c:pt idx="1924">
                  <c:v>2.6872643596913548E-2</c:v>
                </c:pt>
                <c:pt idx="1925">
                  <c:v>2.6872003458491278E-2</c:v>
                </c:pt>
                <c:pt idx="1926">
                  <c:v>2.6871370296968067E-2</c:v>
                </c:pt>
                <c:pt idx="1927">
                  <c:v>2.687074411242385E-2</c:v>
                </c:pt>
                <c:pt idx="1928">
                  <c:v>2.6870124904778692E-2</c:v>
                </c:pt>
                <c:pt idx="1929">
                  <c:v>2.6869512674032592E-2</c:v>
                </c:pt>
                <c:pt idx="1930">
                  <c:v>2.686890742018555E-2</c:v>
                </c:pt>
                <c:pt idx="1931">
                  <c:v>2.6868224244749328E-2</c:v>
                </c:pt>
                <c:pt idx="1932">
                  <c:v>2.6867717843348515E-2</c:v>
                </c:pt>
                <c:pt idx="1933">
                  <c:v>2.6867133520358522E-2</c:v>
                </c:pt>
                <c:pt idx="1934">
                  <c:v>2.686655617418765E-2</c:v>
                </c:pt>
                <c:pt idx="1935">
                  <c:v>2.6865985804995773E-2</c:v>
                </c:pt>
                <c:pt idx="1936">
                  <c:v>2.6865422412702955E-2</c:v>
                </c:pt>
                <c:pt idx="1937">
                  <c:v>2.6864865997389131E-2</c:v>
                </c:pt>
                <c:pt idx="1938">
                  <c:v>2.6864316558974366E-2</c:v>
                </c:pt>
                <c:pt idx="1939">
                  <c:v>2.6863774097458659E-2</c:v>
                </c:pt>
                <c:pt idx="1940">
                  <c:v>2.6863238612921947E-2</c:v>
                </c:pt>
                <c:pt idx="1941">
                  <c:v>2.6862710105284293E-2</c:v>
                </c:pt>
                <c:pt idx="1942">
                  <c:v>2.6862188574545698E-2</c:v>
                </c:pt>
                <c:pt idx="1943">
                  <c:v>2.6861674020786097E-2</c:v>
                </c:pt>
                <c:pt idx="1944">
                  <c:v>2.6861094502432792E-2</c:v>
                </c:pt>
                <c:pt idx="1945">
                  <c:v>2.6860665843884135E-2</c:v>
                </c:pt>
                <c:pt idx="1946">
                  <c:v>2.6860172220901646E-2</c:v>
                </c:pt>
                <c:pt idx="1947">
                  <c:v>2.6859685574818215E-2</c:v>
                </c:pt>
                <c:pt idx="1948">
                  <c:v>2.6859070138876007E-2</c:v>
                </c:pt>
                <c:pt idx="1949">
                  <c:v>2.6858599439956166E-2</c:v>
                </c:pt>
                <c:pt idx="1950">
                  <c:v>2.6858201536805737E-2</c:v>
                </c:pt>
                <c:pt idx="1951">
                  <c:v>2.6857743795121181E-2</c:v>
                </c:pt>
                <c:pt idx="1952">
                  <c:v>2.6857293030335683E-2</c:v>
                </c:pt>
                <c:pt idx="1953">
                  <c:v>2.6856849242529179E-2</c:v>
                </c:pt>
                <c:pt idx="1954">
                  <c:v>2.6856412431621735E-2</c:v>
                </c:pt>
                <c:pt idx="1955">
                  <c:v>2.6855982597533412E-2</c:v>
                </c:pt>
                <c:pt idx="1956">
                  <c:v>2.685555974050402E-2</c:v>
                </c:pt>
                <c:pt idx="1957">
                  <c:v>2.6855143860293751E-2</c:v>
                </c:pt>
                <c:pt idx="1958">
                  <c:v>2.6854734957062476E-2</c:v>
                </c:pt>
                <c:pt idx="1959">
                  <c:v>2.685433303073026E-2</c:v>
                </c:pt>
                <c:pt idx="1960">
                  <c:v>2.6853938081377038E-2</c:v>
                </c:pt>
                <c:pt idx="1961">
                  <c:v>2.6853550108922875E-2</c:v>
                </c:pt>
                <c:pt idx="1962">
                  <c:v>2.6853169113287834E-2</c:v>
                </c:pt>
                <c:pt idx="1963">
                  <c:v>2.6852689513807704E-2</c:v>
                </c:pt>
                <c:pt idx="1964">
                  <c:v>2.6852428053034672E-2</c:v>
                </c:pt>
                <c:pt idx="1965">
                  <c:v>2.6852067988256678E-2</c:v>
                </c:pt>
                <c:pt idx="1966">
                  <c:v>2.6851665028830851E-2</c:v>
                </c:pt>
                <c:pt idx="1967">
                  <c:v>2.6851368789477803E-2</c:v>
                </c:pt>
                <c:pt idx="1968">
                  <c:v>2.6851029655476921E-2</c:v>
                </c:pt>
                <c:pt idx="1969">
                  <c:v>2.6850697498375098E-2</c:v>
                </c:pt>
                <c:pt idx="1970">
                  <c:v>2.6850325959255628E-2</c:v>
                </c:pt>
                <c:pt idx="1971">
                  <c:v>2.6850042665946816E-2</c:v>
                </c:pt>
                <c:pt idx="1972">
                  <c:v>2.6849700141058364E-2</c:v>
                </c:pt>
                <c:pt idx="1973">
                  <c:v>2.6849344675801134E-2</c:v>
                </c:pt>
                <c:pt idx="1974">
                  <c:v>2.6848976270095193E-2</c:v>
                </c:pt>
                <c:pt idx="1975">
                  <c:v>2.6848594924020475E-2</c:v>
                </c:pt>
                <c:pt idx="1976">
                  <c:v>2.684820063757698E-2</c:v>
                </c:pt>
                <c:pt idx="1977">
                  <c:v>2.6847793410764709E-2</c:v>
                </c:pt>
                <c:pt idx="1978">
                  <c:v>2.6847373243583661E-2</c:v>
                </c:pt>
                <c:pt idx="1979">
                  <c:v>2.6846940136033837E-2</c:v>
                </c:pt>
                <c:pt idx="1980">
                  <c:v>2.6846494088115236E-2</c:v>
                </c:pt>
                <c:pt idx="1981">
                  <c:v>2.6846035099827859E-2</c:v>
                </c:pt>
                <c:pt idx="1982">
                  <c:v>2.6845563171171705E-2</c:v>
                </c:pt>
                <c:pt idx="1983">
                  <c:v>2.6845007978799629E-2</c:v>
                </c:pt>
                <c:pt idx="1984">
                  <c:v>2.6844580492753067E-2</c:v>
                </c:pt>
                <c:pt idx="1985">
                  <c:v>2.6844069742910648E-2</c:v>
                </c:pt>
                <c:pt idx="1986">
                  <c:v>2.6843546052779388E-2</c:v>
                </c:pt>
                <c:pt idx="1987">
                  <c:v>2.6843009422279351E-2</c:v>
                </c:pt>
                <c:pt idx="1988">
                  <c:v>2.6842459851250666E-2</c:v>
                </c:pt>
                <c:pt idx="1989">
                  <c:v>2.6841897340013077E-2</c:v>
                </c:pt>
                <c:pt idx="1990">
                  <c:v>2.6841321888406711E-2</c:v>
                </c:pt>
                <c:pt idx="1991">
                  <c:v>2.6840733496271696E-2</c:v>
                </c:pt>
                <c:pt idx="1992">
                  <c:v>2.6840132163927777E-2</c:v>
                </c:pt>
                <c:pt idx="1993">
                  <c:v>2.6839517891135145E-2</c:v>
                </c:pt>
                <c:pt idx="1994">
                  <c:v>2.6838800019772791E-2</c:v>
                </c:pt>
                <c:pt idx="1995">
                  <c:v>2.6838250524443552E-2</c:v>
                </c:pt>
                <c:pt idx="1996">
                  <c:v>2.6837597430544591E-2</c:v>
                </c:pt>
                <c:pt idx="1997">
                  <c:v>2.6836931396276853E-2</c:v>
                </c:pt>
                <c:pt idx="1998">
                  <c:v>2.6836252421560403E-2</c:v>
                </c:pt>
                <c:pt idx="1999">
                  <c:v>2.6835560506635048E-2</c:v>
                </c:pt>
                <c:pt idx="2000">
                  <c:v>2.6834651887135408E-2</c:v>
                </c:pt>
                <c:pt idx="2001">
                  <c:v>2.6834034256788541E-2</c:v>
                </c:pt>
                <c:pt idx="2002">
                  <c:v>2.683340711932658E-2</c:v>
                </c:pt>
                <c:pt idx="2003">
                  <c:v>2.6832663442766247E-2</c:v>
                </c:pt>
                <c:pt idx="2004">
                  <c:v>2.6831906825917073E-2</c:v>
                </c:pt>
                <c:pt idx="2005">
                  <c:v>2.6831137268619187E-2</c:v>
                </c:pt>
                <c:pt idx="2006">
                  <c:v>2.6830354771032461E-2</c:v>
                </c:pt>
                <c:pt idx="2007">
                  <c:v>2.6829559333076958E-2</c:v>
                </c:pt>
                <c:pt idx="2008">
                  <c:v>2.6828750954592806E-2</c:v>
                </c:pt>
                <c:pt idx="2009">
                  <c:v>2.682792963589975E-2</c:v>
                </c:pt>
                <c:pt idx="2010">
                  <c:v>2.6827095376837917E-2</c:v>
                </c:pt>
                <c:pt idx="2011">
                  <c:v>2.6826248177247436E-2</c:v>
                </c:pt>
                <c:pt idx="2012">
                  <c:v>2.682538803744805E-2</c:v>
                </c:pt>
                <c:pt idx="2013">
                  <c:v>2.6824263128881753E-2</c:v>
                </c:pt>
                <c:pt idx="2014">
                  <c:v>2.6823628936503141E-2</c:v>
                </c:pt>
                <c:pt idx="2015">
                  <c:v>2.682272997551749E-2</c:v>
                </c:pt>
                <c:pt idx="2016">
                  <c:v>2.6821818074242998E-2</c:v>
                </c:pt>
                <c:pt idx="2017">
                  <c:v>2.6820893232519794E-2</c:v>
                </c:pt>
                <c:pt idx="2018">
                  <c:v>2.6819955450347877E-2</c:v>
                </c:pt>
                <c:pt idx="2019">
                  <c:v>2.6818867854014883E-2</c:v>
                </c:pt>
                <c:pt idx="2020">
                  <c:v>2.6818041065057585E-2</c:v>
                </c:pt>
                <c:pt idx="2021">
                  <c:v>2.6817064461859275E-2</c:v>
                </c:pt>
                <c:pt idx="2022">
                  <c:v>2.6815932498536199E-2</c:v>
                </c:pt>
                <c:pt idx="2023">
                  <c:v>2.6815072434356324E-2</c:v>
                </c:pt>
                <c:pt idx="2024">
                  <c:v>2.6814057010051684E-2</c:v>
                </c:pt>
                <c:pt idx="2025">
                  <c:v>2.6813028645298331E-2</c:v>
                </c:pt>
                <c:pt idx="2026">
                  <c:v>2.6811987340176202E-2</c:v>
                </c:pt>
                <c:pt idx="2027">
                  <c:v>2.6810933094765232E-2</c:v>
                </c:pt>
                <c:pt idx="2028">
                  <c:v>2.6809865908985486E-2</c:v>
                </c:pt>
                <c:pt idx="2029">
                  <c:v>2.6808785782836964E-2</c:v>
                </c:pt>
                <c:pt idx="2030">
                  <c:v>2.6807692716319664E-2</c:v>
                </c:pt>
                <c:pt idx="2031">
                  <c:v>2.6806586709353653E-2</c:v>
                </c:pt>
                <c:pt idx="2032">
                  <c:v>2.68054677620988E-2</c:v>
                </c:pt>
                <c:pt idx="2033">
                  <c:v>2.6804335874395235E-2</c:v>
                </c:pt>
                <c:pt idx="2034">
                  <c:v>2.680319104640283E-2</c:v>
                </c:pt>
                <c:pt idx="2035">
                  <c:v>2.6801866826149379E-2</c:v>
                </c:pt>
                <c:pt idx="2036">
                  <c:v>2.6800862569231754E-2</c:v>
                </c:pt>
                <c:pt idx="2037">
                  <c:v>2.6799678920053083E-2</c:v>
                </c:pt>
                <c:pt idx="2038">
                  <c:v>2.6798482330585571E-2</c:v>
                </c:pt>
                <c:pt idx="2039">
                  <c:v>2.6797272800749283E-2</c:v>
                </c:pt>
                <c:pt idx="2040">
                  <c:v>2.6796050330464283E-2</c:v>
                </c:pt>
                <c:pt idx="2041">
                  <c:v>2.6794814919810506E-2</c:v>
                </c:pt>
                <c:pt idx="2042">
                  <c:v>2.6793566568867888E-2</c:v>
                </c:pt>
                <c:pt idx="2043">
                  <c:v>2.6792305277556494E-2</c:v>
                </c:pt>
                <c:pt idx="2044">
                  <c:v>2.6791031045796387E-2</c:v>
                </c:pt>
                <c:pt idx="2045">
                  <c:v>2.6789743873667504E-2</c:v>
                </c:pt>
                <c:pt idx="2046">
                  <c:v>2.6788443761329717E-2</c:v>
                </c:pt>
                <c:pt idx="2047">
                  <c:v>2.6787130708383344E-2</c:v>
                </c:pt>
                <c:pt idx="2048">
                  <c:v>2.6785804715308004E-2</c:v>
                </c:pt>
                <c:pt idx="2049">
                  <c:v>2.6784465781704014E-2</c:v>
                </c:pt>
                <c:pt idx="2050">
                  <c:v>2.6783113907811185E-2</c:v>
                </c:pt>
                <c:pt idx="2051">
                  <c:v>2.6781749093469642E-2</c:v>
                </c:pt>
                <c:pt idx="2052">
                  <c:v>2.6779975317863247E-2</c:v>
                </c:pt>
                <c:pt idx="2053">
                  <c:v>2.6778580925581608E-2</c:v>
                </c:pt>
                <c:pt idx="2054">
                  <c:v>2.6777375432676109E-2</c:v>
                </c:pt>
                <c:pt idx="2055">
                  <c:v>2.6775957008338125E-2</c:v>
                </c:pt>
                <c:pt idx="2056">
                  <c:v>2.677432010652403E-2</c:v>
                </c:pt>
                <c:pt idx="2057">
                  <c:v>2.677308133847589E-2</c:v>
                </c:pt>
                <c:pt idx="2058">
                  <c:v>2.677162409295164E-2</c:v>
                </c:pt>
                <c:pt idx="2059">
                  <c:v>2.677015390713855E-2</c:v>
                </c:pt>
                <c:pt idx="2060">
                  <c:v>2.6768457849364324E-2</c:v>
                </c:pt>
                <c:pt idx="2061">
                  <c:v>2.6767174714326103E-2</c:v>
                </c:pt>
                <c:pt idx="2062">
                  <c:v>2.6765665707406683E-2</c:v>
                </c:pt>
                <c:pt idx="2063">
                  <c:v>2.676414376003855E-2</c:v>
                </c:pt>
                <c:pt idx="2064">
                  <c:v>2.6762608872461513E-2</c:v>
                </c:pt>
                <c:pt idx="2065">
                  <c:v>2.6761061044275891E-2</c:v>
                </c:pt>
                <c:pt idx="2066">
                  <c:v>2.6759500275881365E-2</c:v>
                </c:pt>
                <c:pt idx="2067">
                  <c:v>2.6757926567038126E-2</c:v>
                </c:pt>
                <c:pt idx="2068">
                  <c:v>2.6757644439650008E-2</c:v>
                </c:pt>
                <c:pt idx="2069">
                  <c:v>2.6754740328485127E-2</c:v>
                </c:pt>
                <c:pt idx="2070">
                  <c:v>2.6753127798615495E-2</c:v>
                </c:pt>
                <c:pt idx="2071">
                  <c:v>2.6751269062010863E-2</c:v>
                </c:pt>
                <c:pt idx="2072">
                  <c:v>2.67498639177699E-2</c:v>
                </c:pt>
                <c:pt idx="2073">
                  <c:v>2.6748212566793939E-2</c:v>
                </c:pt>
                <c:pt idx="2074">
                  <c:v>2.6746309463279161E-2</c:v>
                </c:pt>
                <c:pt idx="2075">
                  <c:v>2.6744871043815621E-2</c:v>
                </c:pt>
                <c:pt idx="2076">
                  <c:v>2.6743180871813266E-2</c:v>
                </c:pt>
                <c:pt idx="2077">
                  <c:v>2.6741477759362198E-2</c:v>
                </c:pt>
                <c:pt idx="2078">
                  <c:v>2.6739761706542353E-2</c:v>
                </c:pt>
                <c:pt idx="2079">
                  <c:v>2.6738032713433668E-2</c:v>
                </c:pt>
                <c:pt idx="2080">
                  <c:v>2.6736290779956207E-2</c:v>
                </c:pt>
                <c:pt idx="2081">
                  <c:v>2.6734535906109969E-2</c:v>
                </c:pt>
                <c:pt idx="2082">
                  <c:v>2.6732768091815018E-2</c:v>
                </c:pt>
                <c:pt idx="2083">
                  <c:v>2.6730987337311163E-2</c:v>
                </c:pt>
                <c:pt idx="2084">
                  <c:v>2.6729193642358595E-2</c:v>
                </c:pt>
                <c:pt idx="2085">
                  <c:v>2.6727387006877379E-2</c:v>
                </c:pt>
                <c:pt idx="2086">
                  <c:v>2.6725567431267194E-2</c:v>
                </c:pt>
                <c:pt idx="2087">
                  <c:v>2.6723472070901977E-2</c:v>
                </c:pt>
                <c:pt idx="2088">
                  <c:v>2.6721624765873031E-2</c:v>
                </c:pt>
                <c:pt idx="2089">
                  <c:v>2.6720031062064109E-2</c:v>
                </c:pt>
                <c:pt idx="2090">
                  <c:v>2.6718159724978818E-2</c:v>
                </c:pt>
                <c:pt idx="2091">
                  <c:v>2.6716275447524751E-2</c:v>
                </c:pt>
                <c:pt idx="2092">
                  <c:v>2.6714378229701907E-2</c:v>
                </c:pt>
                <c:pt idx="2093">
                  <c:v>2.6712468071510287E-2</c:v>
                </c:pt>
                <c:pt idx="2094">
                  <c:v>2.6710269188114921E-2</c:v>
                </c:pt>
                <c:pt idx="2095">
                  <c:v>2.6708608934100653E-2</c:v>
                </c:pt>
                <c:pt idx="2096">
                  <c:v>2.6706659954642831E-2</c:v>
                </c:pt>
                <c:pt idx="2097">
                  <c:v>2.670469803505604E-2</c:v>
                </c:pt>
                <c:pt idx="2098">
                  <c:v>2.6702439995860416E-2</c:v>
                </c:pt>
                <c:pt idx="2099">
                  <c:v>2.670073537477613E-2</c:v>
                </c:pt>
                <c:pt idx="2100">
                  <c:v>2.6698734633923138E-2</c:v>
                </c:pt>
                <c:pt idx="2101">
                  <c:v>2.6696720952941178E-2</c:v>
                </c:pt>
                <c:pt idx="2102">
                  <c:v>2.6694694331590441E-2</c:v>
                </c:pt>
                <c:pt idx="2103">
                  <c:v>2.6692654769711055E-2</c:v>
                </c:pt>
                <c:pt idx="2104">
                  <c:v>2.6691697348555365E-2</c:v>
                </c:pt>
                <c:pt idx="2105">
                  <c:v>2.6689626053100213E-2</c:v>
                </c:pt>
                <c:pt idx="2106">
                  <c:v>2.6686160474049814E-2</c:v>
                </c:pt>
                <c:pt idx="2107">
                  <c:v>2.6684067302253922E-2</c:v>
                </c:pt>
                <c:pt idx="2108">
                  <c:v>2.6681961189929382E-2</c:v>
                </c:pt>
                <c:pt idx="2109">
                  <c:v>2.6679842137395937E-2</c:v>
                </c:pt>
                <c:pt idx="2110">
                  <c:v>2.6677710144573652E-2</c:v>
                </c:pt>
                <c:pt idx="2111">
                  <c:v>2.6675565211302654E-2</c:v>
                </c:pt>
                <c:pt idx="2112">
                  <c:v>2.6673407337582944E-2</c:v>
                </c:pt>
                <c:pt idx="2113">
                  <c:v>2.6671236523734265E-2</c:v>
                </c:pt>
                <c:pt idx="2114">
                  <c:v>2.6669052769277002E-2</c:v>
                </c:pt>
                <c:pt idx="2115">
                  <c:v>2.666685607469077E-2</c:v>
                </c:pt>
                <c:pt idx="2116">
                  <c:v>2.6664646439495954E-2</c:v>
                </c:pt>
                <c:pt idx="2117">
                  <c:v>2.6662423864252105E-2</c:v>
                </c:pt>
                <c:pt idx="2118">
                  <c:v>2.6663495789216896E-2</c:v>
                </c:pt>
                <c:pt idx="2119">
                  <c:v>2.6656649250345055E-2</c:v>
                </c:pt>
                <c:pt idx="2120">
                  <c:v>2.665438045934998E-2</c:v>
                </c:pt>
                <c:pt idx="2121">
                  <c:v>2.6652098728066065E-2</c:v>
                </c:pt>
                <c:pt idx="2122">
                  <c:v>2.6649475189879368E-2</c:v>
                </c:pt>
                <c:pt idx="2123">
                  <c:v>2.6647496444391905E-2</c:v>
                </c:pt>
                <c:pt idx="2124">
                  <c:v>2.664517589200166E-2</c:v>
                </c:pt>
                <c:pt idx="2125">
                  <c:v>2.6642507986904818E-2</c:v>
                </c:pt>
                <c:pt idx="2126">
                  <c:v>2.6640495966274713E-2</c:v>
                </c:pt>
                <c:pt idx="2127">
                  <c:v>2.6638136592858075E-2</c:v>
                </c:pt>
                <c:pt idx="2128">
                  <c:v>2.663576427907266E-2</c:v>
                </c:pt>
                <c:pt idx="2129">
                  <c:v>2.6633379024918469E-2</c:v>
                </c:pt>
                <c:pt idx="2130">
                  <c:v>2.6630980830475437E-2</c:v>
                </c:pt>
                <c:pt idx="2131">
                  <c:v>2.6628569695663629E-2</c:v>
                </c:pt>
                <c:pt idx="2132">
                  <c:v>2.6626145620403108E-2</c:v>
                </c:pt>
                <c:pt idx="2133">
                  <c:v>2.6623708604933682E-2</c:v>
                </c:pt>
                <c:pt idx="2134">
                  <c:v>2.6621258649095481E-2</c:v>
                </c:pt>
                <c:pt idx="2135">
                  <c:v>2.6618795752888502E-2</c:v>
                </c:pt>
                <c:pt idx="2136">
                  <c:v>2.6616319916232811E-2</c:v>
                </c:pt>
                <c:pt idx="2137">
                  <c:v>2.6613831139368216E-2</c:v>
                </c:pt>
                <c:pt idx="2138">
                  <c:v>2.6611329422134844E-2</c:v>
                </c:pt>
                <c:pt idx="2139">
                  <c:v>2.6608454471377385E-2</c:v>
                </c:pt>
                <c:pt idx="2140">
                  <c:v>2.6606287166481835E-2</c:v>
                </c:pt>
                <c:pt idx="2141">
                  <c:v>2.6603746628222069E-2</c:v>
                </c:pt>
                <c:pt idx="2142">
                  <c:v>2.6601193149593527E-2</c:v>
                </c:pt>
                <c:pt idx="2143">
                  <c:v>2.6598626730436337E-2</c:v>
                </c:pt>
                <c:pt idx="2144">
                  <c:v>2.6596047371150178E-2</c:v>
                </c:pt>
                <c:pt idx="2145">
                  <c:v>2.6593455071415306E-2</c:v>
                </c:pt>
                <c:pt idx="2146">
                  <c:v>2.6590849831391594E-2</c:v>
                </c:pt>
                <c:pt idx="2147">
                  <c:v>2.6588231650839234E-2</c:v>
                </c:pt>
                <c:pt idx="2148">
                  <c:v>2.6585600530237841E-2</c:v>
                </c:pt>
                <c:pt idx="2149">
                  <c:v>2.6582956469107799E-2</c:v>
                </c:pt>
                <c:pt idx="2150">
                  <c:v>2.6580299467608981E-2</c:v>
                </c:pt>
                <c:pt idx="2151">
                  <c:v>2.6577629525821322E-2</c:v>
                </c:pt>
                <c:pt idx="2152">
                  <c:v>2.6574562318453232E-2</c:v>
                </c:pt>
                <c:pt idx="2153">
                  <c:v>2.6572250821219612E-2</c:v>
                </c:pt>
                <c:pt idx="2154">
                  <c:v>2.656954205840556E-2</c:v>
                </c:pt>
                <c:pt idx="2155">
                  <c:v>2.6566820355222731E-2</c:v>
                </c:pt>
                <c:pt idx="2156">
                  <c:v>2.6563302008169032E-2</c:v>
                </c:pt>
                <c:pt idx="2157">
                  <c:v>2.6560944559532729E-2</c:v>
                </c:pt>
                <c:pt idx="2158">
                  <c:v>2.6558577603621458E-2</c:v>
                </c:pt>
                <c:pt idx="2159">
                  <c:v>2.6555804139123396E-2</c:v>
                </c:pt>
                <c:pt idx="2160">
                  <c:v>2.6553017734256557E-2</c:v>
                </c:pt>
                <c:pt idx="2161">
                  <c:v>2.6550218388941005E-2</c:v>
                </c:pt>
                <c:pt idx="2162">
                  <c:v>2.6547406103496485E-2</c:v>
                </c:pt>
                <c:pt idx="2163">
                  <c:v>2.6544580877523316E-2</c:v>
                </c:pt>
                <c:pt idx="2164">
                  <c:v>2.6541742711341243E-2</c:v>
                </c:pt>
                <c:pt idx="2165">
                  <c:v>2.6538891604710457E-2</c:v>
                </c:pt>
                <c:pt idx="2166">
                  <c:v>2.6536027557710895E-2</c:v>
                </c:pt>
                <c:pt idx="2167">
                  <c:v>2.6533150570502428E-2</c:v>
                </c:pt>
                <c:pt idx="2168">
                  <c:v>2.6530260642765313E-2</c:v>
                </c:pt>
                <c:pt idx="2169">
                  <c:v>2.6527357774819293E-2</c:v>
                </c:pt>
                <c:pt idx="2170">
                  <c:v>2.6524441966584433E-2</c:v>
                </c:pt>
                <c:pt idx="2171">
                  <c:v>2.6521513217900861E-2</c:v>
                </c:pt>
                <c:pt idx="2172">
                  <c:v>2.6517728669546159E-2</c:v>
                </c:pt>
                <c:pt idx="2173">
                  <c:v>2.6515616899667194E-2</c:v>
                </c:pt>
                <c:pt idx="2174">
                  <c:v>2.651222433503797E-2</c:v>
                </c:pt>
                <c:pt idx="2175">
                  <c:v>2.6509668819958421E-2</c:v>
                </c:pt>
                <c:pt idx="2176">
                  <c:v>2.6506675369590837E-2</c:v>
                </c:pt>
                <c:pt idx="2177">
                  <c:v>2.650366897901435E-2</c:v>
                </c:pt>
                <c:pt idx="2178">
                  <c:v>2.6500217258664804E-2</c:v>
                </c:pt>
                <c:pt idx="2179">
                  <c:v>2.6497617376515237E-2</c:v>
                </c:pt>
                <c:pt idx="2180">
                  <c:v>2.6494572164912356E-2</c:v>
                </c:pt>
                <c:pt idx="2181">
                  <c:v>2.6491514013020634E-2</c:v>
                </c:pt>
                <c:pt idx="2182">
                  <c:v>2.6488442920600264E-2</c:v>
                </c:pt>
                <c:pt idx="2183">
                  <c:v>2.6485358887811117E-2</c:v>
                </c:pt>
                <c:pt idx="2184">
                  <c:v>2.6482261914893002E-2</c:v>
                </c:pt>
                <c:pt idx="2185">
                  <c:v>2.6479152001526174E-2</c:v>
                </c:pt>
                <c:pt idx="2186">
                  <c:v>2.647602914779057E-2</c:v>
                </c:pt>
                <c:pt idx="2187">
                  <c:v>2.6472893353766125E-2</c:v>
                </c:pt>
                <c:pt idx="2188">
                  <c:v>2.646974461945284E-2</c:v>
                </c:pt>
                <c:pt idx="2189">
                  <c:v>2.6466582944690842E-2</c:v>
                </c:pt>
                <c:pt idx="2190">
                  <c:v>2.6463408329640004E-2</c:v>
                </c:pt>
                <c:pt idx="2191">
                  <c:v>2.6459764352919635E-2</c:v>
                </c:pt>
                <c:pt idx="2192">
                  <c:v>2.6457020278671806E-2</c:v>
                </c:pt>
                <c:pt idx="2193">
                  <c:v>2.6453806842594574E-2</c:v>
                </c:pt>
                <c:pt idx="2194">
                  <c:v>2.6450580466228502E-2</c:v>
                </c:pt>
                <c:pt idx="2195">
                  <c:v>2.6447341149573589E-2</c:v>
                </c:pt>
                <c:pt idx="2196">
                  <c:v>2.64440888925499E-2</c:v>
                </c:pt>
                <c:pt idx="2197">
                  <c:v>2.6440823695157434E-2</c:v>
                </c:pt>
                <c:pt idx="2198">
                  <c:v>2.6437545557476128E-2</c:v>
                </c:pt>
                <c:pt idx="2199">
                  <c:v>2.6434254479505981E-2</c:v>
                </c:pt>
                <c:pt idx="2200">
                  <c:v>2.6430950461167058E-2</c:v>
                </c:pt>
                <c:pt idx="2201">
                  <c:v>2.6427633502459358E-2</c:v>
                </c:pt>
                <c:pt idx="2202">
                  <c:v>2.6423826847228327E-2</c:v>
                </c:pt>
                <c:pt idx="2203">
                  <c:v>2.6420960764177437E-2</c:v>
                </c:pt>
                <c:pt idx="2204">
                  <c:v>2.6417124531006309E-2</c:v>
                </c:pt>
                <c:pt idx="2205">
                  <c:v>2.6414236264500346E-2</c:v>
                </c:pt>
                <c:pt idx="2206">
                  <c:v>2.6410854604188572E-2</c:v>
                </c:pt>
                <c:pt idx="2207">
                  <c:v>2.6407460003587957E-2</c:v>
                </c:pt>
                <c:pt idx="2208">
                  <c:v>2.6403076502585776E-2</c:v>
                </c:pt>
                <c:pt idx="2209">
                  <c:v>2.6399162099304263E-2</c:v>
                </c:pt>
                <c:pt idx="2210">
                  <c:v>2.6396707014528786E-2</c:v>
                </c:pt>
                <c:pt idx="2211">
                  <c:v>2.6393258804011666E-2</c:v>
                </c:pt>
                <c:pt idx="2212">
                  <c:v>2.6389797653045832E-2</c:v>
                </c:pt>
                <c:pt idx="2213">
                  <c:v>2.6386323561791158E-2</c:v>
                </c:pt>
                <c:pt idx="2214">
                  <c:v>2.638283653032758E-2</c:v>
                </c:pt>
                <c:pt idx="2215">
                  <c:v>2.6379336558495226E-2</c:v>
                </c:pt>
                <c:pt idx="2216">
                  <c:v>2.6375823646214158E-2</c:v>
                </c:pt>
                <c:pt idx="2217">
                  <c:v>2.6372297793724186E-2</c:v>
                </c:pt>
                <c:pt idx="2218">
                  <c:v>2.6368759000865438E-2</c:v>
                </c:pt>
                <c:pt idx="2219">
                  <c:v>2.636520726771785E-2</c:v>
                </c:pt>
                <c:pt idx="2220">
                  <c:v>2.6361642594201484E-2</c:v>
                </c:pt>
                <c:pt idx="2221">
                  <c:v>2.6358064980396279E-2</c:v>
                </c:pt>
                <c:pt idx="2222">
                  <c:v>2.6354474426302232E-2</c:v>
                </c:pt>
                <c:pt idx="2223">
                  <c:v>2.6349838985231244E-2</c:v>
                </c:pt>
                <c:pt idx="2224">
                  <c:v>2.634725449700781E-2</c:v>
                </c:pt>
                <c:pt idx="2225">
                  <c:v>2.6343625121967307E-2</c:v>
                </c:pt>
                <c:pt idx="2226">
                  <c:v>2.6339461419464527E-2</c:v>
                </c:pt>
                <c:pt idx="2227">
                  <c:v>2.6336327550859906E-2</c:v>
                </c:pt>
                <c:pt idx="2228">
                  <c:v>2.6332659354793009E-2</c:v>
                </c:pt>
                <c:pt idx="2229">
                  <c:v>2.6328978218437271E-2</c:v>
                </c:pt>
                <c:pt idx="2230">
                  <c:v>2.6324755360214169E-2</c:v>
                </c:pt>
                <c:pt idx="2231">
                  <c:v>2.6321577124699402E-2</c:v>
                </c:pt>
                <c:pt idx="2232">
                  <c:v>2.6317857167397207E-2</c:v>
                </c:pt>
                <c:pt idx="2233">
                  <c:v>2.6314124269806172E-2</c:v>
                </c:pt>
                <c:pt idx="2234">
                  <c:v>2.631037843184636E-2</c:v>
                </c:pt>
                <c:pt idx="2235">
                  <c:v>2.6306619653517771E-2</c:v>
                </c:pt>
                <c:pt idx="2236">
                  <c:v>2.6302847935060214E-2</c:v>
                </c:pt>
                <c:pt idx="2237">
                  <c:v>2.6299063276074008E-2</c:v>
                </c:pt>
                <c:pt idx="2238">
                  <c:v>2.6295265676878898E-2</c:v>
                </c:pt>
                <c:pt idx="2239">
                  <c:v>2.6291455137315012E-2</c:v>
                </c:pt>
                <c:pt idx="2240">
                  <c:v>2.6287631657542221E-2</c:v>
                </c:pt>
                <c:pt idx="2241">
                  <c:v>2.6283795237400653E-2</c:v>
                </c:pt>
                <c:pt idx="2242">
                  <c:v>2.6279945876890309E-2</c:v>
                </c:pt>
                <c:pt idx="2243">
                  <c:v>2.627553076237632E-2</c:v>
                </c:pt>
                <c:pt idx="2244">
                  <c:v>2.6272208334923164E-2</c:v>
                </c:pt>
                <c:pt idx="2245">
                  <c:v>2.6268320153546298E-2</c:v>
                </c:pt>
                <c:pt idx="2246">
                  <c:v>2.6264419031800657E-2</c:v>
                </c:pt>
                <c:pt idx="2247">
                  <c:v>2.626050496984611E-2</c:v>
                </c:pt>
                <c:pt idx="2248">
                  <c:v>2.6256577967442851E-2</c:v>
                </c:pt>
                <c:pt idx="2249">
                  <c:v>2.6252638024750752E-2</c:v>
                </c:pt>
                <c:pt idx="2250">
                  <c:v>2.6248685141769812E-2</c:v>
                </c:pt>
                <c:pt idx="2251">
                  <c:v>2.6244719318579968E-2</c:v>
                </c:pt>
                <c:pt idx="2252">
                  <c:v>2.6240740554941411E-2</c:v>
                </c:pt>
                <c:pt idx="2253">
                  <c:v>2.6236748851014013E-2</c:v>
                </c:pt>
                <c:pt idx="2254">
                  <c:v>2.6232171058468978E-2</c:v>
                </c:pt>
                <c:pt idx="2255">
                  <c:v>2.6228726622372633E-2</c:v>
                </c:pt>
                <c:pt idx="2256">
                  <c:v>2.6224696097418843E-2</c:v>
                </c:pt>
                <c:pt idx="2257">
                  <c:v>2.6220652632416019E-2</c:v>
                </c:pt>
                <c:pt idx="2258">
                  <c:v>2.6216596226964484E-2</c:v>
                </c:pt>
                <c:pt idx="2259">
                  <c:v>2.6212526881144171E-2</c:v>
                </c:pt>
                <c:pt idx="2260">
                  <c:v>2.6207275850893552E-2</c:v>
                </c:pt>
                <c:pt idx="2261">
                  <c:v>2.6203763280019388E-2</c:v>
                </c:pt>
                <c:pt idx="2262">
                  <c:v>2.620024120219E-2</c:v>
                </c:pt>
                <c:pt idx="2263">
                  <c:v>2.6196120095214326E-2</c:v>
                </c:pt>
                <c:pt idx="2264">
                  <c:v>2.6191986047789939E-2</c:v>
                </c:pt>
                <c:pt idx="2265">
                  <c:v>2.6187839060396456E-2</c:v>
                </c:pt>
                <c:pt idx="2266">
                  <c:v>2.6183679132474325E-2</c:v>
                </c:pt>
                <c:pt idx="2267">
                  <c:v>2.6179506264263352E-2</c:v>
                </c:pt>
                <c:pt idx="2268">
                  <c:v>2.617532045576354E-2</c:v>
                </c:pt>
                <c:pt idx="2269">
                  <c:v>2.6171121707054823E-2</c:v>
                </c:pt>
                <c:pt idx="2270">
                  <c:v>2.616691001797733E-2</c:v>
                </c:pt>
                <c:pt idx="2271">
                  <c:v>2.616268538853106E-2</c:v>
                </c:pt>
                <c:pt idx="2272">
                  <c:v>2.6158447818875885E-2</c:v>
                </c:pt>
                <c:pt idx="2273">
                  <c:v>2.6154197308851934E-2</c:v>
                </c:pt>
                <c:pt idx="2274">
                  <c:v>2.6148713353082442E-2</c:v>
                </c:pt>
                <c:pt idx="2275">
                  <c:v>2.6145657468017447E-2</c:v>
                </c:pt>
                <c:pt idx="2276">
                  <c:v>2.6141368137126975E-2</c:v>
                </c:pt>
                <c:pt idx="2277">
                  <c:v>2.6137065866027598E-2</c:v>
                </c:pt>
                <c:pt idx="2278">
                  <c:v>2.6132133139320501E-2</c:v>
                </c:pt>
                <c:pt idx="2279">
                  <c:v>2.6128422502722515E-2</c:v>
                </c:pt>
                <c:pt idx="2280">
                  <c:v>2.6124081410676681E-2</c:v>
                </c:pt>
                <c:pt idx="2281">
                  <c:v>2.6119727378342006E-2</c:v>
                </c:pt>
                <c:pt idx="2282">
                  <c:v>2.6114735495994523E-2</c:v>
                </c:pt>
                <c:pt idx="2283">
                  <c:v>2.6110980492646263E-2</c:v>
                </c:pt>
                <c:pt idx="2284">
                  <c:v>2.6106587639445067E-2</c:v>
                </c:pt>
                <c:pt idx="2285">
                  <c:v>2.6102181845795158E-2</c:v>
                </c:pt>
                <c:pt idx="2286">
                  <c:v>2.6097763111936345E-2</c:v>
                </c:pt>
                <c:pt idx="2287">
                  <c:v>2.6093331437868628E-2</c:v>
                </c:pt>
                <c:pt idx="2288">
                  <c:v>2.6088886823432134E-2</c:v>
                </c:pt>
                <c:pt idx="2289">
                  <c:v>2.6084429268706799E-2</c:v>
                </c:pt>
                <c:pt idx="2290">
                  <c:v>2.6079958773692624E-2</c:v>
                </c:pt>
                <c:pt idx="2291">
                  <c:v>2.6075475338389609E-2</c:v>
                </c:pt>
                <c:pt idx="2292">
                  <c:v>2.6070978962797753E-2</c:v>
                </c:pt>
                <c:pt idx="2293">
                  <c:v>2.606646964683712E-2</c:v>
                </c:pt>
                <c:pt idx="2294">
                  <c:v>2.606194739074752E-2</c:v>
                </c:pt>
                <c:pt idx="2295">
                  <c:v>2.6056763252748638E-2</c:v>
                </c:pt>
                <c:pt idx="2296">
                  <c:v>2.6052864057461989E-2</c:v>
                </c:pt>
                <c:pt idx="2297">
                  <c:v>2.604830298042593E-2</c:v>
                </c:pt>
                <c:pt idx="2298">
                  <c:v>2.6043728963101032E-2</c:v>
                </c:pt>
                <c:pt idx="2299">
                  <c:v>2.6039142005567228E-2</c:v>
                </c:pt>
                <c:pt idx="2300">
                  <c:v>2.6034542107504777E-2</c:v>
                </c:pt>
                <c:pt idx="2301">
                  <c:v>2.6029929269393293E-2</c:v>
                </c:pt>
                <c:pt idx="2302">
                  <c:v>2.6025303490913032E-2</c:v>
                </c:pt>
                <c:pt idx="2303">
                  <c:v>2.6020664772063995E-2</c:v>
                </c:pt>
                <c:pt idx="2304">
                  <c:v>2.601601311308599E-2</c:v>
                </c:pt>
                <c:pt idx="2305">
                  <c:v>2.6011348513739208E-2</c:v>
                </c:pt>
                <c:pt idx="2306">
                  <c:v>2.6006001697789216E-2</c:v>
                </c:pt>
                <c:pt idx="2307">
                  <c:v>2.6001980494099186E-2</c:v>
                </c:pt>
                <c:pt idx="2308">
                  <c:v>2.5997277074045755E-2</c:v>
                </c:pt>
                <c:pt idx="2309">
                  <c:v>2.5992560713463675E-2</c:v>
                </c:pt>
                <c:pt idx="2310">
                  <c:v>2.5987831412752627E-2</c:v>
                </c:pt>
                <c:pt idx="2311">
                  <c:v>2.5983089171752738E-2</c:v>
                </c:pt>
                <c:pt idx="2312">
                  <c:v>2.5976972990351399E-2</c:v>
                </c:pt>
                <c:pt idx="2313">
                  <c:v>2.597288365228323E-2</c:v>
                </c:pt>
                <c:pt idx="2314">
                  <c:v>2.5968784806860157E-2</c:v>
                </c:pt>
                <c:pt idx="2315">
                  <c:v>2.5963990804784842E-2</c:v>
                </c:pt>
                <c:pt idx="2316">
                  <c:v>2.5959183862340751E-2</c:v>
                </c:pt>
                <c:pt idx="2317">
                  <c:v>2.595436397960782E-2</c:v>
                </c:pt>
                <c:pt idx="2318">
                  <c:v>2.5949531156586048E-2</c:v>
                </c:pt>
                <c:pt idx="2319">
                  <c:v>2.5944685393355371E-2</c:v>
                </c:pt>
                <c:pt idx="2320">
                  <c:v>2.5939826689835854E-2</c:v>
                </c:pt>
                <c:pt idx="2321">
                  <c:v>2.5934955045947561E-2</c:v>
                </c:pt>
                <c:pt idx="2322">
                  <c:v>2.5930070461850363E-2</c:v>
                </c:pt>
                <c:pt idx="2323">
                  <c:v>2.5925172937544261E-2</c:v>
                </c:pt>
                <c:pt idx="2324">
                  <c:v>2.5920262472869382E-2</c:v>
                </c:pt>
                <c:pt idx="2325">
                  <c:v>2.5915339067905663E-2</c:v>
                </c:pt>
                <c:pt idx="2326">
                  <c:v>2.5910402722733039E-2</c:v>
                </c:pt>
                <c:pt idx="2327">
                  <c:v>2.5905453437271575E-2</c:v>
                </c:pt>
                <c:pt idx="2328">
                  <c:v>2.590049121152127E-2</c:v>
                </c:pt>
                <c:pt idx="2329">
                  <c:v>2.5894092192686458E-2</c:v>
                </c:pt>
                <c:pt idx="2330">
                  <c:v>2.5890527939234076E-2</c:v>
                </c:pt>
                <c:pt idx="2331">
                  <c:v>2.5884811401111207E-2</c:v>
                </c:pt>
                <c:pt idx="2332">
                  <c:v>2.5880512905711583E-2</c:v>
                </c:pt>
                <c:pt idx="2333">
                  <c:v>2.5875485978676949E-2</c:v>
                </c:pt>
                <c:pt idx="2334">
                  <c:v>2.5869725073883743E-2</c:v>
                </c:pt>
                <c:pt idx="2335">
                  <c:v>2.5865393303741158E-2</c:v>
                </c:pt>
                <c:pt idx="2336">
                  <c:v>2.5860327555760065E-2</c:v>
                </c:pt>
                <c:pt idx="2337">
                  <c:v>2.5855248867570069E-2</c:v>
                </c:pt>
                <c:pt idx="2338">
                  <c:v>2.5850157239171168E-2</c:v>
                </c:pt>
                <c:pt idx="2339">
                  <c:v>2.5845052670483426E-2</c:v>
                </c:pt>
                <c:pt idx="2340">
                  <c:v>2.5839935161426908E-2</c:v>
                </c:pt>
                <c:pt idx="2341">
                  <c:v>2.5834804712241421E-2</c:v>
                </c:pt>
                <c:pt idx="2342">
                  <c:v>2.5829661322687159E-2</c:v>
                </c:pt>
                <c:pt idx="2343">
                  <c:v>2.5824504992923991E-2</c:v>
                </c:pt>
                <c:pt idx="2344">
                  <c:v>2.5819335722871983E-2</c:v>
                </c:pt>
                <c:pt idx="2345">
                  <c:v>2.5814153512531135E-2</c:v>
                </c:pt>
                <c:pt idx="2346">
                  <c:v>2.5808958362061318E-2</c:v>
                </c:pt>
                <c:pt idx="2347">
                  <c:v>2.5803005201936458E-2</c:v>
                </c:pt>
                <c:pt idx="2348">
                  <c:v>2.5798529240175228E-2</c:v>
                </c:pt>
                <c:pt idx="2349">
                  <c:v>2.5793295268758953E-2</c:v>
                </c:pt>
                <c:pt idx="2350">
                  <c:v>2.5788048357053839E-2</c:v>
                </c:pt>
                <c:pt idx="2351">
                  <c:v>2.5782788505219756E-2</c:v>
                </c:pt>
                <c:pt idx="2352">
                  <c:v>2.5777515713176768E-2</c:v>
                </c:pt>
                <c:pt idx="2353">
                  <c:v>2.5772229980765005E-2</c:v>
                </c:pt>
                <c:pt idx="2354">
                  <c:v>2.57669313080644E-2</c:v>
                </c:pt>
                <c:pt idx="2355">
                  <c:v>2.5761619695234828E-2</c:v>
                </c:pt>
                <c:pt idx="2356">
                  <c:v>2.5756295142116414E-2</c:v>
                </c:pt>
                <c:pt idx="2357">
                  <c:v>2.5750957648629225E-2</c:v>
                </c:pt>
                <c:pt idx="2358">
                  <c:v>2.5745607214933131E-2</c:v>
                </c:pt>
                <c:pt idx="2359">
                  <c:v>2.5740243841028132E-2</c:v>
                </c:pt>
                <c:pt idx="2360">
                  <c:v>2.5734867526834293E-2</c:v>
                </c:pt>
                <c:pt idx="2361">
                  <c:v>2.5729478272351614E-2</c:v>
                </c:pt>
                <c:pt idx="2362">
                  <c:v>2.572407607766003E-2</c:v>
                </c:pt>
                <c:pt idx="2363">
                  <c:v>2.5718660942679605E-2</c:v>
                </c:pt>
                <c:pt idx="2364">
                  <c:v>2.5714292800911309E-2</c:v>
                </c:pt>
                <c:pt idx="2365">
                  <c:v>2.5706512208367727E-2</c:v>
                </c:pt>
                <c:pt idx="2366">
                  <c:v>2.5700777246555617E-2</c:v>
                </c:pt>
                <c:pt idx="2367">
                  <c:v>2.5695306653377159E-2</c:v>
                </c:pt>
                <c:pt idx="2368">
                  <c:v>2.568982311990986E-2</c:v>
                </c:pt>
                <c:pt idx="2369">
                  <c:v>2.5684326646313593E-2</c:v>
                </c:pt>
                <c:pt idx="2370">
                  <c:v>2.567881723234855E-2</c:v>
                </c:pt>
                <c:pt idx="2371">
                  <c:v>2.5673294878174602E-2</c:v>
                </c:pt>
                <c:pt idx="2372">
                  <c:v>2.5667759583711813E-2</c:v>
                </c:pt>
                <c:pt idx="2373">
                  <c:v>2.5662211349199993E-2</c:v>
                </c:pt>
                <c:pt idx="2374">
                  <c:v>2.5656650174239459E-2</c:v>
                </c:pt>
                <c:pt idx="2375">
                  <c:v>2.5651076058910149E-2</c:v>
                </c:pt>
                <c:pt idx="2376">
                  <c:v>2.5645489003691679E-2</c:v>
                </c:pt>
                <c:pt idx="2377">
                  <c:v>2.5639889008024497E-2</c:v>
                </c:pt>
                <c:pt idx="2378">
                  <c:v>2.5636320182725214E-2</c:v>
                </c:pt>
                <c:pt idx="2379">
                  <c:v>2.5625429599713812E-2</c:v>
                </c:pt>
                <c:pt idx="2380">
                  <c:v>2.5619783388854955E-2</c:v>
                </c:pt>
                <c:pt idx="2381">
                  <c:v>2.5614124237867131E-2</c:v>
                </c:pt>
                <c:pt idx="2382">
                  <c:v>2.5607640791447395E-2</c:v>
                </c:pt>
                <c:pt idx="2383">
                  <c:v>2.5602767115104896E-2</c:v>
                </c:pt>
                <c:pt idx="2384">
                  <c:v>2.559706914325055E-2</c:v>
                </c:pt>
                <c:pt idx="2385">
                  <c:v>2.5590541330320349E-2</c:v>
                </c:pt>
                <c:pt idx="2386">
                  <c:v>2.5585634379075017E-2</c:v>
                </c:pt>
                <c:pt idx="2387">
                  <c:v>2.5579897586593958E-2</c:v>
                </c:pt>
                <c:pt idx="2388">
                  <c:v>2.5574147853744122E-2</c:v>
                </c:pt>
                <c:pt idx="2389">
                  <c:v>2.5568385180845254E-2</c:v>
                </c:pt>
                <c:pt idx="2390">
                  <c:v>2.5562609567737482E-2</c:v>
                </c:pt>
                <c:pt idx="2391">
                  <c:v>2.5556821014180997E-2</c:v>
                </c:pt>
                <c:pt idx="2392">
                  <c:v>2.555101952057548E-2</c:v>
                </c:pt>
                <c:pt idx="2393">
                  <c:v>2.5545205086681122E-2</c:v>
                </c:pt>
                <c:pt idx="2394">
                  <c:v>2.553937771257786E-2</c:v>
                </c:pt>
                <c:pt idx="2395">
                  <c:v>2.5533537398185757E-2</c:v>
                </c:pt>
                <c:pt idx="2396">
                  <c:v>2.552768414358475E-2</c:v>
                </c:pt>
                <c:pt idx="2397">
                  <c:v>2.5521817948774839E-2</c:v>
                </c:pt>
                <c:pt idx="2398">
                  <c:v>2.5515097880992599E-2</c:v>
                </c:pt>
                <c:pt idx="2399">
                  <c:v>2.551004673836843E-2</c:v>
                </c:pt>
                <c:pt idx="2400">
                  <c:v>2.550414172285187E-2</c:v>
                </c:pt>
                <c:pt idx="2401">
                  <c:v>2.5498223767126404E-2</c:v>
                </c:pt>
                <c:pt idx="2402">
                  <c:v>2.5492292871192035E-2</c:v>
                </c:pt>
                <c:pt idx="2403">
                  <c:v>2.5486349034888889E-2</c:v>
                </c:pt>
                <c:pt idx="2404">
                  <c:v>2.5480392258616646E-2</c:v>
                </c:pt>
                <c:pt idx="2405">
                  <c:v>2.5474422541975628E-2</c:v>
                </c:pt>
                <c:pt idx="2406">
                  <c:v>2.5468439884885896E-2</c:v>
                </c:pt>
                <c:pt idx="2407">
                  <c:v>2.5462444287907005E-2</c:v>
                </c:pt>
                <c:pt idx="2408">
                  <c:v>2.54564357504794E-2</c:v>
                </c:pt>
                <c:pt idx="2409">
                  <c:v>2.5450414272922828E-2</c:v>
                </c:pt>
                <c:pt idx="2410">
                  <c:v>2.5444379855077415E-2</c:v>
                </c:pt>
                <c:pt idx="2411">
                  <c:v>2.5438332497103033E-2</c:v>
                </c:pt>
                <c:pt idx="2412">
                  <c:v>2.5431405385658579E-2</c:v>
                </c:pt>
                <c:pt idx="2413">
                  <c:v>2.5426198960447621E-2</c:v>
                </c:pt>
                <c:pt idx="2414">
                  <c:v>2.5420112781766591E-2</c:v>
                </c:pt>
                <c:pt idx="2415">
                  <c:v>2.5414013662796719E-2</c:v>
                </c:pt>
                <c:pt idx="2416">
                  <c:v>2.540661201530181E-2</c:v>
                </c:pt>
                <c:pt idx="2417">
                  <c:v>2.5400900548122607E-2</c:v>
                </c:pt>
                <c:pt idx="2418">
                  <c:v>2.5395638664873488E-2</c:v>
                </c:pt>
                <c:pt idx="2419">
                  <c:v>2.5389487785067999E-2</c:v>
                </c:pt>
                <c:pt idx="2420">
                  <c:v>2.538332396497367E-2</c:v>
                </c:pt>
                <c:pt idx="2421">
                  <c:v>2.5377147204830308E-2</c:v>
                </c:pt>
                <c:pt idx="2422">
                  <c:v>2.5370957504398106E-2</c:v>
                </c:pt>
                <c:pt idx="2423">
                  <c:v>2.5364754863757E-2</c:v>
                </c:pt>
                <c:pt idx="2424">
                  <c:v>2.5358539282906989E-2</c:v>
                </c:pt>
                <c:pt idx="2425">
                  <c:v>2.535231076192801E-2</c:v>
                </c:pt>
                <c:pt idx="2426">
                  <c:v>2.534606930066019E-2</c:v>
                </c:pt>
                <c:pt idx="2427">
                  <c:v>2.5339814899023594E-2</c:v>
                </c:pt>
                <c:pt idx="2428">
                  <c:v>2.5333547557258029E-2</c:v>
                </c:pt>
                <c:pt idx="2429">
                  <c:v>2.5325470532449046E-2</c:v>
                </c:pt>
                <c:pt idx="2430">
                  <c:v>2.5320974053339995E-2</c:v>
                </c:pt>
                <c:pt idx="2431">
                  <c:v>2.5314667890947717E-2</c:v>
                </c:pt>
                <c:pt idx="2432">
                  <c:v>2.5308348788506407E-2</c:v>
                </c:pt>
                <c:pt idx="2433">
                  <c:v>2.5302016745776257E-2</c:v>
                </c:pt>
                <c:pt idx="2434">
                  <c:v>2.5294764280268112E-2</c:v>
                </c:pt>
                <c:pt idx="2435">
                  <c:v>2.5289313839449434E-2</c:v>
                </c:pt>
                <c:pt idx="2436">
                  <c:v>2.5282942976252443E-2</c:v>
                </c:pt>
                <c:pt idx="2437">
                  <c:v>2.5275646144313768E-2</c:v>
                </c:pt>
                <c:pt idx="2438">
                  <c:v>2.5270162428832066E-2</c:v>
                </c:pt>
                <c:pt idx="2439">
                  <c:v>2.5263752744848489E-2</c:v>
                </c:pt>
                <c:pt idx="2440">
                  <c:v>2.5257330120656007E-2</c:v>
                </c:pt>
                <c:pt idx="2441">
                  <c:v>2.5250894556254622E-2</c:v>
                </c:pt>
                <c:pt idx="2442">
                  <c:v>2.5244446051724267E-2</c:v>
                </c:pt>
                <c:pt idx="2443">
                  <c:v>2.5237984606825137E-2</c:v>
                </c:pt>
                <c:pt idx="2444">
                  <c:v>2.5231510221876974E-2</c:v>
                </c:pt>
                <c:pt idx="2445">
                  <c:v>2.522502289663997E-2</c:v>
                </c:pt>
                <c:pt idx="2446">
                  <c:v>2.5218522631114126E-2</c:v>
                </c:pt>
                <c:pt idx="2447">
                  <c:v>2.5212009425619186E-2</c:v>
                </c:pt>
                <c:pt idx="2448">
                  <c:v>2.5205483279835406E-2</c:v>
                </c:pt>
                <c:pt idx="2449">
                  <c:v>2.5198944193842721E-2</c:v>
                </c:pt>
                <c:pt idx="2450">
                  <c:v>2.5192392167561195E-2</c:v>
                </c:pt>
                <c:pt idx="2451">
                  <c:v>2.5184888292599794E-2</c:v>
                </c:pt>
                <c:pt idx="2452">
                  <c:v>2.5179249294611239E-2</c:v>
                </c:pt>
                <c:pt idx="2453">
                  <c:v>2.5172658447862872E-2</c:v>
                </c:pt>
                <c:pt idx="2454">
                  <c:v>2.5166054660985537E-2</c:v>
                </c:pt>
                <c:pt idx="2455">
                  <c:v>2.5159437933739426E-2</c:v>
                </c:pt>
                <c:pt idx="2456">
                  <c:v>2.5152808266364346E-2</c:v>
                </c:pt>
                <c:pt idx="2457">
                  <c:v>2.5146165658860298E-2</c:v>
                </c:pt>
                <c:pt idx="2458">
                  <c:v>2.5139510111147345E-2</c:v>
                </c:pt>
                <c:pt idx="2459">
                  <c:v>2.5132841623225488E-2</c:v>
                </c:pt>
                <c:pt idx="2460">
                  <c:v>2.5126160195014791E-2</c:v>
                </c:pt>
                <c:pt idx="2461">
                  <c:v>2.5119465826755061E-2</c:v>
                </c:pt>
                <c:pt idx="2462">
                  <c:v>2.5112758518366363E-2</c:v>
                </c:pt>
                <c:pt idx="2463">
                  <c:v>2.5106038269608888E-2</c:v>
                </c:pt>
                <c:pt idx="2464">
                  <c:v>2.5098342140195129E-2</c:v>
                </c:pt>
                <c:pt idx="2465">
                  <c:v>2.5092558951627097E-2</c:v>
                </c:pt>
                <c:pt idx="2466">
                  <c:v>2.5085799882482718E-2</c:v>
                </c:pt>
                <c:pt idx="2467">
                  <c:v>2.5079027872969561E-2</c:v>
                </c:pt>
                <c:pt idx="2468">
                  <c:v>2.5070301989513766E-2</c:v>
                </c:pt>
                <c:pt idx="2469">
                  <c:v>2.5064472850022668E-2</c:v>
                </c:pt>
                <c:pt idx="2470">
                  <c:v>2.5058634203576347E-2</c:v>
                </c:pt>
                <c:pt idx="2471">
                  <c:v>2.5051810433387445E-2</c:v>
                </c:pt>
                <c:pt idx="2472">
                  <c:v>2.5044973723149511E-2</c:v>
                </c:pt>
                <c:pt idx="2473">
                  <c:v>2.5038124072622736E-2</c:v>
                </c:pt>
                <c:pt idx="2474">
                  <c:v>2.5031261481807121E-2</c:v>
                </c:pt>
                <c:pt idx="2475">
                  <c:v>2.5024385950942474E-2</c:v>
                </c:pt>
                <c:pt idx="2476">
                  <c:v>2.5017497480028794E-2</c:v>
                </c:pt>
                <c:pt idx="2477">
                  <c:v>2.5010596068746338E-2</c:v>
                </c:pt>
                <c:pt idx="2478">
                  <c:v>2.5003681717254977E-2</c:v>
                </c:pt>
                <c:pt idx="2479">
                  <c:v>2.4996754425714585E-2</c:v>
                </c:pt>
                <c:pt idx="2480">
                  <c:v>2.4989814194045223E-2</c:v>
                </c:pt>
                <c:pt idx="2481">
                  <c:v>2.4982861022007086E-2</c:v>
                </c:pt>
                <c:pt idx="2482">
                  <c:v>2.4975894909919916E-2</c:v>
                </c:pt>
                <c:pt idx="2483">
                  <c:v>2.4968915857703777E-2</c:v>
                </c:pt>
                <c:pt idx="2484">
                  <c:v>2.4959923776304294E-2</c:v>
                </c:pt>
                <c:pt idx="2485">
                  <c:v>2.4954918932484915E-2</c:v>
                </c:pt>
                <c:pt idx="2486">
                  <c:v>2.4946897450286443E-2</c:v>
                </c:pt>
                <c:pt idx="2487">
                  <c:v>2.4940870246910052E-2</c:v>
                </c:pt>
                <c:pt idx="2488">
                  <c:v>2.4933826493729327E-2</c:v>
                </c:pt>
                <c:pt idx="2489">
                  <c:v>2.4926769800419635E-2</c:v>
                </c:pt>
                <c:pt idx="2490">
                  <c:v>2.4918694658584428E-2</c:v>
                </c:pt>
                <c:pt idx="2491">
                  <c:v>2.4912647414119249E-2</c:v>
                </c:pt>
                <c:pt idx="2492">
                  <c:v>2.490560487500737E-2</c:v>
                </c:pt>
                <c:pt idx="2493">
                  <c:v>2.4898575883058882E-2</c:v>
                </c:pt>
                <c:pt idx="2494">
                  <c:v>2.4891560438673466E-2</c:v>
                </c:pt>
                <c:pt idx="2495">
                  <c:v>2.4884558541131696E-2</c:v>
                </c:pt>
                <c:pt idx="2496">
                  <c:v>2.4877570190833254E-2</c:v>
                </c:pt>
                <c:pt idx="2497">
                  <c:v>2.4870595387858074E-2</c:v>
                </c:pt>
                <c:pt idx="2498">
                  <c:v>2.486363413196635E-2</c:v>
                </c:pt>
                <c:pt idx="2499">
                  <c:v>2.4856686423397889E-2</c:v>
                </c:pt>
                <c:pt idx="2500">
                  <c:v>2.4849752261753011E-2</c:v>
                </c:pt>
                <c:pt idx="2501">
                  <c:v>2.4842831647671204E-2</c:v>
                </c:pt>
                <c:pt idx="2502">
                  <c:v>2.4835924580592916E-2</c:v>
                </c:pt>
                <c:pt idx="2503">
                  <c:v>2.4828047378102625E-2</c:v>
                </c:pt>
                <c:pt idx="2504">
                  <c:v>2.4822151088086386E-2</c:v>
                </c:pt>
                <c:pt idx="2505">
                  <c:v>2.4815284662578208E-2</c:v>
                </c:pt>
                <c:pt idx="2506">
                  <c:v>2.4808431784393292E-2</c:v>
                </c:pt>
                <c:pt idx="2507">
                  <c:v>2.4801592453211896E-2</c:v>
                </c:pt>
                <c:pt idx="2508">
                  <c:v>2.4794766669353763E-2</c:v>
                </c:pt>
                <c:pt idx="2509">
                  <c:v>2.4787954432579085E-2</c:v>
                </c:pt>
                <c:pt idx="2510">
                  <c:v>2.4781155743207606E-2</c:v>
                </c:pt>
                <c:pt idx="2511">
                  <c:v>2.477437060075971E-2</c:v>
                </c:pt>
                <c:pt idx="2512">
                  <c:v>2.4767599005635077E-2</c:v>
                </c:pt>
                <c:pt idx="2513">
                  <c:v>2.4760840957753771E-2</c:v>
                </c:pt>
                <c:pt idx="2514">
                  <c:v>2.4753134062711624E-2</c:v>
                </c:pt>
                <c:pt idx="2515">
                  <c:v>2.4747365503321461E-2</c:v>
                </c:pt>
                <c:pt idx="2516">
                  <c:v>2.4739689573349821E-2</c:v>
                </c:pt>
                <c:pt idx="2517">
                  <c:v>2.473394423786246E-2</c:v>
                </c:pt>
                <c:pt idx="2518">
                  <c:v>2.4727253925718173E-2</c:v>
                </c:pt>
                <c:pt idx="2519">
                  <c:v>2.472057716089715E-2</c:v>
                </c:pt>
                <c:pt idx="2520">
                  <c:v>2.4712012655072613E-2</c:v>
                </c:pt>
                <c:pt idx="2521">
                  <c:v>2.4704418561078967E-2</c:v>
                </c:pt>
                <c:pt idx="2522">
                  <c:v>2.4699681237825288E-2</c:v>
                </c:pt>
                <c:pt idx="2523">
                  <c:v>2.4693060596909788E-2</c:v>
                </c:pt>
                <c:pt idx="2524">
                  <c:v>2.4686453503317551E-2</c:v>
                </c:pt>
                <c:pt idx="2525">
                  <c:v>2.4679859956968642E-2</c:v>
                </c:pt>
                <c:pt idx="2526">
                  <c:v>2.4673279957623251E-2</c:v>
                </c:pt>
                <c:pt idx="2527">
                  <c:v>2.4666713505441251E-2</c:v>
                </c:pt>
                <c:pt idx="2528">
                  <c:v>2.4660160600662451E-2</c:v>
                </c:pt>
                <c:pt idx="2529">
                  <c:v>2.4653621242887169E-2</c:v>
                </c:pt>
                <c:pt idx="2530">
                  <c:v>2.4647095432275279E-2</c:v>
                </c:pt>
                <c:pt idx="2531">
                  <c:v>2.4640583168986652E-2</c:v>
                </c:pt>
                <c:pt idx="2532">
                  <c:v>2.463408445278148E-2</c:v>
                </c:pt>
                <c:pt idx="2533">
                  <c:v>2.4627599283659762E-2</c:v>
                </c:pt>
                <c:pt idx="2534">
                  <c:v>2.4619281115265679E-2</c:v>
                </c:pt>
                <c:pt idx="2535">
                  <c:v>2.4614669587146309E-2</c:v>
                </c:pt>
                <c:pt idx="2536">
                  <c:v>2.4608225059674638E-2</c:v>
                </c:pt>
                <c:pt idx="2537">
                  <c:v>2.4601794079286421E-2</c:v>
                </c:pt>
                <c:pt idx="2538">
                  <c:v>2.4594460975801979E-2</c:v>
                </c:pt>
                <c:pt idx="2539">
                  <c:v>2.4588972760080097E-2</c:v>
                </c:pt>
                <c:pt idx="2540">
                  <c:v>2.4582582421182053E-2</c:v>
                </c:pt>
                <c:pt idx="2541">
                  <c:v>2.4576205629367465E-2</c:v>
                </c:pt>
                <c:pt idx="2542">
                  <c:v>2.4568934455944103E-2</c:v>
                </c:pt>
                <c:pt idx="2543">
                  <c:v>2.4563492687708077E-2</c:v>
                </c:pt>
                <c:pt idx="2544">
                  <c:v>2.4557156537463598E-2</c:v>
                </c:pt>
                <c:pt idx="2545">
                  <c:v>2.4550833934462446E-2</c:v>
                </c:pt>
                <c:pt idx="2546">
                  <c:v>2.4544524878624685E-2</c:v>
                </c:pt>
                <c:pt idx="2547">
                  <c:v>2.4538229369870379E-2</c:v>
                </c:pt>
                <c:pt idx="2548">
                  <c:v>2.4531947408279464E-2</c:v>
                </c:pt>
                <c:pt idx="2549">
                  <c:v>2.4525678993931876E-2</c:v>
                </c:pt>
                <c:pt idx="2550">
                  <c:v>2.451942412674768E-2</c:v>
                </c:pt>
                <c:pt idx="2551">
                  <c:v>2.451318280680681E-2</c:v>
                </c:pt>
                <c:pt idx="2552">
                  <c:v>2.4506955033789524E-2</c:v>
                </c:pt>
                <c:pt idx="2553">
                  <c:v>2.45007408080955E-2</c:v>
                </c:pt>
                <c:pt idx="2554">
                  <c:v>2.4494540129484932E-2</c:v>
                </c:pt>
                <c:pt idx="2555">
                  <c:v>2.4487470228100605E-2</c:v>
                </c:pt>
                <c:pt idx="2556">
                  <c:v>2.4482179413753968E-2</c:v>
                </c:pt>
                <c:pt idx="2557">
                  <c:v>2.4476019376713509E-2</c:v>
                </c:pt>
                <c:pt idx="2558">
                  <c:v>2.4469872886756505E-2</c:v>
                </c:pt>
                <c:pt idx="2559">
                  <c:v>2.4463739943962892E-2</c:v>
                </c:pt>
                <c:pt idx="2560">
                  <c:v>2.445762054833267E-2</c:v>
                </c:pt>
                <c:pt idx="2561">
                  <c:v>2.4451514699865839E-2</c:v>
                </c:pt>
                <c:pt idx="2562">
                  <c:v>2.44454223985624E-2</c:v>
                </c:pt>
                <c:pt idx="2563">
                  <c:v>2.4439343644262479E-2</c:v>
                </c:pt>
                <c:pt idx="2564">
                  <c:v>2.4433278437285821E-2</c:v>
                </c:pt>
                <c:pt idx="2565">
                  <c:v>2.4427226777392619E-2</c:v>
                </c:pt>
                <c:pt idx="2566">
                  <c:v>2.442032718297682E-2</c:v>
                </c:pt>
                <c:pt idx="2567">
                  <c:v>2.4415164099016451E-2</c:v>
                </c:pt>
                <c:pt idx="2568">
                  <c:v>2.4409153080613422E-2</c:v>
                </c:pt>
                <c:pt idx="2569">
                  <c:v>2.4403155609293847E-2</c:v>
                </c:pt>
                <c:pt idx="2570">
                  <c:v>2.4397171685057728E-2</c:v>
                </c:pt>
                <c:pt idx="2571">
                  <c:v>2.4391201308144872E-2</c:v>
                </c:pt>
                <c:pt idx="2572">
                  <c:v>2.4383545015105312E-2</c:v>
                </c:pt>
                <c:pt idx="2573">
                  <c:v>2.4378453261046928E-2</c:v>
                </c:pt>
                <c:pt idx="2574">
                  <c:v>2.437337145998697E-2</c:v>
                </c:pt>
                <c:pt idx="2575">
                  <c:v>2.4367455271567806E-2</c:v>
                </c:pt>
                <c:pt idx="2576">
                  <c:v>2.4361552630391969E-2</c:v>
                </c:pt>
                <c:pt idx="2577">
                  <c:v>2.4355663536139716E-2</c:v>
                </c:pt>
                <c:pt idx="2578">
                  <c:v>2.4349787989210725E-2</c:v>
                </c:pt>
                <c:pt idx="2579">
                  <c:v>2.4343925989285253E-2</c:v>
                </c:pt>
                <c:pt idx="2580">
                  <c:v>2.4338077536603109E-2</c:v>
                </c:pt>
                <c:pt idx="2581">
                  <c:v>2.4332242630924483E-2</c:v>
                </c:pt>
                <c:pt idx="2582">
                  <c:v>2.4326421272569121E-2</c:v>
                </c:pt>
                <c:pt idx="2583">
                  <c:v>2.4320613461297214E-2</c:v>
                </c:pt>
                <c:pt idx="2584">
                  <c:v>2.4314819197028825E-2</c:v>
                </c:pt>
                <c:pt idx="2585">
                  <c:v>2.4309038479923828E-2</c:v>
                </c:pt>
                <c:pt idx="2586">
                  <c:v>2.430327131022203E-2</c:v>
                </c:pt>
                <c:pt idx="2587">
                  <c:v>2.4297517687443815E-2</c:v>
                </c:pt>
                <c:pt idx="2588">
                  <c:v>2.4291777611669119E-2</c:v>
                </c:pt>
                <c:pt idx="2589">
                  <c:v>2.4284417420572524E-2</c:v>
                </c:pt>
                <c:pt idx="2590">
                  <c:v>2.428033810200958E-2</c:v>
                </c:pt>
                <c:pt idx="2591">
                  <c:v>2.4273825568776886E-2</c:v>
                </c:pt>
                <c:pt idx="2592">
                  <c:v>2.4268952780603925E-2</c:v>
                </c:pt>
                <c:pt idx="2593">
                  <c:v>2.426328044072612E-2</c:v>
                </c:pt>
                <c:pt idx="2594">
                  <c:v>2.4256814354819412E-2</c:v>
                </c:pt>
                <c:pt idx="2595">
                  <c:v>2.425197640214094E-2</c:v>
                </c:pt>
                <c:pt idx="2596">
                  <c:v>2.42463447035135E-2</c:v>
                </c:pt>
                <c:pt idx="2597">
                  <c:v>2.4240726552049452E-2</c:v>
                </c:pt>
                <c:pt idx="2598">
                  <c:v>2.4235121947908667E-2</c:v>
                </c:pt>
                <c:pt idx="2599">
                  <c:v>2.4229530890691464E-2</c:v>
                </c:pt>
                <c:pt idx="2600">
                  <c:v>2.4223953380557717E-2</c:v>
                </c:pt>
                <c:pt idx="2601">
                  <c:v>2.4218389417747233E-2</c:v>
                </c:pt>
                <c:pt idx="2602">
                  <c:v>2.4212839001860331E-2</c:v>
                </c:pt>
                <c:pt idx="2603">
                  <c:v>2.4207302133216757E-2</c:v>
                </c:pt>
                <c:pt idx="2604">
                  <c:v>2.4201778811656638E-2</c:v>
                </c:pt>
                <c:pt idx="2605">
                  <c:v>2.419626903725991E-2</c:v>
                </c:pt>
                <c:pt idx="2606">
                  <c:v>2.4190772809866701E-2</c:v>
                </c:pt>
                <c:pt idx="2607">
                  <c:v>2.4184507995519411E-2</c:v>
                </c:pt>
                <c:pt idx="2608">
                  <c:v>2.4179820996570456E-2</c:v>
                </c:pt>
                <c:pt idx="2609">
                  <c:v>2.4174365410747356E-2</c:v>
                </c:pt>
                <c:pt idx="2610">
                  <c:v>2.4168923371847839E-2</c:v>
                </c:pt>
                <c:pt idx="2611">
                  <c:v>2.4163494880191649E-2</c:v>
                </c:pt>
                <c:pt idx="2612">
                  <c:v>2.4158079935618915E-2</c:v>
                </c:pt>
                <c:pt idx="2613">
                  <c:v>2.4152678538129635E-2</c:v>
                </c:pt>
                <c:pt idx="2614">
                  <c:v>2.4147290687803746E-2</c:v>
                </c:pt>
                <c:pt idx="2615">
                  <c:v>2.4141916384641249E-2</c:v>
                </c:pt>
                <c:pt idx="2616">
                  <c:v>2.4136555628562206E-2</c:v>
                </c:pt>
                <c:pt idx="2617">
                  <c:v>2.4131208419566619E-2</c:v>
                </c:pt>
                <c:pt idx="2618">
                  <c:v>2.4125874757654486E-2</c:v>
                </c:pt>
                <c:pt idx="2619">
                  <c:v>2.4120554642905745E-2</c:v>
                </c:pt>
                <c:pt idx="2620">
                  <c:v>2.4115248075240459E-2</c:v>
                </c:pt>
                <c:pt idx="2621">
                  <c:v>2.4109955054658627E-2</c:v>
                </c:pt>
                <c:pt idx="2622">
                  <c:v>2.4104675581320123E-2</c:v>
                </c:pt>
                <c:pt idx="2623">
                  <c:v>2.4099409654985138E-2</c:v>
                </c:pt>
                <c:pt idx="2624">
                  <c:v>2.409265908424274E-2</c:v>
                </c:pt>
                <c:pt idx="2625">
                  <c:v>2.4087424122898327E-2</c:v>
                </c:pt>
                <c:pt idx="2626">
                  <c:v>2.4082947795349696E-2</c:v>
                </c:pt>
                <c:pt idx="2627">
                  <c:v>2.4077737992760362E-2</c:v>
                </c:pt>
                <c:pt idx="2628">
                  <c:v>2.4071800521046072E-2</c:v>
                </c:pt>
                <c:pt idx="2629">
                  <c:v>2.406735902899193E-2</c:v>
                </c:pt>
                <c:pt idx="2630">
                  <c:v>2.4062189867812833E-2</c:v>
                </c:pt>
                <c:pt idx="2631">
                  <c:v>2.4057034253797127E-2</c:v>
                </c:pt>
                <c:pt idx="2632">
                  <c:v>2.4051158711504428E-2</c:v>
                </c:pt>
                <c:pt idx="2633">
                  <c:v>2.4046763666776272E-2</c:v>
                </c:pt>
                <c:pt idx="2634">
                  <c:v>2.4041648694010931E-2</c:v>
                </c:pt>
                <c:pt idx="2635">
                  <c:v>2.4036547268329045E-2</c:v>
                </c:pt>
                <c:pt idx="2636">
                  <c:v>2.4031459389650678E-2</c:v>
                </c:pt>
                <c:pt idx="2637">
                  <c:v>2.4026385058135702E-2</c:v>
                </c:pt>
                <c:pt idx="2638">
                  <c:v>2.4021324273784117E-2</c:v>
                </c:pt>
                <c:pt idx="2639">
                  <c:v>2.4016277036515987E-2</c:v>
                </c:pt>
                <c:pt idx="2640">
                  <c:v>2.4010691537705853E-2</c:v>
                </c:pt>
                <c:pt idx="2641">
                  <c:v>2.4006223203310029E-2</c:v>
                </c:pt>
                <c:pt idx="2642">
                  <c:v>2.40012166073722E-2</c:v>
                </c:pt>
                <c:pt idx="2643">
                  <c:v>2.3995511371728284E-2</c:v>
                </c:pt>
                <c:pt idx="2644">
                  <c:v>2.3991244056746908E-2</c:v>
                </c:pt>
                <c:pt idx="2645">
                  <c:v>2.3986278102059444E-2</c:v>
                </c:pt>
                <c:pt idx="2646">
                  <c:v>2.3980619313581641E-2</c:v>
                </c:pt>
                <c:pt idx="2647">
                  <c:v>2.3976386834014818E-2</c:v>
                </c:pt>
                <c:pt idx="2648">
                  <c:v>2.3971461520657655E-2</c:v>
                </c:pt>
                <c:pt idx="2649">
                  <c:v>2.3966549754383948E-2</c:v>
                </c:pt>
                <c:pt idx="2650">
                  <c:v>2.3961651535273631E-2</c:v>
                </c:pt>
                <c:pt idx="2651">
                  <c:v>2.3956766863086898E-2</c:v>
                </c:pt>
                <c:pt idx="2652">
                  <c:v>2.3951895738223428E-2</c:v>
                </c:pt>
                <c:pt idx="2653">
                  <c:v>2.3947038160203604E-2</c:v>
                </c:pt>
                <c:pt idx="2654">
                  <c:v>2.394219412958698E-2</c:v>
                </c:pt>
                <c:pt idx="2655">
                  <c:v>2.3937363645814003E-2</c:v>
                </c:pt>
                <c:pt idx="2656">
                  <c:v>2.3932546709284352E-2</c:v>
                </c:pt>
                <c:pt idx="2657">
                  <c:v>2.3927743319758221E-2</c:v>
                </c:pt>
                <c:pt idx="2658">
                  <c:v>2.3922953477315545E-2</c:v>
                </c:pt>
                <c:pt idx="2659">
                  <c:v>2.3917495959917545E-2</c:v>
                </c:pt>
                <c:pt idx="2660">
                  <c:v>2.391273514705361E-2</c:v>
                </c:pt>
                <c:pt idx="2661">
                  <c:v>2.3908665232648119E-2</c:v>
                </c:pt>
                <c:pt idx="2662">
                  <c:v>2.3903929578619199E-2</c:v>
                </c:pt>
                <c:pt idx="2663">
                  <c:v>2.3899207471673733E-2</c:v>
                </c:pt>
                <c:pt idx="2664">
                  <c:v>2.3894498911811723E-2</c:v>
                </c:pt>
                <c:pt idx="2665">
                  <c:v>2.3889803898953232E-2</c:v>
                </c:pt>
                <c:pt idx="2666">
                  <c:v>2.3884454758382745E-2</c:v>
                </c:pt>
                <c:pt idx="2667">
                  <c:v>2.388045451480636E-2</c:v>
                </c:pt>
                <c:pt idx="2668">
                  <c:v>2.3875800143198234E-2</c:v>
                </c:pt>
                <c:pt idx="2669">
                  <c:v>2.3871159318673563E-2</c:v>
                </c:pt>
                <c:pt idx="2670">
                  <c:v>2.3865872107684538E-2</c:v>
                </c:pt>
                <c:pt idx="2671">
                  <c:v>2.3861918311274266E-2</c:v>
                </c:pt>
                <c:pt idx="2672">
                  <c:v>2.3857318128079896E-2</c:v>
                </c:pt>
                <c:pt idx="2673">
                  <c:v>2.3852731491889045E-2</c:v>
                </c:pt>
                <c:pt idx="2674">
                  <c:v>2.3848158403021458E-2</c:v>
                </c:pt>
                <c:pt idx="2675">
                  <c:v>2.3843598861077453E-2</c:v>
                </c:pt>
                <c:pt idx="2676">
                  <c:v>2.3838687211643617E-2</c:v>
                </c:pt>
                <c:pt idx="2677">
                  <c:v>2.3834159970368418E-2</c:v>
                </c:pt>
                <c:pt idx="2678">
                  <c:v>2.3829357066373902E-2</c:v>
                </c:pt>
                <c:pt idx="2679">
                  <c:v>2.3824853648175548E-2</c:v>
                </c:pt>
                <c:pt idx="2680">
                  <c:v>2.3820363776980713E-2</c:v>
                </c:pt>
                <c:pt idx="2681">
                  <c:v>2.3815887452869333E-2</c:v>
                </c:pt>
                <c:pt idx="2682">
                  <c:v>2.3811424675841408E-2</c:v>
                </c:pt>
                <c:pt idx="2683">
                  <c:v>2.3806975445817002E-2</c:v>
                </c:pt>
                <c:pt idx="2684">
                  <c:v>2.3802539763035924E-2</c:v>
                </c:pt>
                <c:pt idx="2685">
                  <c:v>2.3798117627178428E-2</c:v>
                </c:pt>
                <c:pt idx="2686">
                  <c:v>2.3793709038484323E-2</c:v>
                </c:pt>
                <c:pt idx="2687">
                  <c:v>2.3789313996793737E-2</c:v>
                </c:pt>
                <c:pt idx="2688">
                  <c:v>2.3784932502266543E-2</c:v>
                </c:pt>
                <c:pt idx="2689">
                  <c:v>2.378246096433223E-2</c:v>
                </c:pt>
                <c:pt idx="2690">
                  <c:v>2.3773728007894235E-2</c:v>
                </c:pt>
                <c:pt idx="2691">
                  <c:v>2.376939489562524E-2</c:v>
                </c:pt>
                <c:pt idx="2692">
                  <c:v>2.3765075330679508E-2</c:v>
                </c:pt>
                <c:pt idx="2693">
                  <c:v>2.3760769312737295E-2</c:v>
                </c:pt>
                <c:pt idx="2694">
                  <c:v>2.3755864737511345E-2</c:v>
                </c:pt>
                <c:pt idx="2695">
                  <c:v>2.3752197917863427E-2</c:v>
                </c:pt>
                <c:pt idx="2696">
                  <c:v>2.3747932541251515E-2</c:v>
                </c:pt>
                <c:pt idx="2697">
                  <c:v>2.374307441295187E-2</c:v>
                </c:pt>
                <c:pt idx="2698">
                  <c:v>2.3739442428638569E-2</c:v>
                </c:pt>
                <c:pt idx="2699">
                  <c:v>2.3735217693197086E-2</c:v>
                </c:pt>
                <c:pt idx="2700">
                  <c:v>2.373100650459925E-2</c:v>
                </c:pt>
                <c:pt idx="2701">
                  <c:v>2.3726808863244742E-2</c:v>
                </c:pt>
                <c:pt idx="2702">
                  <c:v>2.3722624768813816E-2</c:v>
                </c:pt>
                <c:pt idx="2703">
                  <c:v>2.3718454221626217E-2</c:v>
                </c:pt>
                <c:pt idx="2704">
                  <c:v>2.3714297221442138E-2</c:v>
                </c:pt>
                <c:pt idx="2705">
                  <c:v>2.3710153768341513E-2</c:v>
                </c:pt>
                <c:pt idx="2706">
                  <c:v>2.3706023862324344E-2</c:v>
                </c:pt>
                <c:pt idx="2707">
                  <c:v>2.3701907503150821E-2</c:v>
                </c:pt>
                <c:pt idx="2708">
                  <c:v>2.3697804691220625E-2</c:v>
                </c:pt>
                <c:pt idx="2709">
                  <c:v>2.3693715426373885E-2</c:v>
                </c:pt>
                <c:pt idx="2710">
                  <c:v>2.368905856899417E-2</c:v>
                </c:pt>
                <c:pt idx="2711">
                  <c:v>2.3685577537850833E-2</c:v>
                </c:pt>
                <c:pt idx="2712">
                  <c:v>2.3681528914094585E-2</c:v>
                </c:pt>
                <c:pt idx="2713">
                  <c:v>2.3677493837581665E-2</c:v>
                </c:pt>
                <c:pt idx="2714">
                  <c:v>2.3673472307992327E-2</c:v>
                </c:pt>
                <c:pt idx="2715">
                  <c:v>2.3669464325566381E-2</c:v>
                </c:pt>
                <c:pt idx="2716">
                  <c:v>2.3665469890064017E-2</c:v>
                </c:pt>
                <c:pt idx="2717">
                  <c:v>2.3661489001725045E-2</c:v>
                </c:pt>
                <c:pt idx="2718">
                  <c:v>2.3657521660469527E-2</c:v>
                </c:pt>
                <c:pt idx="2719">
                  <c:v>2.3653567866217529E-2</c:v>
                </c:pt>
                <c:pt idx="2720">
                  <c:v>2.3649627618969049E-2</c:v>
                </c:pt>
                <c:pt idx="2721">
                  <c:v>2.3645700918963897E-2</c:v>
                </c:pt>
                <c:pt idx="2722">
                  <c:v>2.3641787765962263E-2</c:v>
                </c:pt>
                <c:pt idx="2723">
                  <c:v>2.3637888159964149E-2</c:v>
                </c:pt>
                <c:pt idx="2724">
                  <c:v>2.363344805559997E-2</c:v>
                </c:pt>
                <c:pt idx="2725">
                  <c:v>2.3630129589138349E-2</c:v>
                </c:pt>
                <c:pt idx="2726">
                  <c:v>2.3626270624310663E-2</c:v>
                </c:pt>
                <c:pt idx="2727">
                  <c:v>2.3622425206566433E-2</c:v>
                </c:pt>
                <c:pt idx="2728">
                  <c:v>2.3618002813714511E-2</c:v>
                </c:pt>
                <c:pt idx="2729">
                  <c:v>2.3614230643298484E-2</c:v>
                </c:pt>
                <c:pt idx="2730">
                  <c:v>2.3610970235594664E-2</c:v>
                </c:pt>
                <c:pt idx="2731">
                  <c:v>2.3607179006184253E-2</c:v>
                </c:pt>
                <c:pt idx="2732">
                  <c:v>2.3603401323777362E-2</c:v>
                </c:pt>
                <c:pt idx="2733">
                  <c:v>2.3599637188453926E-2</c:v>
                </c:pt>
                <c:pt idx="2734">
                  <c:v>2.3595886600054072E-2</c:v>
                </c:pt>
                <c:pt idx="2735">
                  <c:v>2.359214955881761E-2</c:v>
                </c:pt>
                <c:pt idx="2736">
                  <c:v>2.3588426064504731E-2</c:v>
                </c:pt>
                <c:pt idx="2737">
                  <c:v>2.3584716117355242E-2</c:v>
                </c:pt>
                <c:pt idx="2738">
                  <c:v>2.3581019717209273E-2</c:v>
                </c:pt>
                <c:pt idx="2739">
                  <c:v>2.3577336864146758E-2</c:v>
                </c:pt>
                <c:pt idx="2740">
                  <c:v>2.3573667558167699E-2</c:v>
                </c:pt>
                <c:pt idx="2741">
                  <c:v>2.3570011799112223E-2</c:v>
                </c:pt>
                <c:pt idx="2742">
                  <c:v>2.3566369587220137E-2</c:v>
                </c:pt>
                <c:pt idx="2743">
                  <c:v>2.3562740922411507E-2</c:v>
                </c:pt>
                <c:pt idx="2744">
                  <c:v>2.3558095401963186E-2</c:v>
                </c:pt>
                <c:pt idx="2745">
                  <c:v>2.3555524233804803E-2</c:v>
                </c:pt>
                <c:pt idx="2746">
                  <c:v>2.3551424741139471E-2</c:v>
                </c:pt>
                <c:pt idx="2747">
                  <c:v>2.3548361733451983E-2</c:v>
                </c:pt>
                <c:pt idx="2748">
                  <c:v>2.354480080382082E-2</c:v>
                </c:pt>
                <c:pt idx="2749">
                  <c:v>2.3541253421353048E-2</c:v>
                </c:pt>
                <c:pt idx="2750">
                  <c:v>2.353721585802937E-2</c:v>
                </c:pt>
                <c:pt idx="2751">
                  <c:v>2.353419929742806E-2</c:v>
                </c:pt>
                <c:pt idx="2752">
                  <c:v>2.3530692555970845E-2</c:v>
                </c:pt>
                <c:pt idx="2753">
                  <c:v>2.3527199361756956E-2</c:v>
                </c:pt>
                <c:pt idx="2754">
                  <c:v>2.3523719714386715E-2</c:v>
                </c:pt>
                <c:pt idx="2755">
                  <c:v>2.3520253614019992E-2</c:v>
                </c:pt>
                <c:pt idx="2756">
                  <c:v>2.3516801060896597E-2</c:v>
                </c:pt>
                <c:pt idx="2757">
                  <c:v>2.3513362054696785E-2</c:v>
                </c:pt>
                <c:pt idx="2758">
                  <c:v>2.3509936595500491E-2</c:v>
                </c:pt>
                <c:pt idx="2759">
                  <c:v>2.3506524683387653E-2</c:v>
                </c:pt>
                <c:pt idx="2760">
                  <c:v>2.3503126318438206E-2</c:v>
                </c:pt>
                <c:pt idx="2761">
                  <c:v>2.3499741500492277E-2</c:v>
                </c:pt>
                <c:pt idx="2762">
                  <c:v>2.3496370229469932E-2</c:v>
                </c:pt>
                <c:pt idx="2763">
                  <c:v>2.3492533936586568E-2</c:v>
                </c:pt>
                <c:pt idx="2764">
                  <c:v>2.3489668328675606E-2</c:v>
                </c:pt>
                <c:pt idx="2765">
                  <c:v>2.3486337698983561E-2</c:v>
                </c:pt>
                <c:pt idx="2766">
                  <c:v>2.34830206162151E-2</c:v>
                </c:pt>
                <c:pt idx="2767">
                  <c:v>2.3479717080450158E-2</c:v>
                </c:pt>
                <c:pt idx="2768">
                  <c:v>2.3476427091848606E-2</c:v>
                </c:pt>
                <c:pt idx="2769">
                  <c:v>2.3473150650170638E-2</c:v>
                </c:pt>
                <c:pt idx="2770">
                  <c:v>2.3469887755496188E-2</c:v>
                </c:pt>
                <c:pt idx="2771">
                  <c:v>2.346663840798513E-2</c:v>
                </c:pt>
                <c:pt idx="2772">
                  <c:v>2.346340260747759E-2</c:v>
                </c:pt>
                <c:pt idx="2773">
                  <c:v>2.3460180353893634E-2</c:v>
                </c:pt>
                <c:pt idx="2774">
                  <c:v>2.3456514366859693E-2</c:v>
                </c:pt>
                <c:pt idx="2775">
                  <c:v>2.3453776488215894E-2</c:v>
                </c:pt>
                <c:pt idx="2776">
                  <c:v>2.3450141465692909E-2</c:v>
                </c:pt>
                <c:pt idx="2777">
                  <c:v>2.3447426810392358E-2</c:v>
                </c:pt>
                <c:pt idx="2778">
                  <c:v>2.344427229214574E-2</c:v>
                </c:pt>
                <c:pt idx="2779">
                  <c:v>2.3441131321062514E-2</c:v>
                </c:pt>
                <c:pt idx="2780">
                  <c:v>2.3437112835278384E-2</c:v>
                </c:pt>
                <c:pt idx="2781">
                  <c:v>2.3433559647854096E-2</c:v>
                </c:pt>
                <c:pt idx="2782">
                  <c:v>2.3431347890996435E-2</c:v>
                </c:pt>
                <c:pt idx="2783">
                  <c:v>2.3428263043339115E-2</c:v>
                </c:pt>
                <c:pt idx="2784">
                  <c:v>2.3425191742525442E-2</c:v>
                </c:pt>
                <c:pt idx="2785">
                  <c:v>2.3422133988795224E-2</c:v>
                </c:pt>
                <c:pt idx="2786">
                  <c:v>2.3419089782148461E-2</c:v>
                </c:pt>
                <c:pt idx="2787">
                  <c:v>2.3416059122425281E-2</c:v>
                </c:pt>
                <c:pt idx="2788">
                  <c:v>2.3413042009945428E-2</c:v>
                </c:pt>
                <c:pt idx="2789">
                  <c:v>2.3410038444309222E-2</c:v>
                </c:pt>
                <c:pt idx="2790">
                  <c:v>2.3407048425676535E-2</c:v>
                </c:pt>
                <c:pt idx="2791">
                  <c:v>2.3404071954367112E-2</c:v>
                </c:pt>
                <c:pt idx="2792">
                  <c:v>2.3401109029821399E-2</c:v>
                </c:pt>
                <c:pt idx="2793">
                  <c:v>2.3398159652279205E-2</c:v>
                </c:pt>
                <c:pt idx="2794">
                  <c:v>2.3395223821820466E-2</c:v>
                </c:pt>
                <c:pt idx="2795">
                  <c:v>2.3391469088576144E-2</c:v>
                </c:pt>
                <c:pt idx="2796">
                  <c:v>2.3389392802153353E-2</c:v>
                </c:pt>
                <c:pt idx="2797">
                  <c:v>2.3386497612865043E-2</c:v>
                </c:pt>
                <c:pt idx="2798">
                  <c:v>2.3383205413232133E-2</c:v>
                </c:pt>
                <c:pt idx="2799">
                  <c:v>2.3380747875298979E-2</c:v>
                </c:pt>
                <c:pt idx="2800">
                  <c:v>2.3377893327101162E-2</c:v>
                </c:pt>
                <c:pt idx="2801">
                  <c:v>2.3375052325906864E-2</c:v>
                </c:pt>
                <c:pt idx="2802">
                  <c:v>2.3371822055535674E-2</c:v>
                </c:pt>
                <c:pt idx="2803">
                  <c:v>2.3369410964688697E-2</c:v>
                </c:pt>
                <c:pt idx="2804">
                  <c:v>2.3366610604504956E-2</c:v>
                </c:pt>
                <c:pt idx="2805">
                  <c:v>2.3363823791564542E-2</c:v>
                </c:pt>
                <c:pt idx="2806">
                  <c:v>2.3361050525467775E-2</c:v>
                </c:pt>
                <c:pt idx="2807">
                  <c:v>2.335829080629459E-2</c:v>
                </c:pt>
                <c:pt idx="2808">
                  <c:v>2.3355544634444669E-2</c:v>
                </c:pt>
                <c:pt idx="2809">
                  <c:v>2.3352812009518331E-2</c:v>
                </c:pt>
                <c:pt idx="2810">
                  <c:v>2.3350092931595512E-2</c:v>
                </c:pt>
                <c:pt idx="2811">
                  <c:v>2.3347387400676212E-2</c:v>
                </c:pt>
                <c:pt idx="2812">
                  <c:v>2.3344695416840366E-2</c:v>
                </c:pt>
                <c:pt idx="2813">
                  <c:v>2.3342016979928104E-2</c:v>
                </c:pt>
                <c:pt idx="2814">
                  <c:v>2.3339352090259169E-2</c:v>
                </c:pt>
                <c:pt idx="2815">
                  <c:v>2.3336323090008548E-2</c:v>
                </c:pt>
                <c:pt idx="2816">
                  <c:v>2.3334062951612111E-2</c:v>
                </c:pt>
                <c:pt idx="2817">
                  <c:v>2.3331438702953733E-2</c:v>
                </c:pt>
                <c:pt idx="2818">
                  <c:v>2.3328828001139001E-2</c:v>
                </c:pt>
                <c:pt idx="2819">
                  <c:v>2.3326230846407725E-2</c:v>
                </c:pt>
                <c:pt idx="2820">
                  <c:v>2.3323647238919776E-2</c:v>
                </c:pt>
                <c:pt idx="2821">
                  <c:v>2.3321077178195537E-2</c:v>
                </c:pt>
                <c:pt idx="2822">
                  <c:v>2.331852066463469E-2</c:v>
                </c:pt>
                <c:pt idx="2823">
                  <c:v>2.3315977697997425E-2</c:v>
                </c:pt>
                <c:pt idx="2824">
                  <c:v>2.3313448278443616E-2</c:v>
                </c:pt>
                <c:pt idx="2825">
                  <c:v>2.3310932405893325E-2</c:v>
                </c:pt>
                <c:pt idx="2826">
                  <c:v>2.330807371125232E-2</c:v>
                </c:pt>
                <c:pt idx="2827">
                  <c:v>2.3305941301883237E-2</c:v>
                </c:pt>
                <c:pt idx="2828">
                  <c:v>2.330346607042344E-2</c:v>
                </c:pt>
                <c:pt idx="2829">
                  <c:v>2.3301004385967161E-2</c:v>
                </c:pt>
                <c:pt idx="2830">
                  <c:v>2.3298556248594338E-2</c:v>
                </c:pt>
                <c:pt idx="2831">
                  <c:v>2.3296121658225033E-2</c:v>
                </c:pt>
                <c:pt idx="2832">
                  <c:v>2.3293011376273043E-2</c:v>
                </c:pt>
                <c:pt idx="2833">
                  <c:v>2.3290950296246393E-2</c:v>
                </c:pt>
                <c:pt idx="2834">
                  <c:v>2.3288899169058297E-2</c:v>
                </c:pt>
                <c:pt idx="2835">
                  <c:v>2.3286518766783004E-2</c:v>
                </c:pt>
                <c:pt idx="2836">
                  <c:v>2.3284151911431294E-2</c:v>
                </c:pt>
                <c:pt idx="2837">
                  <c:v>2.328179860316304E-2</c:v>
                </c:pt>
                <c:pt idx="2838">
                  <c:v>2.327945884197824E-2</c:v>
                </c:pt>
                <c:pt idx="2839">
                  <c:v>2.3277132627717023E-2</c:v>
                </c:pt>
                <c:pt idx="2840">
                  <c:v>2.3274819960459325E-2</c:v>
                </c:pt>
                <c:pt idx="2841">
                  <c:v>2.3272520840285082E-2</c:v>
                </c:pt>
                <c:pt idx="2842">
                  <c:v>2.3270235267114359E-2</c:v>
                </c:pt>
                <c:pt idx="2843">
                  <c:v>2.3267963240947154E-2</c:v>
                </c:pt>
                <c:pt idx="2844">
                  <c:v>2.3265704761783468E-2</c:v>
                </c:pt>
                <c:pt idx="2845">
                  <c:v>2.3262820908787063E-2</c:v>
                </c:pt>
                <c:pt idx="2846">
                  <c:v>2.3261228444626525E-2</c:v>
                </c:pt>
                <c:pt idx="2847">
                  <c:v>2.325901060639346E-2</c:v>
                </c:pt>
                <c:pt idx="2848">
                  <c:v>2.3256806315483658E-2</c:v>
                </c:pt>
                <c:pt idx="2849">
                  <c:v>2.3254615571417503E-2</c:v>
                </c:pt>
                <c:pt idx="2850">
                  <c:v>2.3252128452186938E-2</c:v>
                </c:pt>
                <c:pt idx="2851">
                  <c:v>2.325027472429575E-2</c:v>
                </c:pt>
                <c:pt idx="2852">
                  <c:v>2.3248124621320088E-2</c:v>
                </c:pt>
                <c:pt idx="2853">
                  <c:v>2.3245988065347944E-2</c:v>
                </c:pt>
                <c:pt idx="2854">
                  <c:v>2.3243562875299162E-2</c:v>
                </c:pt>
                <c:pt idx="2855">
                  <c:v>2.3241755594334279E-2</c:v>
                </c:pt>
                <c:pt idx="2856">
                  <c:v>2.3239659679532565E-2</c:v>
                </c:pt>
                <c:pt idx="2857">
                  <c:v>2.3237577311574498E-2</c:v>
                </c:pt>
                <c:pt idx="2858">
                  <c:v>2.3235508490699885E-2</c:v>
                </c:pt>
                <c:pt idx="2859">
                  <c:v>2.3233453216828792E-2</c:v>
                </c:pt>
                <c:pt idx="2860">
                  <c:v>2.3231411489881282E-2</c:v>
                </c:pt>
                <c:pt idx="2861">
                  <c:v>2.3229383310097163E-2</c:v>
                </c:pt>
                <c:pt idx="2862">
                  <c:v>2.322736867715669E-2</c:v>
                </c:pt>
                <c:pt idx="2863">
                  <c:v>2.3225367591379609E-2</c:v>
                </c:pt>
                <c:pt idx="2864">
                  <c:v>2.322338005252611E-2</c:v>
                </c:pt>
                <c:pt idx="2865">
                  <c:v>2.3221406060756067E-2</c:v>
                </c:pt>
                <c:pt idx="2866">
                  <c:v>2.3219445615909606E-2</c:v>
                </c:pt>
                <c:pt idx="2867">
                  <c:v>2.3217221695821522E-2</c:v>
                </c:pt>
                <c:pt idx="2868">
                  <c:v>2.321556536746705E-2</c:v>
                </c:pt>
                <c:pt idx="2869">
                  <c:v>2.3213645563551211E-2</c:v>
                </c:pt>
                <c:pt idx="2870">
                  <c:v>2.3211739306958634E-2</c:v>
                </c:pt>
                <c:pt idx="2871">
                  <c:v>2.3209846597209705E-2</c:v>
                </c:pt>
                <c:pt idx="2872">
                  <c:v>2.3207967434464294E-2</c:v>
                </c:pt>
                <c:pt idx="2873">
                  <c:v>2.3206101818722402E-2</c:v>
                </c:pt>
                <c:pt idx="2874">
                  <c:v>2.3204249750143902E-2</c:v>
                </c:pt>
                <c:pt idx="2875">
                  <c:v>2.3202411228329112E-2</c:v>
                </c:pt>
                <c:pt idx="2876">
                  <c:v>2.3200586253677713E-2</c:v>
                </c:pt>
                <c:pt idx="2877">
                  <c:v>2.3198774826029833E-2</c:v>
                </c:pt>
                <c:pt idx="2878">
                  <c:v>2.3196721211231619E-2</c:v>
                </c:pt>
                <c:pt idx="2879">
                  <c:v>2.3195192611904503E-2</c:v>
                </c:pt>
                <c:pt idx="2880">
                  <c:v>2.3193421825107308E-2</c:v>
                </c:pt>
                <c:pt idx="2881">
                  <c:v>2.3191664585473504E-2</c:v>
                </c:pt>
                <c:pt idx="2882">
                  <c:v>2.3189920892923155E-2</c:v>
                </c:pt>
                <c:pt idx="2883">
                  <c:v>2.3188190747296389E-2</c:v>
                </c:pt>
                <c:pt idx="2884">
                  <c:v>2.3185986180127571E-2</c:v>
                </c:pt>
                <c:pt idx="2885">
                  <c:v>2.3184528909823143E-2</c:v>
                </c:pt>
                <c:pt idx="2886">
                  <c:v>2.3183081592597077E-2</c:v>
                </c:pt>
                <c:pt idx="2887">
                  <c:v>2.3181405634904451E-2</c:v>
                </c:pt>
                <c:pt idx="2888">
                  <c:v>2.3179743224455152E-2</c:v>
                </c:pt>
                <c:pt idx="2889">
                  <c:v>2.3178094360929435E-2</c:v>
                </c:pt>
                <c:pt idx="2890">
                  <c:v>2.3176459044247366E-2</c:v>
                </c:pt>
                <c:pt idx="2891">
                  <c:v>2.3174837274808624E-2</c:v>
                </c:pt>
                <c:pt idx="2892">
                  <c:v>2.3173229052373401E-2</c:v>
                </c:pt>
                <c:pt idx="2893">
                  <c:v>2.3171634376861761E-2</c:v>
                </c:pt>
                <c:pt idx="2894">
                  <c:v>2.3170053248353639E-2</c:v>
                </c:pt>
                <c:pt idx="2895">
                  <c:v>2.3168485666769101E-2</c:v>
                </c:pt>
                <c:pt idx="2896">
                  <c:v>2.316693163242789E-2</c:v>
                </c:pt>
                <c:pt idx="2897">
                  <c:v>2.3165391144850389E-2</c:v>
                </c:pt>
                <c:pt idx="2898">
                  <c:v>2.316386420443628E-2</c:v>
                </c:pt>
                <c:pt idx="2899">
                  <c:v>2.3162350810945753E-2</c:v>
                </c:pt>
                <c:pt idx="2900">
                  <c:v>2.3160424925015022E-2</c:v>
                </c:pt>
                <c:pt idx="2901">
                  <c:v>2.3159364664975257E-2</c:v>
                </c:pt>
                <c:pt idx="2902">
                  <c:v>2.3157891912495288E-2</c:v>
                </c:pt>
                <c:pt idx="2903">
                  <c:v>2.3156225355123183E-2</c:v>
                </c:pt>
                <c:pt idx="2904">
                  <c:v>2.3154987048625841E-2</c:v>
                </c:pt>
                <c:pt idx="2905">
                  <c:v>2.3153554937156429E-2</c:v>
                </c:pt>
                <c:pt idx="2906">
                  <c:v>2.3151934826630693E-2</c:v>
                </c:pt>
                <c:pt idx="2907">
                  <c:v>2.3150731355388032E-2</c:v>
                </c:pt>
                <c:pt idx="2908">
                  <c:v>2.3149339884929176E-2</c:v>
                </c:pt>
                <c:pt idx="2909">
                  <c:v>2.314796196147384E-2</c:v>
                </c:pt>
                <c:pt idx="2910">
                  <c:v>2.3146597585181894E-2</c:v>
                </c:pt>
                <c:pt idx="2911">
                  <c:v>2.3145246755653659E-2</c:v>
                </c:pt>
                <c:pt idx="2912">
                  <c:v>2.3143909473208879E-2</c:v>
                </c:pt>
                <c:pt idx="2913">
                  <c:v>2.3142585737847554E-2</c:v>
                </c:pt>
                <c:pt idx="2914">
                  <c:v>2.3141275549569684E-2</c:v>
                </c:pt>
                <c:pt idx="2915">
                  <c:v>2.3139978908135461E-2</c:v>
                </c:pt>
                <c:pt idx="2916">
                  <c:v>2.3138695813704757E-2</c:v>
                </c:pt>
                <c:pt idx="2917">
                  <c:v>2.313742626651738E-2</c:v>
                </c:pt>
                <c:pt idx="2918">
                  <c:v>2.3136170266093714E-2</c:v>
                </c:pt>
                <c:pt idx="2919">
                  <c:v>2.3134751425288869E-2</c:v>
                </c:pt>
                <c:pt idx="2920">
                  <c:v>2.3133698906256939E-2</c:v>
                </c:pt>
                <c:pt idx="2921">
                  <c:v>2.3132483547003702E-2</c:v>
                </c:pt>
                <c:pt idx="2922">
                  <c:v>2.3131281734594111E-2</c:v>
                </c:pt>
                <c:pt idx="2923">
                  <c:v>2.313009346918804E-2</c:v>
                </c:pt>
                <c:pt idx="2924">
                  <c:v>2.3128918750865424E-2</c:v>
                </c:pt>
                <c:pt idx="2925">
                  <c:v>2.3127757579626262E-2</c:v>
                </c:pt>
                <c:pt idx="2926">
                  <c:v>2.3126609955230748E-2</c:v>
                </c:pt>
                <c:pt idx="2927">
                  <c:v>2.3125475877918689E-2</c:v>
                </c:pt>
                <c:pt idx="2928">
                  <c:v>2.3124355347530212E-2</c:v>
                </c:pt>
                <c:pt idx="2929">
                  <c:v>2.3123248364305127E-2</c:v>
                </c:pt>
                <c:pt idx="2930">
                  <c:v>2.3122154927843752E-2</c:v>
                </c:pt>
                <c:pt idx="2931">
                  <c:v>2.3121075038465833E-2</c:v>
                </c:pt>
                <c:pt idx="2932">
                  <c:v>2.3120008696251304E-2</c:v>
                </c:pt>
                <c:pt idx="2933">
                  <c:v>2.3118955900880422E-2</c:v>
                </c:pt>
                <c:pt idx="2934">
                  <c:v>2.311791665251306E-2</c:v>
                </c:pt>
                <c:pt idx="2935">
                  <c:v>2.3116890951309088E-2</c:v>
                </c:pt>
                <c:pt idx="2936">
                  <c:v>2.3115592098204019E-2</c:v>
                </c:pt>
                <c:pt idx="2937">
                  <c:v>2.311459736135113E-2</c:v>
                </c:pt>
                <c:pt idx="2938">
                  <c:v>2.3113755512280676E-2</c:v>
                </c:pt>
                <c:pt idx="2939">
                  <c:v>2.3112785934102931E-2</c:v>
                </c:pt>
                <c:pt idx="2940">
                  <c:v>2.3111694433133323E-2</c:v>
                </c:pt>
                <c:pt idx="2941">
                  <c:v>2.3110887419077741E-2</c:v>
                </c:pt>
                <c:pt idx="2942">
                  <c:v>2.3109958481990489E-2</c:v>
                </c:pt>
                <c:pt idx="2943">
                  <c:v>2.3109043091906756E-2</c:v>
                </c:pt>
                <c:pt idx="2944">
                  <c:v>2.3108013520198867E-2</c:v>
                </c:pt>
                <c:pt idx="2945">
                  <c:v>2.3107252952989654E-2</c:v>
                </c:pt>
                <c:pt idx="2946">
                  <c:v>2.3106378203996414E-2</c:v>
                </c:pt>
                <c:pt idx="2947">
                  <c:v>2.3105517001926756E-2</c:v>
                </c:pt>
                <c:pt idx="2948">
                  <c:v>2.3104669346860618E-2</c:v>
                </c:pt>
                <c:pt idx="2949">
                  <c:v>2.3103835238877934E-2</c:v>
                </c:pt>
                <c:pt idx="2950">
                  <c:v>2.310301467789877E-2</c:v>
                </c:pt>
                <c:pt idx="2951">
                  <c:v>2.3103348561086534E-2</c:v>
                </c:pt>
                <c:pt idx="2952">
                  <c:v>2.3101414196871062E-2</c:v>
                </c:pt>
                <c:pt idx="2953">
                  <c:v>2.3100634276742582E-2</c:v>
                </c:pt>
                <c:pt idx="2954">
                  <c:v>2.3099867903777493E-2</c:v>
                </c:pt>
                <c:pt idx="2955">
                  <c:v>2.3099008637039731E-2</c:v>
                </c:pt>
                <c:pt idx="2956">
                  <c:v>2.3098375798698001E-2</c:v>
                </c:pt>
                <c:pt idx="2957">
                  <c:v>2.3097650066663533E-2</c:v>
                </c:pt>
                <c:pt idx="2958">
                  <c:v>2.3096837246772139E-2</c:v>
                </c:pt>
                <c:pt idx="2959">
                  <c:v>2.3096239243605154E-2</c:v>
                </c:pt>
                <c:pt idx="2960">
                  <c:v>2.3095554152581244E-2</c:v>
                </c:pt>
                <c:pt idx="2961">
                  <c:v>2.309488260840098E-2</c:v>
                </c:pt>
                <c:pt idx="2962">
                  <c:v>2.3094224611464043E-2</c:v>
                </c:pt>
                <c:pt idx="2963">
                  <c:v>2.3093580161530625E-2</c:v>
                </c:pt>
                <c:pt idx="2964">
                  <c:v>2.3092949258280981E-2</c:v>
                </c:pt>
                <c:pt idx="2965">
                  <c:v>2.3092331902274665E-2</c:v>
                </c:pt>
                <c:pt idx="2966">
                  <c:v>2.3091728093351804E-2</c:v>
                </c:pt>
                <c:pt idx="2967">
                  <c:v>2.309113783127259E-2</c:v>
                </c:pt>
                <c:pt idx="2968">
                  <c:v>2.3090561116196895E-2</c:v>
                </c:pt>
                <c:pt idx="2969">
                  <c:v>2.3089997948204655E-2</c:v>
                </c:pt>
                <c:pt idx="2970">
                  <c:v>2.3089448327215933E-2</c:v>
                </c:pt>
                <c:pt idx="2971">
                  <c:v>2.3088836777045429E-2</c:v>
                </c:pt>
                <c:pt idx="2972">
                  <c:v>2.3088316185235769E-2</c:v>
                </c:pt>
                <c:pt idx="2973">
                  <c:v>2.3087880746031075E-2</c:v>
                </c:pt>
                <c:pt idx="2974">
                  <c:v>2.3087385312976494E-2</c:v>
                </c:pt>
                <c:pt idx="2975">
                  <c:v>2.3086903426845495E-2</c:v>
                </c:pt>
                <c:pt idx="2976">
                  <c:v>2.3086435087877888E-2</c:v>
                </c:pt>
                <c:pt idx="2977">
                  <c:v>2.3085980295753927E-2</c:v>
                </c:pt>
                <c:pt idx="2978">
                  <c:v>2.3085477121691511E-2</c:v>
                </c:pt>
                <c:pt idx="2979">
                  <c:v>2.3085111352596499E-2</c:v>
                </c:pt>
                <c:pt idx="2980">
                  <c:v>2.3084697201722904E-2</c:v>
                </c:pt>
                <c:pt idx="2981">
                  <c:v>2.3084296597533083E-2</c:v>
                </c:pt>
                <c:pt idx="2982">
                  <c:v>2.3083909540426717E-2</c:v>
                </c:pt>
                <c:pt idx="2983">
                  <c:v>2.3083536030403806E-2</c:v>
                </c:pt>
                <c:pt idx="2984">
                  <c:v>2.3083176067304478E-2</c:v>
                </c:pt>
                <c:pt idx="2985">
                  <c:v>2.3082829651368542E-2</c:v>
                </c:pt>
                <c:pt idx="2986">
                  <c:v>2.308249678211638E-2</c:v>
                </c:pt>
                <c:pt idx="2987">
                  <c:v>2.3082177460107545E-2</c:v>
                </c:pt>
                <c:pt idx="2988">
                  <c:v>2.3084747102366521E-2</c:v>
                </c:pt>
                <c:pt idx="2989">
                  <c:v>2.3081379016556269E-2</c:v>
                </c:pt>
                <c:pt idx="2990">
                  <c:v>2.3082665448370676E-2</c:v>
                </c:pt>
                <c:pt idx="2991">
                  <c:v>2.3082406086905038E-2</c:v>
                </c:pt>
                <c:pt idx="2992">
                  <c:v>2.3082160274121577E-2</c:v>
                </c:pt>
                <c:pt idx="2993">
                  <c:v>2.3081928010153518E-2</c:v>
                </c:pt>
                <c:pt idx="2994">
                  <c:v>2.3081709294840991E-2</c:v>
                </c:pt>
                <c:pt idx="2995">
                  <c:v>2.3081504128290575E-2</c:v>
                </c:pt>
                <c:pt idx="2996">
                  <c:v>2.3081312510475627E-2</c:v>
                </c:pt>
                <c:pt idx="2997">
                  <c:v>2.308113444142279E-2</c:v>
                </c:pt>
                <c:pt idx="2998">
                  <c:v>2.3080969921025485E-2</c:v>
                </c:pt>
                <c:pt idx="2999">
                  <c:v>2.3080818949416937E-2</c:v>
                </c:pt>
                <c:pt idx="3000">
                  <c:v>2.3080681526543856E-2</c:v>
                </c:pt>
                <c:pt idx="3001">
                  <c:v>2.3079029027313069E-2</c:v>
                </c:pt>
                <c:pt idx="3002">
                  <c:v>2.3078938621949874E-2</c:v>
                </c:pt>
                <c:pt idx="3003">
                  <c:v>2.30788457281772E-2</c:v>
                </c:pt>
                <c:pt idx="3004">
                  <c:v>2.3078766381487981E-2</c:v>
                </c:pt>
                <c:pt idx="3005">
                  <c:v>2.3078700581802281E-2</c:v>
                </c:pt>
                <c:pt idx="3006">
                  <c:v>2.307864197028664E-2</c:v>
                </c:pt>
                <c:pt idx="3007">
                  <c:v>2.3078609623281565E-2</c:v>
                </c:pt>
                <c:pt idx="3008">
                  <c:v>2.3078584464606422E-2</c:v>
                </c:pt>
                <c:pt idx="3009">
                  <c:v>2.3078572300017086E-2</c:v>
                </c:pt>
                <c:pt idx="3010">
                  <c:v>2.3078571977555029E-2</c:v>
                </c:pt>
                <c:pt idx="3011">
                  <c:v>2.3078571977395157E-2</c:v>
                </c:pt>
                <c:pt idx="3012">
                  <c:v>2.3078571977475093E-2</c:v>
                </c:pt>
                <c:pt idx="3013">
                  <c:v>2.3078571977555029E-2</c:v>
                </c:pt>
                <c:pt idx="3014">
                  <c:v>2.3078571977475093E-2</c:v>
                </c:pt>
                <c:pt idx="3015">
                  <c:v>2.3078571977395157E-2</c:v>
                </c:pt>
                <c:pt idx="3016">
                  <c:v>2.3078571977475093E-2</c:v>
                </c:pt>
                <c:pt idx="3017">
                  <c:v>2.3078571977475093E-2</c:v>
                </c:pt>
                <c:pt idx="3018">
                  <c:v>2.3078571977475093E-2</c:v>
                </c:pt>
                <c:pt idx="3019">
                  <c:v>2.3078571977475093E-2</c:v>
                </c:pt>
                <c:pt idx="3020">
                  <c:v>2.3078571977475093E-2</c:v>
                </c:pt>
                <c:pt idx="3021">
                  <c:v>2.3078571977555029E-2</c:v>
                </c:pt>
                <c:pt idx="3022">
                  <c:v>2.3078571977475093E-2</c:v>
                </c:pt>
                <c:pt idx="3023">
                  <c:v>2.3078571977395157E-2</c:v>
                </c:pt>
                <c:pt idx="3024">
                  <c:v>2.3078571977475093E-2</c:v>
                </c:pt>
                <c:pt idx="3025">
                  <c:v>2.3078571977475093E-2</c:v>
                </c:pt>
                <c:pt idx="3026">
                  <c:v>2.3078571977395157E-2</c:v>
                </c:pt>
                <c:pt idx="3027">
                  <c:v>2.3078571977475093E-2</c:v>
                </c:pt>
                <c:pt idx="3028">
                  <c:v>2.3078571977555029E-2</c:v>
                </c:pt>
                <c:pt idx="3029">
                  <c:v>2.3078571977395157E-2</c:v>
                </c:pt>
                <c:pt idx="3030">
                  <c:v>2.3078571977555029E-2</c:v>
                </c:pt>
                <c:pt idx="3031">
                  <c:v>2.3078571977475093E-2</c:v>
                </c:pt>
                <c:pt idx="3032">
                  <c:v>2.3078571977475093E-2</c:v>
                </c:pt>
                <c:pt idx="3033">
                  <c:v>2.3078571977395157E-2</c:v>
                </c:pt>
                <c:pt idx="3034">
                  <c:v>2.3078571977475093E-2</c:v>
                </c:pt>
                <c:pt idx="3035">
                  <c:v>2.3078571977475093E-2</c:v>
                </c:pt>
                <c:pt idx="3036">
                  <c:v>2.3078571977555029E-2</c:v>
                </c:pt>
                <c:pt idx="3037">
                  <c:v>2.3078571977395157E-2</c:v>
                </c:pt>
                <c:pt idx="3038">
                  <c:v>2.3078571977475093E-2</c:v>
                </c:pt>
                <c:pt idx="3039">
                  <c:v>2.3078571977475093E-2</c:v>
                </c:pt>
                <c:pt idx="3040">
                  <c:v>2.3078571977475093E-2</c:v>
                </c:pt>
                <c:pt idx="3041">
                  <c:v>2.3078571977475093E-2</c:v>
                </c:pt>
                <c:pt idx="3042">
                  <c:v>2.3078571977555029E-2</c:v>
                </c:pt>
                <c:pt idx="3043">
                  <c:v>2.3078571977395157E-2</c:v>
                </c:pt>
                <c:pt idx="3044">
                  <c:v>2.3078571977395157E-2</c:v>
                </c:pt>
                <c:pt idx="3045">
                  <c:v>2.3078571977475093E-2</c:v>
                </c:pt>
                <c:pt idx="3046">
                  <c:v>2.3078571977475093E-2</c:v>
                </c:pt>
                <c:pt idx="3047">
                  <c:v>2.3078571977475093E-2</c:v>
                </c:pt>
                <c:pt idx="3048">
                  <c:v>2.3078571977475093E-2</c:v>
                </c:pt>
                <c:pt idx="3049">
                  <c:v>2.3078571977555029E-2</c:v>
                </c:pt>
                <c:pt idx="3050">
                  <c:v>2.3078571977555029E-2</c:v>
                </c:pt>
                <c:pt idx="3051">
                  <c:v>2.3078571977475093E-2</c:v>
                </c:pt>
                <c:pt idx="3052">
                  <c:v>2.3078571977475093E-2</c:v>
                </c:pt>
                <c:pt idx="3053">
                  <c:v>2.3078571977475093E-2</c:v>
                </c:pt>
                <c:pt idx="3054">
                  <c:v>2.3078571977555029E-2</c:v>
                </c:pt>
                <c:pt idx="3055">
                  <c:v>2.3078571977475093E-2</c:v>
                </c:pt>
                <c:pt idx="3056">
                  <c:v>2.3078571977555029E-2</c:v>
                </c:pt>
                <c:pt idx="3057">
                  <c:v>2.3078571977475093E-2</c:v>
                </c:pt>
                <c:pt idx="3058">
                  <c:v>2.3078571977475093E-2</c:v>
                </c:pt>
                <c:pt idx="3059">
                  <c:v>2.3078571977475093E-2</c:v>
                </c:pt>
                <c:pt idx="3060">
                  <c:v>2.3078571977475093E-2</c:v>
                </c:pt>
                <c:pt idx="3061">
                  <c:v>2.3078571977555029E-2</c:v>
                </c:pt>
                <c:pt idx="3062">
                  <c:v>2.3078571977555029E-2</c:v>
                </c:pt>
                <c:pt idx="3063">
                  <c:v>2.3078571977475093E-2</c:v>
                </c:pt>
                <c:pt idx="3064">
                  <c:v>2.3078571977395157E-2</c:v>
                </c:pt>
                <c:pt idx="3065">
                  <c:v>2.3078571977475093E-2</c:v>
                </c:pt>
                <c:pt idx="3066">
                  <c:v>2.3078571977475093E-2</c:v>
                </c:pt>
                <c:pt idx="3067">
                  <c:v>2.3078571977475093E-2</c:v>
                </c:pt>
                <c:pt idx="3068">
                  <c:v>2.3078571977555029E-2</c:v>
                </c:pt>
                <c:pt idx="3069">
                  <c:v>2.3078571977395157E-2</c:v>
                </c:pt>
                <c:pt idx="3070">
                  <c:v>2.3078571977475093E-2</c:v>
                </c:pt>
                <c:pt idx="3071">
                  <c:v>2.3078571977475093E-2</c:v>
                </c:pt>
                <c:pt idx="3072">
                  <c:v>2.3078571977395157E-2</c:v>
                </c:pt>
                <c:pt idx="3073">
                  <c:v>2.3078571977395157E-2</c:v>
                </c:pt>
                <c:pt idx="3074">
                  <c:v>2.3078571977555029E-2</c:v>
                </c:pt>
                <c:pt idx="3075">
                  <c:v>2.3078571977475093E-2</c:v>
                </c:pt>
                <c:pt idx="3076">
                  <c:v>2.3078571977475093E-2</c:v>
                </c:pt>
                <c:pt idx="3077">
                  <c:v>2.3078571977475093E-2</c:v>
                </c:pt>
                <c:pt idx="3078">
                  <c:v>2.3078571977555029E-2</c:v>
                </c:pt>
                <c:pt idx="3079">
                  <c:v>2.3078571977475093E-2</c:v>
                </c:pt>
                <c:pt idx="3080">
                  <c:v>2.3078571977475093E-2</c:v>
                </c:pt>
                <c:pt idx="3081">
                  <c:v>2.3078571977475093E-2</c:v>
                </c:pt>
                <c:pt idx="3082">
                  <c:v>2.3078571977475093E-2</c:v>
                </c:pt>
                <c:pt idx="3083">
                  <c:v>2.3078571977395157E-2</c:v>
                </c:pt>
                <c:pt idx="3084">
                  <c:v>2.3078571977475093E-2</c:v>
                </c:pt>
                <c:pt idx="3085">
                  <c:v>2.3078571977475093E-2</c:v>
                </c:pt>
                <c:pt idx="3086">
                  <c:v>2.3078571977475093E-2</c:v>
                </c:pt>
                <c:pt idx="3087">
                  <c:v>2.3078571977395157E-2</c:v>
                </c:pt>
                <c:pt idx="3088">
                  <c:v>2.3078571977395157E-2</c:v>
                </c:pt>
                <c:pt idx="3089">
                  <c:v>2.3078571977555029E-2</c:v>
                </c:pt>
                <c:pt idx="3090">
                  <c:v>2.3078571977475093E-2</c:v>
                </c:pt>
                <c:pt idx="3091">
                  <c:v>2.3078571977395157E-2</c:v>
                </c:pt>
                <c:pt idx="3092">
                  <c:v>2.3078571977475093E-2</c:v>
                </c:pt>
                <c:pt idx="3093">
                  <c:v>2.3078571977475093E-2</c:v>
                </c:pt>
                <c:pt idx="3094">
                  <c:v>2.3078571977475093E-2</c:v>
                </c:pt>
                <c:pt idx="3095">
                  <c:v>2.3078571977395157E-2</c:v>
                </c:pt>
                <c:pt idx="3096">
                  <c:v>2.3078571977395157E-2</c:v>
                </c:pt>
                <c:pt idx="3097">
                  <c:v>2.3078571977475093E-2</c:v>
                </c:pt>
                <c:pt idx="3098">
                  <c:v>2.3078571977475093E-2</c:v>
                </c:pt>
                <c:pt idx="3099">
                  <c:v>2.3078571977475093E-2</c:v>
                </c:pt>
                <c:pt idx="3100">
                  <c:v>2.3078571977555029E-2</c:v>
                </c:pt>
                <c:pt idx="3101">
                  <c:v>2.3078571977555029E-2</c:v>
                </c:pt>
                <c:pt idx="3102">
                  <c:v>2.3078571977475093E-2</c:v>
                </c:pt>
                <c:pt idx="3103">
                  <c:v>2.3078571977475093E-2</c:v>
                </c:pt>
                <c:pt idx="3104">
                  <c:v>2.3078571977475093E-2</c:v>
                </c:pt>
                <c:pt idx="3105">
                  <c:v>2.3078571977475093E-2</c:v>
                </c:pt>
                <c:pt idx="3106">
                  <c:v>2.3078571977395157E-2</c:v>
                </c:pt>
                <c:pt idx="3107">
                  <c:v>2.3078571977395157E-2</c:v>
                </c:pt>
                <c:pt idx="3108">
                  <c:v>2.3078571977475093E-2</c:v>
                </c:pt>
                <c:pt idx="3109">
                  <c:v>2.3078571977475093E-2</c:v>
                </c:pt>
                <c:pt idx="3110">
                  <c:v>2.3078571977475093E-2</c:v>
                </c:pt>
                <c:pt idx="3111">
                  <c:v>2.3078571977475093E-2</c:v>
                </c:pt>
                <c:pt idx="3112">
                  <c:v>2.3078571977475093E-2</c:v>
                </c:pt>
                <c:pt idx="3113">
                  <c:v>2.3078571977475093E-2</c:v>
                </c:pt>
                <c:pt idx="3114">
                  <c:v>2.3078571977555029E-2</c:v>
                </c:pt>
                <c:pt idx="3115">
                  <c:v>2.3078571977475093E-2</c:v>
                </c:pt>
                <c:pt idx="3116">
                  <c:v>2.3078571977395157E-2</c:v>
                </c:pt>
                <c:pt idx="3117">
                  <c:v>2.3078571977475093E-2</c:v>
                </c:pt>
                <c:pt idx="3118">
                  <c:v>2.3078571977395157E-2</c:v>
                </c:pt>
                <c:pt idx="3119">
                  <c:v>2.3078571977475093E-2</c:v>
                </c:pt>
                <c:pt idx="3120">
                  <c:v>2.3078571977475093E-2</c:v>
                </c:pt>
                <c:pt idx="3121">
                  <c:v>2.3078571977475093E-2</c:v>
                </c:pt>
                <c:pt idx="3122">
                  <c:v>2.3078571977475093E-2</c:v>
                </c:pt>
                <c:pt idx="3123">
                  <c:v>2.3078571977475093E-2</c:v>
                </c:pt>
                <c:pt idx="3124">
                  <c:v>2.3078571977395157E-2</c:v>
                </c:pt>
                <c:pt idx="3125">
                  <c:v>2.3078571977475093E-2</c:v>
                </c:pt>
                <c:pt idx="3126">
                  <c:v>2.3078571977475093E-2</c:v>
                </c:pt>
                <c:pt idx="3127">
                  <c:v>2.3078571977475093E-2</c:v>
                </c:pt>
                <c:pt idx="3128">
                  <c:v>2.3078571977395157E-2</c:v>
                </c:pt>
                <c:pt idx="3129">
                  <c:v>2.3078571977395157E-2</c:v>
                </c:pt>
                <c:pt idx="3130">
                  <c:v>2.3078571977475093E-2</c:v>
                </c:pt>
                <c:pt idx="3131">
                  <c:v>2.3078571977475093E-2</c:v>
                </c:pt>
                <c:pt idx="3132">
                  <c:v>2.3078571977475093E-2</c:v>
                </c:pt>
                <c:pt idx="3133">
                  <c:v>2.3078571977475093E-2</c:v>
                </c:pt>
                <c:pt idx="3134">
                  <c:v>2.3078571977555029E-2</c:v>
                </c:pt>
                <c:pt idx="3135">
                  <c:v>2.3078571977475093E-2</c:v>
                </c:pt>
                <c:pt idx="3136">
                  <c:v>2.3078571977395157E-2</c:v>
                </c:pt>
                <c:pt idx="3137">
                  <c:v>2.3078571977475093E-2</c:v>
                </c:pt>
                <c:pt idx="3138">
                  <c:v>2.3078571977475093E-2</c:v>
                </c:pt>
                <c:pt idx="3139">
                  <c:v>2.3078571977395157E-2</c:v>
                </c:pt>
                <c:pt idx="3140">
                  <c:v>2.3078571977475093E-2</c:v>
                </c:pt>
                <c:pt idx="3141">
                  <c:v>2.3078571977475093E-2</c:v>
                </c:pt>
                <c:pt idx="3142">
                  <c:v>2.3078571977475093E-2</c:v>
                </c:pt>
                <c:pt idx="3143">
                  <c:v>2.3078571977475093E-2</c:v>
                </c:pt>
                <c:pt idx="3144">
                  <c:v>2.3078571977475093E-2</c:v>
                </c:pt>
                <c:pt idx="3145">
                  <c:v>2.3078571977475093E-2</c:v>
                </c:pt>
                <c:pt idx="3146">
                  <c:v>2.3078571977395157E-2</c:v>
                </c:pt>
                <c:pt idx="3147">
                  <c:v>2.3078571977475093E-2</c:v>
                </c:pt>
                <c:pt idx="3148">
                  <c:v>2.3078571977475093E-2</c:v>
                </c:pt>
                <c:pt idx="3149">
                  <c:v>2.3078571977475093E-2</c:v>
                </c:pt>
                <c:pt idx="3150">
                  <c:v>2.3078571977475093E-2</c:v>
                </c:pt>
                <c:pt idx="3151">
                  <c:v>2.3078571977395157E-2</c:v>
                </c:pt>
                <c:pt idx="3152">
                  <c:v>2.3078571977475093E-2</c:v>
                </c:pt>
                <c:pt idx="3153">
                  <c:v>2.3078571977395157E-2</c:v>
                </c:pt>
                <c:pt idx="3154">
                  <c:v>2.3078571977395157E-2</c:v>
                </c:pt>
                <c:pt idx="3155">
                  <c:v>2.3078571977475093E-2</c:v>
                </c:pt>
                <c:pt idx="3156">
                  <c:v>2.3078571977555029E-2</c:v>
                </c:pt>
                <c:pt idx="3157">
                  <c:v>2.3078571977395157E-2</c:v>
                </c:pt>
                <c:pt idx="3158">
                  <c:v>2.3078571977555029E-2</c:v>
                </c:pt>
                <c:pt idx="3159">
                  <c:v>2.3078571977475093E-2</c:v>
                </c:pt>
                <c:pt idx="3160">
                  <c:v>2.3078571977475093E-2</c:v>
                </c:pt>
                <c:pt idx="3161">
                  <c:v>2.3078571977475093E-2</c:v>
                </c:pt>
                <c:pt idx="3162">
                  <c:v>2.3078571977475093E-2</c:v>
                </c:pt>
                <c:pt idx="3163">
                  <c:v>2.3078571977395157E-2</c:v>
                </c:pt>
                <c:pt idx="3164">
                  <c:v>2.3078571977475093E-2</c:v>
                </c:pt>
                <c:pt idx="3165">
                  <c:v>2.3078571977395157E-2</c:v>
                </c:pt>
                <c:pt idx="3166">
                  <c:v>2.3078571977475093E-2</c:v>
                </c:pt>
                <c:pt idx="3167">
                  <c:v>2.3078571977555029E-2</c:v>
                </c:pt>
                <c:pt idx="3168">
                  <c:v>2.3078571977475093E-2</c:v>
                </c:pt>
                <c:pt idx="3169">
                  <c:v>2.3078571977475093E-2</c:v>
                </c:pt>
                <c:pt idx="3170">
                  <c:v>2.3078571977475093E-2</c:v>
                </c:pt>
                <c:pt idx="3171">
                  <c:v>2.3078571977475093E-2</c:v>
                </c:pt>
                <c:pt idx="3172">
                  <c:v>2.3078571977395157E-2</c:v>
                </c:pt>
                <c:pt idx="3173">
                  <c:v>2.3078571977475093E-2</c:v>
                </c:pt>
                <c:pt idx="3174">
                  <c:v>2.3078571977475093E-2</c:v>
                </c:pt>
                <c:pt idx="3175">
                  <c:v>2.3078571977395157E-2</c:v>
                </c:pt>
                <c:pt idx="3176">
                  <c:v>2.3078571977395157E-2</c:v>
                </c:pt>
                <c:pt idx="3177">
                  <c:v>2.3078571977475093E-2</c:v>
                </c:pt>
                <c:pt idx="3178">
                  <c:v>2.3078571977475093E-2</c:v>
                </c:pt>
                <c:pt idx="3179">
                  <c:v>2.3078571977475093E-2</c:v>
                </c:pt>
                <c:pt idx="3180">
                  <c:v>2.3078571977475093E-2</c:v>
                </c:pt>
                <c:pt idx="3181">
                  <c:v>2.3078571977475093E-2</c:v>
                </c:pt>
                <c:pt idx="3182">
                  <c:v>2.3078571977475093E-2</c:v>
                </c:pt>
                <c:pt idx="3183">
                  <c:v>2.3078571977395157E-2</c:v>
                </c:pt>
                <c:pt idx="3184">
                  <c:v>2.3078571977475093E-2</c:v>
                </c:pt>
                <c:pt idx="3185">
                  <c:v>2.3078571977555029E-2</c:v>
                </c:pt>
                <c:pt idx="3186">
                  <c:v>2.3078571977475093E-2</c:v>
                </c:pt>
                <c:pt idx="3187">
                  <c:v>2.3078571977475093E-2</c:v>
                </c:pt>
                <c:pt idx="3188">
                  <c:v>2.3078571977555029E-2</c:v>
                </c:pt>
                <c:pt idx="3189">
                  <c:v>2.3078571977395157E-2</c:v>
                </c:pt>
                <c:pt idx="3190">
                  <c:v>2.3078571977395157E-2</c:v>
                </c:pt>
                <c:pt idx="3191">
                  <c:v>2.3078571977555029E-2</c:v>
                </c:pt>
                <c:pt idx="3192">
                  <c:v>2.3078571977475093E-2</c:v>
                </c:pt>
                <c:pt idx="3193">
                  <c:v>2.3078571977395157E-2</c:v>
                </c:pt>
                <c:pt idx="3194">
                  <c:v>2.3078571977475093E-2</c:v>
                </c:pt>
                <c:pt idx="3195">
                  <c:v>2.3078571977475093E-2</c:v>
                </c:pt>
                <c:pt idx="3196">
                  <c:v>2.3078571977475093E-2</c:v>
                </c:pt>
                <c:pt idx="3197">
                  <c:v>2.3078571977475093E-2</c:v>
                </c:pt>
                <c:pt idx="3198">
                  <c:v>2.3078571977395157E-2</c:v>
                </c:pt>
                <c:pt idx="3199">
                  <c:v>2.3078571977475093E-2</c:v>
                </c:pt>
                <c:pt idx="3200">
                  <c:v>2.3078571977475093E-2</c:v>
                </c:pt>
                <c:pt idx="3201">
                  <c:v>2.3078571977475093E-2</c:v>
                </c:pt>
                <c:pt idx="3202">
                  <c:v>2.3078571977475093E-2</c:v>
                </c:pt>
                <c:pt idx="3203">
                  <c:v>2.3078571977475093E-2</c:v>
                </c:pt>
                <c:pt idx="3204">
                  <c:v>2.3078571977475093E-2</c:v>
                </c:pt>
                <c:pt idx="3205">
                  <c:v>2.3078571977395157E-2</c:v>
                </c:pt>
                <c:pt idx="3206">
                  <c:v>2.3078571977475093E-2</c:v>
                </c:pt>
                <c:pt idx="3207">
                  <c:v>2.3078571977555029E-2</c:v>
                </c:pt>
                <c:pt idx="3208">
                  <c:v>2.3078571977475093E-2</c:v>
                </c:pt>
                <c:pt idx="3209">
                  <c:v>2.3078571977475093E-2</c:v>
                </c:pt>
                <c:pt idx="3210">
                  <c:v>2.3078571977555029E-2</c:v>
                </c:pt>
                <c:pt idx="3211">
                  <c:v>2.3078571977555029E-2</c:v>
                </c:pt>
                <c:pt idx="3212">
                  <c:v>2.3080051510451227E-2</c:v>
                </c:pt>
                <c:pt idx="3213">
                  <c:v>2.3078571977395157E-2</c:v>
                </c:pt>
                <c:pt idx="3214">
                  <c:v>2.3078571977555029E-2</c:v>
                </c:pt>
                <c:pt idx="3215">
                  <c:v>2.3078571977555029E-2</c:v>
                </c:pt>
                <c:pt idx="3216">
                  <c:v>2.3078571977395157E-2</c:v>
                </c:pt>
                <c:pt idx="3217">
                  <c:v>2.3078571977475093E-2</c:v>
                </c:pt>
                <c:pt idx="3218">
                  <c:v>2.3078571977475093E-2</c:v>
                </c:pt>
                <c:pt idx="3219">
                  <c:v>2.3078571977555029E-2</c:v>
                </c:pt>
                <c:pt idx="3220">
                  <c:v>2.3078571977475093E-2</c:v>
                </c:pt>
                <c:pt idx="3221">
                  <c:v>2.3078571977475093E-2</c:v>
                </c:pt>
                <c:pt idx="3222">
                  <c:v>2.3078571977475093E-2</c:v>
                </c:pt>
                <c:pt idx="3223">
                  <c:v>2.3078571977395157E-2</c:v>
                </c:pt>
                <c:pt idx="3224">
                  <c:v>2.3078571977475093E-2</c:v>
                </c:pt>
                <c:pt idx="3225">
                  <c:v>2.3078571977475093E-2</c:v>
                </c:pt>
                <c:pt idx="3226">
                  <c:v>2.3078571977475093E-2</c:v>
                </c:pt>
                <c:pt idx="3227">
                  <c:v>2.3078571977395157E-2</c:v>
                </c:pt>
                <c:pt idx="3228">
                  <c:v>2.3078571977475093E-2</c:v>
                </c:pt>
                <c:pt idx="3229">
                  <c:v>2.3078571977475093E-2</c:v>
                </c:pt>
                <c:pt idx="3230">
                  <c:v>2.3078571977555029E-2</c:v>
                </c:pt>
                <c:pt idx="3231">
                  <c:v>2.3078571977555029E-2</c:v>
                </c:pt>
                <c:pt idx="3232">
                  <c:v>2.3078571977475093E-2</c:v>
                </c:pt>
                <c:pt idx="3233">
                  <c:v>2.3078571977475093E-2</c:v>
                </c:pt>
                <c:pt idx="3234">
                  <c:v>2.3078571977395157E-2</c:v>
                </c:pt>
                <c:pt idx="3235">
                  <c:v>2.3078571977475093E-2</c:v>
                </c:pt>
                <c:pt idx="3236">
                  <c:v>2.3078571977475093E-2</c:v>
                </c:pt>
                <c:pt idx="3237">
                  <c:v>2.3078571977475093E-2</c:v>
                </c:pt>
                <c:pt idx="3238">
                  <c:v>2.3078571977555029E-2</c:v>
                </c:pt>
                <c:pt idx="3239">
                  <c:v>2.3078571977555029E-2</c:v>
                </c:pt>
                <c:pt idx="3240">
                  <c:v>2.3078571977475093E-2</c:v>
                </c:pt>
                <c:pt idx="3241">
                  <c:v>2.3078571977395157E-2</c:v>
                </c:pt>
                <c:pt idx="3242">
                  <c:v>2.3078571977475093E-2</c:v>
                </c:pt>
                <c:pt idx="3243">
                  <c:v>2.3078571977475093E-2</c:v>
                </c:pt>
                <c:pt idx="3244">
                  <c:v>2.3078571977475093E-2</c:v>
                </c:pt>
                <c:pt idx="3245">
                  <c:v>2.3078571977395157E-2</c:v>
                </c:pt>
                <c:pt idx="3246">
                  <c:v>2.3078571977395157E-2</c:v>
                </c:pt>
                <c:pt idx="3247">
                  <c:v>2.3078571977475093E-2</c:v>
                </c:pt>
                <c:pt idx="3248">
                  <c:v>2.3080051510424582E-2</c:v>
                </c:pt>
                <c:pt idx="3249">
                  <c:v>2.3080051510424582E-2</c:v>
                </c:pt>
                <c:pt idx="3250">
                  <c:v>2.3078571977395157E-2</c:v>
                </c:pt>
                <c:pt idx="3251">
                  <c:v>2.3078571977555029E-2</c:v>
                </c:pt>
                <c:pt idx="3252">
                  <c:v>2.3078571977475093E-2</c:v>
                </c:pt>
                <c:pt idx="3253">
                  <c:v>2.3078571977475093E-2</c:v>
                </c:pt>
                <c:pt idx="3254">
                  <c:v>2.3078571977475093E-2</c:v>
                </c:pt>
                <c:pt idx="3255">
                  <c:v>2.3078571977555029E-2</c:v>
                </c:pt>
                <c:pt idx="3256">
                  <c:v>2.3078571977475093E-2</c:v>
                </c:pt>
                <c:pt idx="3257">
                  <c:v>2.3078571977395157E-2</c:v>
                </c:pt>
                <c:pt idx="3258">
                  <c:v>2.3078571977395157E-2</c:v>
                </c:pt>
                <c:pt idx="3259">
                  <c:v>2.3078571977475093E-2</c:v>
                </c:pt>
                <c:pt idx="3260">
                  <c:v>2.3078571977475093E-2</c:v>
                </c:pt>
                <c:pt idx="3261">
                  <c:v>2.308153116985423E-2</c:v>
                </c:pt>
                <c:pt idx="3262">
                  <c:v>2.3078571977555029E-2</c:v>
                </c:pt>
                <c:pt idx="3263">
                  <c:v>2.3078571977475093E-2</c:v>
                </c:pt>
                <c:pt idx="3264">
                  <c:v>2.3078571977475093E-2</c:v>
                </c:pt>
                <c:pt idx="3265">
                  <c:v>2.3078571977475093E-2</c:v>
                </c:pt>
                <c:pt idx="3266">
                  <c:v>2.3078571977475093E-2</c:v>
                </c:pt>
                <c:pt idx="3267">
                  <c:v>2.3078571977475093E-2</c:v>
                </c:pt>
                <c:pt idx="3268">
                  <c:v>2.3078571977475093E-2</c:v>
                </c:pt>
                <c:pt idx="3269">
                  <c:v>2.3078571977475093E-2</c:v>
                </c:pt>
                <c:pt idx="3270">
                  <c:v>2.3078571977395157E-2</c:v>
                </c:pt>
                <c:pt idx="3271">
                  <c:v>2.3078571977395157E-2</c:v>
                </c:pt>
                <c:pt idx="3272">
                  <c:v>2.3078571977475093E-2</c:v>
                </c:pt>
                <c:pt idx="3273">
                  <c:v>2.3078571977475093E-2</c:v>
                </c:pt>
                <c:pt idx="3274">
                  <c:v>2.3078571977475093E-2</c:v>
                </c:pt>
                <c:pt idx="3275">
                  <c:v>2.3078571977475093E-2</c:v>
                </c:pt>
                <c:pt idx="3276">
                  <c:v>2.3078571977475093E-2</c:v>
                </c:pt>
                <c:pt idx="3277">
                  <c:v>2.3078571977475093E-2</c:v>
                </c:pt>
                <c:pt idx="3278">
                  <c:v>2.3078571977395157E-2</c:v>
                </c:pt>
                <c:pt idx="3279">
                  <c:v>2.3078571977555029E-2</c:v>
                </c:pt>
                <c:pt idx="3280">
                  <c:v>2.3078571977475093E-2</c:v>
                </c:pt>
                <c:pt idx="3281">
                  <c:v>2.3078571977475093E-2</c:v>
                </c:pt>
                <c:pt idx="3282">
                  <c:v>2.3078571977395157E-2</c:v>
                </c:pt>
                <c:pt idx="3283">
                  <c:v>2.3078571977475093E-2</c:v>
                </c:pt>
                <c:pt idx="3284">
                  <c:v>2.3078571977475093E-2</c:v>
                </c:pt>
                <c:pt idx="3285">
                  <c:v>2.3078571977475093E-2</c:v>
                </c:pt>
                <c:pt idx="3286">
                  <c:v>2.3078571977555029E-2</c:v>
                </c:pt>
                <c:pt idx="3287">
                  <c:v>2.3078571977475093E-2</c:v>
                </c:pt>
                <c:pt idx="3288">
                  <c:v>2.3078571977475093E-2</c:v>
                </c:pt>
                <c:pt idx="3289">
                  <c:v>2.3078571977395157E-2</c:v>
                </c:pt>
                <c:pt idx="3290">
                  <c:v>2.3078571977475093E-2</c:v>
                </c:pt>
                <c:pt idx="3291">
                  <c:v>2.3078571977475093E-2</c:v>
                </c:pt>
                <c:pt idx="3292">
                  <c:v>2.3078571977395157E-2</c:v>
                </c:pt>
                <c:pt idx="3293">
                  <c:v>2.3078571977475093E-2</c:v>
                </c:pt>
                <c:pt idx="3294">
                  <c:v>2.3078571977555029E-2</c:v>
                </c:pt>
                <c:pt idx="3295">
                  <c:v>2.3078571977475093E-2</c:v>
                </c:pt>
                <c:pt idx="3296">
                  <c:v>2.3078571977475093E-2</c:v>
                </c:pt>
                <c:pt idx="3297">
                  <c:v>2.3078571977555029E-2</c:v>
                </c:pt>
                <c:pt idx="3298">
                  <c:v>2.3078571977475093E-2</c:v>
                </c:pt>
                <c:pt idx="3299">
                  <c:v>2.3078571977395157E-2</c:v>
                </c:pt>
                <c:pt idx="3300">
                  <c:v>2.3079311728135821E-2</c:v>
                </c:pt>
                <c:pt idx="3301">
                  <c:v>2.3078571977395157E-2</c:v>
                </c:pt>
                <c:pt idx="3302">
                  <c:v>2.3078571977475093E-2</c:v>
                </c:pt>
                <c:pt idx="3303">
                  <c:v>2.3078571977475093E-2</c:v>
                </c:pt>
                <c:pt idx="3304">
                  <c:v>2.3078571977475093E-2</c:v>
                </c:pt>
                <c:pt idx="3305">
                  <c:v>2.3078571977475093E-2</c:v>
                </c:pt>
                <c:pt idx="3306">
                  <c:v>2.3078571977475093E-2</c:v>
                </c:pt>
                <c:pt idx="3307">
                  <c:v>2.3078571977395157E-2</c:v>
                </c:pt>
                <c:pt idx="3308">
                  <c:v>2.3078571977475093E-2</c:v>
                </c:pt>
                <c:pt idx="3309">
                  <c:v>2.3078571977475093E-2</c:v>
                </c:pt>
                <c:pt idx="3310">
                  <c:v>2.3078571977395157E-2</c:v>
                </c:pt>
                <c:pt idx="3311">
                  <c:v>2.3078571977555029E-2</c:v>
                </c:pt>
                <c:pt idx="3312">
                  <c:v>2.3078571977475093E-2</c:v>
                </c:pt>
                <c:pt idx="3313">
                  <c:v>2.3078571977395157E-2</c:v>
                </c:pt>
                <c:pt idx="3314">
                  <c:v>2.3078571977475093E-2</c:v>
                </c:pt>
                <c:pt idx="3315">
                  <c:v>2.3078571977475093E-2</c:v>
                </c:pt>
                <c:pt idx="3316">
                  <c:v>2.3078571977475093E-2</c:v>
                </c:pt>
                <c:pt idx="3317">
                  <c:v>2.3078571977475093E-2</c:v>
                </c:pt>
                <c:pt idx="3318">
                  <c:v>2.3078571977475093E-2</c:v>
                </c:pt>
                <c:pt idx="3319">
                  <c:v>2.3078571977475093E-2</c:v>
                </c:pt>
                <c:pt idx="3320">
                  <c:v>2.3078571977555029E-2</c:v>
                </c:pt>
                <c:pt idx="3321">
                  <c:v>2.3078571977475093E-2</c:v>
                </c:pt>
                <c:pt idx="3322">
                  <c:v>2.3078571977475093E-2</c:v>
                </c:pt>
                <c:pt idx="3323">
                  <c:v>2.3078571977475093E-2</c:v>
                </c:pt>
                <c:pt idx="3324">
                  <c:v>2.3078571977475093E-2</c:v>
                </c:pt>
                <c:pt idx="3325">
                  <c:v>2.3078571977475093E-2</c:v>
                </c:pt>
                <c:pt idx="3326">
                  <c:v>2.3078571977475093E-2</c:v>
                </c:pt>
                <c:pt idx="3327">
                  <c:v>2.3078571977475093E-2</c:v>
                </c:pt>
                <c:pt idx="3328">
                  <c:v>2.3078571977475093E-2</c:v>
                </c:pt>
                <c:pt idx="3329">
                  <c:v>2.3078571977475093E-2</c:v>
                </c:pt>
                <c:pt idx="3330">
                  <c:v>2.3078571977555029E-2</c:v>
                </c:pt>
                <c:pt idx="3331">
                  <c:v>2.3078571977475093E-2</c:v>
                </c:pt>
                <c:pt idx="3332">
                  <c:v>2.3078571977475093E-2</c:v>
                </c:pt>
                <c:pt idx="3333">
                  <c:v>2.3078571977475093E-2</c:v>
                </c:pt>
                <c:pt idx="3334">
                  <c:v>2.3078571977475093E-2</c:v>
                </c:pt>
                <c:pt idx="3335">
                  <c:v>2.3078571977475093E-2</c:v>
                </c:pt>
                <c:pt idx="3336">
                  <c:v>2.3078571977475093E-2</c:v>
                </c:pt>
                <c:pt idx="3337">
                  <c:v>2.3078571977475093E-2</c:v>
                </c:pt>
                <c:pt idx="3338">
                  <c:v>2.3078571977475093E-2</c:v>
                </c:pt>
                <c:pt idx="3339">
                  <c:v>2.3078571977475093E-2</c:v>
                </c:pt>
                <c:pt idx="3340">
                  <c:v>2.3078571977475093E-2</c:v>
                </c:pt>
                <c:pt idx="3341">
                  <c:v>2.3078571977555029E-2</c:v>
                </c:pt>
                <c:pt idx="3342">
                  <c:v>2.3078571977475093E-2</c:v>
                </c:pt>
                <c:pt idx="3343">
                  <c:v>2.3078571977395157E-2</c:v>
                </c:pt>
                <c:pt idx="3344">
                  <c:v>2.3078571977555029E-2</c:v>
                </c:pt>
                <c:pt idx="3345">
                  <c:v>2.3078571977475093E-2</c:v>
                </c:pt>
                <c:pt idx="3346">
                  <c:v>2.3078571977395157E-2</c:v>
                </c:pt>
                <c:pt idx="3347">
                  <c:v>2.3078571977475093E-2</c:v>
                </c:pt>
                <c:pt idx="3348">
                  <c:v>2.3078571977395157E-2</c:v>
                </c:pt>
                <c:pt idx="3349">
                  <c:v>2.3078571977555029E-2</c:v>
                </c:pt>
                <c:pt idx="3350">
                  <c:v>2.3078571977395157E-2</c:v>
                </c:pt>
                <c:pt idx="3351">
                  <c:v>2.3078571977475093E-2</c:v>
                </c:pt>
                <c:pt idx="3352">
                  <c:v>2.3078571977395157E-2</c:v>
                </c:pt>
                <c:pt idx="3353">
                  <c:v>2.3078571977475093E-2</c:v>
                </c:pt>
                <c:pt idx="3354">
                  <c:v>2.3078571977395157E-2</c:v>
                </c:pt>
                <c:pt idx="3355">
                  <c:v>2.3078571977475093E-2</c:v>
                </c:pt>
                <c:pt idx="3356">
                  <c:v>2.3078571977555029E-2</c:v>
                </c:pt>
                <c:pt idx="3357">
                  <c:v>2.3078571977475093E-2</c:v>
                </c:pt>
                <c:pt idx="3358">
                  <c:v>2.3078571977475093E-2</c:v>
                </c:pt>
                <c:pt idx="3359">
                  <c:v>2.3078571977475093E-2</c:v>
                </c:pt>
                <c:pt idx="3360">
                  <c:v>2.3078571977395157E-2</c:v>
                </c:pt>
                <c:pt idx="3361">
                  <c:v>2.3078571977395157E-2</c:v>
                </c:pt>
                <c:pt idx="3362">
                  <c:v>2.3078571977475093E-2</c:v>
                </c:pt>
                <c:pt idx="3363">
                  <c:v>2.3078571977475093E-2</c:v>
                </c:pt>
                <c:pt idx="3364">
                  <c:v>2.3078571977395157E-2</c:v>
                </c:pt>
                <c:pt idx="3365">
                  <c:v>2.3078571977555029E-2</c:v>
                </c:pt>
                <c:pt idx="3366">
                  <c:v>2.3078571977395157E-2</c:v>
                </c:pt>
                <c:pt idx="3367">
                  <c:v>2.3078571977395157E-2</c:v>
                </c:pt>
                <c:pt idx="3368">
                  <c:v>2.3078571977475093E-2</c:v>
                </c:pt>
                <c:pt idx="3369">
                  <c:v>2.3078571977475093E-2</c:v>
                </c:pt>
                <c:pt idx="3370">
                  <c:v>2.3078571977475093E-2</c:v>
                </c:pt>
                <c:pt idx="3371">
                  <c:v>2.3078571977395157E-2</c:v>
                </c:pt>
                <c:pt idx="3372">
                  <c:v>2.3078571977475093E-2</c:v>
                </c:pt>
                <c:pt idx="3373">
                  <c:v>2.3078571977475093E-2</c:v>
                </c:pt>
                <c:pt idx="3374">
                  <c:v>2.3078571977475093E-2</c:v>
                </c:pt>
                <c:pt idx="3375">
                  <c:v>2.3078571977395157E-2</c:v>
                </c:pt>
                <c:pt idx="3376">
                  <c:v>2.3078571977475093E-2</c:v>
                </c:pt>
                <c:pt idx="3377">
                  <c:v>2.3078571977475093E-2</c:v>
                </c:pt>
                <c:pt idx="3378">
                  <c:v>2.3078571977475093E-2</c:v>
                </c:pt>
                <c:pt idx="3379">
                  <c:v>2.3078571977395157E-2</c:v>
                </c:pt>
                <c:pt idx="3380">
                  <c:v>2.3078571977475093E-2</c:v>
                </c:pt>
                <c:pt idx="3381">
                  <c:v>2.3078571977555029E-2</c:v>
                </c:pt>
                <c:pt idx="3382">
                  <c:v>2.3078571977395157E-2</c:v>
                </c:pt>
                <c:pt idx="3383">
                  <c:v>2.3078571977475093E-2</c:v>
                </c:pt>
                <c:pt idx="3384">
                  <c:v>2.3078571977475093E-2</c:v>
                </c:pt>
                <c:pt idx="3385">
                  <c:v>2.3078571977475093E-2</c:v>
                </c:pt>
                <c:pt idx="3386">
                  <c:v>2.3078571977475093E-2</c:v>
                </c:pt>
                <c:pt idx="3387">
                  <c:v>2.3078571977475093E-2</c:v>
                </c:pt>
                <c:pt idx="3388">
                  <c:v>2.3078571977475093E-2</c:v>
                </c:pt>
                <c:pt idx="3389">
                  <c:v>2.3078571977395157E-2</c:v>
                </c:pt>
                <c:pt idx="3390">
                  <c:v>2.3078571977395157E-2</c:v>
                </c:pt>
                <c:pt idx="3391">
                  <c:v>2.3078571977475093E-2</c:v>
                </c:pt>
                <c:pt idx="3392">
                  <c:v>2.3078571977475093E-2</c:v>
                </c:pt>
                <c:pt idx="3393">
                  <c:v>2.3078571977395157E-2</c:v>
                </c:pt>
                <c:pt idx="3394">
                  <c:v>2.3078571977475093E-2</c:v>
                </c:pt>
                <c:pt idx="3395">
                  <c:v>2.3078571977475093E-2</c:v>
                </c:pt>
                <c:pt idx="3396">
                  <c:v>2.3078571977475093E-2</c:v>
                </c:pt>
                <c:pt idx="3397">
                  <c:v>2.3078571977395157E-2</c:v>
                </c:pt>
                <c:pt idx="3398">
                  <c:v>2.3078571977555029E-2</c:v>
                </c:pt>
                <c:pt idx="3399">
                  <c:v>2.3078571977475093E-2</c:v>
                </c:pt>
                <c:pt idx="3400">
                  <c:v>2.3078571977475093E-2</c:v>
                </c:pt>
                <c:pt idx="3401">
                  <c:v>2.3078571977395157E-2</c:v>
                </c:pt>
                <c:pt idx="3402">
                  <c:v>2.3078571977475093E-2</c:v>
                </c:pt>
                <c:pt idx="3403">
                  <c:v>2.3078571977555029E-2</c:v>
                </c:pt>
                <c:pt idx="3404">
                  <c:v>2.3078571977475093E-2</c:v>
                </c:pt>
                <c:pt idx="3405">
                  <c:v>2.3078571977475093E-2</c:v>
                </c:pt>
                <c:pt idx="3406">
                  <c:v>2.3078571977475093E-2</c:v>
                </c:pt>
                <c:pt idx="3407">
                  <c:v>2.3078571977475093E-2</c:v>
                </c:pt>
                <c:pt idx="3408">
                  <c:v>2.3078571977475093E-2</c:v>
                </c:pt>
                <c:pt idx="3409">
                  <c:v>2.3078571977395157E-2</c:v>
                </c:pt>
                <c:pt idx="3410">
                  <c:v>2.3078571977555029E-2</c:v>
                </c:pt>
                <c:pt idx="3411">
                  <c:v>2.3078571977475093E-2</c:v>
                </c:pt>
                <c:pt idx="3412">
                  <c:v>2.3078571977475093E-2</c:v>
                </c:pt>
                <c:pt idx="3413">
                  <c:v>2.3078571977395157E-2</c:v>
                </c:pt>
                <c:pt idx="3414">
                  <c:v>2.3078571977475093E-2</c:v>
                </c:pt>
                <c:pt idx="3415">
                  <c:v>2.3078571977475093E-2</c:v>
                </c:pt>
                <c:pt idx="3416">
                  <c:v>2.3078571977395157E-2</c:v>
                </c:pt>
                <c:pt idx="3417">
                  <c:v>2.3078571977475093E-2</c:v>
                </c:pt>
                <c:pt idx="3418">
                  <c:v>2.3078571977475093E-2</c:v>
                </c:pt>
                <c:pt idx="3419">
                  <c:v>2.3078571977475093E-2</c:v>
                </c:pt>
                <c:pt idx="3420">
                  <c:v>2.3078571977475093E-2</c:v>
                </c:pt>
                <c:pt idx="3421">
                  <c:v>2.3078571977555029E-2</c:v>
                </c:pt>
                <c:pt idx="3422">
                  <c:v>2.3078571977475093E-2</c:v>
                </c:pt>
                <c:pt idx="3423">
                  <c:v>2.3078571977475093E-2</c:v>
                </c:pt>
                <c:pt idx="3424">
                  <c:v>2.3078571977475093E-2</c:v>
                </c:pt>
                <c:pt idx="3425">
                  <c:v>2.3078571977475093E-2</c:v>
                </c:pt>
                <c:pt idx="3426">
                  <c:v>2.3078571977475093E-2</c:v>
                </c:pt>
                <c:pt idx="3427">
                  <c:v>2.3078571977395157E-2</c:v>
                </c:pt>
                <c:pt idx="3428">
                  <c:v>2.3078571977475093E-2</c:v>
                </c:pt>
                <c:pt idx="3429">
                  <c:v>2.3078571977475093E-2</c:v>
                </c:pt>
                <c:pt idx="3430">
                  <c:v>2.3078571977475093E-2</c:v>
                </c:pt>
                <c:pt idx="3431">
                  <c:v>2.3078571977395157E-2</c:v>
                </c:pt>
                <c:pt idx="3432">
                  <c:v>2.3078571977555029E-2</c:v>
                </c:pt>
                <c:pt idx="3433">
                  <c:v>2.3078571977475093E-2</c:v>
                </c:pt>
                <c:pt idx="3434">
                  <c:v>2.3078571977395157E-2</c:v>
                </c:pt>
                <c:pt idx="3435">
                  <c:v>2.3078571977395157E-2</c:v>
                </c:pt>
                <c:pt idx="3436">
                  <c:v>2.3078571977475093E-2</c:v>
                </c:pt>
                <c:pt idx="3437">
                  <c:v>2.3078571977475093E-2</c:v>
                </c:pt>
                <c:pt idx="3438">
                  <c:v>2.3078571977395157E-2</c:v>
                </c:pt>
                <c:pt idx="3439">
                  <c:v>2.3078571977395157E-2</c:v>
                </c:pt>
                <c:pt idx="3440">
                  <c:v>2.3078571977475093E-2</c:v>
                </c:pt>
                <c:pt idx="3441">
                  <c:v>2.3078571977395157E-2</c:v>
                </c:pt>
                <c:pt idx="3442">
                  <c:v>2.3078571977395157E-2</c:v>
                </c:pt>
                <c:pt idx="3443">
                  <c:v>2.3078571977475093E-2</c:v>
                </c:pt>
                <c:pt idx="3444">
                  <c:v>2.3078571977555029E-2</c:v>
                </c:pt>
                <c:pt idx="3445">
                  <c:v>2.3078571977395157E-2</c:v>
                </c:pt>
                <c:pt idx="3446">
                  <c:v>2.3078571977475093E-2</c:v>
                </c:pt>
                <c:pt idx="3447">
                  <c:v>2.3078571977475093E-2</c:v>
                </c:pt>
                <c:pt idx="3448">
                  <c:v>2.3078571977475093E-2</c:v>
                </c:pt>
                <c:pt idx="3449">
                  <c:v>2.3078571977395157E-2</c:v>
                </c:pt>
                <c:pt idx="3450">
                  <c:v>2.3078571977395157E-2</c:v>
                </c:pt>
                <c:pt idx="3451">
                  <c:v>2.3078571977475093E-2</c:v>
                </c:pt>
                <c:pt idx="3452">
                  <c:v>2.3078571977395157E-2</c:v>
                </c:pt>
                <c:pt idx="3453">
                  <c:v>2.3078571977395157E-2</c:v>
                </c:pt>
                <c:pt idx="3454">
                  <c:v>2.3078571977475093E-2</c:v>
                </c:pt>
                <c:pt idx="3455">
                  <c:v>2.3078571977555029E-2</c:v>
                </c:pt>
                <c:pt idx="3456">
                  <c:v>2.3078571977475093E-2</c:v>
                </c:pt>
                <c:pt idx="3457">
                  <c:v>2.3078571977395157E-2</c:v>
                </c:pt>
                <c:pt idx="3458">
                  <c:v>2.3078571977475093E-2</c:v>
                </c:pt>
                <c:pt idx="3459">
                  <c:v>2.3078571977395157E-2</c:v>
                </c:pt>
                <c:pt idx="3460">
                  <c:v>2.3078571977475093E-2</c:v>
                </c:pt>
                <c:pt idx="3461">
                  <c:v>2.3078571977475093E-2</c:v>
                </c:pt>
                <c:pt idx="3462">
                  <c:v>2.3078571977475093E-2</c:v>
                </c:pt>
                <c:pt idx="3463">
                  <c:v>2.3078571977475093E-2</c:v>
                </c:pt>
                <c:pt idx="3464">
                  <c:v>2.3078571977475093E-2</c:v>
                </c:pt>
                <c:pt idx="3465">
                  <c:v>2.3078571977475093E-2</c:v>
                </c:pt>
                <c:pt idx="3466">
                  <c:v>2.3078571977475093E-2</c:v>
                </c:pt>
                <c:pt idx="3467">
                  <c:v>2.3078571977475093E-2</c:v>
                </c:pt>
                <c:pt idx="3468">
                  <c:v>2.3078571977475093E-2</c:v>
                </c:pt>
                <c:pt idx="3469">
                  <c:v>2.3078571977475093E-2</c:v>
                </c:pt>
                <c:pt idx="3470">
                  <c:v>2.3078571977395157E-2</c:v>
                </c:pt>
                <c:pt idx="3471">
                  <c:v>2.3078571977395157E-2</c:v>
                </c:pt>
                <c:pt idx="3472">
                  <c:v>2.3078571977475093E-2</c:v>
                </c:pt>
                <c:pt idx="3473">
                  <c:v>2.3078571977475093E-2</c:v>
                </c:pt>
                <c:pt idx="3474">
                  <c:v>2.3078571977395157E-2</c:v>
                </c:pt>
                <c:pt idx="3475">
                  <c:v>2.3078571977475093E-2</c:v>
                </c:pt>
                <c:pt idx="3476">
                  <c:v>2.3078571977475093E-2</c:v>
                </c:pt>
                <c:pt idx="3477">
                  <c:v>2.3078571977555029E-2</c:v>
                </c:pt>
                <c:pt idx="3478">
                  <c:v>2.3078571977475093E-2</c:v>
                </c:pt>
                <c:pt idx="3479">
                  <c:v>2.3078571977475093E-2</c:v>
                </c:pt>
                <c:pt idx="3480">
                  <c:v>2.3078571977475093E-2</c:v>
                </c:pt>
                <c:pt idx="3481">
                  <c:v>2.3078571977475093E-2</c:v>
                </c:pt>
                <c:pt idx="3482">
                  <c:v>2.3078571977395157E-2</c:v>
                </c:pt>
                <c:pt idx="3483">
                  <c:v>2.3078571977475093E-2</c:v>
                </c:pt>
                <c:pt idx="3484">
                  <c:v>2.3078571977475093E-2</c:v>
                </c:pt>
                <c:pt idx="3485">
                  <c:v>2.3078571977395157E-2</c:v>
                </c:pt>
                <c:pt idx="3486">
                  <c:v>2.3078571977475093E-2</c:v>
                </c:pt>
                <c:pt idx="3487">
                  <c:v>2.3078571977475093E-2</c:v>
                </c:pt>
                <c:pt idx="3488">
                  <c:v>2.3078571977475093E-2</c:v>
                </c:pt>
                <c:pt idx="3489">
                  <c:v>2.3078571977475093E-2</c:v>
                </c:pt>
                <c:pt idx="3490">
                  <c:v>2.3078571977555029E-2</c:v>
                </c:pt>
                <c:pt idx="3491">
                  <c:v>2.3078571977475093E-2</c:v>
                </c:pt>
                <c:pt idx="3492">
                  <c:v>2.3078571977475093E-2</c:v>
                </c:pt>
                <c:pt idx="3493">
                  <c:v>2.3078571977555029E-2</c:v>
                </c:pt>
                <c:pt idx="3494">
                  <c:v>2.3078571977475093E-2</c:v>
                </c:pt>
                <c:pt idx="3495">
                  <c:v>2.3078571977475093E-2</c:v>
                </c:pt>
                <c:pt idx="3496">
                  <c:v>2.3078571977395157E-2</c:v>
                </c:pt>
                <c:pt idx="3497">
                  <c:v>2.3078571977475093E-2</c:v>
                </c:pt>
                <c:pt idx="3498">
                  <c:v>2.3078571977475093E-2</c:v>
                </c:pt>
                <c:pt idx="3499">
                  <c:v>2.3078571977395157E-2</c:v>
                </c:pt>
                <c:pt idx="3500">
                  <c:v>2.3078571977475093E-2</c:v>
                </c:pt>
                <c:pt idx="3501">
                  <c:v>2.3078571977555029E-2</c:v>
                </c:pt>
                <c:pt idx="3502">
                  <c:v>2.3078571977475093E-2</c:v>
                </c:pt>
                <c:pt idx="3503">
                  <c:v>2.3078571977395157E-2</c:v>
                </c:pt>
                <c:pt idx="3504">
                  <c:v>2.3078571977475093E-2</c:v>
                </c:pt>
                <c:pt idx="3505">
                  <c:v>2.3078571977475093E-2</c:v>
                </c:pt>
                <c:pt idx="3506">
                  <c:v>2.3078571977395157E-2</c:v>
                </c:pt>
                <c:pt idx="3507">
                  <c:v>2.3078571977475093E-2</c:v>
                </c:pt>
                <c:pt idx="3508">
                  <c:v>2.3078571977475093E-2</c:v>
                </c:pt>
                <c:pt idx="3509">
                  <c:v>2.3078571977395157E-2</c:v>
                </c:pt>
                <c:pt idx="3510">
                  <c:v>2.3078571977475093E-2</c:v>
                </c:pt>
                <c:pt idx="3511">
                  <c:v>2.3078571977475093E-2</c:v>
                </c:pt>
                <c:pt idx="3512">
                  <c:v>2.3078571977475093E-2</c:v>
                </c:pt>
                <c:pt idx="3513">
                  <c:v>2.3078571977475093E-2</c:v>
                </c:pt>
                <c:pt idx="3514">
                  <c:v>2.3078571977475093E-2</c:v>
                </c:pt>
                <c:pt idx="3515">
                  <c:v>2.3078571977475093E-2</c:v>
                </c:pt>
                <c:pt idx="3516">
                  <c:v>2.3078571977395157E-2</c:v>
                </c:pt>
                <c:pt idx="3517">
                  <c:v>2.3078571977475093E-2</c:v>
                </c:pt>
                <c:pt idx="3518">
                  <c:v>2.3078571977475093E-2</c:v>
                </c:pt>
                <c:pt idx="3519">
                  <c:v>2.3078571977395157E-2</c:v>
                </c:pt>
                <c:pt idx="3520">
                  <c:v>2.3078571977475093E-2</c:v>
                </c:pt>
                <c:pt idx="3521">
                  <c:v>2.3078571977475093E-2</c:v>
                </c:pt>
                <c:pt idx="3522">
                  <c:v>2.3078571977475093E-2</c:v>
                </c:pt>
                <c:pt idx="3523">
                  <c:v>2.3080051510424582E-2</c:v>
                </c:pt>
                <c:pt idx="3524">
                  <c:v>2.3078571977475093E-2</c:v>
                </c:pt>
                <c:pt idx="3525">
                  <c:v>2.3078571977555029E-2</c:v>
                </c:pt>
                <c:pt idx="3526">
                  <c:v>2.3078571977395157E-2</c:v>
                </c:pt>
                <c:pt idx="3527">
                  <c:v>2.3078571977475093E-2</c:v>
                </c:pt>
                <c:pt idx="3528">
                  <c:v>2.3078571977475093E-2</c:v>
                </c:pt>
                <c:pt idx="3529">
                  <c:v>2.3078571977475093E-2</c:v>
                </c:pt>
                <c:pt idx="3530">
                  <c:v>2.3078571977475093E-2</c:v>
                </c:pt>
                <c:pt idx="3531">
                  <c:v>2.3078571977475093E-2</c:v>
                </c:pt>
                <c:pt idx="3532">
                  <c:v>2.3078571977475093E-2</c:v>
                </c:pt>
                <c:pt idx="3533">
                  <c:v>2.3078571977395157E-2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922752"/>
        <c:axId val="603050752"/>
      </c:lineChart>
      <c:dateAx>
        <c:axId val="600922752"/>
        <c:scaling>
          <c:orientation val="minMax"/>
          <c:max val="42869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050752"/>
        <c:crosses val="autoZero"/>
        <c:auto val="1"/>
        <c:lblOffset val="100"/>
        <c:baseTimeUnit val="days"/>
        <c:majorUnit val="3"/>
        <c:majorTimeUnit val="months"/>
      </c:dateAx>
      <c:valAx>
        <c:axId val="60305075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09227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8">
          <cell r="D8" t="str">
            <v>USD1M#0001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21 2015 17:24:03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str">
        <f>_xll.qlPiecewiseYieldCurve(D16,NDays,Calendar,_xll.ohPack(Selected!D2:D126),DayCounter,,,Accuracy,TraitsID,InterpolatorID,Permanent,,ObjectOverwrite)</f>
        <v>_USDYC1M#0014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str">
        <f>_xll.ohRangeRetrieveError(YieldCurve)</f>
        <v/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164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162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60</v>
      </c>
      <c r="D24" s="30" t="s">
        <v>59</v>
      </c>
      <c r="E24" s="20"/>
      <c r="F24" s="19"/>
      <c r="K24" s="66"/>
      <c r="L24" s="65" t="s">
        <v>165</v>
      </c>
      <c r="M24" s="59" t="s">
        <v>166</v>
      </c>
      <c r="N24" s="64"/>
    </row>
    <row r="25" spans="1:14" x14ac:dyDescent="0.2">
      <c r="B25" s="22"/>
      <c r="C25" s="29" t="s">
        <v>58</v>
      </c>
      <c r="D25" s="28" t="s">
        <v>57</v>
      </c>
      <c r="E25" s="20"/>
      <c r="F25" s="19"/>
      <c r="K25" s="66"/>
      <c r="L25" s="65" t="s">
        <v>167</v>
      </c>
      <c r="M25" s="56" t="str">
        <f>M24&amp;"("&amp;LocalCalendar&amp;","&amp;LiborCalendar&amp;")"</f>
        <v>JoinHolidays(UnitedStates::Settlement,UnitedKingdom::Exchange)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42152</v>
      </c>
      <c r="D27" s="25">
        <f>MAX(_xll.ohPack(Selected!J1:J126))</f>
        <v>1</v>
      </c>
      <c r="E27" s="20"/>
      <c r="F27" s="19"/>
    </row>
    <row r="28" spans="1:14" x14ac:dyDescent="0.2">
      <c r="B28" s="22"/>
      <c r="C28" s="24">
        <f>MAX(_xll.ohPack(Selected!I2:I126))</f>
        <v>60415</v>
      </c>
      <c r="D28" s="23">
        <f>MIN(_xll.ohPack(Selected!J1:J126))</f>
        <v>0.27458796245873318</v>
      </c>
      <c r="E28" s="20"/>
      <c r="F28" s="19"/>
    </row>
    <row r="29" spans="1:14" x14ac:dyDescent="0.2">
      <c r="B29" s="22"/>
      <c r="C29" s="24" t="s">
        <v>48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tr">
        <f>[1]Libor!$D$8</f>
        <v>USD1M#0001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131</v>
      </c>
      <c r="D31" s="70" t="b">
        <f>_xll.qlExtrapolatorEnableExtrapolation(YieldCurve)</f>
        <v>1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F3" sqref="F3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str">
        <f>Deposits!E3</f>
        <v>obj_0040c#0010</v>
      </c>
      <c r="C2" s="89" t="str">
        <f>_xll.qlRateHelperQuoteName(B2)</f>
        <v>USDSWD_SYNTH1M_Quote</v>
      </c>
      <c r="D2" s="90">
        <f>_xll.qlRateHelperQuoteValue($B2,Trigger)</f>
        <v>1.6869999999999999E-3</v>
      </c>
      <c r="E2" s="90"/>
      <c r="F2" s="91" t="b">
        <f>NOT(ISERROR(D2))</f>
        <v>1</v>
      </c>
      <c r="G2" s="91">
        <v>10</v>
      </c>
      <c r="H2" s="91">
        <v>1</v>
      </c>
      <c r="I2" s="92">
        <f>_xll.qlRateHelperEarliestDate($B2,Trigger)</f>
        <v>42152</v>
      </c>
      <c r="J2" s="93">
        <f>_xll.qlRateHelperLatestDate($B2,Trigger)</f>
        <v>42159</v>
      </c>
      <c r="K2" s="1">
        <v>40</v>
      </c>
      <c r="L2" s="1" t="s">
        <v>39</v>
      </c>
    </row>
    <row r="3" spans="2:12" x14ac:dyDescent="0.2">
      <c r="B3" s="89" t="str">
        <f>Deposits!E4</f>
        <v>obj_0040b#0010</v>
      </c>
      <c r="C3" s="89" t="str">
        <f>_xll.qlRateHelperQuoteName(B3)</f>
        <v>USD1MD_SYNTH1M_Quote</v>
      </c>
      <c r="D3" s="90">
        <f>_xll.qlRateHelperQuoteValue($B3,Trigger)</f>
        <v>1.8630000000000001E-3</v>
      </c>
      <c r="E3" s="90"/>
      <c r="F3" s="91" t="b">
        <f>NOT(ISERROR(D3))</f>
        <v>1</v>
      </c>
      <c r="G3" s="91">
        <v>10</v>
      </c>
      <c r="H3" s="91">
        <v>1</v>
      </c>
      <c r="I3" s="92">
        <f>_xll.qlRateHelperEarliestDate($B3,Trigger)</f>
        <v>42152</v>
      </c>
      <c r="J3" s="93">
        <f>_xll.qlRateHelperLatestDate($B3,Trigger)</f>
        <v>42184</v>
      </c>
      <c r="K3" s="1">
        <v>70</v>
      </c>
      <c r="L3" s="1" t="s">
        <v>38</v>
      </c>
    </row>
    <row r="4" spans="2:12" ht="11.25" customHeight="1" x14ac:dyDescent="0.2">
      <c r="B4" s="99" t="str">
        <f>Swaps!L5</f>
        <v>obj_00411#0010</v>
      </c>
      <c r="C4" s="99" t="str">
        <f>_xll.qlRateHelperQuoteName(B4)</f>
        <v>USD2X1S_Quote</v>
      </c>
      <c r="D4" s="100">
        <f>_xll.qlRateHelperQuoteValue($B4,Trigger)</f>
        <v>1.8799999999999999E-3</v>
      </c>
      <c r="E4" s="100">
        <f>_xll.qlSwapRateHelperSpread($B4,Trigger)</f>
        <v>0</v>
      </c>
      <c r="F4" s="101" t="b">
        <v>0</v>
      </c>
      <c r="G4" s="101">
        <v>40</v>
      </c>
      <c r="H4" s="101">
        <v>1</v>
      </c>
      <c r="I4" s="102">
        <f>_xll.qlRateHelperEarliestDate($B4,Trigger)</f>
        <v>42152</v>
      </c>
      <c r="J4" s="103">
        <f>_xll.qlRateHelperLatestDate($B4,Trigger)</f>
        <v>42213</v>
      </c>
      <c r="K4" s="104"/>
    </row>
    <row r="5" spans="2:12" x14ac:dyDescent="0.2">
      <c r="B5" s="89" t="str">
        <f>Swaps!L6</f>
        <v>obj_00410#0010</v>
      </c>
      <c r="C5" s="89" t="str">
        <f>_xll.qlRateHelperQuoteName(B5)</f>
        <v>USD3X1S_Quote</v>
      </c>
      <c r="D5" s="90">
        <f>_xll.qlRateHelperQuoteValue($B5,Trigger)</f>
        <v>1.9500000000000001E-3</v>
      </c>
      <c r="E5" s="90">
        <f>_xll.qlSwapRateHelperSpread($B5,Trigger)</f>
        <v>0</v>
      </c>
      <c r="F5" s="91" t="b">
        <v>1</v>
      </c>
      <c r="G5" s="91">
        <v>40</v>
      </c>
      <c r="H5" s="91">
        <v>1</v>
      </c>
      <c r="I5" s="92">
        <f>_xll.qlRateHelperEarliestDate($B5,Trigger)</f>
        <v>42152</v>
      </c>
      <c r="J5" s="93">
        <f>_xll.qlRateHelperLatestDate($B5,Trigger)</f>
        <v>42244</v>
      </c>
      <c r="K5" s="105"/>
    </row>
    <row r="6" spans="2:12" x14ac:dyDescent="0.2">
      <c r="B6" s="89" t="str">
        <f>Swaps!L7</f>
        <v>obj_00414#0010</v>
      </c>
      <c r="C6" s="89" t="str">
        <f>_xll.qlRateHelperQuoteName(B6)</f>
        <v>USD4X1S_Quote</v>
      </c>
      <c r="D6" s="90">
        <f>_xll.qlRateHelperQuoteValue($B6,Trigger)</f>
        <v>2.0800000000000003E-3</v>
      </c>
      <c r="E6" s="90">
        <f>_xll.qlSwapRateHelperSpread($B6,Trigger)</f>
        <v>0</v>
      </c>
      <c r="F6" s="91" t="b">
        <v>0</v>
      </c>
      <c r="G6" s="91">
        <v>40</v>
      </c>
      <c r="H6" s="91">
        <v>1</v>
      </c>
      <c r="I6" s="92">
        <f>_xll.qlRateHelperEarliestDate($B6,Trigger)</f>
        <v>42152</v>
      </c>
      <c r="J6" s="93">
        <f>_xll.qlRateHelperLatestDate($B6,Trigger)</f>
        <v>42275</v>
      </c>
    </row>
    <row r="7" spans="2:12" x14ac:dyDescent="0.2">
      <c r="B7" s="89" t="str">
        <f>Swaps!L8</f>
        <v>obj_00413#0010</v>
      </c>
      <c r="C7" s="89" t="str">
        <f>_xll.qlRateHelperQuoteName(B7)</f>
        <v>USD5X1S_Quote</v>
      </c>
      <c r="D7" s="90">
        <f>_xll.qlRateHelperQuoteValue($B7,Trigger)</f>
        <v>2.2500000000000003E-3</v>
      </c>
      <c r="E7" s="90">
        <f>_xll.qlSwapRateHelperSpread($B7,Trigger)</f>
        <v>0</v>
      </c>
      <c r="F7" s="91" t="b">
        <v>0</v>
      </c>
      <c r="G7" s="91">
        <v>40</v>
      </c>
      <c r="H7" s="91">
        <v>1</v>
      </c>
      <c r="I7" s="92">
        <f>_xll.qlRateHelperEarliestDate($B7,Trigger)</f>
        <v>42152</v>
      </c>
      <c r="J7" s="93">
        <f>_xll.qlRateHelperLatestDate($B7,Trigger)</f>
        <v>42305</v>
      </c>
    </row>
    <row r="8" spans="2:12" ht="11.25" customHeight="1" x14ac:dyDescent="0.2">
      <c r="B8" s="89" t="str">
        <f>Swaps!L9</f>
        <v>obj_0040f#0010</v>
      </c>
      <c r="C8" s="89" t="str">
        <f>_xll.qlRateHelperQuoteName(B8)</f>
        <v>USD6X1S_Quote</v>
      </c>
      <c r="D8" s="90">
        <f>_xll.qlRateHelperQuoteValue($B8,Trigger)</f>
        <v>2.4499999999999999E-3</v>
      </c>
      <c r="E8" s="90">
        <f>_xll.qlSwapRateHelperSpread($B8,Trigger)</f>
        <v>0</v>
      </c>
      <c r="F8" s="91" t="b">
        <v>1</v>
      </c>
      <c r="G8" s="91">
        <v>40</v>
      </c>
      <c r="H8" s="91">
        <v>1</v>
      </c>
      <c r="I8" s="92">
        <f>_xll.qlRateHelperEarliestDate($B8,Trigger)</f>
        <v>42152</v>
      </c>
      <c r="J8" s="93">
        <f>_xll.qlRateHelperLatestDate($B8,Trigger)</f>
        <v>42338</v>
      </c>
    </row>
    <row r="9" spans="2:12" x14ac:dyDescent="0.2">
      <c r="B9" s="89" t="str">
        <f>Swaps!L10</f>
        <v>obj_0040d#0010</v>
      </c>
      <c r="C9" s="89" t="str">
        <f>_xll.qlRateHelperQuoteName(B9)</f>
        <v>USD7X1S_Quote</v>
      </c>
      <c r="D9" s="90">
        <f>_xll.qlRateHelperQuoteValue($B9,Trigger)</f>
        <v>2.66E-3</v>
      </c>
      <c r="E9" s="90">
        <f>_xll.qlSwapRateHelperSpread($B9,Trigger)</f>
        <v>0</v>
      </c>
      <c r="F9" s="91" t="b">
        <v>0</v>
      </c>
      <c r="G9" s="91">
        <v>40</v>
      </c>
      <c r="H9" s="91">
        <v>1</v>
      </c>
      <c r="I9" s="92">
        <f>_xll.qlRateHelperEarliestDate($B9,Trigger)</f>
        <v>42152</v>
      </c>
      <c r="J9" s="93">
        <f>_xll.qlRateHelperLatestDate($B9,Trigger)</f>
        <v>42367</v>
      </c>
    </row>
    <row r="10" spans="2:12" x14ac:dyDescent="0.2">
      <c r="B10" s="89" t="str">
        <f>Swaps!L11</f>
        <v>obj_0040a#0010</v>
      </c>
      <c r="C10" s="89" t="str">
        <f>_xll.qlRateHelperQuoteName(B10)</f>
        <v>USD8X1S_Quote</v>
      </c>
      <c r="D10" s="90">
        <f>_xll.qlRateHelperQuoteValue($B10,Trigger)</f>
        <v>2.9000000000000002E-3</v>
      </c>
      <c r="E10" s="90">
        <f>_xll.qlSwapRateHelperSpread($B10,Trigger)</f>
        <v>0</v>
      </c>
      <c r="F10" s="91" t="b">
        <v>0</v>
      </c>
      <c r="G10" s="91">
        <v>40</v>
      </c>
      <c r="H10" s="91">
        <v>1</v>
      </c>
      <c r="I10" s="92">
        <f>_xll.qlRateHelperEarliestDate($B10,Trigger)</f>
        <v>42152</v>
      </c>
      <c r="J10" s="93">
        <f>_xll.qlRateHelperLatestDate($B10,Trigger)</f>
        <v>42397</v>
      </c>
    </row>
    <row r="11" spans="2:12" ht="11.25" customHeight="1" x14ac:dyDescent="0.2">
      <c r="B11" s="89" t="str">
        <f>Swaps!L12</f>
        <v>obj_00409#0010</v>
      </c>
      <c r="C11" s="89" t="str">
        <f>_xll.qlRateHelperQuoteName(B11)</f>
        <v>USD9X1S_Quote</v>
      </c>
      <c r="D11" s="90">
        <f>_xll.qlRateHelperQuoteValue($B11,Trigger)</f>
        <v>3.1700000000000001E-3</v>
      </c>
      <c r="E11" s="90">
        <f>_xll.qlSwapRateHelperSpread($B11,Trigger)</f>
        <v>0</v>
      </c>
      <c r="F11" s="91" t="b">
        <v>1</v>
      </c>
      <c r="G11" s="91">
        <v>40</v>
      </c>
      <c r="H11" s="91">
        <v>1</v>
      </c>
      <c r="I11" s="92">
        <f>_xll.qlRateHelperEarliestDate($B11,Trigger)</f>
        <v>42152</v>
      </c>
      <c r="J11" s="93">
        <f>_xll.qlRateHelperLatestDate($B11,Trigger)</f>
        <v>42429</v>
      </c>
    </row>
    <row r="12" spans="2:12" x14ac:dyDescent="0.2">
      <c r="B12" s="89" t="str">
        <f>Swaps!L13</f>
        <v>obj_00408#0010</v>
      </c>
      <c r="C12" s="89" t="str">
        <f>_xll.qlRateHelperQuoteName(B12)</f>
        <v>USD10X1S_Quote</v>
      </c>
      <c r="D12" s="90">
        <f>_xll.qlRateHelperQuoteValue($B12,Trigger)</f>
        <v>3.3999999999999998E-3</v>
      </c>
      <c r="E12" s="90">
        <f>_xll.qlSwapRateHelperSpread($B12,Trigger)</f>
        <v>0</v>
      </c>
      <c r="F12" s="91" t="b">
        <v>0</v>
      </c>
      <c r="G12" s="91">
        <v>40</v>
      </c>
      <c r="H12" s="91">
        <v>1</v>
      </c>
      <c r="I12" s="92">
        <f>_xll.qlRateHelperEarliestDate($B12,Trigger)</f>
        <v>42152</v>
      </c>
      <c r="J12" s="93">
        <f>_xll.qlRateHelperLatestDate($B12,Trigger)</f>
        <v>42458</v>
      </c>
    </row>
    <row r="13" spans="2:12" x14ac:dyDescent="0.2">
      <c r="B13" s="89" t="str">
        <f>Swaps!L14</f>
        <v>obj_00412#0010</v>
      </c>
      <c r="C13" s="89" t="str">
        <f>_xll.qlRateHelperQuoteName(B13)</f>
        <v>USD11X1S_Quote</v>
      </c>
      <c r="D13" s="90">
        <f>_xll.qlRateHelperQuoteValue($B13,Trigger)</f>
        <v>3.6700000000000001E-3</v>
      </c>
      <c r="E13" s="90">
        <f>_xll.qlSwapRateHelperSpread($B13,Trigger)</f>
        <v>0</v>
      </c>
      <c r="F13" s="91" t="b">
        <v>0</v>
      </c>
      <c r="G13" s="91">
        <v>40</v>
      </c>
      <c r="H13" s="91">
        <v>1</v>
      </c>
      <c r="I13" s="92">
        <f>_xll.qlRateHelperEarliestDate($B13,Trigger)</f>
        <v>42152</v>
      </c>
      <c r="J13" s="93">
        <f>_xll.qlRateHelperLatestDate($B13,Trigger)</f>
        <v>42488</v>
      </c>
    </row>
    <row r="14" spans="2:12" x14ac:dyDescent="0.2">
      <c r="B14" s="94" t="str">
        <f>Swaps!L15</f>
        <v>obj_0040e#0010</v>
      </c>
      <c r="C14" s="94" t="str">
        <f>_xll.qlRateHelperQuoteName(B14)</f>
        <v>USD12X1S_Quote</v>
      </c>
      <c r="D14" s="95">
        <f>_xll.qlRateHelperQuoteValue($B14,Trigger)</f>
        <v>3.98E-3</v>
      </c>
      <c r="E14" s="95">
        <f>_xll.qlSwapRateHelperSpread($B14,Trigger)</f>
        <v>0</v>
      </c>
      <c r="F14" s="227" t="b">
        <f>NOT(ISERROR(D14))</f>
        <v>1</v>
      </c>
      <c r="G14" s="96">
        <v>40</v>
      </c>
      <c r="H14" s="91">
        <v>1</v>
      </c>
      <c r="I14" s="97">
        <f>_xll.qlRateHelperEarliestDate($B14,Trigger)</f>
        <v>42152</v>
      </c>
      <c r="J14" s="98">
        <f>_xll.qlRateHelperLatestDate($B14,Trigger)</f>
        <v>42521</v>
      </c>
    </row>
    <row r="15" spans="2:12" x14ac:dyDescent="0.2">
      <c r="B15" s="99" t="str">
        <f>SwapsFromBasis!L5</f>
        <v>obj_003fb#0010</v>
      </c>
      <c r="C15" s="99" t="str">
        <f>SUBSTITUTE(_xll.qlRateHelperQuoteName(B15),"3L","1LBASIS")</f>
        <v>USDAM1LBASIS1Y_Quote</v>
      </c>
      <c r="D15" s="100">
        <f>_xll.qlRateHelperQuoteValue($B15,Trigger)</f>
        <v>5.0400000000000002E-3</v>
      </c>
      <c r="E15" s="100">
        <f>_xll.qlSwapRateHelperSpread($B15,Trigger)</f>
        <v>1.0499999999999999E-3</v>
      </c>
      <c r="F15" s="228" t="b">
        <f>NOT(F14)</f>
        <v>0</v>
      </c>
      <c r="G15" s="101">
        <v>40</v>
      </c>
      <c r="H15" s="101">
        <v>1</v>
      </c>
      <c r="I15" s="102">
        <f>_xll.qlRateHelperEarliestDate($B15,Trigger)</f>
        <v>42152</v>
      </c>
      <c r="J15" s="103">
        <f>_xll.qlRateHelperLatestDate($B15,Trigger)</f>
        <v>42521</v>
      </c>
    </row>
    <row r="16" spans="2:12" x14ac:dyDescent="0.2">
      <c r="B16" s="89" t="str">
        <f>SwapsFromBasis!L6</f>
        <v>obj_00402#0010</v>
      </c>
      <c r="C16" s="89" t="str">
        <f>SUBSTITUTE(_xll.qlRateHelperQuoteName(B16),"3L","1LBASIS")</f>
        <v>USDAM1LBASIS15M_Quote</v>
      </c>
      <c r="D16" s="90" t="e">
        <f>_xll.qlRateHelperQuoteValue($B16,Trigger)</f>
        <v>#NUM!</v>
      </c>
      <c r="E16" s="90">
        <f>_xll.qlSwapRateHelperSpread($B16,Trigger)</f>
        <v>1.0949345496911521E-3</v>
      </c>
      <c r="F16" s="91" t="b">
        <v>0</v>
      </c>
      <c r="G16" s="91">
        <v>40</v>
      </c>
      <c r="H16" s="91">
        <v>1</v>
      </c>
      <c r="I16" s="92">
        <f>_xll.qlRateHelperEarliestDate($B16,Trigger)</f>
        <v>42152</v>
      </c>
      <c r="J16" s="93">
        <f>_xll.qlRateHelperLatestDate($B16,Trigger)</f>
        <v>42612</v>
      </c>
    </row>
    <row r="17" spans="2:10" x14ac:dyDescent="0.2">
      <c r="B17" s="89" t="str">
        <f>SwapsFromBasis!L7</f>
        <v>obj_003ea#0010</v>
      </c>
      <c r="C17" s="89" t="str">
        <f>SUBSTITUTE(_xll.qlRateHelperQuoteName(B17),"3L","1LBASIS")</f>
        <v>USDAM1LBASIS18M_Quote</v>
      </c>
      <c r="D17" s="90" t="e">
        <f>_xll.qlRateHelperQuoteValue($B17,Trigger)</f>
        <v>#NUM!</v>
      </c>
      <c r="E17" s="90">
        <f>_xll.qlSwapRateHelperSpread($B17,Trigger)</f>
        <v>1.1408065993823041E-3</v>
      </c>
      <c r="F17" s="91" t="b">
        <v>0</v>
      </c>
      <c r="G17" s="91">
        <v>40</v>
      </c>
      <c r="H17" s="91">
        <v>1</v>
      </c>
      <c r="I17" s="92">
        <f>_xll.qlRateHelperEarliestDate($B17,Trigger)</f>
        <v>42152</v>
      </c>
      <c r="J17" s="93">
        <f>_xll.qlRateHelperLatestDate($B17,Trigger)</f>
        <v>42702</v>
      </c>
    </row>
    <row r="18" spans="2:10" x14ac:dyDescent="0.2">
      <c r="B18" s="89" t="str">
        <f>SwapsFromBasis!L8</f>
        <v>obj_00403#0010</v>
      </c>
      <c r="C18" s="89" t="str">
        <f>SUBSTITUTE(_xll.qlRateHelperQuoteName(B18),"3L","1LBASIS")</f>
        <v>USDAM1LBASIS21M_Quote</v>
      </c>
      <c r="D18" s="90" t="e">
        <f>_xll.qlRateHelperQuoteValue($B18,Trigger)</f>
        <v>#NUM!</v>
      </c>
      <c r="E18" s="90">
        <f>_xll.qlSwapRateHelperSpread($B18,Trigger)</f>
        <v>1.1837753493823043E-3</v>
      </c>
      <c r="F18" s="91" t="b">
        <v>0</v>
      </c>
      <c r="G18" s="91">
        <v>40</v>
      </c>
      <c r="H18" s="91">
        <v>1</v>
      </c>
      <c r="I18" s="92">
        <f>_xll.qlRateHelperEarliestDate($B18,Trigger)</f>
        <v>42152</v>
      </c>
      <c r="J18" s="93">
        <f>_xll.qlRateHelperLatestDate($B18,Trigger)</f>
        <v>42794</v>
      </c>
    </row>
    <row r="19" spans="2:10" x14ac:dyDescent="0.2">
      <c r="B19" s="89" t="str">
        <f>SwapsFromBasis!L9</f>
        <v>obj_003ff#0010</v>
      </c>
      <c r="C19" s="89" t="str">
        <f>SUBSTITUTE(_xll.qlRateHelperQuoteName(B19),"3L","1LBASIS")</f>
        <v>USDAM1LBASIS2Y_Quote</v>
      </c>
      <c r="D19" s="90">
        <f>_xll.qlRateHelperQuoteValue($B19,Trigger)</f>
        <v>8.8400000000000006E-3</v>
      </c>
      <c r="E19" s="90">
        <f>_xll.qlSwapRateHelperSpread($B19,Trigger)</f>
        <v>1.2200000000000002E-3</v>
      </c>
      <c r="F19" s="91" t="b">
        <v>1</v>
      </c>
      <c r="G19" s="91">
        <v>40</v>
      </c>
      <c r="H19" s="91">
        <v>1</v>
      </c>
      <c r="I19" s="92">
        <f>_xll.qlRateHelperEarliestDate($B19,Trigger)</f>
        <v>42152</v>
      </c>
      <c r="J19" s="93">
        <f>_xll.qlRateHelperLatestDate($B19,Trigger)</f>
        <v>42885</v>
      </c>
    </row>
    <row r="20" spans="2:10" x14ac:dyDescent="0.2">
      <c r="B20" s="89" t="str">
        <f>SwapsFromBasis!L10</f>
        <v>obj_003e8#0010</v>
      </c>
      <c r="C20" s="89" t="str">
        <f>SUBSTITUTE(_xll.qlRateHelperQuoteName(B20),"3L","1LBASIS")</f>
        <v>USDAM1LBASIS3Y_Quote</v>
      </c>
      <c r="D20" s="90">
        <f>_xll.qlRateHelperQuoteValue($B20,Trigger)</f>
        <v>1.218E-2</v>
      </c>
      <c r="E20" s="90">
        <f>_xll.qlSwapRateHelperSpread($B20,Trigger)</f>
        <v>1.2900000000000001E-3</v>
      </c>
      <c r="F20" s="91" t="b">
        <v>1</v>
      </c>
      <c r="G20" s="91">
        <v>40</v>
      </c>
      <c r="H20" s="91">
        <v>1</v>
      </c>
      <c r="I20" s="92">
        <f>_xll.qlRateHelperEarliestDate($B20,Trigger)</f>
        <v>42152</v>
      </c>
      <c r="J20" s="93">
        <f>_xll.qlRateHelperLatestDate($B20,Trigger)</f>
        <v>43249</v>
      </c>
    </row>
    <row r="21" spans="2:10" x14ac:dyDescent="0.2">
      <c r="B21" s="89" t="str">
        <f>SwapsFromBasis!L11</f>
        <v>obj_00400#0010</v>
      </c>
      <c r="C21" s="89" t="str">
        <f>SUBSTITUTE(_xll.qlRateHelperQuoteName(B21),"3L","1LBASIS")</f>
        <v>USDAM1LBASIS4Y_Quote</v>
      </c>
      <c r="D21" s="90">
        <f>_xll.qlRateHelperQuoteValue($B21,Trigger)</f>
        <v>1.4750000000000001E-2</v>
      </c>
      <c r="E21" s="90">
        <f>_xll.qlSwapRateHelperSpread($B21,Trigger)</f>
        <v>1.33E-3</v>
      </c>
      <c r="F21" s="91" t="b">
        <v>1</v>
      </c>
      <c r="G21" s="91">
        <v>40</v>
      </c>
      <c r="H21" s="91">
        <v>1</v>
      </c>
      <c r="I21" s="92">
        <f>_xll.qlRateHelperEarliestDate($B21,Trigger)</f>
        <v>42152</v>
      </c>
      <c r="J21" s="93">
        <f>_xll.qlRateHelperLatestDate($B21,Trigger)</f>
        <v>43613</v>
      </c>
    </row>
    <row r="22" spans="2:10" x14ac:dyDescent="0.2">
      <c r="B22" s="89" t="str">
        <f>SwapsFromBasis!L12</f>
        <v>obj_003e3#0010</v>
      </c>
      <c r="C22" s="89" t="str">
        <f>SUBSTITUTE(_xll.qlRateHelperQuoteName(B22),"3L","1LBASIS")</f>
        <v>USDAM1LBASIS5Y_Quote</v>
      </c>
      <c r="D22" s="90">
        <f>_xll.qlRateHelperQuoteValue($B22,Trigger)</f>
        <v>1.6789999999999999E-2</v>
      </c>
      <c r="E22" s="90">
        <f>_xll.qlSwapRateHelperSpread($B22,Trigger)</f>
        <v>1.3500000000000001E-3</v>
      </c>
      <c r="F22" s="91" t="b">
        <v>1</v>
      </c>
      <c r="G22" s="91">
        <v>40</v>
      </c>
      <c r="H22" s="91">
        <v>1</v>
      </c>
      <c r="I22" s="92">
        <f>_xll.qlRateHelperEarliestDate($B22,Trigger)</f>
        <v>42152</v>
      </c>
      <c r="J22" s="93">
        <f>_xll.qlRateHelperLatestDate($B22,Trigger)</f>
        <v>43979</v>
      </c>
    </row>
    <row r="23" spans="2:10" x14ac:dyDescent="0.2">
      <c r="B23" s="89" t="str">
        <f>SwapsFromBasis!L13</f>
        <v>obj_003e9#0010</v>
      </c>
      <c r="C23" s="89" t="str">
        <f>SUBSTITUTE(_xll.qlRateHelperQuoteName(B23),"3L","1LBASIS")</f>
        <v>USDAM1LBASIS6Y_Quote</v>
      </c>
      <c r="D23" s="90">
        <f>_xll.qlRateHelperQuoteValue($B23,Trigger)</f>
        <v>1.8440000000000002E-2</v>
      </c>
      <c r="E23" s="90">
        <f>_xll.qlSwapRateHelperSpread($B23,Trigger)</f>
        <v>1.33E-3</v>
      </c>
      <c r="F23" s="91" t="b">
        <v>1</v>
      </c>
      <c r="G23" s="91">
        <v>40</v>
      </c>
      <c r="H23" s="91">
        <v>1</v>
      </c>
      <c r="I23" s="92">
        <f>_xll.qlRateHelperEarliestDate($B23,Trigger)</f>
        <v>42152</v>
      </c>
      <c r="J23" s="93">
        <f>_xll.qlRateHelperLatestDate($B23,Trigger)</f>
        <v>44344</v>
      </c>
    </row>
    <row r="24" spans="2:10" x14ac:dyDescent="0.2">
      <c r="B24" s="89" t="str">
        <f>SwapsFromBasis!L14</f>
        <v>obj_003fe#0010</v>
      </c>
      <c r="C24" s="89" t="str">
        <f>SUBSTITUTE(_xll.qlRateHelperQuoteName(B24),"3L","1LBASIS")</f>
        <v>USDAM1LBASIS7Y_Quote</v>
      </c>
      <c r="D24" s="90">
        <f>_xll.qlRateHelperQuoteValue($B24,Trigger)</f>
        <v>1.976E-2</v>
      </c>
      <c r="E24" s="90">
        <f>_xll.qlSwapRateHelperSpread($B24,Trigger)</f>
        <v>1.3100000000000002E-3</v>
      </c>
      <c r="F24" s="91" t="b">
        <v>1</v>
      </c>
      <c r="G24" s="91">
        <v>40</v>
      </c>
      <c r="H24" s="91">
        <v>1</v>
      </c>
      <c r="I24" s="92">
        <f>_xll.qlRateHelperEarliestDate($B24,Trigger)</f>
        <v>42152</v>
      </c>
      <c r="J24" s="93">
        <f>_xll.qlRateHelperLatestDate($B24,Trigger)</f>
        <v>44712</v>
      </c>
    </row>
    <row r="25" spans="2:10" x14ac:dyDescent="0.2">
      <c r="B25" s="89" t="str">
        <f>SwapsFromBasis!L15</f>
        <v>obj_003e7#0010</v>
      </c>
      <c r="C25" s="89" t="str">
        <f>SUBSTITUTE(_xll.qlRateHelperQuoteName(B25),"3L","1LBASIS")</f>
        <v>USDAM1LBASIS8Y_Quote</v>
      </c>
      <c r="D25" s="90">
        <f>_xll.qlRateHelperQuoteValue($B25,Trigger)</f>
        <v>2.0809999999999999E-2</v>
      </c>
      <c r="E25" s="90">
        <f>_xll.qlSwapRateHelperSpread($B25,Trigger)</f>
        <v>1.2700000000000001E-3</v>
      </c>
      <c r="F25" s="91" t="b">
        <v>1</v>
      </c>
      <c r="G25" s="91">
        <v>40</v>
      </c>
      <c r="H25" s="91">
        <v>1</v>
      </c>
      <c r="I25" s="92">
        <f>_xll.qlRateHelperEarliestDate($B25,Trigger)</f>
        <v>42152</v>
      </c>
      <c r="J25" s="93">
        <f>_xll.qlRateHelperLatestDate($B25,Trigger)</f>
        <v>45076</v>
      </c>
    </row>
    <row r="26" spans="2:10" x14ac:dyDescent="0.2">
      <c r="B26" s="89" t="str">
        <f>SwapsFromBasis!L16</f>
        <v>obj_003eb#0010</v>
      </c>
      <c r="C26" s="89" t="str">
        <f>SUBSTITUTE(_xll.qlRateHelperQuoteName(B26),"3L","1LBASIS")</f>
        <v>USDAM1LBASIS9Y_Quote</v>
      </c>
      <c r="D26" s="90">
        <f>_xll.qlRateHelperQuoteValue($B26,Trigger)</f>
        <v>2.1659999999999999E-2</v>
      </c>
      <c r="E26" s="90">
        <f>_xll.qlSwapRateHelperSpread($B26,Trigger)</f>
        <v>1.23E-3</v>
      </c>
      <c r="F26" s="91" t="b">
        <v>1</v>
      </c>
      <c r="G26" s="91">
        <v>40</v>
      </c>
      <c r="H26" s="91">
        <v>1</v>
      </c>
      <c r="I26" s="92">
        <f>_xll.qlRateHelperEarliestDate($B26,Trigger)</f>
        <v>42152</v>
      </c>
      <c r="J26" s="93">
        <f>_xll.qlRateHelperLatestDate($B26,Trigger)</f>
        <v>45440</v>
      </c>
    </row>
    <row r="27" spans="2:10" x14ac:dyDescent="0.2">
      <c r="B27" s="89" t="str">
        <f>SwapsFromBasis!L17</f>
        <v>obj_00404#0010</v>
      </c>
      <c r="C27" s="89" t="str">
        <f>SUBSTITUTE(_xll.qlRateHelperQuoteName(B27),"3L","1LBASIS")</f>
        <v>USDAM1LBASIS10Y_Quote</v>
      </c>
      <c r="D27" s="90">
        <f>_xll.qlRateHelperQuoteValue($B27,Trigger)</f>
        <v>2.2380000000000001E-2</v>
      </c>
      <c r="E27" s="90">
        <f>_xll.qlSwapRateHelperSpread($B27,Trigger)</f>
        <v>1.1900000000000001E-3</v>
      </c>
      <c r="F27" s="91" t="b">
        <v>1</v>
      </c>
      <c r="G27" s="91">
        <v>40</v>
      </c>
      <c r="H27" s="91">
        <v>1</v>
      </c>
      <c r="I27" s="92">
        <f>_xll.qlRateHelperEarliestDate($B27,Trigger)</f>
        <v>42152</v>
      </c>
      <c r="J27" s="93">
        <f>_xll.qlRateHelperLatestDate($B27,Trigger)</f>
        <v>45805</v>
      </c>
    </row>
    <row r="28" spans="2:10" x14ac:dyDescent="0.2">
      <c r="B28" s="89" t="str">
        <f>SwapsFromBasis!L18</f>
        <v>obj_003ed#0010</v>
      </c>
      <c r="C28" s="89" t="str">
        <f>SUBSTITUTE(_xll.qlRateHelperQuoteName(B28),"3L","1LBASIS")</f>
        <v>USDAM1LBASIS11Y_Quote</v>
      </c>
      <c r="D28" s="90" t="e">
        <f>_xll.qlRateHelperQuoteValue($B28,Trigger)</f>
        <v>#NUM!</v>
      </c>
      <c r="E28" s="90">
        <f>_xll.qlSwapRateHelperSpread($B28,Trigger)</f>
        <v>1.1556455573452917E-3</v>
      </c>
      <c r="F28" s="91" t="b">
        <v>0</v>
      </c>
      <c r="G28" s="91">
        <v>40</v>
      </c>
      <c r="H28" s="91">
        <v>1</v>
      </c>
      <c r="I28" s="92">
        <f>_xll.qlRateHelperEarliestDate($B28,Trigger)</f>
        <v>42152</v>
      </c>
      <c r="J28" s="93">
        <f>_xll.qlRateHelperLatestDate($B28,Trigger)</f>
        <v>46170</v>
      </c>
    </row>
    <row r="29" spans="2:10" x14ac:dyDescent="0.2">
      <c r="B29" s="89" t="str">
        <f>SwapsFromBasis!L19</f>
        <v>obj_003e6#0010</v>
      </c>
      <c r="C29" s="89" t="str">
        <f>SUBSTITUTE(_xll.qlRateHelperQuoteName(B29),"3L","1LBASIS")</f>
        <v>USDAM1LBASIS12Y_Quote</v>
      </c>
      <c r="D29" s="90">
        <f>_xll.qlRateHelperQuoteValue($B29,Trigger)</f>
        <v>2.3519999999999999E-2</v>
      </c>
      <c r="E29" s="90">
        <f>_xll.qlSwapRateHelperSpread($B29,Trigger)</f>
        <v>1.1300000000000001E-3</v>
      </c>
      <c r="F29" s="91" t="b">
        <v>1</v>
      </c>
      <c r="G29" s="91">
        <v>40</v>
      </c>
      <c r="H29" s="91">
        <v>1</v>
      </c>
      <c r="I29" s="92">
        <f>_xll.qlRateHelperEarliestDate($B29,Trigger)</f>
        <v>42152</v>
      </c>
      <c r="J29" s="93">
        <f>_xll.qlRateHelperLatestDate($B29,Trigger)</f>
        <v>46535</v>
      </c>
    </row>
    <row r="30" spans="2:10" x14ac:dyDescent="0.2">
      <c r="B30" s="89" t="str">
        <f>SwapsFromBasis!L20</f>
        <v>obj_003f7#0010</v>
      </c>
      <c r="C30" s="89" t="str">
        <f>SUBSTITUTE(_xll.qlRateHelperQuoteName(B30),"3L","1LBASIS")</f>
        <v>USDAM1LBASIS13Y_Quote</v>
      </c>
      <c r="D30" s="90" t="e">
        <f>_xll.qlRateHelperQuoteValue($B30,Trigger)</f>
        <v>#NUM!</v>
      </c>
      <c r="E30" s="90">
        <f>_xll.qlSwapRateHelperSpread($B30,Trigger)</f>
        <v>1.1132810309454877E-3</v>
      </c>
      <c r="F30" s="91" t="b">
        <v>0</v>
      </c>
      <c r="G30" s="91">
        <v>40</v>
      </c>
      <c r="H30" s="91">
        <v>1</v>
      </c>
      <c r="I30" s="92">
        <f>_xll.qlRateHelperEarliestDate($B30,Trigger)</f>
        <v>42152</v>
      </c>
      <c r="J30" s="93">
        <f>_xll.qlRateHelperLatestDate($B30,Trigger)</f>
        <v>46903</v>
      </c>
    </row>
    <row r="31" spans="2:10" x14ac:dyDescent="0.2">
      <c r="B31" s="89" t="str">
        <f>SwapsFromBasis!L21</f>
        <v>obj_003fa#0010</v>
      </c>
      <c r="C31" s="89" t="str">
        <f>SUBSTITUTE(_xll.qlRateHelperQuoteName(B31),"3L","1LBASIS")</f>
        <v>USDAM1LBASIS14Y_Quote</v>
      </c>
      <c r="D31" s="90" t="e">
        <f>_xll.qlRateHelperQuoteValue($B31,Trigger)</f>
        <v>#NUM!</v>
      </c>
      <c r="E31" s="90">
        <f>_xll.qlSwapRateHelperSpread($B31,Trigger)</f>
        <v>1.1038071821394106E-3</v>
      </c>
      <c r="F31" s="91" t="b">
        <v>0</v>
      </c>
      <c r="G31" s="91">
        <v>40</v>
      </c>
      <c r="H31" s="91">
        <v>1</v>
      </c>
      <c r="I31" s="92">
        <f>_xll.qlRateHelperEarliestDate($B31,Trigger)</f>
        <v>42152</v>
      </c>
      <c r="J31" s="93">
        <f>_xll.qlRateHelperLatestDate($B31,Trigger)</f>
        <v>47267</v>
      </c>
    </row>
    <row r="32" spans="2:10" x14ac:dyDescent="0.2">
      <c r="B32" s="89" t="str">
        <f>SwapsFromBasis!L22</f>
        <v>obj_003f4#0010</v>
      </c>
      <c r="C32" s="89" t="str">
        <f>SUBSTITUTE(_xll.qlRateHelperQuoteName(B32),"3L","1LBASIS")</f>
        <v>USDAM1LBASIS15Y_Quote</v>
      </c>
      <c r="D32" s="90">
        <f>_xll.qlRateHelperQuoteValue($B32,Trigger)</f>
        <v>2.4660000000000001E-2</v>
      </c>
      <c r="E32" s="90">
        <f>_xll.qlSwapRateHelperSpread($B32,Trigger)</f>
        <v>1.1000000000000001E-3</v>
      </c>
      <c r="F32" s="91" t="b">
        <v>1</v>
      </c>
      <c r="G32" s="91">
        <v>40</v>
      </c>
      <c r="H32" s="91">
        <v>1</v>
      </c>
      <c r="I32" s="92">
        <f>_xll.qlRateHelperEarliestDate($B32,Trigger)</f>
        <v>42152</v>
      </c>
      <c r="J32" s="93">
        <f>_xll.qlRateHelperLatestDate($B32,Trigger)</f>
        <v>47631</v>
      </c>
    </row>
    <row r="33" spans="2:10" x14ac:dyDescent="0.2">
      <c r="B33" s="89" t="str">
        <f>SwapsFromBasis!L23</f>
        <v>obj_003f0#0010</v>
      </c>
      <c r="C33" s="89" t="str">
        <f>SUBSTITUTE(_xll.qlRateHelperQuoteName(B33),"3L","1LBASIS")</f>
        <v>USDAM1LBASIS16Y_Quote</v>
      </c>
      <c r="D33" s="90" t="e">
        <f>_xll.qlRateHelperQuoteValue($B33,Trigger)</f>
        <v>#NUM!</v>
      </c>
      <c r="E33" s="90">
        <f>_xll.qlSwapRateHelperSpread($B33,Trigger)</f>
        <v>1.0988E-3</v>
      </c>
      <c r="F33" s="91" t="b">
        <v>0</v>
      </c>
      <c r="G33" s="91">
        <v>40</v>
      </c>
      <c r="H33" s="91">
        <v>1</v>
      </c>
      <c r="I33" s="92">
        <f>_xll.qlRateHelperEarliestDate($B33,Trigger)</f>
        <v>42152</v>
      </c>
      <c r="J33" s="93">
        <f>_xll.qlRateHelperLatestDate($B33,Trigger)</f>
        <v>47996</v>
      </c>
    </row>
    <row r="34" spans="2:10" x14ac:dyDescent="0.2">
      <c r="B34" s="89" t="str">
        <f>SwapsFromBasis!L24</f>
        <v>obj_003e2#0010</v>
      </c>
      <c r="C34" s="89" t="str">
        <f>SUBSTITUTE(_xll.qlRateHelperQuoteName(B34),"3L","1LBASIS")</f>
        <v>USDAM1LBASIS17Y_Quote</v>
      </c>
      <c r="D34" s="90" t="e">
        <f>_xll.qlRateHelperQuoteValue($B34,Trigger)</f>
        <v>#NUM!</v>
      </c>
      <c r="E34" s="90">
        <f>_xll.qlSwapRateHelperSpread($B34,Trigger)</f>
        <v>1.0981999999999999E-3</v>
      </c>
      <c r="F34" s="91" t="b">
        <v>0</v>
      </c>
      <c r="G34" s="91">
        <v>40</v>
      </c>
      <c r="H34" s="91">
        <v>1</v>
      </c>
      <c r="I34" s="92">
        <f>_xll.qlRateHelperEarliestDate($B34,Trigger)</f>
        <v>42152</v>
      </c>
      <c r="J34" s="93">
        <f>_xll.qlRateHelperLatestDate($B34,Trigger)</f>
        <v>48362</v>
      </c>
    </row>
    <row r="35" spans="2:10" x14ac:dyDescent="0.2">
      <c r="B35" s="89" t="str">
        <f>SwapsFromBasis!L25</f>
        <v>obj_003ec#0010</v>
      </c>
      <c r="C35" s="89" t="str">
        <f>SUBSTITUTE(_xll.qlRateHelperQuoteName(B35),"3L","1LBASIS")</f>
        <v>USDAM1LBASIS18Y_Quote</v>
      </c>
      <c r="D35" s="90" t="e">
        <f>_xll.qlRateHelperQuoteValue($B35,Trigger)</f>
        <v>#NUM!</v>
      </c>
      <c r="E35" s="90">
        <f>_xll.qlSwapRateHelperSpread($B35,Trigger)</f>
        <v>1.0981999999999999E-3</v>
      </c>
      <c r="F35" s="91" t="b">
        <v>0</v>
      </c>
      <c r="G35" s="91">
        <v>40</v>
      </c>
      <c r="H35" s="91">
        <v>1</v>
      </c>
      <c r="I35" s="92">
        <f>_xll.qlRateHelperEarliestDate($B35,Trigger)</f>
        <v>42152</v>
      </c>
      <c r="J35" s="93">
        <f>_xll.qlRateHelperLatestDate($B35,Trigger)</f>
        <v>48730</v>
      </c>
    </row>
    <row r="36" spans="2:10" x14ac:dyDescent="0.2">
      <c r="B36" s="89" t="str">
        <f>SwapsFromBasis!L26</f>
        <v>obj_003ef#0010</v>
      </c>
      <c r="C36" s="89" t="str">
        <f>SUBSTITUTE(_xll.qlRateHelperQuoteName(B36),"3L","1LBASIS")</f>
        <v>USDAM1LBASIS19Y_Quote</v>
      </c>
      <c r="D36" s="90" t="e">
        <f>_xll.qlRateHelperQuoteValue($B36,Trigger)</f>
        <v>#NUM!</v>
      </c>
      <c r="E36" s="90">
        <f>_xll.qlSwapRateHelperSpread($B36,Trigger)</f>
        <v>1.0988E-3</v>
      </c>
      <c r="F36" s="91" t="b">
        <v>0</v>
      </c>
      <c r="G36" s="91">
        <v>40</v>
      </c>
      <c r="H36" s="91">
        <v>1</v>
      </c>
      <c r="I36" s="92">
        <f>_xll.qlRateHelperEarliestDate($B36,Trigger)</f>
        <v>42152</v>
      </c>
      <c r="J36" s="93">
        <f>_xll.qlRateHelperLatestDate($B36,Trigger)</f>
        <v>49094</v>
      </c>
    </row>
    <row r="37" spans="2:10" x14ac:dyDescent="0.2">
      <c r="B37" s="89" t="str">
        <f>SwapsFromBasis!L27</f>
        <v>obj_003f9#0010</v>
      </c>
      <c r="C37" s="89" t="str">
        <f>SUBSTITUTE(_xll.qlRateHelperQuoteName(B37),"3L","1LBASIS")</f>
        <v>USDAM1LBASIS20Y_Quote</v>
      </c>
      <c r="D37" s="90">
        <f>_xll.qlRateHelperQuoteValue($B37,Trigger)</f>
        <v>2.579E-2</v>
      </c>
      <c r="E37" s="90">
        <f>_xll.qlSwapRateHelperSpread($B37,Trigger)</f>
        <v>1.1000000000000001E-3</v>
      </c>
      <c r="F37" s="91" t="b">
        <v>1</v>
      </c>
      <c r="G37" s="91">
        <v>40</v>
      </c>
      <c r="H37" s="91">
        <v>1</v>
      </c>
      <c r="I37" s="92">
        <f>_xll.qlRateHelperEarliestDate($B37,Trigger)</f>
        <v>42152</v>
      </c>
      <c r="J37" s="93">
        <f>_xll.qlRateHelperLatestDate($B37,Trigger)</f>
        <v>49458</v>
      </c>
    </row>
    <row r="38" spans="2:10" x14ac:dyDescent="0.2">
      <c r="B38" s="89" t="str">
        <f>SwapsFromBasis!L28</f>
        <v>obj_003fc#0010</v>
      </c>
      <c r="C38" s="89" t="str">
        <f>SUBSTITUTE(_xll.qlRateHelperQuoteName(B38),"3L","1LBASIS")</f>
        <v>USDAM1LBASIS21Y_Quote</v>
      </c>
      <c r="D38" s="90" t="e">
        <f>_xll.qlRateHelperQuoteValue($B38,Trigger)</f>
        <v>#NUM!</v>
      </c>
      <c r="E38" s="90">
        <f>_xll.qlSwapRateHelperSpread($B38,Trigger)</f>
        <v>1.1019999999999999E-3</v>
      </c>
      <c r="F38" s="91" t="b">
        <v>0</v>
      </c>
      <c r="G38" s="91">
        <v>40</v>
      </c>
      <c r="H38" s="91">
        <v>1</v>
      </c>
      <c r="I38" s="92">
        <f>_xll.qlRateHelperEarliestDate($B38,Trigger)</f>
        <v>42152</v>
      </c>
      <c r="J38" s="93">
        <f>_xll.qlRateHelperLatestDate($B38,Trigger)</f>
        <v>49823</v>
      </c>
    </row>
    <row r="39" spans="2:10" x14ac:dyDescent="0.2">
      <c r="B39" s="89" t="str">
        <f>SwapsFromBasis!L29</f>
        <v>obj_003ee#0010</v>
      </c>
      <c r="C39" s="89" t="str">
        <f>SUBSTITUTE(_xll.qlRateHelperQuoteName(B39),"3L","1LBASIS")</f>
        <v>USDAM1LBASIS22Y_Quote</v>
      </c>
      <c r="D39" s="90" t="e">
        <f>_xll.qlRateHelperQuoteValue($B39,Trigger)</f>
        <v>#NUM!</v>
      </c>
      <c r="E39" s="90">
        <f>_xll.qlSwapRateHelperSpread($B39,Trigger)</f>
        <v>1.1046000000000001E-3</v>
      </c>
      <c r="F39" s="91" t="b">
        <v>0</v>
      </c>
      <c r="G39" s="91">
        <v>40</v>
      </c>
      <c r="H39" s="91">
        <v>1</v>
      </c>
      <c r="I39" s="92">
        <f>_xll.qlRateHelperEarliestDate($B39,Trigger)</f>
        <v>42152</v>
      </c>
      <c r="J39" s="93">
        <f>_xll.qlRateHelperLatestDate($B39,Trigger)</f>
        <v>50188</v>
      </c>
    </row>
    <row r="40" spans="2:10" x14ac:dyDescent="0.2">
      <c r="B40" s="89" t="str">
        <f>SwapsFromBasis!L30</f>
        <v>obj_003e4#0010</v>
      </c>
      <c r="C40" s="89" t="str">
        <f>SUBSTITUTE(_xll.qlRateHelperQuoteName(B40),"3L","1LBASIS")</f>
        <v>USDAM1LBASIS23Y_Quote</v>
      </c>
      <c r="D40" s="90" t="e">
        <f>_xll.qlRateHelperQuoteValue($B40,Trigger)</f>
        <v>#NUM!</v>
      </c>
      <c r="E40" s="90">
        <f>_xll.qlSwapRateHelperSpread($B40,Trigger)</f>
        <v>1.1072E-3</v>
      </c>
      <c r="F40" s="91" t="b">
        <v>0</v>
      </c>
      <c r="G40" s="91">
        <v>40</v>
      </c>
      <c r="H40" s="91">
        <v>1</v>
      </c>
      <c r="I40" s="92">
        <f>_xll.qlRateHelperEarliestDate($B40,Trigger)</f>
        <v>42152</v>
      </c>
      <c r="J40" s="93">
        <f>_xll.qlRateHelperLatestDate($B40,Trigger)</f>
        <v>50553</v>
      </c>
    </row>
    <row r="41" spans="2:10" x14ac:dyDescent="0.2">
      <c r="B41" s="89" t="str">
        <f>SwapsFromBasis!L31</f>
        <v>obj_003f5#0010</v>
      </c>
      <c r="C41" s="89" t="str">
        <f>SUBSTITUTE(_xll.qlRateHelperQuoteName(B41),"3L","1LBASIS")</f>
        <v>USDAM1LBASIS24Y_Quote</v>
      </c>
      <c r="D41" s="90" t="e">
        <f>_xll.qlRateHelperQuoteValue($B41,Trigger)</f>
        <v>#NUM!</v>
      </c>
      <c r="E41" s="90">
        <f>_xll.qlSwapRateHelperSpread($B41,Trigger)</f>
        <v>1.1092000000000001E-3</v>
      </c>
      <c r="F41" s="91" t="b">
        <v>0</v>
      </c>
      <c r="G41" s="91">
        <v>40</v>
      </c>
      <c r="H41" s="91">
        <v>1</v>
      </c>
      <c r="I41" s="92">
        <f>_xll.qlRateHelperEarliestDate($B41,Trigger)</f>
        <v>42152</v>
      </c>
      <c r="J41" s="93">
        <f>_xll.qlRateHelperLatestDate($B41,Trigger)</f>
        <v>50921</v>
      </c>
    </row>
    <row r="42" spans="2:10" x14ac:dyDescent="0.2">
      <c r="B42" s="89" t="str">
        <f>SwapsFromBasis!L32</f>
        <v>obj_003f1#0010</v>
      </c>
      <c r="C42" s="89" t="str">
        <f>SUBSTITUTE(_xll.qlRateHelperQuoteName(B42),"3L","1LBASIS")</f>
        <v>USDAM1LBASIS25Y_Quote</v>
      </c>
      <c r="D42" s="90">
        <f>_xll.qlRateHelperQuoteValue($B42,Trigger)</f>
        <v>2.63E-2</v>
      </c>
      <c r="E42" s="90">
        <f>_xll.qlSwapRateHelperSpread($B42,Trigger)</f>
        <v>1.1100000000000001E-3</v>
      </c>
      <c r="F42" s="91" t="b">
        <v>1</v>
      </c>
      <c r="G42" s="91">
        <v>40</v>
      </c>
      <c r="H42" s="91">
        <v>1</v>
      </c>
      <c r="I42" s="92">
        <f>_xll.qlRateHelperEarliestDate($B42,Trigger)</f>
        <v>42152</v>
      </c>
      <c r="J42" s="93">
        <f>_xll.qlRateHelperLatestDate($B42,Trigger)</f>
        <v>51285</v>
      </c>
    </row>
    <row r="43" spans="2:10" x14ac:dyDescent="0.2">
      <c r="B43" s="89" t="str">
        <f>SwapsFromBasis!L33</f>
        <v>obj_003e1#0010</v>
      </c>
      <c r="C43" s="89" t="str">
        <f>SUBSTITUTE(_xll.qlRateHelperQuoteName(B43),"3L","1LBASIS")</f>
        <v>USDAM1LBASIS26Y_Quote</v>
      </c>
      <c r="D43" s="90" t="e">
        <f>_xll.qlRateHelperQuoteValue($B43,Trigger)</f>
        <v>#NUM!</v>
      </c>
      <c r="E43" s="90">
        <f>_xll.qlSwapRateHelperSpread($B43,Trigger)</f>
        <v>1.1100000000000001E-3</v>
      </c>
      <c r="F43" s="91" t="b">
        <v>0</v>
      </c>
      <c r="G43" s="91">
        <v>40</v>
      </c>
      <c r="H43" s="91">
        <v>1</v>
      </c>
      <c r="I43" s="92">
        <f>_xll.qlRateHelperEarliestDate($B43,Trigger)</f>
        <v>42152</v>
      </c>
      <c r="J43" s="93">
        <f>_xll.qlRateHelperLatestDate($B43,Trigger)</f>
        <v>51649</v>
      </c>
    </row>
    <row r="44" spans="2:10" x14ac:dyDescent="0.2">
      <c r="B44" s="89" t="str">
        <f>SwapsFromBasis!L34</f>
        <v>obj_003f3#0010</v>
      </c>
      <c r="C44" s="89" t="str">
        <f>SUBSTITUTE(_xll.qlRateHelperQuoteName(B44),"3L","1LBASIS")</f>
        <v>USDAM1LBASIS27Y_Quote</v>
      </c>
      <c r="D44" s="90" t="e">
        <f>_xll.qlRateHelperQuoteValue($B44,Trigger)</f>
        <v>#NUM!</v>
      </c>
      <c r="E44" s="90">
        <f>_xll.qlSwapRateHelperSpread($B44,Trigger)</f>
        <v>1.1100000000000001E-3</v>
      </c>
      <c r="F44" s="91" t="b">
        <v>0</v>
      </c>
      <c r="G44" s="91">
        <v>40</v>
      </c>
      <c r="H44" s="91">
        <v>1</v>
      </c>
      <c r="I44" s="92">
        <f>_xll.qlRateHelperEarliestDate($B44,Trigger)</f>
        <v>42152</v>
      </c>
      <c r="J44" s="93">
        <f>_xll.qlRateHelperLatestDate($B44,Trigger)</f>
        <v>52014</v>
      </c>
    </row>
    <row r="45" spans="2:10" x14ac:dyDescent="0.2">
      <c r="B45" s="89" t="str">
        <f>SwapsFromBasis!L35</f>
        <v>obj_003fd#0010</v>
      </c>
      <c r="C45" s="89" t="str">
        <f>SUBSTITUTE(_xll.qlRateHelperQuoteName(B45),"3L","1LBASIS")</f>
        <v>USDAM1LBASIS28Y_Quote</v>
      </c>
      <c r="D45" s="90" t="e">
        <f>_xll.qlRateHelperQuoteValue($B45,Trigger)</f>
        <v>#NUM!</v>
      </c>
      <c r="E45" s="90">
        <f>_xll.qlSwapRateHelperSpread($B45,Trigger)</f>
        <v>1.1100000000000001E-3</v>
      </c>
      <c r="F45" s="91" t="b">
        <v>0</v>
      </c>
      <c r="G45" s="91">
        <v>40</v>
      </c>
      <c r="H45" s="91">
        <v>1</v>
      </c>
      <c r="I45" s="92">
        <f>_xll.qlRateHelperEarliestDate($B45,Trigger)</f>
        <v>42152</v>
      </c>
      <c r="J45" s="93">
        <f>_xll.qlRateHelperLatestDate($B45,Trigger)</f>
        <v>52379</v>
      </c>
    </row>
    <row r="46" spans="2:10" x14ac:dyDescent="0.2">
      <c r="B46" s="89" t="str">
        <f>SwapsFromBasis!L36</f>
        <v>obj_00401#0010</v>
      </c>
      <c r="C46" s="89" t="str">
        <f>SUBSTITUTE(_xll.qlRateHelperQuoteName(B46),"3L","1LBASIS")</f>
        <v>USDAM1LBASIS29Y_Quote</v>
      </c>
      <c r="D46" s="90" t="e">
        <f>_xll.qlRateHelperQuoteValue($B46,Trigger)</f>
        <v>#NUM!</v>
      </c>
      <c r="E46" s="90">
        <f>_xll.qlSwapRateHelperSpread($B46,Trigger)</f>
        <v>1.1100000000000001E-3</v>
      </c>
      <c r="F46" s="91" t="b">
        <v>0</v>
      </c>
      <c r="G46" s="91">
        <v>40</v>
      </c>
      <c r="H46" s="91">
        <v>1</v>
      </c>
      <c r="I46" s="92">
        <f>_xll.qlRateHelperEarliestDate($B46,Trigger)</f>
        <v>42152</v>
      </c>
      <c r="J46" s="93">
        <f>_xll.qlRateHelperLatestDate($B46,Trigger)</f>
        <v>52748</v>
      </c>
    </row>
    <row r="47" spans="2:10" x14ac:dyDescent="0.2">
      <c r="B47" s="89" t="str">
        <f>SwapsFromBasis!L37</f>
        <v>obj_003e0#0010</v>
      </c>
      <c r="C47" s="89" t="str">
        <f>SUBSTITUTE(_xll.qlRateHelperQuoteName(B47),"3L","1LBASIS")</f>
        <v>USDAM1LBASIS30Y_Quote</v>
      </c>
      <c r="D47" s="90">
        <f>_xll.qlRateHelperQuoteValue($B47,Trigger)</f>
        <v>2.6550000000000004E-2</v>
      </c>
      <c r="E47" s="90">
        <f>_xll.qlSwapRateHelperSpread($B47,Trigger)</f>
        <v>1.1100000000000001E-3</v>
      </c>
      <c r="F47" s="91" t="b">
        <v>1</v>
      </c>
      <c r="G47" s="91">
        <v>40</v>
      </c>
      <c r="H47" s="91">
        <v>1</v>
      </c>
      <c r="I47" s="92">
        <f>_xll.qlRateHelperEarliestDate($B47,Trigger)</f>
        <v>42152</v>
      </c>
      <c r="J47" s="93">
        <f>_xll.qlRateHelperLatestDate($B47,Trigger)</f>
        <v>53112</v>
      </c>
    </row>
    <row r="48" spans="2:10" x14ac:dyDescent="0.2">
      <c r="B48" s="89" t="str">
        <f>SwapsFromBasis!L38</f>
        <v>obj_003f8#0010</v>
      </c>
      <c r="C48" s="89" t="str">
        <f>SUBSTITUTE(_xll.qlRateHelperQuoteName(B48),"3L","1LBASIS")</f>
        <v>USDAM1LBASIS35Y_Quote</v>
      </c>
      <c r="D48" s="90" t="e">
        <f>_xll.qlRateHelperQuoteValue($B48,Trigger)</f>
        <v>#NUM!</v>
      </c>
      <c r="E48" s="90">
        <f>_xll.qlSwapRateHelperSpread($B48,Trigger)</f>
        <v>1.1100000000000001E-3</v>
      </c>
      <c r="F48" s="91" t="b">
        <v>0</v>
      </c>
      <c r="G48" s="91">
        <v>40</v>
      </c>
      <c r="H48" s="91">
        <v>1</v>
      </c>
      <c r="I48" s="92">
        <f>_xll.qlRateHelperEarliestDate($B48,Trigger)</f>
        <v>42152</v>
      </c>
      <c r="J48" s="93">
        <f>_xll.qlRateHelperLatestDate($B48,Trigger)</f>
        <v>54939</v>
      </c>
    </row>
    <row r="49" spans="2:10" x14ac:dyDescent="0.2">
      <c r="B49" s="89" t="str">
        <f>SwapsFromBasis!L39</f>
        <v>obj_003e5#0010</v>
      </c>
      <c r="C49" s="89" t="str">
        <f>SUBSTITUTE(_xll.qlRateHelperQuoteName(B49),"3L","1LBASIS")</f>
        <v>USDAM1LBASIS40Y_Quote</v>
      </c>
      <c r="D49" s="90">
        <f>_xll.qlRateHelperQuoteValue($B49,Trigger)</f>
        <v>2.673E-2</v>
      </c>
      <c r="E49" s="90">
        <f>_xll.qlSwapRateHelperSpread($B49,Trigger)</f>
        <v>1.1100000000000001E-3</v>
      </c>
      <c r="F49" s="224" t="b">
        <f>NOT(ISERROR(D49))</f>
        <v>1</v>
      </c>
      <c r="G49" s="91">
        <v>40</v>
      </c>
      <c r="H49" s="91">
        <v>1</v>
      </c>
      <c r="I49" s="92">
        <f>_xll.qlRateHelperEarliestDate($B49,Trigger)</f>
        <v>42152</v>
      </c>
      <c r="J49" s="93">
        <f>_xll.qlRateHelperLatestDate($B49,Trigger)</f>
        <v>56762</v>
      </c>
    </row>
    <row r="50" spans="2:10" x14ac:dyDescent="0.2">
      <c r="B50" s="89" t="str">
        <f>SwapsFromBasis!L40</f>
        <v>obj_003f6#0010</v>
      </c>
      <c r="C50" s="89" t="str">
        <f>SUBSTITUTE(_xll.qlRateHelperQuoteName(B50),"3L","1LBASIS")</f>
        <v>USDAM1LBASIS50Y_Quote</v>
      </c>
      <c r="D50" s="90">
        <f>_xll.qlRateHelperQuoteValue($B50,Trigger)</f>
        <v>2.6550000000000004E-2</v>
      </c>
      <c r="E50" s="90">
        <f>_xll.qlSwapRateHelperSpread($B50,Trigger)</f>
        <v>1.1100000000000001E-3</v>
      </c>
      <c r="F50" s="224" t="b">
        <f>NOT(ISERROR(D50))</f>
        <v>1</v>
      </c>
      <c r="G50" s="91">
        <v>40</v>
      </c>
      <c r="H50" s="91">
        <v>1</v>
      </c>
      <c r="I50" s="92">
        <f>_xll.qlRateHelperEarliestDate($B50,Trigger)</f>
        <v>42152</v>
      </c>
      <c r="J50" s="93">
        <f>_xll.qlRateHelperLatestDate($B50,Trigger)</f>
        <v>60415</v>
      </c>
    </row>
    <row r="51" spans="2:10" x14ac:dyDescent="0.2">
      <c r="B51" s="94" t="str">
        <f>SwapsFromBasis!L41</f>
        <v>obj_003f2#0010</v>
      </c>
      <c r="C51" s="94" t="str">
        <f>SUBSTITUTE(_xll.qlRateHelperQuoteName(B51),"3L","1LBASIS")</f>
        <v>USDAM1LBASIS60Y_Quote</v>
      </c>
      <c r="D51" s="95" t="e">
        <f>_xll.qlRateHelperQuoteValue($B51,Trigger)</f>
        <v>#NUM!</v>
      </c>
      <c r="E51" s="95">
        <f>_xll.qlSwapRateHelperSpread($B51,Trigger)</f>
        <v>1.1100000000000001E-3</v>
      </c>
      <c r="F51" s="96" t="b">
        <v>0</v>
      </c>
      <c r="G51" s="96">
        <v>40</v>
      </c>
      <c r="H51" s="96">
        <v>1</v>
      </c>
      <c r="I51" s="97">
        <f>_xll.qlRateHelperEarliestDate($B51,Trigger)</f>
        <v>42152</v>
      </c>
      <c r="J51" s="98">
        <f>_xll.qlRateHelperLatestDate($B51,Trigger)</f>
        <v>64067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5" t="s">
        <v>56</v>
      </c>
      <c r="B1" s="226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221" t="s">
        <v>53</v>
      </c>
      <c r="B2" s="222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obj_0040c</v>
      </c>
      <c r="E2" s="11" t="str">
        <f>SUBSTITUTE(_xll.qlRateHelperQuoteName(D2),"3L","1LBASIS")</f>
        <v>USDSWD_SYNTH1M_Quote</v>
      </c>
      <c r="F2" s="10">
        <f>_xll.qlRateHelperRate($D2)</f>
        <v>1.6869999999999999E-3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42152</v>
      </c>
      <c r="I2" s="8">
        <f>_xll.qlRateHelperLatestDate($D2)</f>
        <v>42159</v>
      </c>
      <c r="J2" s="3">
        <v>0.9999671982982089</v>
      </c>
    </row>
    <row r="3" spans="1:10" ht="11.25" customHeight="1" x14ac:dyDescent="0.2">
      <c r="A3" s="13" t="s">
        <v>52</v>
      </c>
      <c r="B3" s="15">
        <v>0</v>
      </c>
      <c r="D3" s="11" t="str">
        <v>obj_0040b</v>
      </c>
      <c r="E3" s="11" t="str">
        <f>SUBSTITUTE(_xll.qlRateHelperQuoteName(D3),"3L","1LBASIS")</f>
        <v>USD1MD_SYNTH1M_Quote</v>
      </c>
      <c r="F3" s="10">
        <f>_xll.qlRateHelperRate($D3)</f>
        <v>1.8630000000000001E-3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42152</v>
      </c>
      <c r="I3" s="8">
        <f>_xll.qlRateHelperLatestDate($D3)</f>
        <v>42184</v>
      </c>
      <c r="J3" s="3">
        <v>0.99983442741881956</v>
      </c>
    </row>
    <row r="4" spans="1:10" ht="11.25" customHeight="1" x14ac:dyDescent="0.2">
      <c r="A4" s="13" t="s">
        <v>51</v>
      </c>
      <c r="B4" s="15">
        <v>1</v>
      </c>
      <c r="D4" s="11" t="str">
        <v>obj_00410</v>
      </c>
      <c r="E4" s="11" t="str">
        <f>SUBSTITUTE(_xll.qlRateHelperQuoteName(D4),"3L","1LBASIS")</f>
        <v>USD3X1S_Quote</v>
      </c>
      <c r="F4" s="10">
        <f>_xll.qlRateHelperRate($D4)</f>
        <v>1.9500000000000001E-3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42152</v>
      </c>
      <c r="I4" s="8">
        <f>_xll.qlRateHelperLatestDate($D4)</f>
        <v>42244</v>
      </c>
      <c r="J4" s="3">
        <v>0.9995018964429836</v>
      </c>
    </row>
    <row r="5" spans="1:10" ht="11.25" customHeight="1" x14ac:dyDescent="0.2">
      <c r="A5" s="13" t="s">
        <v>50</v>
      </c>
      <c r="B5" s="14" t="s">
        <v>49</v>
      </c>
      <c r="D5" s="11" t="str">
        <v>obj_0040f</v>
      </c>
      <c r="E5" s="11" t="str">
        <f>SUBSTITUTE(_xll.qlRateHelperQuoteName(D5),"3L","1LBASIS")</f>
        <v>USD6X1S_Quote</v>
      </c>
      <c r="F5" s="10">
        <f>_xll.qlRateHelperRate($D5)</f>
        <v>2.4499999999999999E-3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42152</v>
      </c>
      <c r="I5" s="8">
        <f>_xll.qlRateHelperLatestDate($D5)</f>
        <v>42338</v>
      </c>
      <c r="J5" s="3">
        <v>0.99873566386086721</v>
      </c>
    </row>
    <row r="6" spans="1:10" ht="11.25" customHeight="1" thickBot="1" x14ac:dyDescent="0.25">
      <c r="A6" s="223" t="s">
        <v>48</v>
      </c>
      <c r="B6" s="12" t="str">
        <f>_xll.ohRangeRetrieveError(Selected!D2)</f>
        <v/>
      </c>
      <c r="D6" s="11" t="str">
        <v>obj_00409</v>
      </c>
      <c r="E6" s="11" t="str">
        <f>SUBSTITUTE(_xll.qlRateHelperQuoteName(D6),"3L","1LBASIS")</f>
        <v>USD9X1S_Quote</v>
      </c>
      <c r="F6" s="10">
        <f>_xll.qlRateHelperRate($D6)</f>
        <v>3.1700000000000001E-3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42152</v>
      </c>
      <c r="I6" s="8">
        <f>_xll.qlRateHelperLatestDate($D6)</f>
        <v>42429</v>
      </c>
      <c r="J6" s="3">
        <v>0.99756644694827978</v>
      </c>
    </row>
    <row r="7" spans="1:10" ht="11.25" customHeight="1" x14ac:dyDescent="0.2">
      <c r="D7" s="11" t="str">
        <v>obj_0040e</v>
      </c>
      <c r="E7" s="11" t="str">
        <f>SUBSTITUTE(_xll.qlRateHelperQuoteName(D7),"3L","1LBASIS")</f>
        <v>USD12X1S_Quote</v>
      </c>
      <c r="F7" s="10">
        <f>_xll.qlRateHelperRate($D7)</f>
        <v>3.98E-3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42152</v>
      </c>
      <c r="I7" s="8">
        <f>_xll.qlRateHelperLatestDate($D7)</f>
        <v>42521</v>
      </c>
      <c r="J7" s="3">
        <v>0.99593622125304626</v>
      </c>
    </row>
    <row r="8" spans="1:10" ht="11.25" customHeight="1" x14ac:dyDescent="0.2">
      <c r="D8" s="11" t="str">
        <v>obj_003ff</v>
      </c>
      <c r="E8" s="11" t="str">
        <f>SUBSTITUTE(_xll.qlRateHelperQuoteName(D8),"3L","1LBASIS")</f>
        <v>USDAM1LBASIS2Y_Quote</v>
      </c>
      <c r="F8" s="10">
        <f>_xll.qlRateHelperRate($D8)</f>
        <v>8.8400000000000006E-3</v>
      </c>
      <c r="G8" s="10">
        <f>IF(ISERROR(_xll.qlSwapRateHelperSpread($D8)),IF(ISERROR(_xll.qlFuturesRateHelperConvexityAdjustment($D8)),"--",_xll.qlFuturesRateHelperConvexityAdjustment($D8)),_xll.qlSwapRateHelperSpread($D8))</f>
        <v>1.2200000000000002E-3</v>
      </c>
      <c r="H8" s="9">
        <f>_xll.qlRateHelperEarliestDate($D8)</f>
        <v>42152</v>
      </c>
      <c r="I8" s="8">
        <f>_xll.qlRateHelperLatestDate($D8)</f>
        <v>42885</v>
      </c>
      <c r="J8" s="3">
        <v>0.98464275184386907</v>
      </c>
    </row>
    <row r="9" spans="1:10" ht="11.25" customHeight="1" x14ac:dyDescent="0.2">
      <c r="D9" s="11" t="str">
        <v>obj_003e8</v>
      </c>
      <c r="E9" s="11" t="str">
        <f>SUBSTITUTE(_xll.qlRateHelperQuoteName(D9),"3L","1LBASIS")</f>
        <v>USDAM1LBASIS3Y_Quote</v>
      </c>
      <c r="F9" s="10">
        <f>_xll.qlRateHelperRate($D9)</f>
        <v>1.218E-2</v>
      </c>
      <c r="G9" s="10">
        <f>IF(ISERROR(_xll.qlSwapRateHelperSpread($D9)),IF(ISERROR(_xll.qlFuturesRateHelperConvexityAdjustment($D9)),"--",_xll.qlFuturesRateHelperConvexityAdjustment($D9)),_xll.qlSwapRateHelperSpread($D9))</f>
        <v>1.2900000000000001E-3</v>
      </c>
      <c r="H9" s="9">
        <f>_xll.qlRateHelperEarliestDate($D9)</f>
        <v>42152</v>
      </c>
      <c r="I9" s="8">
        <f>_xll.qlRateHelperLatestDate($D9)</f>
        <v>43249</v>
      </c>
      <c r="J9" s="3">
        <v>0.96740910265613111</v>
      </c>
    </row>
    <row r="10" spans="1:10" ht="11.25" customHeight="1" x14ac:dyDescent="0.2">
      <c r="D10" s="11" t="str">
        <v>obj_00400</v>
      </c>
      <c r="E10" s="11" t="str">
        <f>SUBSTITUTE(_xll.qlRateHelperQuoteName(D10),"3L","1LBASIS")</f>
        <v>USDAM1LBASIS4Y_Quote</v>
      </c>
      <c r="F10" s="10">
        <f>_xll.qlRateHelperRate($D10)</f>
        <v>1.4750000000000001E-2</v>
      </c>
      <c r="G10" s="10">
        <f>IF(ISERROR(_xll.qlSwapRateHelperSpread($D10)),IF(ISERROR(_xll.qlFuturesRateHelperConvexityAdjustment($D10)),"--",_xll.qlFuturesRateHelperConvexityAdjustment($D10)),_xll.qlSwapRateHelperSpread($D10))</f>
        <v>1.33E-3</v>
      </c>
      <c r="H10" s="9">
        <f>_xll.qlRateHelperEarliestDate($D10)</f>
        <v>42152</v>
      </c>
      <c r="I10" s="8">
        <f>_xll.qlRateHelperLatestDate($D10)</f>
        <v>43613</v>
      </c>
      <c r="J10" s="3">
        <v>0.94700293831945936</v>
      </c>
    </row>
    <row r="11" spans="1:10" ht="11.25" customHeight="1" x14ac:dyDescent="0.2">
      <c r="D11" s="11" t="str">
        <v>obj_003e3</v>
      </c>
      <c r="E11" s="11" t="str">
        <f>SUBSTITUTE(_xll.qlRateHelperQuoteName(D11),"3L","1LBASIS")</f>
        <v>USDAM1LBASIS5Y_Quote</v>
      </c>
      <c r="F11" s="10">
        <f>_xll.qlRateHelperRate($D11)</f>
        <v>1.6789999999999999E-2</v>
      </c>
      <c r="G11" s="10">
        <f>IF(ISERROR(_xll.qlSwapRateHelperSpread($D11)),IF(ISERROR(_xll.qlFuturesRateHelperConvexityAdjustment($D11)),"--",_xll.qlFuturesRateHelperConvexityAdjustment($D11)),_xll.qlSwapRateHelperSpread($D11))</f>
        <v>1.3500000000000001E-3</v>
      </c>
      <c r="H11" s="9">
        <f>_xll.qlRateHelperEarliestDate($D11)</f>
        <v>42152</v>
      </c>
      <c r="I11" s="8">
        <f>_xll.qlRateHelperLatestDate($D11)</f>
        <v>43979</v>
      </c>
      <c r="J11" s="3">
        <v>0.92452926625183696</v>
      </c>
    </row>
    <row r="12" spans="1:10" ht="11.25" customHeight="1" x14ac:dyDescent="0.2">
      <c r="D12" s="11" t="str">
        <v>obj_003e9</v>
      </c>
      <c r="E12" s="11" t="str">
        <f>SUBSTITUTE(_xll.qlRateHelperQuoteName(D12),"3L","1LBASIS")</f>
        <v>USDAM1LBASIS6Y_Quote</v>
      </c>
      <c r="F12" s="10">
        <f>_xll.qlRateHelperRate($D12)</f>
        <v>1.8440000000000002E-2</v>
      </c>
      <c r="G12" s="10">
        <f>IF(ISERROR(_xll.qlSwapRateHelperSpread($D12)),IF(ISERROR(_xll.qlFuturesRateHelperConvexityAdjustment($D12)),"--",_xll.qlFuturesRateHelperConvexityAdjustment($D12)),_xll.qlSwapRateHelperSpread($D12))</f>
        <v>1.33E-3</v>
      </c>
      <c r="H12" s="9">
        <f>_xll.qlRateHelperEarliestDate($D12)</f>
        <v>42152</v>
      </c>
      <c r="I12" s="8">
        <f>_xll.qlRateHelperLatestDate($D12)</f>
        <v>44344</v>
      </c>
      <c r="J12" s="3">
        <v>0.90075582205904847</v>
      </c>
    </row>
    <row r="13" spans="1:10" ht="11.25" customHeight="1" x14ac:dyDescent="0.2">
      <c r="D13" s="11" t="str">
        <v>obj_003fe</v>
      </c>
      <c r="E13" s="11" t="str">
        <f>SUBSTITUTE(_xll.qlRateHelperQuoteName(D13),"3L","1LBASIS")</f>
        <v>USDAM1LBASIS7Y_Quote</v>
      </c>
      <c r="F13" s="10">
        <f>_xll.qlRateHelperRate($D13)</f>
        <v>1.976E-2</v>
      </c>
      <c r="G13" s="10">
        <f>IF(ISERROR(_xll.qlSwapRateHelperSpread($D13)),IF(ISERROR(_xll.qlFuturesRateHelperConvexityAdjustment($D13)),"--",_xll.qlFuturesRateHelperConvexityAdjustment($D13)),_xll.qlSwapRateHelperSpread($D13))</f>
        <v>1.3100000000000002E-3</v>
      </c>
      <c r="H13" s="9">
        <f>_xll.qlRateHelperEarliestDate($D13)</f>
        <v>42152</v>
      </c>
      <c r="I13" s="8">
        <f>_xll.qlRateHelperLatestDate($D13)</f>
        <v>44712</v>
      </c>
      <c r="J13" s="3">
        <v>0.87647604516583999</v>
      </c>
    </row>
    <row r="14" spans="1:10" ht="11.25" customHeight="1" x14ac:dyDescent="0.2">
      <c r="D14" s="11" t="str">
        <v>obj_003e7</v>
      </c>
      <c r="E14" s="11" t="str">
        <f>SUBSTITUTE(_xll.qlRateHelperQuoteName(D14),"3L","1LBASIS")</f>
        <v>USDAM1LBASIS8Y_Quote</v>
      </c>
      <c r="F14" s="10">
        <f>_xll.qlRateHelperRate($D14)</f>
        <v>2.0809999999999999E-2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1.2700000000000001E-3</v>
      </c>
      <c r="H14" s="9">
        <f>_xll.qlRateHelperEarliestDate($D14)</f>
        <v>42152</v>
      </c>
      <c r="I14" s="8">
        <f>_xll.qlRateHelperLatestDate($D14)</f>
        <v>45076</v>
      </c>
      <c r="J14" s="3">
        <v>0.85236002937852495</v>
      </c>
    </row>
    <row r="15" spans="1:10" ht="11.25" customHeight="1" x14ac:dyDescent="0.2">
      <c r="D15" s="11" t="str">
        <v>obj_003eb</v>
      </c>
      <c r="E15" s="11" t="str">
        <f>SUBSTITUTE(_xll.qlRateHelperQuoteName(D15),"3L","1LBASIS")</f>
        <v>USDAM1LBASIS9Y_Quote</v>
      </c>
      <c r="F15" s="10">
        <f>_xll.qlRateHelperRate($D15)</f>
        <v>2.1659999999999999E-2</v>
      </c>
      <c r="G15" s="10">
        <f>IF(ISERROR(_xll.qlSwapRateHelperSpread($D15)),IF(ISERROR(_xll.qlFuturesRateHelperConvexityAdjustment($D15)),"--",_xll.qlFuturesRateHelperConvexityAdjustment($D15)),_xll.qlSwapRateHelperSpread($D15))</f>
        <v>1.23E-3</v>
      </c>
      <c r="H15" s="9">
        <f>_xll.qlRateHelperEarliestDate($D15)</f>
        <v>42152</v>
      </c>
      <c r="I15" s="8">
        <f>_xll.qlRateHelperLatestDate($D15)</f>
        <v>45440</v>
      </c>
      <c r="J15" s="3">
        <v>0.828549994268587</v>
      </c>
    </row>
    <row r="16" spans="1:10" ht="11.25" customHeight="1" x14ac:dyDescent="0.2">
      <c r="D16" s="11" t="str">
        <v>obj_00404</v>
      </c>
      <c r="E16" s="11" t="str">
        <f>SUBSTITUTE(_xll.qlRateHelperQuoteName(D16),"3L","1LBASIS")</f>
        <v>USDAM1LBASIS10Y_Quote</v>
      </c>
      <c r="F16" s="10">
        <f>_xll.qlRateHelperRate($D16)</f>
        <v>2.2380000000000001E-2</v>
      </c>
      <c r="G16" s="10">
        <f>IF(ISERROR(_xll.qlSwapRateHelperSpread($D16)),IF(ISERROR(_xll.qlFuturesRateHelperConvexityAdjustment($D16)),"--",_xll.qlFuturesRateHelperConvexityAdjustment($D16)),_xll.qlSwapRateHelperSpread($D16))</f>
        <v>1.1900000000000001E-3</v>
      </c>
      <c r="H16" s="9">
        <f>_xll.qlRateHelperEarliestDate($D16)</f>
        <v>42152</v>
      </c>
      <c r="I16" s="8">
        <f>_xll.qlRateHelperLatestDate($D16)</f>
        <v>45805</v>
      </c>
      <c r="J16" s="3">
        <v>0.80490620975761673</v>
      </c>
    </row>
    <row r="17" spans="1:10" ht="11.25" customHeight="1" x14ac:dyDescent="0.2">
      <c r="D17" s="11" t="str">
        <v>obj_003e6</v>
      </c>
      <c r="E17" s="11" t="str">
        <f>SUBSTITUTE(_xll.qlRateHelperQuoteName(D17),"3L","1LBASIS")</f>
        <v>USDAM1LBASIS12Y_Quote</v>
      </c>
      <c r="F17" s="10">
        <f>_xll.qlRateHelperRate($D17)</f>
        <v>2.3519999999999999E-2</v>
      </c>
      <c r="G17" s="10">
        <f>IF(ISERROR(_xll.qlSwapRateHelperSpread($D17)),IF(ISERROR(_xll.qlFuturesRateHelperConvexityAdjustment($D17)),"--",_xll.qlFuturesRateHelperConvexityAdjustment($D17)),_xll.qlSwapRateHelperSpread($D17))</f>
        <v>1.1300000000000001E-3</v>
      </c>
      <c r="H17" s="9">
        <f>_xll.qlRateHelperEarliestDate($D17)</f>
        <v>42152</v>
      </c>
      <c r="I17" s="8">
        <f>_xll.qlRateHelperLatestDate($D17)</f>
        <v>46535</v>
      </c>
      <c r="J17" s="3">
        <v>0.75894043938629885</v>
      </c>
    </row>
    <row r="18" spans="1:10" ht="11.25" customHeight="1" x14ac:dyDescent="0.2">
      <c r="D18" s="11" t="str">
        <v>obj_003f4</v>
      </c>
      <c r="E18" s="11" t="str">
        <f>SUBSTITUTE(_xll.qlRateHelperQuoteName(D18),"3L","1LBASIS")</f>
        <v>USDAM1LBASIS15Y_Quote</v>
      </c>
      <c r="F18" s="10">
        <f>_xll.qlRateHelperRate($D18)</f>
        <v>2.4660000000000001E-2</v>
      </c>
      <c r="G18" s="10">
        <f>IF(ISERROR(_xll.qlSwapRateHelperSpread($D18)),IF(ISERROR(_xll.qlFuturesRateHelperConvexityAdjustment($D18)),"--",_xll.qlFuturesRateHelperConvexityAdjustment($D18)),_xll.qlSwapRateHelperSpread($D18))</f>
        <v>1.1000000000000001E-3</v>
      </c>
      <c r="H18" s="9">
        <f>_xll.qlRateHelperEarliestDate($D18)</f>
        <v>42152</v>
      </c>
      <c r="I18" s="8">
        <f>_xll.qlRateHelperLatestDate($D18)</f>
        <v>47631</v>
      </c>
      <c r="J18" s="3">
        <v>0.69508775337968187</v>
      </c>
    </row>
    <row r="19" spans="1:10" ht="11.25" customHeight="1" x14ac:dyDescent="0.2">
      <c r="D19" s="11" t="str">
        <v>obj_003f9</v>
      </c>
      <c r="E19" s="11" t="str">
        <f>SUBSTITUTE(_xll.qlRateHelperQuoteName(D19),"3L","1LBASIS")</f>
        <v>USDAM1LBASIS20Y_Quote</v>
      </c>
      <c r="F19" s="10">
        <f>_xll.qlRateHelperRate($D19)</f>
        <v>2.579E-2</v>
      </c>
      <c r="G19" s="10">
        <f>IF(ISERROR(_xll.qlSwapRateHelperSpread($D19)),IF(ISERROR(_xll.qlFuturesRateHelperConvexityAdjustment($D19)),"--",_xll.qlFuturesRateHelperConvexityAdjustment($D19)),_xll.qlSwapRateHelperSpread($D19))</f>
        <v>1.1000000000000001E-3</v>
      </c>
      <c r="H19" s="9">
        <f>_xll.qlRateHelperEarliestDate($D19)</f>
        <v>42152</v>
      </c>
      <c r="I19" s="8">
        <f>_xll.qlRateHelperLatestDate($D19)</f>
        <v>49458</v>
      </c>
      <c r="J19" s="3">
        <v>0.60076625834621589</v>
      </c>
    </row>
    <row r="20" spans="1:10" ht="11.25" customHeight="1" x14ac:dyDescent="0.2">
      <c r="D20" s="11" t="str">
        <v>obj_003f1</v>
      </c>
      <c r="E20" s="11" t="str">
        <f>SUBSTITUTE(_xll.qlRateHelperQuoteName(D20),"3L","1LBASIS")</f>
        <v>USDAM1LBASIS25Y_Quote</v>
      </c>
      <c r="F20" s="10">
        <f>_xll.qlRateHelperRate($D20)</f>
        <v>2.63E-2</v>
      </c>
      <c r="G20" s="10">
        <f>IF(ISERROR(_xll.qlSwapRateHelperSpread($D20)),IF(ISERROR(_xll.qlFuturesRateHelperConvexityAdjustment($D20)),"--",_xll.qlFuturesRateHelperConvexityAdjustment($D20)),_xll.qlSwapRateHelperSpread($D20))</f>
        <v>1.1100000000000001E-3</v>
      </c>
      <c r="H20" s="9">
        <f>_xll.qlRateHelperEarliestDate($D20)</f>
        <v>42152</v>
      </c>
      <c r="I20" s="8">
        <f>_xll.qlRateHelperLatestDate($D20)</f>
        <v>51285</v>
      </c>
      <c r="J20" s="3">
        <v>0.52216785455866477</v>
      </c>
    </row>
    <row r="21" spans="1:10" ht="11.25" customHeight="1" x14ac:dyDescent="0.2">
      <c r="D21" s="11" t="str">
        <v>obj_003e0</v>
      </c>
      <c r="E21" s="11" t="str">
        <f>SUBSTITUTE(_xll.qlRateHelperQuoteName(D21),"3L","1LBASIS")</f>
        <v>USDAM1LBASIS30Y_Quote</v>
      </c>
      <c r="F21" s="10">
        <f>_xll.qlRateHelperRate($D21)</f>
        <v>2.6550000000000004E-2</v>
      </c>
      <c r="G21" s="10">
        <f>IF(ISERROR(_xll.qlSwapRateHelperSpread($D21)),IF(ISERROR(_xll.qlFuturesRateHelperConvexityAdjustment($D21)),"--",_xll.qlFuturesRateHelperConvexityAdjustment($D21)),_xll.qlSwapRateHelperSpread($D21))</f>
        <v>1.1100000000000001E-3</v>
      </c>
      <c r="H21" s="9">
        <f>_xll.qlRateHelperEarliestDate($D21)</f>
        <v>42152</v>
      </c>
      <c r="I21" s="8">
        <f>_xll.qlRateHelperLatestDate($D21)</f>
        <v>53112</v>
      </c>
      <c r="J21" s="3">
        <v>0.45537127804359295</v>
      </c>
    </row>
    <row r="22" spans="1:10" ht="11.25" customHeight="1" x14ac:dyDescent="0.25">
      <c r="A22"/>
      <c r="B22"/>
      <c r="D22" s="11" t="str">
        <v>obj_003e5</v>
      </c>
      <c r="E22" s="11" t="str">
        <f>SUBSTITUTE(_xll.qlRateHelperQuoteName(D22),"3L","1LBASIS")</f>
        <v>USDAM1LBASIS40Y_Quote</v>
      </c>
      <c r="F22" s="10">
        <f>_xll.qlRateHelperRate($D22)</f>
        <v>2.673E-2</v>
      </c>
      <c r="G22" s="10">
        <f>IF(ISERROR(_xll.qlSwapRateHelperSpread($D22)),IF(ISERROR(_xll.qlFuturesRateHelperConvexityAdjustment($D22)),"--",_xll.qlFuturesRateHelperConvexityAdjustment($D22)),_xll.qlSwapRateHelperSpread($D22))</f>
        <v>1.1100000000000001E-3</v>
      </c>
      <c r="H22" s="9">
        <f>_xll.qlRateHelperEarliestDate($D22)</f>
        <v>42152</v>
      </c>
      <c r="I22" s="8">
        <f>_xll.qlRateHelperLatestDate($D22)</f>
        <v>56762</v>
      </c>
      <c r="J22" s="3">
        <v>0.34921456734853046</v>
      </c>
    </row>
    <row r="23" spans="1:10" ht="11.25" customHeight="1" x14ac:dyDescent="0.2">
      <c r="D23" s="11" t="str">
        <v>obj_003f6</v>
      </c>
      <c r="E23" s="11" t="str">
        <f>SUBSTITUTE(_xll.qlRateHelperQuoteName(D23),"3L","1LBASIS")</f>
        <v>USDAM1LBASIS50Y_Quote</v>
      </c>
      <c r="F23" s="10">
        <f>_xll.qlRateHelperRate($D23)</f>
        <v>2.6550000000000004E-2</v>
      </c>
      <c r="G23" s="10">
        <f>IF(ISERROR(_xll.qlSwapRateHelperSpread($D23)),IF(ISERROR(_xll.qlFuturesRateHelperConvexityAdjustment($D23)),"--",_xll.qlFuturesRateHelperConvexityAdjustment($D23)),_xll.qlSwapRateHelperSpread($D23))</f>
        <v>1.1100000000000001E-3</v>
      </c>
      <c r="H23" s="9">
        <f>_xll.qlRateHelperEarliestDate($D23)</f>
        <v>42152</v>
      </c>
      <c r="I23" s="8">
        <f>_xll.qlRateHelperLatestDate($D23)</f>
        <v>60415</v>
      </c>
      <c r="J23" s="3">
        <v>0.27458796245873318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obj_00405#0010</v>
      </c>
      <c r="D3" s="117" t="str">
        <f>Currency&amp;B3&amp;"D_SYNTH"&amp;$C$1&amp;QuoteSuffix</f>
        <v>USDSWD_SYNTH1M_Quote</v>
      </c>
      <c r="E3" s="118" t="str">
        <f>_xll.qlDepositRateHelper(,D3,C3,Permanent,Trigger,ObjectOverwrite)</f>
        <v>obj_0040c#0010</v>
      </c>
      <c r="F3" s="119" t="str">
        <f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obj_00406#0010</v>
      </c>
      <c r="D4" s="117" t="str">
        <f>Currency&amp;B4&amp;"D_SYNTH"&amp;$C$1&amp;QuoteSuffix</f>
        <v>USD1MD_SYNTH1M_Quote</v>
      </c>
      <c r="E4" s="118" t="str">
        <f>_xll.qlDepositRateHelper(,D4,C4,Permanent,Trigger,ObjectOverwrite)</f>
        <v>obj_0040b#0010</v>
      </c>
      <c r="F4" s="119" t="str">
        <f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6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3" width="6" style="1" customWidth="1"/>
    <col min="4" max="4" width="7" style="1" bestFit="1" customWidth="1"/>
    <col min="5" max="5" width="3" style="1" bestFit="1" customWidth="1"/>
    <col min="6" max="6" width="4" style="1" bestFit="1" customWidth="1"/>
    <col min="7" max="7" width="7" style="1" bestFit="1" customWidth="1"/>
    <col min="8" max="8" width="19.28515625" style="1" bestFit="1" customWidth="1"/>
    <col min="9" max="10" width="11" style="1" bestFit="1" customWidth="1"/>
    <col min="11" max="11" width="22" style="1" bestFit="1" customWidth="1"/>
    <col min="12" max="12" width="15.140625" style="2" bestFit="1" customWidth="1"/>
    <col min="13" max="13" width="21" style="1" customWidth="1"/>
    <col min="14" max="14" width="2.7109375" style="1" customWidth="1"/>
    <col min="15" max="16384" width="9.140625" style="1"/>
  </cols>
  <sheetData>
    <row r="1" spans="1:14" ht="12" x14ac:dyDescent="0.2">
      <c r="A1" s="110"/>
      <c r="B1" s="107"/>
      <c r="C1" s="107"/>
      <c r="D1" s="107"/>
      <c r="E1" s="107"/>
      <c r="F1" s="107"/>
      <c r="G1" s="107"/>
      <c r="H1" s="107"/>
      <c r="I1" s="91" t="s">
        <v>89</v>
      </c>
      <c r="J1" s="91" t="str">
        <f>Currency&amp;"_YC"&amp;$I$1&amp;"RH"</f>
        <v>USD_YC1MRH</v>
      </c>
      <c r="K1" s="124" t="str">
        <f>J1&amp;"_Swaps.xml"</f>
        <v>USD_YC1MRH_Swaps.xml</v>
      </c>
      <c r="L1" s="91"/>
      <c r="M1" s="107"/>
      <c r="N1" s="123"/>
    </row>
    <row r="2" spans="1:14" ht="36" customHeight="1" x14ac:dyDescent="0.2">
      <c r="A2" s="110"/>
      <c r="B2" s="111" t="s">
        <v>168</v>
      </c>
      <c r="C2" s="111" t="s">
        <v>120</v>
      </c>
      <c r="D2" s="111" t="s">
        <v>119</v>
      </c>
      <c r="E2" s="111"/>
      <c r="F2" s="111"/>
      <c r="G2" s="111" t="s">
        <v>118</v>
      </c>
      <c r="H2" s="111" t="s">
        <v>117</v>
      </c>
      <c r="I2" s="111" t="s">
        <v>116</v>
      </c>
      <c r="J2" s="111" t="s">
        <v>115</v>
      </c>
      <c r="K2" s="111" t="s">
        <v>91</v>
      </c>
      <c r="L2" s="125" t="str">
        <f>IF(Serialize,_xll.ohObjectSave(L3:L15,SerializationPath&amp;K1,FileOverwrite,Serialize),"---")</f>
        <v>---</v>
      </c>
      <c r="M2" s="114" t="str">
        <f>_xll.ohRangeRetrieveError(L2)</f>
        <v/>
      </c>
      <c r="N2" s="123"/>
    </row>
    <row r="3" spans="1:14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26" t="str">
        <f>IF(UPPER(FamilyName)="IBOR",_xll.qlEuribor(,$I$1,,Permanent,Trigger,ObjectOverwrite),IF(UPPER(FamilyName)="LIBOR",_xll.qlLibor(,Currency,$I$1,,Permanent,Trigger,ObjectOverwrite),"--"))</f>
        <v>obj_00407#0010</v>
      </c>
      <c r="M3" s="127" t="str">
        <f>_xll.ohRangeRetrieveError(L3)</f>
        <v/>
      </c>
      <c r="N3" s="123"/>
    </row>
    <row r="4" spans="1:14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23"/>
    </row>
    <row r="5" spans="1:14" x14ac:dyDescent="0.2">
      <c r="A5" s="110"/>
      <c r="B5" s="128"/>
      <c r="C5" s="128" t="s">
        <v>104</v>
      </c>
      <c r="D5" s="128" t="s">
        <v>114</v>
      </c>
      <c r="E5" s="128">
        <v>2</v>
      </c>
      <c r="F5" s="128" t="s">
        <v>37</v>
      </c>
      <c r="G5" s="129" t="s">
        <v>102</v>
      </c>
      <c r="H5" s="129" t="s">
        <v>101</v>
      </c>
      <c r="I5" s="129" t="str">
        <f t="shared" ref="I5:I15" si="0">MoneyMarketDayCounter</f>
        <v>Actual/360</v>
      </c>
      <c r="J5" s="130">
        <v>0</v>
      </c>
      <c r="K5" s="131" t="str">
        <f t="shared" ref="K5:K15" si="1">Currency&amp;$E5&amp;$F5&amp;QuoteSuffix</f>
        <v>USD2X1S_Quote</v>
      </c>
      <c r="L5" s="132" t="str">
        <f>_xll.qlSwapRateHelper2(,$K5,,$D5,Calendar,$G5,$H5,$I5,$L$3,$J5,C5,Discounting,Permanent,,ObjectOverwrite)</f>
        <v>obj_00411#0010</v>
      </c>
      <c r="M5" s="114" t="str">
        <f>_xll.ohRangeRetrieveError(L5)</f>
        <v/>
      </c>
      <c r="N5" s="123"/>
    </row>
    <row r="6" spans="1:14" x14ac:dyDescent="0.2">
      <c r="A6" s="110"/>
      <c r="B6" s="128"/>
      <c r="C6" s="128" t="s">
        <v>104</v>
      </c>
      <c r="D6" s="128" t="s">
        <v>113</v>
      </c>
      <c r="E6" s="128">
        <v>3</v>
      </c>
      <c r="F6" s="128" t="s">
        <v>37</v>
      </c>
      <c r="G6" s="129" t="s">
        <v>102</v>
      </c>
      <c r="H6" s="129" t="s">
        <v>101</v>
      </c>
      <c r="I6" s="133" t="str">
        <f t="shared" si="0"/>
        <v>Actual/360</v>
      </c>
      <c r="J6" s="130">
        <v>0</v>
      </c>
      <c r="K6" s="131" t="str">
        <f t="shared" si="1"/>
        <v>USD3X1S_Quote</v>
      </c>
      <c r="L6" s="132" t="str">
        <f>_xll.qlSwapRateHelper2(,$K6,,$D6,Calendar,$G6,$H6,$I6,$L$3,$J6,C6,Discounting,Permanent,,ObjectOverwrite)</f>
        <v>obj_00410#0010</v>
      </c>
      <c r="M6" s="114" t="str">
        <f>_xll.ohRangeRetrieveError(L6)</f>
        <v/>
      </c>
      <c r="N6" s="123"/>
    </row>
    <row r="7" spans="1:14" x14ac:dyDescent="0.2">
      <c r="A7" s="110"/>
      <c r="B7" s="128"/>
      <c r="C7" s="128" t="s">
        <v>104</v>
      </c>
      <c r="D7" s="128" t="s">
        <v>112</v>
      </c>
      <c r="E7" s="128">
        <v>4</v>
      </c>
      <c r="F7" s="128" t="s">
        <v>37</v>
      </c>
      <c r="G7" s="129" t="s">
        <v>102</v>
      </c>
      <c r="H7" s="129" t="s">
        <v>101</v>
      </c>
      <c r="I7" s="133" t="str">
        <f t="shared" si="0"/>
        <v>Actual/360</v>
      </c>
      <c r="J7" s="130">
        <v>0</v>
      </c>
      <c r="K7" s="131" t="str">
        <f t="shared" si="1"/>
        <v>USD4X1S_Quote</v>
      </c>
      <c r="L7" s="132" t="str">
        <f>_xll.qlSwapRateHelper2(,$K7,,$D7,Calendar,$G7,$H7,$I7,$L$3,$J7,C7,Discounting,Permanent,,ObjectOverwrite)</f>
        <v>obj_00414#0010</v>
      </c>
      <c r="M7" s="114" t="str">
        <f>_xll.ohRangeRetrieveError(L7)</f>
        <v/>
      </c>
      <c r="N7" s="123"/>
    </row>
    <row r="8" spans="1:14" x14ac:dyDescent="0.2">
      <c r="A8" s="110"/>
      <c r="B8" s="128"/>
      <c r="C8" s="128" t="s">
        <v>104</v>
      </c>
      <c r="D8" s="128" t="s">
        <v>111</v>
      </c>
      <c r="E8" s="128">
        <v>5</v>
      </c>
      <c r="F8" s="128" t="s">
        <v>37</v>
      </c>
      <c r="G8" s="129" t="s">
        <v>102</v>
      </c>
      <c r="H8" s="129" t="s">
        <v>101</v>
      </c>
      <c r="I8" s="133" t="str">
        <f t="shared" si="0"/>
        <v>Actual/360</v>
      </c>
      <c r="J8" s="130">
        <v>0</v>
      </c>
      <c r="K8" s="131" t="str">
        <f t="shared" si="1"/>
        <v>USD5X1S_Quote</v>
      </c>
      <c r="L8" s="132" t="str">
        <f>_xll.qlSwapRateHelper2(,$K8,,$D8,Calendar,$G8,$H8,$I8,$L$3,$J8,C8,Discounting,Permanent,,ObjectOverwrite)</f>
        <v>obj_00413#0010</v>
      </c>
      <c r="M8" s="114" t="str">
        <f>_xll.ohRangeRetrieveError(L8)</f>
        <v/>
      </c>
      <c r="N8" s="123"/>
    </row>
    <row r="9" spans="1:14" x14ac:dyDescent="0.2">
      <c r="A9" s="110"/>
      <c r="B9" s="128"/>
      <c r="C9" s="128" t="s">
        <v>104</v>
      </c>
      <c r="D9" s="128" t="s">
        <v>110</v>
      </c>
      <c r="E9" s="128">
        <v>6</v>
      </c>
      <c r="F9" s="128" t="s">
        <v>37</v>
      </c>
      <c r="G9" s="129" t="s">
        <v>102</v>
      </c>
      <c r="H9" s="129" t="s">
        <v>101</v>
      </c>
      <c r="I9" s="133" t="str">
        <f t="shared" si="0"/>
        <v>Actual/360</v>
      </c>
      <c r="J9" s="130">
        <v>0</v>
      </c>
      <c r="K9" s="131" t="str">
        <f t="shared" si="1"/>
        <v>USD6X1S_Quote</v>
      </c>
      <c r="L9" s="132" t="str">
        <f>_xll.qlSwapRateHelper2(,$K9,,$D9,Calendar,$G9,$H9,$I9,$L$3,$J9,C9,Discounting,Permanent,,ObjectOverwrite)</f>
        <v>obj_0040f#0010</v>
      </c>
      <c r="M9" s="114" t="str">
        <f>_xll.ohRangeRetrieveError(L9)</f>
        <v/>
      </c>
      <c r="N9" s="123"/>
    </row>
    <row r="10" spans="1:14" x14ac:dyDescent="0.2">
      <c r="A10" s="110"/>
      <c r="B10" s="128"/>
      <c r="C10" s="128" t="s">
        <v>104</v>
      </c>
      <c r="D10" s="128" t="s">
        <v>109</v>
      </c>
      <c r="E10" s="128">
        <v>7</v>
      </c>
      <c r="F10" s="128" t="s">
        <v>37</v>
      </c>
      <c r="G10" s="129" t="s">
        <v>102</v>
      </c>
      <c r="H10" s="129" t="s">
        <v>101</v>
      </c>
      <c r="I10" s="133" t="str">
        <f t="shared" si="0"/>
        <v>Actual/360</v>
      </c>
      <c r="J10" s="130">
        <v>0</v>
      </c>
      <c r="K10" s="131" t="str">
        <f t="shared" si="1"/>
        <v>USD7X1S_Quote</v>
      </c>
      <c r="L10" s="132" t="str">
        <f>_xll.qlSwapRateHelper2(,$K10,,$D10,Calendar,$G10,$H10,$I10,$L$3,$J10,C10,Discounting,Permanent,,ObjectOverwrite)</f>
        <v>obj_0040d#0010</v>
      </c>
      <c r="M10" s="114" t="str">
        <f>_xll.ohRangeRetrieveError(L10)</f>
        <v/>
      </c>
      <c r="N10" s="123"/>
    </row>
    <row r="11" spans="1:14" x14ac:dyDescent="0.2">
      <c r="A11" s="110"/>
      <c r="B11" s="128"/>
      <c r="C11" s="128" t="s">
        <v>104</v>
      </c>
      <c r="D11" s="128" t="s">
        <v>108</v>
      </c>
      <c r="E11" s="128">
        <v>8</v>
      </c>
      <c r="F11" s="128" t="s">
        <v>37</v>
      </c>
      <c r="G11" s="129" t="s">
        <v>102</v>
      </c>
      <c r="H11" s="129" t="s">
        <v>101</v>
      </c>
      <c r="I11" s="133" t="str">
        <f t="shared" si="0"/>
        <v>Actual/360</v>
      </c>
      <c r="J11" s="130">
        <v>0</v>
      </c>
      <c r="K11" s="131" t="str">
        <f t="shared" si="1"/>
        <v>USD8X1S_Quote</v>
      </c>
      <c r="L11" s="132" t="str">
        <f>_xll.qlSwapRateHelper2(,$K11,,$D11,Calendar,$G11,$H11,$I11,$L$3,$J11,C11,Discounting,Permanent,,ObjectOverwrite)</f>
        <v>obj_0040a#0010</v>
      </c>
      <c r="M11" s="114" t="str">
        <f>_xll.ohRangeRetrieveError(L11)</f>
        <v/>
      </c>
      <c r="N11" s="123"/>
    </row>
    <row r="12" spans="1:14" x14ac:dyDescent="0.2">
      <c r="A12" s="110"/>
      <c r="B12" s="128"/>
      <c r="C12" s="128" t="s">
        <v>104</v>
      </c>
      <c r="D12" s="128" t="s">
        <v>107</v>
      </c>
      <c r="E12" s="128">
        <v>9</v>
      </c>
      <c r="F12" s="128" t="s">
        <v>37</v>
      </c>
      <c r="G12" s="129" t="s">
        <v>102</v>
      </c>
      <c r="H12" s="129" t="s">
        <v>101</v>
      </c>
      <c r="I12" s="133" t="str">
        <f t="shared" si="0"/>
        <v>Actual/360</v>
      </c>
      <c r="J12" s="130">
        <v>0</v>
      </c>
      <c r="K12" s="131" t="str">
        <f t="shared" si="1"/>
        <v>USD9X1S_Quote</v>
      </c>
      <c r="L12" s="132" t="str">
        <f>_xll.qlSwapRateHelper2(,$K12,,$D12,Calendar,$G12,$H12,$I12,$L$3,$J12,C12,Discounting,Permanent,,ObjectOverwrite)</f>
        <v>obj_00409#0010</v>
      </c>
      <c r="M12" s="114" t="str">
        <f>_xll.ohRangeRetrieveError(L12)</f>
        <v/>
      </c>
      <c r="N12" s="123"/>
    </row>
    <row r="13" spans="1:14" x14ac:dyDescent="0.2">
      <c r="A13" s="110"/>
      <c r="B13" s="128"/>
      <c r="C13" s="128" t="s">
        <v>104</v>
      </c>
      <c r="D13" s="128" t="s">
        <v>106</v>
      </c>
      <c r="E13" s="128">
        <v>10</v>
      </c>
      <c r="F13" s="128" t="s">
        <v>37</v>
      </c>
      <c r="G13" s="129" t="s">
        <v>102</v>
      </c>
      <c r="H13" s="129" t="s">
        <v>101</v>
      </c>
      <c r="I13" s="133" t="str">
        <f t="shared" si="0"/>
        <v>Actual/360</v>
      </c>
      <c r="J13" s="130">
        <v>0</v>
      </c>
      <c r="K13" s="131" t="str">
        <f t="shared" si="1"/>
        <v>USD10X1S_Quote</v>
      </c>
      <c r="L13" s="132" t="str">
        <f>_xll.qlSwapRateHelper2(,$K13,,$D13,Calendar,$G13,$H13,$I13,$L$3,$J13,C13,Discounting,Permanent,,ObjectOverwrite)</f>
        <v>obj_00408#0010</v>
      </c>
      <c r="M13" s="114" t="str">
        <f>_xll.ohRangeRetrieveError(L13)</f>
        <v/>
      </c>
      <c r="N13" s="123"/>
    </row>
    <row r="14" spans="1:14" x14ac:dyDescent="0.2">
      <c r="A14" s="110"/>
      <c r="B14" s="128"/>
      <c r="C14" s="128" t="s">
        <v>104</v>
      </c>
      <c r="D14" s="128" t="s">
        <v>105</v>
      </c>
      <c r="E14" s="128">
        <v>11</v>
      </c>
      <c r="F14" s="128" t="s">
        <v>37</v>
      </c>
      <c r="G14" s="129" t="s">
        <v>102</v>
      </c>
      <c r="H14" s="129" t="s">
        <v>101</v>
      </c>
      <c r="I14" s="133" t="str">
        <f t="shared" si="0"/>
        <v>Actual/360</v>
      </c>
      <c r="J14" s="130">
        <v>0</v>
      </c>
      <c r="K14" s="131" t="str">
        <f t="shared" si="1"/>
        <v>USD11X1S_Quote</v>
      </c>
      <c r="L14" s="132" t="str">
        <f>_xll.qlSwapRateHelper2(,$K14,,$D14,Calendar,$G14,$H14,$I14,$L$3,$J14,C14,Discounting,Permanent,,ObjectOverwrite)</f>
        <v>obj_00412#0010</v>
      </c>
      <c r="M14" s="114" t="str">
        <f>_xll.ohRangeRetrieveError(L14)</f>
        <v/>
      </c>
      <c r="N14" s="123"/>
    </row>
    <row r="15" spans="1:14" x14ac:dyDescent="0.2">
      <c r="A15" s="110"/>
      <c r="B15" s="128"/>
      <c r="C15" s="128" t="s">
        <v>104</v>
      </c>
      <c r="D15" s="128" t="s">
        <v>103</v>
      </c>
      <c r="E15" s="128">
        <v>12</v>
      </c>
      <c r="F15" s="128" t="s">
        <v>37</v>
      </c>
      <c r="G15" s="129" t="s">
        <v>102</v>
      </c>
      <c r="H15" s="129" t="s">
        <v>101</v>
      </c>
      <c r="I15" s="133" t="str">
        <f t="shared" si="0"/>
        <v>Actual/360</v>
      </c>
      <c r="J15" s="130">
        <v>0</v>
      </c>
      <c r="K15" s="131" t="str">
        <f t="shared" si="1"/>
        <v>USD12X1S_Quote</v>
      </c>
      <c r="L15" s="132" t="str">
        <f>_xll.qlSwapRateHelper2(,$K15,,$D15,Calendar,$G15,$H15,$I15,$L$3,$J15,C15,Discounting,Permanent,,ObjectOverwrite)</f>
        <v>obj_0040e#0010</v>
      </c>
      <c r="M15" s="114" t="str">
        <f>_xll.ohRangeRetrieveError(L15)</f>
        <v/>
      </c>
      <c r="N15" s="123"/>
    </row>
    <row r="16" spans="1:14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34"/>
      <c r="M16" s="134"/>
      <c r="N16" s="135"/>
    </row>
  </sheetData>
  <dataValidations count="2">
    <dataValidation type="list" allowBlank="1" showInputMessage="1" showErrorMessage="1" sqref="H5:H15">
      <formula1>"Following,Modified Following,Preceding,Modified Preceding,Month End Reference,Unadjusted Month End,Unadjusted"</formula1>
    </dataValidation>
    <dataValidation type="list" allowBlank="1" showInputMessage="1" showErrorMessage="1" sqref="G5:G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2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3" width="6.28515625" style="1" customWidth="1"/>
    <col min="4" max="4" width="4" style="1" bestFit="1" customWidth="1"/>
    <col min="5" max="6" width="3" style="1" bestFit="1" customWidth="1"/>
    <col min="7" max="7" width="7" style="1" bestFit="1" customWidth="1"/>
    <col min="8" max="8" width="19.28515625" style="1" bestFit="1" customWidth="1"/>
    <col min="9" max="9" width="11" style="1" bestFit="1" customWidth="1"/>
    <col min="10" max="10" width="17.28515625" style="1" bestFit="1" customWidth="1"/>
    <col min="11" max="11" width="30.7109375" style="1" bestFit="1" customWidth="1"/>
    <col min="12" max="12" width="15.140625" style="2" bestFit="1" customWidth="1"/>
    <col min="13" max="13" width="16.5703125" style="1" customWidth="1"/>
    <col min="14" max="14" width="2.7109375" style="1" customWidth="1"/>
    <col min="15" max="15" width="2.5703125" style="1" customWidth="1"/>
    <col min="16" max="16" width="4" style="1" bestFit="1" customWidth="1"/>
    <col min="17" max="17" width="3.28515625" style="1" bestFit="1" customWidth="1"/>
    <col min="18" max="18" width="2.7109375" style="1" bestFit="1" customWidth="1"/>
    <col min="19" max="16384" width="9.140625" style="1"/>
  </cols>
  <sheetData>
    <row r="1" spans="1:18" x14ac:dyDescent="0.2">
      <c r="A1" s="110"/>
      <c r="B1" s="107"/>
      <c r="C1" s="107"/>
      <c r="D1" s="107"/>
      <c r="E1" s="107"/>
      <c r="F1" s="107"/>
      <c r="G1" s="107"/>
      <c r="H1" s="91" t="s">
        <v>129</v>
      </c>
      <c r="I1" s="91" t="s">
        <v>89</v>
      </c>
      <c r="J1" s="91" t="str">
        <f>Currency&amp;"_YC"&amp;$I$1&amp;"RH"</f>
        <v>USD_YC1MRH</v>
      </c>
      <c r="K1" s="91" t="str">
        <f>J1&amp;"_SwapsFromBasis.xml"</f>
        <v>USD_YC1MRH_SwapsFromBasis.xml</v>
      </c>
      <c r="L1" s="91"/>
      <c r="M1" s="107"/>
      <c r="N1" s="123"/>
    </row>
    <row r="2" spans="1:18" ht="22.5" x14ac:dyDescent="0.2">
      <c r="A2" s="110"/>
      <c r="B2" s="111" t="s">
        <v>168</v>
      </c>
      <c r="C2" s="111" t="s">
        <v>120</v>
      </c>
      <c r="D2" s="111"/>
      <c r="E2" s="111"/>
      <c r="F2" s="111"/>
      <c r="G2" s="111" t="s">
        <v>118</v>
      </c>
      <c r="H2" s="111" t="s">
        <v>117</v>
      </c>
      <c r="I2" s="111" t="s">
        <v>116</v>
      </c>
      <c r="J2" s="111" t="s">
        <v>115</v>
      </c>
      <c r="K2" s="111" t="s">
        <v>91</v>
      </c>
      <c r="L2" s="125" t="str">
        <f>IF(Serialize,_xll.ohObjectSave(L3:L41,SerializationPath&amp;K1,FileOverwrite,Serialize),"---")</f>
        <v>---</v>
      </c>
      <c r="M2" s="136" t="str">
        <f>_xll.ohRangeRetrieveError(L2)</f>
        <v/>
      </c>
      <c r="N2" s="123"/>
    </row>
    <row r="3" spans="1:18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26" t="str">
        <f>IF(UPPER(FamilyName)="IBOR",_xll.qlEuribor(,$I$1,,Permanent,Trigger,ObjectOverwrite),IF(UPPER(FamilyName)="LIBOR",_xll.qlLibor(,Currency,$I$1,,Permanent,Trigger,ObjectOverwrite),"--"))</f>
        <v>obj_003df#0010</v>
      </c>
      <c r="M3" s="127" t="str">
        <f>_xll.ohRangeRetrieveError(L3)</f>
        <v/>
      </c>
      <c r="N3" s="123"/>
    </row>
    <row r="4" spans="1:18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23"/>
    </row>
    <row r="5" spans="1:18" x14ac:dyDescent="0.2">
      <c r="A5" s="110"/>
      <c r="B5" s="137"/>
      <c r="C5" s="137" t="s">
        <v>104</v>
      </c>
      <c r="D5" s="128" t="s">
        <v>36</v>
      </c>
      <c r="E5" s="137" t="str">
        <f>VLOOKUP(Currency,Swap1MConventions,2)</f>
        <v>AM</v>
      </c>
      <c r="F5" s="137" t="str">
        <f>VLOOKUP(Currency,Swap1MConventions,3)</f>
        <v>1L</v>
      </c>
      <c r="G5" s="129" t="s">
        <v>102</v>
      </c>
      <c r="H5" s="129" t="s">
        <v>101</v>
      </c>
      <c r="I5" s="129" t="str">
        <f t="shared" ref="I5:I41" si="0">IF(UPPER(RIGHT($E5))="B",BondBasisDayCounter,IF(UPPER(RIGHT($E5))="M",MoneyMarketDayCounter,"--"))</f>
        <v>Actual/360</v>
      </c>
      <c r="J5" s="130" t="str">
        <f t="shared" ref="J5:J41" si="1">Currency&amp;$H$1&amp;$F5&amp;$D5&amp;QuoteSuffix</f>
        <v>USD3L1L1Y_Quote</v>
      </c>
      <c r="K5" s="131" t="str">
        <f t="shared" ref="K5:K41" si="2">Currency&amp;$E5&amp;$H$1&amp;$D5&amp;"_Quote"</f>
        <v>USDAM3L1Y_Quote</v>
      </c>
      <c r="L5" s="132" t="str">
        <f>_xll.qlSwapRateHelper2(,$K5,,$D5,Calendar,$G5,$H5,$I5,$L$3,$J5,C5,Discounting,Permanent,,ObjectOverwrite)</f>
        <v>obj_003fb#0010</v>
      </c>
      <c r="M5" s="136" t="str">
        <f>_xll.ohRangeRetrieveError(L5)</f>
        <v/>
      </c>
      <c r="N5" s="123"/>
    </row>
    <row r="6" spans="1:18" x14ac:dyDescent="0.2">
      <c r="A6" s="110"/>
      <c r="B6" s="128"/>
      <c r="C6" s="128" t="str">
        <f t="shared" ref="C6:C41" si="3">C5</f>
        <v>0D</v>
      </c>
      <c r="D6" s="128" t="s">
        <v>35</v>
      </c>
      <c r="E6" s="128" t="str">
        <f t="shared" ref="E6:E41" si="4">E5</f>
        <v>AM</v>
      </c>
      <c r="F6" s="128" t="str">
        <f t="shared" ref="F6:F41" si="5">F5</f>
        <v>1L</v>
      </c>
      <c r="G6" s="129" t="s">
        <v>102</v>
      </c>
      <c r="H6" s="133" t="s">
        <v>101</v>
      </c>
      <c r="I6" s="133" t="str">
        <f t="shared" si="0"/>
        <v>Actual/360</v>
      </c>
      <c r="J6" s="130" t="str">
        <f t="shared" si="1"/>
        <v>USD3L1L15M_Quote</v>
      </c>
      <c r="K6" s="131" t="str">
        <f t="shared" si="2"/>
        <v>USDAM3L15M_Quote</v>
      </c>
      <c r="L6" s="132" t="str">
        <f>_xll.qlSwapRateHelper2(,$K6,,$D6,Calendar,$G6,$H6,$I6,$L$3,$J6,C6,Discounting,Permanent,,ObjectOverwrite)</f>
        <v>obj_00402#0010</v>
      </c>
      <c r="M6" s="136" t="str">
        <f>_xll.ohRangeRetrieveError(L6)</f>
        <v/>
      </c>
      <c r="N6" s="123"/>
    </row>
    <row r="7" spans="1:18" x14ac:dyDescent="0.2">
      <c r="A7" s="110"/>
      <c r="B7" s="128"/>
      <c r="C7" s="128" t="str">
        <f t="shared" si="3"/>
        <v>0D</v>
      </c>
      <c r="D7" s="128" t="s">
        <v>34</v>
      </c>
      <c r="E7" s="128" t="str">
        <f t="shared" si="4"/>
        <v>AM</v>
      </c>
      <c r="F7" s="128" t="str">
        <f t="shared" si="5"/>
        <v>1L</v>
      </c>
      <c r="G7" s="129" t="s">
        <v>102</v>
      </c>
      <c r="H7" s="133" t="s">
        <v>101</v>
      </c>
      <c r="I7" s="133" t="str">
        <f t="shared" si="0"/>
        <v>Actual/360</v>
      </c>
      <c r="J7" s="130" t="str">
        <f t="shared" si="1"/>
        <v>USD3L1L18M_Quote</v>
      </c>
      <c r="K7" s="131" t="str">
        <f t="shared" si="2"/>
        <v>USDAM3L18M_Quote</v>
      </c>
      <c r="L7" s="132" t="str">
        <f>_xll.qlSwapRateHelper2(,$K7,,$D7,Calendar,$G7,$H7,$I7,$L$3,$J7,C7,Discounting,Permanent,,ObjectOverwrite)</f>
        <v>obj_003ea#0010</v>
      </c>
      <c r="M7" s="136" t="str">
        <f>_xll.ohRangeRetrieveError(L7)</f>
        <v/>
      </c>
      <c r="N7" s="123"/>
    </row>
    <row r="8" spans="1:18" ht="12" thickBot="1" x14ac:dyDescent="0.25">
      <c r="A8" s="110"/>
      <c r="B8" s="128"/>
      <c r="C8" s="128" t="str">
        <f t="shared" si="3"/>
        <v>0D</v>
      </c>
      <c r="D8" s="128" t="s">
        <v>33</v>
      </c>
      <c r="E8" s="128" t="str">
        <f t="shared" si="4"/>
        <v>AM</v>
      </c>
      <c r="F8" s="128" t="str">
        <f t="shared" si="5"/>
        <v>1L</v>
      </c>
      <c r="G8" s="129" t="s">
        <v>102</v>
      </c>
      <c r="H8" s="133" t="s">
        <v>101</v>
      </c>
      <c r="I8" s="133" t="str">
        <f t="shared" si="0"/>
        <v>Actual/360</v>
      </c>
      <c r="J8" s="130" t="str">
        <f t="shared" si="1"/>
        <v>USD3L1L21M_Quote</v>
      </c>
      <c r="K8" s="131" t="str">
        <f t="shared" si="2"/>
        <v>USDAM3L21M_Quote</v>
      </c>
      <c r="L8" s="132" t="str">
        <f>_xll.qlSwapRateHelper2(,$K8,,$D8,Calendar,$G8,$H8,$I8,$L$3,$J8,C8,Discounting,Permanent,,ObjectOverwrite)</f>
        <v>obj_00403#0010</v>
      </c>
      <c r="M8" s="136" t="str">
        <f>_xll.ohRangeRetrieveError(L8)</f>
        <v/>
      </c>
      <c r="N8" s="123"/>
    </row>
    <row r="9" spans="1:18" x14ac:dyDescent="0.2">
      <c r="A9" s="110"/>
      <c r="B9" s="128"/>
      <c r="C9" s="128" t="str">
        <f t="shared" si="3"/>
        <v>0D</v>
      </c>
      <c r="D9" s="128" t="s">
        <v>32</v>
      </c>
      <c r="E9" s="128" t="str">
        <f t="shared" si="4"/>
        <v>AM</v>
      </c>
      <c r="F9" s="128" t="str">
        <f t="shared" si="5"/>
        <v>1L</v>
      </c>
      <c r="G9" s="129" t="s">
        <v>102</v>
      </c>
      <c r="H9" s="133" t="s">
        <v>101</v>
      </c>
      <c r="I9" s="133" t="str">
        <f t="shared" si="0"/>
        <v>Actual/360</v>
      </c>
      <c r="J9" s="130" t="str">
        <f t="shared" si="1"/>
        <v>USD3L1L2Y_Quote</v>
      </c>
      <c r="K9" s="131" t="str">
        <f t="shared" si="2"/>
        <v>USDAM3L2Y_Quote</v>
      </c>
      <c r="L9" s="132" t="str">
        <f>_xll.qlSwapRateHelper2(,$K9,,$D9,Calendar,$G9,$H9,$I9,$L$3,$J9,C9,Discounting,Permanent,,ObjectOverwrite)</f>
        <v>obj_003ff#0010</v>
      </c>
      <c r="M9" s="136" t="str">
        <f>_xll.ohRangeRetrieveError(L9)</f>
        <v/>
      </c>
      <c r="N9" s="123"/>
      <c r="P9" s="138" t="s">
        <v>86</v>
      </c>
      <c r="Q9" s="139" t="s">
        <v>83</v>
      </c>
      <c r="R9" s="140" t="s">
        <v>127</v>
      </c>
    </row>
    <row r="10" spans="1:18" x14ac:dyDescent="0.2">
      <c r="A10" s="110"/>
      <c r="B10" s="128"/>
      <c r="C10" s="128" t="str">
        <f t="shared" si="3"/>
        <v>0D</v>
      </c>
      <c r="D10" s="128" t="s">
        <v>31</v>
      </c>
      <c r="E10" s="128" t="str">
        <f t="shared" si="4"/>
        <v>AM</v>
      </c>
      <c r="F10" s="128" t="str">
        <f t="shared" si="5"/>
        <v>1L</v>
      </c>
      <c r="G10" s="129" t="s">
        <v>102</v>
      </c>
      <c r="H10" s="133" t="s">
        <v>101</v>
      </c>
      <c r="I10" s="133" t="str">
        <f t="shared" si="0"/>
        <v>Actual/360</v>
      </c>
      <c r="J10" s="130" t="str">
        <f t="shared" si="1"/>
        <v>USD3L1L3Y_Quote</v>
      </c>
      <c r="K10" s="131" t="str">
        <f t="shared" si="2"/>
        <v>USDAM3L3Y_Quote</v>
      </c>
      <c r="L10" s="132" t="str">
        <f>_xll.qlSwapRateHelper2(,$K10,,$D10,Calendar,$G10,$H10,$I10,$L$3,$J10,C10,Discounting,Permanent,,ObjectOverwrite)</f>
        <v>obj_003e8#0010</v>
      </c>
      <c r="M10" s="136" t="str">
        <f>_xll.ohRangeRetrieveError(L10)</f>
        <v/>
      </c>
      <c r="N10" s="123"/>
      <c r="P10" s="141" t="s">
        <v>84</v>
      </c>
      <c r="Q10" s="142" t="s">
        <v>83</v>
      </c>
      <c r="R10" s="143" t="s">
        <v>128</v>
      </c>
    </row>
    <row r="11" spans="1:18" x14ac:dyDescent="0.2">
      <c r="A11" s="110"/>
      <c r="B11" s="128"/>
      <c r="C11" s="128" t="str">
        <f t="shared" si="3"/>
        <v>0D</v>
      </c>
      <c r="D11" s="128" t="s">
        <v>30</v>
      </c>
      <c r="E11" s="128" t="str">
        <f t="shared" si="4"/>
        <v>AM</v>
      </c>
      <c r="F11" s="128" t="str">
        <f t="shared" si="5"/>
        <v>1L</v>
      </c>
      <c r="G11" s="129" t="s">
        <v>102</v>
      </c>
      <c r="H11" s="133" t="s">
        <v>101</v>
      </c>
      <c r="I11" s="133" t="str">
        <f t="shared" si="0"/>
        <v>Actual/360</v>
      </c>
      <c r="J11" s="130" t="str">
        <f t="shared" si="1"/>
        <v>USD3L1L4Y_Quote</v>
      </c>
      <c r="K11" s="131" t="str">
        <f t="shared" si="2"/>
        <v>USDAM3L4Y_Quote</v>
      </c>
      <c r="L11" s="132" t="str">
        <f>_xll.qlSwapRateHelper2(,$K11,,$D11,Calendar,$G11,$H11,$I11,$L$3,$J11,C11,Discounting,Permanent,,ObjectOverwrite)</f>
        <v>obj_00400#0010</v>
      </c>
      <c r="M11" s="136" t="str">
        <f>_xll.ohRangeRetrieveError(L11)</f>
        <v/>
      </c>
      <c r="N11" s="123"/>
      <c r="P11" s="141" t="s">
        <v>81</v>
      </c>
      <c r="Q11" s="142" t="s">
        <v>75</v>
      </c>
      <c r="R11" s="143" t="s">
        <v>127</v>
      </c>
    </row>
    <row r="12" spans="1:18" x14ac:dyDescent="0.2">
      <c r="A12" s="110"/>
      <c r="B12" s="128"/>
      <c r="C12" s="128" t="str">
        <f t="shared" si="3"/>
        <v>0D</v>
      </c>
      <c r="D12" s="128" t="s">
        <v>29</v>
      </c>
      <c r="E12" s="128" t="str">
        <f t="shared" si="4"/>
        <v>AM</v>
      </c>
      <c r="F12" s="128" t="str">
        <f t="shared" si="5"/>
        <v>1L</v>
      </c>
      <c r="G12" s="129" t="s">
        <v>102</v>
      </c>
      <c r="H12" s="133" t="s">
        <v>101</v>
      </c>
      <c r="I12" s="133" t="str">
        <f t="shared" si="0"/>
        <v>Actual/360</v>
      </c>
      <c r="J12" s="130" t="str">
        <f t="shared" si="1"/>
        <v>USD3L1L5Y_Quote</v>
      </c>
      <c r="K12" s="131" t="str">
        <f t="shared" si="2"/>
        <v>USDAM3L5Y_Quote</v>
      </c>
      <c r="L12" s="132" t="str">
        <f>_xll.qlSwapRateHelper2(,$K12,,$D12,Calendar,$G12,$H12,$I12,$L$3,$J12,C12,Discounting,Permanent,,ObjectOverwrite)</f>
        <v>obj_003e3#0010</v>
      </c>
      <c r="M12" s="136" t="str">
        <f>_xll.ohRangeRetrieveError(L12)</f>
        <v/>
      </c>
      <c r="N12" s="123"/>
      <c r="P12" s="141" t="s">
        <v>78</v>
      </c>
      <c r="Q12" s="142" t="s">
        <v>80</v>
      </c>
      <c r="R12" s="143" t="s">
        <v>127</v>
      </c>
    </row>
    <row r="13" spans="1:18" ht="12" thickBot="1" x14ac:dyDescent="0.25">
      <c r="A13" s="110"/>
      <c r="B13" s="128"/>
      <c r="C13" s="128" t="str">
        <f t="shared" si="3"/>
        <v>0D</v>
      </c>
      <c r="D13" s="128" t="s">
        <v>28</v>
      </c>
      <c r="E13" s="128" t="str">
        <f t="shared" si="4"/>
        <v>AM</v>
      </c>
      <c r="F13" s="128" t="str">
        <f t="shared" si="5"/>
        <v>1L</v>
      </c>
      <c r="G13" s="129" t="s">
        <v>102</v>
      </c>
      <c r="H13" s="133" t="s">
        <v>101</v>
      </c>
      <c r="I13" s="133" t="str">
        <f t="shared" si="0"/>
        <v>Actual/360</v>
      </c>
      <c r="J13" s="130" t="str">
        <f t="shared" si="1"/>
        <v>USD3L1L6Y_Quote</v>
      </c>
      <c r="K13" s="131" t="str">
        <f t="shared" si="2"/>
        <v>USDAM3L6Y_Quote</v>
      </c>
      <c r="L13" s="132" t="str">
        <f>_xll.qlSwapRateHelper2(,$K13,,$D13,Calendar,$G13,$H13,$I13,$L$3,$J13,C13,Discounting,Permanent,,ObjectOverwrite)</f>
        <v>obj_003e9#0010</v>
      </c>
      <c r="M13" s="136" t="str">
        <f>_xll.ohRangeRetrieveError(L13)</f>
        <v/>
      </c>
      <c r="N13" s="123"/>
      <c r="P13" s="144" t="s">
        <v>76</v>
      </c>
      <c r="Q13" s="145" t="s">
        <v>75</v>
      </c>
      <c r="R13" s="146" t="s">
        <v>127</v>
      </c>
    </row>
    <row r="14" spans="1:18" x14ac:dyDescent="0.2">
      <c r="A14" s="110"/>
      <c r="B14" s="128"/>
      <c r="C14" s="128" t="str">
        <f t="shared" si="3"/>
        <v>0D</v>
      </c>
      <c r="D14" s="128" t="s">
        <v>27</v>
      </c>
      <c r="E14" s="128" t="str">
        <f t="shared" si="4"/>
        <v>AM</v>
      </c>
      <c r="F14" s="128" t="str">
        <f t="shared" si="5"/>
        <v>1L</v>
      </c>
      <c r="G14" s="129" t="s">
        <v>102</v>
      </c>
      <c r="H14" s="133" t="s">
        <v>101</v>
      </c>
      <c r="I14" s="133" t="str">
        <f t="shared" si="0"/>
        <v>Actual/360</v>
      </c>
      <c r="J14" s="130" t="str">
        <f t="shared" si="1"/>
        <v>USD3L1L7Y_Quote</v>
      </c>
      <c r="K14" s="131" t="str">
        <f t="shared" si="2"/>
        <v>USDAM3L7Y_Quote</v>
      </c>
      <c r="L14" s="132" t="str">
        <f>_xll.qlSwapRateHelper2(,$K14,,$D14,Calendar,$G14,$H14,$I14,$L$3,$J14,C14,Discounting,Permanent,,ObjectOverwrite)</f>
        <v>obj_003fe#0010</v>
      </c>
      <c r="M14" s="136" t="str">
        <f>_xll.ohRangeRetrieveError(L14)</f>
        <v/>
      </c>
      <c r="N14" s="123"/>
      <c r="P14" s="142"/>
      <c r="Q14" s="142"/>
      <c r="R14" s="142"/>
    </row>
    <row r="15" spans="1:18" x14ac:dyDescent="0.2">
      <c r="A15" s="110"/>
      <c r="B15" s="128"/>
      <c r="C15" s="128" t="str">
        <f t="shared" si="3"/>
        <v>0D</v>
      </c>
      <c r="D15" s="128" t="s">
        <v>26</v>
      </c>
      <c r="E15" s="128" t="str">
        <f t="shared" si="4"/>
        <v>AM</v>
      </c>
      <c r="F15" s="128" t="str">
        <f t="shared" si="5"/>
        <v>1L</v>
      </c>
      <c r="G15" s="129" t="s">
        <v>102</v>
      </c>
      <c r="H15" s="133" t="s">
        <v>101</v>
      </c>
      <c r="I15" s="133" t="str">
        <f t="shared" si="0"/>
        <v>Actual/360</v>
      </c>
      <c r="J15" s="130" t="str">
        <f t="shared" si="1"/>
        <v>USD3L1L8Y_Quote</v>
      </c>
      <c r="K15" s="131" t="str">
        <f t="shared" si="2"/>
        <v>USDAM3L8Y_Quote</v>
      </c>
      <c r="L15" s="132" t="str">
        <f>_xll.qlSwapRateHelper2(,$K15,,$D15,Calendar,$G15,$H15,$I15,$L$3,$J15,C15,Discounting,Permanent,,ObjectOverwrite)</f>
        <v>obj_003e7#0010</v>
      </c>
      <c r="M15" s="136" t="str">
        <f>_xll.ohRangeRetrieveError(L15)</f>
        <v/>
      </c>
      <c r="N15" s="123"/>
    </row>
    <row r="16" spans="1:18" x14ac:dyDescent="0.2">
      <c r="A16" s="110"/>
      <c r="B16" s="128"/>
      <c r="C16" s="128" t="str">
        <f t="shared" si="3"/>
        <v>0D</v>
      </c>
      <c r="D16" s="128" t="s">
        <v>25</v>
      </c>
      <c r="E16" s="128" t="str">
        <f t="shared" si="4"/>
        <v>AM</v>
      </c>
      <c r="F16" s="128" t="str">
        <f t="shared" si="5"/>
        <v>1L</v>
      </c>
      <c r="G16" s="129" t="s">
        <v>102</v>
      </c>
      <c r="H16" s="133" t="s">
        <v>101</v>
      </c>
      <c r="I16" s="133" t="str">
        <f t="shared" si="0"/>
        <v>Actual/360</v>
      </c>
      <c r="J16" s="130" t="str">
        <f t="shared" si="1"/>
        <v>USD3L1L9Y_Quote</v>
      </c>
      <c r="K16" s="131" t="str">
        <f t="shared" si="2"/>
        <v>USDAM3L9Y_Quote</v>
      </c>
      <c r="L16" s="132" t="str">
        <f>_xll.qlSwapRateHelper2(,$K16,,$D16,Calendar,$G16,$H16,$I16,$L$3,$J16,C16,Discounting,Permanent,,ObjectOverwrite)</f>
        <v>obj_003eb#0010</v>
      </c>
      <c r="M16" s="136" t="str">
        <f>_xll.ohRangeRetrieveError(L16)</f>
        <v/>
      </c>
      <c r="N16" s="123"/>
    </row>
    <row r="17" spans="1:14" x14ac:dyDescent="0.2">
      <c r="A17" s="110"/>
      <c r="B17" s="128"/>
      <c r="C17" s="128" t="str">
        <f t="shared" si="3"/>
        <v>0D</v>
      </c>
      <c r="D17" s="128" t="s">
        <v>24</v>
      </c>
      <c r="E17" s="128" t="str">
        <f t="shared" si="4"/>
        <v>AM</v>
      </c>
      <c r="F17" s="128" t="str">
        <f t="shared" si="5"/>
        <v>1L</v>
      </c>
      <c r="G17" s="129" t="s">
        <v>102</v>
      </c>
      <c r="H17" s="133" t="s">
        <v>101</v>
      </c>
      <c r="I17" s="133" t="str">
        <f t="shared" si="0"/>
        <v>Actual/360</v>
      </c>
      <c r="J17" s="130" t="str">
        <f t="shared" si="1"/>
        <v>USD3L1L10Y_Quote</v>
      </c>
      <c r="K17" s="131" t="str">
        <f t="shared" si="2"/>
        <v>USDAM3L10Y_Quote</v>
      </c>
      <c r="L17" s="132" t="str">
        <f>_xll.qlSwapRateHelper2(,$K17,,$D17,Calendar,$G17,$H17,$I17,$L$3,$J17,C17,Discounting,Permanent,,ObjectOverwrite)</f>
        <v>obj_00404#0010</v>
      </c>
      <c r="M17" s="136" t="str">
        <f>_xll.ohRangeRetrieveError(L17)</f>
        <v/>
      </c>
      <c r="N17" s="123"/>
    </row>
    <row r="18" spans="1:14" x14ac:dyDescent="0.2">
      <c r="A18" s="110"/>
      <c r="B18" s="128"/>
      <c r="C18" s="128" t="str">
        <f t="shared" si="3"/>
        <v>0D</v>
      </c>
      <c r="D18" s="128" t="s">
        <v>23</v>
      </c>
      <c r="E18" s="128" t="str">
        <f t="shared" si="4"/>
        <v>AM</v>
      </c>
      <c r="F18" s="128" t="str">
        <f t="shared" si="5"/>
        <v>1L</v>
      </c>
      <c r="G18" s="129" t="s">
        <v>102</v>
      </c>
      <c r="H18" s="133" t="s">
        <v>101</v>
      </c>
      <c r="I18" s="133" t="str">
        <f t="shared" si="0"/>
        <v>Actual/360</v>
      </c>
      <c r="J18" s="130" t="str">
        <f t="shared" si="1"/>
        <v>USD3L1L11Y_Quote</v>
      </c>
      <c r="K18" s="131" t="str">
        <f t="shared" si="2"/>
        <v>USDAM3L11Y_Quote</v>
      </c>
      <c r="L18" s="132" t="str">
        <f>_xll.qlSwapRateHelper2(,$K18,,$D18,Calendar,$G18,$H18,$I18,$L$3,$J18,C18,Discounting,Permanent,,ObjectOverwrite)</f>
        <v>obj_003ed#0010</v>
      </c>
      <c r="M18" s="136" t="str">
        <f>_xll.ohRangeRetrieveError(L18)</f>
        <v/>
      </c>
      <c r="N18" s="123"/>
    </row>
    <row r="19" spans="1:14" x14ac:dyDescent="0.2">
      <c r="A19" s="110"/>
      <c r="B19" s="128"/>
      <c r="C19" s="128" t="str">
        <f t="shared" si="3"/>
        <v>0D</v>
      </c>
      <c r="D19" s="128" t="s">
        <v>22</v>
      </c>
      <c r="E19" s="128" t="str">
        <f t="shared" si="4"/>
        <v>AM</v>
      </c>
      <c r="F19" s="128" t="str">
        <f t="shared" si="5"/>
        <v>1L</v>
      </c>
      <c r="G19" s="129" t="s">
        <v>102</v>
      </c>
      <c r="H19" s="133" t="s">
        <v>101</v>
      </c>
      <c r="I19" s="133" t="str">
        <f t="shared" si="0"/>
        <v>Actual/360</v>
      </c>
      <c r="J19" s="130" t="str">
        <f t="shared" si="1"/>
        <v>USD3L1L12Y_Quote</v>
      </c>
      <c r="K19" s="131" t="str">
        <f t="shared" si="2"/>
        <v>USDAM3L12Y_Quote</v>
      </c>
      <c r="L19" s="132" t="str">
        <f>_xll.qlSwapRateHelper2(,$K19,,$D19,Calendar,$G19,$H19,$I19,$L$3,$J19,C19,Discounting,Permanent,,ObjectOverwrite)</f>
        <v>obj_003e6#0010</v>
      </c>
      <c r="M19" s="136" t="str">
        <f>_xll.ohRangeRetrieveError(L19)</f>
        <v/>
      </c>
      <c r="N19" s="123"/>
    </row>
    <row r="20" spans="1:14" x14ac:dyDescent="0.2">
      <c r="A20" s="110"/>
      <c r="B20" s="128"/>
      <c r="C20" s="128" t="str">
        <f t="shared" si="3"/>
        <v>0D</v>
      </c>
      <c r="D20" s="128" t="s">
        <v>21</v>
      </c>
      <c r="E20" s="128" t="str">
        <f t="shared" si="4"/>
        <v>AM</v>
      </c>
      <c r="F20" s="128" t="str">
        <f t="shared" si="5"/>
        <v>1L</v>
      </c>
      <c r="G20" s="129" t="s">
        <v>102</v>
      </c>
      <c r="H20" s="133" t="s">
        <v>101</v>
      </c>
      <c r="I20" s="133" t="str">
        <f t="shared" si="0"/>
        <v>Actual/360</v>
      </c>
      <c r="J20" s="130" t="str">
        <f t="shared" si="1"/>
        <v>USD3L1L13Y_Quote</v>
      </c>
      <c r="K20" s="131" t="str">
        <f t="shared" si="2"/>
        <v>USDAM3L13Y_Quote</v>
      </c>
      <c r="L20" s="132" t="str">
        <f>_xll.qlSwapRateHelper2(,$K20,,$D20,Calendar,$G20,$H20,$I20,$L$3,$J20,C20,Discounting,Permanent,,ObjectOverwrite)</f>
        <v>obj_003f7#0010</v>
      </c>
      <c r="M20" s="136" t="str">
        <f>_xll.ohRangeRetrieveError(L20)</f>
        <v/>
      </c>
      <c r="N20" s="123"/>
    </row>
    <row r="21" spans="1:14" x14ac:dyDescent="0.2">
      <c r="A21" s="110"/>
      <c r="B21" s="128"/>
      <c r="C21" s="128" t="str">
        <f t="shared" si="3"/>
        <v>0D</v>
      </c>
      <c r="D21" s="128" t="s">
        <v>20</v>
      </c>
      <c r="E21" s="128" t="str">
        <f t="shared" si="4"/>
        <v>AM</v>
      </c>
      <c r="F21" s="128" t="str">
        <f t="shared" si="5"/>
        <v>1L</v>
      </c>
      <c r="G21" s="129" t="s">
        <v>102</v>
      </c>
      <c r="H21" s="133" t="s">
        <v>101</v>
      </c>
      <c r="I21" s="133" t="str">
        <f t="shared" si="0"/>
        <v>Actual/360</v>
      </c>
      <c r="J21" s="130" t="str">
        <f t="shared" si="1"/>
        <v>USD3L1L14Y_Quote</v>
      </c>
      <c r="K21" s="131" t="str">
        <f t="shared" si="2"/>
        <v>USDAM3L14Y_Quote</v>
      </c>
      <c r="L21" s="132" t="str">
        <f>_xll.qlSwapRateHelper2(,$K21,,$D21,Calendar,$G21,$H21,$I21,$L$3,$J21,C21,Discounting,Permanent,,ObjectOverwrite)</f>
        <v>obj_003fa#0010</v>
      </c>
      <c r="M21" s="136" t="str">
        <f>_xll.ohRangeRetrieveError(L21)</f>
        <v/>
      </c>
      <c r="N21" s="123"/>
    </row>
    <row r="22" spans="1:14" x14ac:dyDescent="0.2">
      <c r="A22" s="110"/>
      <c r="B22" s="128"/>
      <c r="C22" s="128" t="str">
        <f t="shared" si="3"/>
        <v>0D</v>
      </c>
      <c r="D22" s="128" t="s">
        <v>19</v>
      </c>
      <c r="E22" s="128" t="str">
        <f t="shared" si="4"/>
        <v>AM</v>
      </c>
      <c r="F22" s="128" t="str">
        <f t="shared" si="5"/>
        <v>1L</v>
      </c>
      <c r="G22" s="129" t="s">
        <v>102</v>
      </c>
      <c r="H22" s="133" t="s">
        <v>101</v>
      </c>
      <c r="I22" s="133" t="str">
        <f t="shared" si="0"/>
        <v>Actual/360</v>
      </c>
      <c r="J22" s="130" t="str">
        <f t="shared" si="1"/>
        <v>USD3L1L15Y_Quote</v>
      </c>
      <c r="K22" s="131" t="str">
        <f t="shared" si="2"/>
        <v>USDAM3L15Y_Quote</v>
      </c>
      <c r="L22" s="132" t="str">
        <f>_xll.qlSwapRateHelper2(,$K22,,$D22,Calendar,$G22,$H22,$I22,$L$3,$J22,C22,Discounting,Permanent,,ObjectOverwrite)</f>
        <v>obj_003f4#0010</v>
      </c>
      <c r="M22" s="136" t="str">
        <f>_xll.ohRangeRetrieveError(L22)</f>
        <v/>
      </c>
      <c r="N22" s="123"/>
    </row>
    <row r="23" spans="1:14" x14ac:dyDescent="0.2">
      <c r="A23" s="110"/>
      <c r="B23" s="128"/>
      <c r="C23" s="128" t="str">
        <f t="shared" si="3"/>
        <v>0D</v>
      </c>
      <c r="D23" s="128" t="s">
        <v>18</v>
      </c>
      <c r="E23" s="128" t="str">
        <f t="shared" si="4"/>
        <v>AM</v>
      </c>
      <c r="F23" s="128" t="str">
        <f t="shared" si="5"/>
        <v>1L</v>
      </c>
      <c r="G23" s="129" t="s">
        <v>102</v>
      </c>
      <c r="H23" s="133" t="s">
        <v>101</v>
      </c>
      <c r="I23" s="133" t="str">
        <f t="shared" si="0"/>
        <v>Actual/360</v>
      </c>
      <c r="J23" s="130" t="str">
        <f t="shared" si="1"/>
        <v>USD3L1L16Y_Quote</v>
      </c>
      <c r="K23" s="131" t="str">
        <f t="shared" si="2"/>
        <v>USDAM3L16Y_Quote</v>
      </c>
      <c r="L23" s="132" t="str">
        <f>_xll.qlSwapRateHelper2(,$K23,,$D23,Calendar,$G23,$H23,$I23,$L$3,$J23,C23,Discounting,Permanent,,ObjectOverwrite)</f>
        <v>obj_003f0#0010</v>
      </c>
      <c r="M23" s="136" t="str">
        <f>_xll.ohRangeRetrieveError(L23)</f>
        <v/>
      </c>
      <c r="N23" s="123"/>
    </row>
    <row r="24" spans="1:14" x14ac:dyDescent="0.2">
      <c r="A24" s="110"/>
      <c r="B24" s="128"/>
      <c r="C24" s="128" t="str">
        <f t="shared" si="3"/>
        <v>0D</v>
      </c>
      <c r="D24" s="128" t="s">
        <v>17</v>
      </c>
      <c r="E24" s="128" t="str">
        <f t="shared" si="4"/>
        <v>AM</v>
      </c>
      <c r="F24" s="128" t="str">
        <f t="shared" si="5"/>
        <v>1L</v>
      </c>
      <c r="G24" s="129" t="s">
        <v>102</v>
      </c>
      <c r="H24" s="133" t="s">
        <v>101</v>
      </c>
      <c r="I24" s="133" t="str">
        <f t="shared" si="0"/>
        <v>Actual/360</v>
      </c>
      <c r="J24" s="130" t="str">
        <f t="shared" si="1"/>
        <v>USD3L1L17Y_Quote</v>
      </c>
      <c r="K24" s="131" t="str">
        <f t="shared" si="2"/>
        <v>USDAM3L17Y_Quote</v>
      </c>
      <c r="L24" s="132" t="str">
        <f>_xll.qlSwapRateHelper2(,$K24,,$D24,Calendar,$G24,$H24,$I24,$L$3,$J24,C24,Discounting,Permanent,,ObjectOverwrite)</f>
        <v>obj_003e2#0010</v>
      </c>
      <c r="M24" s="136" t="str">
        <f>_xll.ohRangeRetrieveError(L24)</f>
        <v/>
      </c>
      <c r="N24" s="123"/>
    </row>
    <row r="25" spans="1:14" x14ac:dyDescent="0.2">
      <c r="A25" s="110"/>
      <c r="B25" s="128"/>
      <c r="C25" s="128" t="str">
        <f t="shared" si="3"/>
        <v>0D</v>
      </c>
      <c r="D25" s="128" t="s">
        <v>16</v>
      </c>
      <c r="E25" s="128" t="str">
        <f t="shared" si="4"/>
        <v>AM</v>
      </c>
      <c r="F25" s="128" t="str">
        <f t="shared" si="5"/>
        <v>1L</v>
      </c>
      <c r="G25" s="129" t="s">
        <v>102</v>
      </c>
      <c r="H25" s="133" t="s">
        <v>101</v>
      </c>
      <c r="I25" s="133" t="str">
        <f t="shared" si="0"/>
        <v>Actual/360</v>
      </c>
      <c r="J25" s="130" t="str">
        <f t="shared" si="1"/>
        <v>USD3L1L18Y_Quote</v>
      </c>
      <c r="K25" s="131" t="str">
        <f t="shared" si="2"/>
        <v>USDAM3L18Y_Quote</v>
      </c>
      <c r="L25" s="132" t="str">
        <f>_xll.qlSwapRateHelper2(,$K25,,$D25,Calendar,$G25,$H25,$I25,$L$3,$J25,C25,Discounting,Permanent,,ObjectOverwrite)</f>
        <v>obj_003ec#0010</v>
      </c>
      <c r="M25" s="136" t="str">
        <f>_xll.ohRangeRetrieveError(L25)</f>
        <v/>
      </c>
      <c r="N25" s="123"/>
    </row>
    <row r="26" spans="1:14" x14ac:dyDescent="0.2">
      <c r="A26" s="110"/>
      <c r="B26" s="128"/>
      <c r="C26" s="128" t="str">
        <f t="shared" si="3"/>
        <v>0D</v>
      </c>
      <c r="D26" s="128" t="s">
        <v>15</v>
      </c>
      <c r="E26" s="128" t="str">
        <f t="shared" si="4"/>
        <v>AM</v>
      </c>
      <c r="F26" s="128" t="str">
        <f t="shared" si="5"/>
        <v>1L</v>
      </c>
      <c r="G26" s="129" t="s">
        <v>102</v>
      </c>
      <c r="H26" s="133" t="s">
        <v>101</v>
      </c>
      <c r="I26" s="133" t="str">
        <f t="shared" si="0"/>
        <v>Actual/360</v>
      </c>
      <c r="J26" s="130" t="str">
        <f t="shared" si="1"/>
        <v>USD3L1L19Y_Quote</v>
      </c>
      <c r="K26" s="131" t="str">
        <f t="shared" si="2"/>
        <v>USDAM3L19Y_Quote</v>
      </c>
      <c r="L26" s="132" t="str">
        <f>_xll.qlSwapRateHelper2(,$K26,,$D26,Calendar,$G26,$H26,$I26,$L$3,$J26,C26,Discounting,Permanent,,ObjectOverwrite)</f>
        <v>obj_003ef#0010</v>
      </c>
      <c r="M26" s="136" t="str">
        <f>_xll.ohRangeRetrieveError(L26)</f>
        <v/>
      </c>
      <c r="N26" s="123"/>
    </row>
    <row r="27" spans="1:14" x14ac:dyDescent="0.2">
      <c r="A27" s="110"/>
      <c r="B27" s="128"/>
      <c r="C27" s="128" t="str">
        <f t="shared" si="3"/>
        <v>0D</v>
      </c>
      <c r="D27" s="128" t="s">
        <v>14</v>
      </c>
      <c r="E27" s="128" t="str">
        <f t="shared" si="4"/>
        <v>AM</v>
      </c>
      <c r="F27" s="128" t="str">
        <f t="shared" si="5"/>
        <v>1L</v>
      </c>
      <c r="G27" s="129" t="s">
        <v>102</v>
      </c>
      <c r="H27" s="133" t="s">
        <v>101</v>
      </c>
      <c r="I27" s="133" t="str">
        <f t="shared" si="0"/>
        <v>Actual/360</v>
      </c>
      <c r="J27" s="130" t="str">
        <f t="shared" si="1"/>
        <v>USD3L1L20Y_Quote</v>
      </c>
      <c r="K27" s="131" t="str">
        <f t="shared" si="2"/>
        <v>USDAM3L20Y_Quote</v>
      </c>
      <c r="L27" s="132" t="str">
        <f>_xll.qlSwapRateHelper2(,$K27,,$D27,Calendar,$G27,$H27,$I27,$L$3,$J27,C27,Discounting,Permanent,,ObjectOverwrite)</f>
        <v>obj_003f9#0010</v>
      </c>
      <c r="M27" s="136" t="str">
        <f>_xll.ohRangeRetrieveError(L27)</f>
        <v/>
      </c>
      <c r="N27" s="123"/>
    </row>
    <row r="28" spans="1:14" x14ac:dyDescent="0.2">
      <c r="A28" s="110"/>
      <c r="B28" s="128"/>
      <c r="C28" s="128" t="str">
        <f t="shared" si="3"/>
        <v>0D</v>
      </c>
      <c r="D28" s="128" t="s">
        <v>13</v>
      </c>
      <c r="E28" s="128" t="str">
        <f t="shared" si="4"/>
        <v>AM</v>
      </c>
      <c r="F28" s="128" t="str">
        <f t="shared" si="5"/>
        <v>1L</v>
      </c>
      <c r="G28" s="129" t="s">
        <v>102</v>
      </c>
      <c r="H28" s="133" t="s">
        <v>101</v>
      </c>
      <c r="I28" s="133" t="str">
        <f t="shared" si="0"/>
        <v>Actual/360</v>
      </c>
      <c r="J28" s="130" t="str">
        <f t="shared" si="1"/>
        <v>USD3L1L21Y_Quote</v>
      </c>
      <c r="K28" s="131" t="str">
        <f t="shared" si="2"/>
        <v>USDAM3L21Y_Quote</v>
      </c>
      <c r="L28" s="132" t="str">
        <f>_xll.qlSwapRateHelper2(,$K28,,$D28,Calendar,$G28,$H28,$I28,$L$3,$J28,C28,Discounting,Permanent,,ObjectOverwrite)</f>
        <v>obj_003fc#0010</v>
      </c>
      <c r="M28" s="136" t="str">
        <f>_xll.ohRangeRetrieveError(L28)</f>
        <v/>
      </c>
      <c r="N28" s="123"/>
    </row>
    <row r="29" spans="1:14" x14ac:dyDescent="0.2">
      <c r="A29" s="110"/>
      <c r="B29" s="128"/>
      <c r="C29" s="128" t="str">
        <f t="shared" si="3"/>
        <v>0D</v>
      </c>
      <c r="D29" s="128" t="s">
        <v>12</v>
      </c>
      <c r="E29" s="128" t="str">
        <f t="shared" si="4"/>
        <v>AM</v>
      </c>
      <c r="F29" s="128" t="str">
        <f t="shared" si="5"/>
        <v>1L</v>
      </c>
      <c r="G29" s="129" t="s">
        <v>102</v>
      </c>
      <c r="H29" s="133" t="s">
        <v>101</v>
      </c>
      <c r="I29" s="133" t="str">
        <f t="shared" si="0"/>
        <v>Actual/360</v>
      </c>
      <c r="J29" s="130" t="str">
        <f t="shared" si="1"/>
        <v>USD3L1L22Y_Quote</v>
      </c>
      <c r="K29" s="131" t="str">
        <f t="shared" si="2"/>
        <v>USDAM3L22Y_Quote</v>
      </c>
      <c r="L29" s="132" t="str">
        <f>_xll.qlSwapRateHelper2(,$K29,,$D29,Calendar,$G29,$H29,$I29,$L$3,$J29,C29,Discounting,Permanent,,ObjectOverwrite)</f>
        <v>obj_003ee#0010</v>
      </c>
      <c r="M29" s="136" t="str">
        <f>_xll.ohRangeRetrieveError(L29)</f>
        <v/>
      </c>
      <c r="N29" s="123"/>
    </row>
    <row r="30" spans="1:14" x14ac:dyDescent="0.2">
      <c r="A30" s="110"/>
      <c r="B30" s="128"/>
      <c r="C30" s="128" t="str">
        <f t="shared" si="3"/>
        <v>0D</v>
      </c>
      <c r="D30" s="128" t="s">
        <v>11</v>
      </c>
      <c r="E30" s="128" t="str">
        <f t="shared" si="4"/>
        <v>AM</v>
      </c>
      <c r="F30" s="128" t="str">
        <f t="shared" si="5"/>
        <v>1L</v>
      </c>
      <c r="G30" s="129" t="s">
        <v>102</v>
      </c>
      <c r="H30" s="133" t="s">
        <v>101</v>
      </c>
      <c r="I30" s="133" t="str">
        <f t="shared" si="0"/>
        <v>Actual/360</v>
      </c>
      <c r="J30" s="130" t="str">
        <f t="shared" si="1"/>
        <v>USD3L1L23Y_Quote</v>
      </c>
      <c r="K30" s="131" t="str">
        <f t="shared" si="2"/>
        <v>USDAM3L23Y_Quote</v>
      </c>
      <c r="L30" s="132" t="str">
        <f>_xll.qlSwapRateHelper2(,$K30,,$D30,Calendar,$G30,$H30,$I30,$L$3,$J30,C30,Discounting,Permanent,,ObjectOverwrite)</f>
        <v>obj_003e4#0010</v>
      </c>
      <c r="M30" s="136" t="str">
        <f>_xll.ohRangeRetrieveError(L30)</f>
        <v/>
      </c>
      <c r="N30" s="123"/>
    </row>
    <row r="31" spans="1:14" x14ac:dyDescent="0.2">
      <c r="A31" s="110"/>
      <c r="B31" s="128"/>
      <c r="C31" s="128" t="str">
        <f t="shared" si="3"/>
        <v>0D</v>
      </c>
      <c r="D31" s="128" t="s">
        <v>10</v>
      </c>
      <c r="E31" s="128" t="str">
        <f t="shared" si="4"/>
        <v>AM</v>
      </c>
      <c r="F31" s="128" t="str">
        <f t="shared" si="5"/>
        <v>1L</v>
      </c>
      <c r="G31" s="129" t="s">
        <v>102</v>
      </c>
      <c r="H31" s="133" t="s">
        <v>101</v>
      </c>
      <c r="I31" s="133" t="str">
        <f t="shared" si="0"/>
        <v>Actual/360</v>
      </c>
      <c r="J31" s="130" t="str">
        <f t="shared" si="1"/>
        <v>USD3L1L24Y_Quote</v>
      </c>
      <c r="K31" s="131" t="str">
        <f t="shared" si="2"/>
        <v>USDAM3L24Y_Quote</v>
      </c>
      <c r="L31" s="132" t="str">
        <f>_xll.qlSwapRateHelper2(,$K31,,$D31,Calendar,$G31,$H31,$I31,$L$3,$J31,C31,Discounting,Permanent,,ObjectOverwrite)</f>
        <v>obj_003f5#0010</v>
      </c>
      <c r="M31" s="136" t="str">
        <f>_xll.ohRangeRetrieveError(L31)</f>
        <v/>
      </c>
      <c r="N31" s="123"/>
    </row>
    <row r="32" spans="1:14" x14ac:dyDescent="0.2">
      <c r="A32" s="110"/>
      <c r="B32" s="128"/>
      <c r="C32" s="128" t="str">
        <f t="shared" si="3"/>
        <v>0D</v>
      </c>
      <c r="D32" s="128" t="s">
        <v>9</v>
      </c>
      <c r="E32" s="128" t="str">
        <f t="shared" si="4"/>
        <v>AM</v>
      </c>
      <c r="F32" s="128" t="str">
        <f t="shared" si="5"/>
        <v>1L</v>
      </c>
      <c r="G32" s="129" t="s">
        <v>102</v>
      </c>
      <c r="H32" s="133" t="s">
        <v>101</v>
      </c>
      <c r="I32" s="133" t="str">
        <f t="shared" si="0"/>
        <v>Actual/360</v>
      </c>
      <c r="J32" s="130" t="str">
        <f t="shared" si="1"/>
        <v>USD3L1L25Y_Quote</v>
      </c>
      <c r="K32" s="131" t="str">
        <f t="shared" si="2"/>
        <v>USDAM3L25Y_Quote</v>
      </c>
      <c r="L32" s="132" t="str">
        <f>_xll.qlSwapRateHelper2(,$K32,,$D32,Calendar,$G32,$H32,$I32,$L$3,$J32,C32,Discounting,Permanent,,ObjectOverwrite)</f>
        <v>obj_003f1#0010</v>
      </c>
      <c r="M32" s="136" t="str">
        <f>_xll.ohRangeRetrieveError(L32)</f>
        <v/>
      </c>
      <c r="N32" s="123"/>
    </row>
    <row r="33" spans="1:14" x14ac:dyDescent="0.2">
      <c r="A33" s="110"/>
      <c r="B33" s="128"/>
      <c r="C33" s="128" t="str">
        <f t="shared" si="3"/>
        <v>0D</v>
      </c>
      <c r="D33" s="128" t="s">
        <v>8</v>
      </c>
      <c r="E33" s="128" t="str">
        <f t="shared" si="4"/>
        <v>AM</v>
      </c>
      <c r="F33" s="128" t="str">
        <f t="shared" si="5"/>
        <v>1L</v>
      </c>
      <c r="G33" s="129" t="s">
        <v>102</v>
      </c>
      <c r="H33" s="133" t="s">
        <v>101</v>
      </c>
      <c r="I33" s="133" t="str">
        <f t="shared" si="0"/>
        <v>Actual/360</v>
      </c>
      <c r="J33" s="130" t="str">
        <f t="shared" si="1"/>
        <v>USD3L1L26Y_Quote</v>
      </c>
      <c r="K33" s="131" t="str">
        <f t="shared" si="2"/>
        <v>USDAM3L26Y_Quote</v>
      </c>
      <c r="L33" s="132" t="str">
        <f>_xll.qlSwapRateHelper2(,$K33,,$D33,Calendar,$G33,$H33,$I33,$L$3,$J33,C33,Discounting,Permanent,,ObjectOverwrite)</f>
        <v>obj_003e1#0010</v>
      </c>
      <c r="M33" s="136" t="str">
        <f>_xll.ohRangeRetrieveError(L33)</f>
        <v/>
      </c>
      <c r="N33" s="123"/>
    </row>
    <row r="34" spans="1:14" x14ac:dyDescent="0.2">
      <c r="A34" s="110"/>
      <c r="B34" s="128"/>
      <c r="C34" s="128" t="str">
        <f t="shared" si="3"/>
        <v>0D</v>
      </c>
      <c r="D34" s="128" t="s">
        <v>7</v>
      </c>
      <c r="E34" s="128" t="str">
        <f t="shared" si="4"/>
        <v>AM</v>
      </c>
      <c r="F34" s="128" t="str">
        <f t="shared" si="5"/>
        <v>1L</v>
      </c>
      <c r="G34" s="129" t="s">
        <v>102</v>
      </c>
      <c r="H34" s="133" t="s">
        <v>101</v>
      </c>
      <c r="I34" s="133" t="str">
        <f t="shared" si="0"/>
        <v>Actual/360</v>
      </c>
      <c r="J34" s="130" t="str">
        <f t="shared" si="1"/>
        <v>USD3L1L27Y_Quote</v>
      </c>
      <c r="K34" s="131" t="str">
        <f t="shared" si="2"/>
        <v>USDAM3L27Y_Quote</v>
      </c>
      <c r="L34" s="132" t="str">
        <f>_xll.qlSwapRateHelper2(,$K34,,$D34,Calendar,$G34,$H34,$I34,$L$3,$J34,C34,Discounting,Permanent,,ObjectOverwrite)</f>
        <v>obj_003f3#0010</v>
      </c>
      <c r="M34" s="136" t="str">
        <f>_xll.ohRangeRetrieveError(L34)</f>
        <v/>
      </c>
      <c r="N34" s="123"/>
    </row>
    <row r="35" spans="1:14" x14ac:dyDescent="0.2">
      <c r="A35" s="110"/>
      <c r="B35" s="128"/>
      <c r="C35" s="128" t="str">
        <f t="shared" si="3"/>
        <v>0D</v>
      </c>
      <c r="D35" s="128" t="s">
        <v>6</v>
      </c>
      <c r="E35" s="128" t="str">
        <f t="shared" si="4"/>
        <v>AM</v>
      </c>
      <c r="F35" s="128" t="str">
        <f t="shared" si="5"/>
        <v>1L</v>
      </c>
      <c r="G35" s="129" t="s">
        <v>102</v>
      </c>
      <c r="H35" s="133" t="s">
        <v>101</v>
      </c>
      <c r="I35" s="133" t="str">
        <f t="shared" si="0"/>
        <v>Actual/360</v>
      </c>
      <c r="J35" s="130" t="str">
        <f t="shared" si="1"/>
        <v>USD3L1L28Y_Quote</v>
      </c>
      <c r="K35" s="131" t="str">
        <f t="shared" si="2"/>
        <v>USDAM3L28Y_Quote</v>
      </c>
      <c r="L35" s="132" t="str">
        <f>_xll.qlSwapRateHelper2(,$K35,,$D35,Calendar,$G35,$H35,$I35,$L$3,$J35,C35,Discounting,Permanent,,ObjectOverwrite)</f>
        <v>obj_003fd#0010</v>
      </c>
      <c r="M35" s="136" t="str">
        <f>_xll.ohRangeRetrieveError(L35)</f>
        <v/>
      </c>
      <c r="N35" s="123"/>
    </row>
    <row r="36" spans="1:14" x14ac:dyDescent="0.2">
      <c r="A36" s="110"/>
      <c r="B36" s="128"/>
      <c r="C36" s="128" t="str">
        <f t="shared" si="3"/>
        <v>0D</v>
      </c>
      <c r="D36" s="128" t="s">
        <v>5</v>
      </c>
      <c r="E36" s="128" t="str">
        <f t="shared" si="4"/>
        <v>AM</v>
      </c>
      <c r="F36" s="128" t="str">
        <f t="shared" si="5"/>
        <v>1L</v>
      </c>
      <c r="G36" s="129" t="s">
        <v>102</v>
      </c>
      <c r="H36" s="133" t="s">
        <v>101</v>
      </c>
      <c r="I36" s="133" t="str">
        <f t="shared" si="0"/>
        <v>Actual/360</v>
      </c>
      <c r="J36" s="130" t="str">
        <f t="shared" si="1"/>
        <v>USD3L1L29Y_Quote</v>
      </c>
      <c r="K36" s="131" t="str">
        <f t="shared" si="2"/>
        <v>USDAM3L29Y_Quote</v>
      </c>
      <c r="L36" s="132" t="str">
        <f>_xll.qlSwapRateHelper2(,$K36,,$D36,Calendar,$G36,$H36,$I36,$L$3,$J36,C36,Discounting,Permanent,,ObjectOverwrite)</f>
        <v>obj_00401#0010</v>
      </c>
      <c r="M36" s="136" t="str">
        <f>_xll.ohRangeRetrieveError(L36)</f>
        <v/>
      </c>
      <c r="N36" s="123"/>
    </row>
    <row r="37" spans="1:14" x14ac:dyDescent="0.2">
      <c r="A37" s="110"/>
      <c r="B37" s="128"/>
      <c r="C37" s="128" t="str">
        <f t="shared" si="3"/>
        <v>0D</v>
      </c>
      <c r="D37" s="128" t="s">
        <v>4</v>
      </c>
      <c r="E37" s="128" t="str">
        <f t="shared" si="4"/>
        <v>AM</v>
      </c>
      <c r="F37" s="128" t="str">
        <f t="shared" si="5"/>
        <v>1L</v>
      </c>
      <c r="G37" s="129" t="s">
        <v>102</v>
      </c>
      <c r="H37" s="133" t="s">
        <v>101</v>
      </c>
      <c r="I37" s="133" t="str">
        <f t="shared" si="0"/>
        <v>Actual/360</v>
      </c>
      <c r="J37" s="130" t="str">
        <f t="shared" si="1"/>
        <v>USD3L1L30Y_Quote</v>
      </c>
      <c r="K37" s="131" t="str">
        <f t="shared" si="2"/>
        <v>USDAM3L30Y_Quote</v>
      </c>
      <c r="L37" s="132" t="str">
        <f>_xll.qlSwapRateHelper2(,$K37,,$D37,Calendar,$G37,$H37,$I37,$L$3,$J37,C37,Discounting,Permanent,,ObjectOverwrite)</f>
        <v>obj_003e0#0010</v>
      </c>
      <c r="M37" s="136" t="str">
        <f>_xll.ohRangeRetrieveError(L37)</f>
        <v/>
      </c>
      <c r="N37" s="123"/>
    </row>
    <row r="38" spans="1:14" x14ac:dyDescent="0.2">
      <c r="A38" s="110"/>
      <c r="B38" s="128"/>
      <c r="C38" s="128" t="str">
        <f t="shared" si="3"/>
        <v>0D</v>
      </c>
      <c r="D38" s="128" t="s">
        <v>3</v>
      </c>
      <c r="E38" s="128" t="str">
        <f t="shared" si="4"/>
        <v>AM</v>
      </c>
      <c r="F38" s="128" t="str">
        <f t="shared" si="5"/>
        <v>1L</v>
      </c>
      <c r="G38" s="129" t="s">
        <v>102</v>
      </c>
      <c r="H38" s="133" t="s">
        <v>101</v>
      </c>
      <c r="I38" s="133" t="str">
        <f t="shared" si="0"/>
        <v>Actual/360</v>
      </c>
      <c r="J38" s="130" t="str">
        <f t="shared" si="1"/>
        <v>USD3L1L35Y_Quote</v>
      </c>
      <c r="K38" s="131" t="str">
        <f t="shared" si="2"/>
        <v>USDAM3L35Y_Quote</v>
      </c>
      <c r="L38" s="132" t="str">
        <f>_xll.qlSwapRateHelper2(,$K38,,$D38,Calendar,$G38,$H38,$I38,$L$3,$J38,C38,Discounting,Permanent,,ObjectOverwrite)</f>
        <v>obj_003f8#0010</v>
      </c>
      <c r="M38" s="136" t="str">
        <f>_xll.ohRangeRetrieveError(L38)</f>
        <v/>
      </c>
      <c r="N38" s="123"/>
    </row>
    <row r="39" spans="1:14" x14ac:dyDescent="0.2">
      <c r="A39" s="110"/>
      <c r="B39" s="128"/>
      <c r="C39" s="128" t="str">
        <f t="shared" si="3"/>
        <v>0D</v>
      </c>
      <c r="D39" s="128" t="s">
        <v>2</v>
      </c>
      <c r="E39" s="128" t="str">
        <f t="shared" si="4"/>
        <v>AM</v>
      </c>
      <c r="F39" s="128" t="str">
        <f t="shared" si="5"/>
        <v>1L</v>
      </c>
      <c r="G39" s="129" t="s">
        <v>102</v>
      </c>
      <c r="H39" s="133" t="s">
        <v>101</v>
      </c>
      <c r="I39" s="133" t="str">
        <f t="shared" si="0"/>
        <v>Actual/360</v>
      </c>
      <c r="J39" s="130" t="str">
        <f t="shared" si="1"/>
        <v>USD3L1L40Y_Quote</v>
      </c>
      <c r="K39" s="131" t="str">
        <f t="shared" si="2"/>
        <v>USDAM3L40Y_Quote</v>
      </c>
      <c r="L39" s="132" t="str">
        <f>_xll.qlSwapRateHelper2(,$K39,,$D39,Calendar,$G39,$H39,$I39,$L$3,$J39,C39,Discounting,Permanent,,ObjectOverwrite)</f>
        <v>obj_003e5#0010</v>
      </c>
      <c r="M39" s="136" t="str">
        <f>_xll.ohRangeRetrieveError(L39)</f>
        <v/>
      </c>
      <c r="N39" s="123"/>
    </row>
    <row r="40" spans="1:14" x14ac:dyDescent="0.2">
      <c r="A40" s="110"/>
      <c r="B40" s="128"/>
      <c r="C40" s="128" t="str">
        <f t="shared" si="3"/>
        <v>0D</v>
      </c>
      <c r="D40" s="128" t="s">
        <v>1</v>
      </c>
      <c r="E40" s="128" t="str">
        <f t="shared" si="4"/>
        <v>AM</v>
      </c>
      <c r="F40" s="128" t="str">
        <f t="shared" si="5"/>
        <v>1L</v>
      </c>
      <c r="G40" s="129" t="s">
        <v>102</v>
      </c>
      <c r="H40" s="133" t="s">
        <v>101</v>
      </c>
      <c r="I40" s="133" t="str">
        <f t="shared" si="0"/>
        <v>Actual/360</v>
      </c>
      <c r="J40" s="130" t="str">
        <f t="shared" si="1"/>
        <v>USD3L1L50Y_Quote</v>
      </c>
      <c r="K40" s="131" t="str">
        <f t="shared" si="2"/>
        <v>USDAM3L50Y_Quote</v>
      </c>
      <c r="L40" s="132" t="str">
        <f>_xll.qlSwapRateHelper2(,$K40,,$D40,Calendar,$G40,$H40,$I40,$L$3,$J40,C40,Discounting,Permanent,,ObjectOverwrite)</f>
        <v>obj_003f6#0010</v>
      </c>
      <c r="M40" s="136" t="str">
        <f>_xll.ohRangeRetrieveError(L40)</f>
        <v/>
      </c>
      <c r="N40" s="123"/>
    </row>
    <row r="41" spans="1:14" x14ac:dyDescent="0.2">
      <c r="A41" s="110"/>
      <c r="B41" s="128"/>
      <c r="C41" s="128" t="str">
        <f t="shared" si="3"/>
        <v>0D</v>
      </c>
      <c r="D41" s="128" t="s">
        <v>0</v>
      </c>
      <c r="E41" s="128" t="str">
        <f t="shared" si="4"/>
        <v>AM</v>
      </c>
      <c r="F41" s="128" t="str">
        <f t="shared" si="5"/>
        <v>1L</v>
      </c>
      <c r="G41" s="129" t="s">
        <v>102</v>
      </c>
      <c r="H41" s="133" t="s">
        <v>101</v>
      </c>
      <c r="I41" s="133" t="str">
        <f t="shared" si="0"/>
        <v>Actual/360</v>
      </c>
      <c r="J41" s="130" t="str">
        <f t="shared" si="1"/>
        <v>USD3L1L60Y_Quote</v>
      </c>
      <c r="K41" s="131" t="str">
        <f t="shared" si="2"/>
        <v>USDAM3L60Y_Quote</v>
      </c>
      <c r="L41" s="132" t="str">
        <f>_xll.qlSwapRateHelper2(,$K41,,$D41,Calendar,$G41,$H41,$I41,$L$3,$J41,C41,Discounting,Permanent,,ObjectOverwrite)</f>
        <v>obj_003f2#0010</v>
      </c>
      <c r="M41" s="136" t="str">
        <f>_xll.ohRangeRetrieveError(L41)</f>
        <v/>
      </c>
      <c r="N41" s="123"/>
    </row>
    <row r="42" spans="1:14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34"/>
      <c r="M42" s="134"/>
      <c r="N42" s="135"/>
    </row>
  </sheetData>
  <dataValidations count="2">
    <dataValidation type="list" allowBlank="1" showInputMessage="1" showErrorMessage="1" sqref="H5:H41">
      <formula1>"Following,Modified Following,Preceding,Modified Preceding,Month End Reference,Unadjusted Month End,Unadjusted"</formula1>
    </dataValidation>
    <dataValidation type="list" allowBlank="1" showInputMessage="1" showErrorMessage="1" sqref="G5:G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5.140625" style="159" bestFit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42124</v>
      </c>
      <c r="D3" s="164">
        <v>12</v>
      </c>
      <c r="E3" s="163">
        <f t="shared" ref="E3:E16" si="0">EDATE($Y$19,$D3)</f>
        <v>42518</v>
      </c>
      <c r="F3" s="165">
        <f>IF(D3&lt;=12,1,IF(D3&lt;=24,3,IF(D3&lt;=120,6,IF(D3&lt;=240,12,IF(D3&lt;=360,36,60)))))</f>
        <v>1</v>
      </c>
      <c r="G3" s="166">
        <f>ROUNDDOWN(J3*10,2)/10</f>
        <v>1E-3</v>
      </c>
      <c r="H3" s="167">
        <f>IF(K3-J3&gt;1%,(QUOTIENT(K3*10000,50)+1)*0.5%,(QUOTIENT(K3*10000,10)+1)*0.1%)</f>
        <v>8.0000000000000002E-3</v>
      </c>
      <c r="I3" s="168">
        <f>IF(H3-G3&lt;0.5%,0.05%,IF(H3-G3&lt;1%,0.1%,IF(H3-G3&lt;2%,0.25%,0.5%)))</f>
        <v>1E-3</v>
      </c>
      <c r="J3" s="167">
        <f>MIN(_xll.ohPack($Z$19:INDEX($Z$19:$Z$3552,MATCH(E3+1,$Y$19:$Y$3552,1),1)))</f>
        <v>1.8629999999986158E-3</v>
      </c>
      <c r="K3" s="168">
        <f>MAX(_xll.ohPack($Z$19:INDEX($Z$19:$Z$3552,MATCH(E3+1,$Y$19:$Y$3552,1),1)))</f>
        <v>7.6626435526865894E-3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42094</v>
      </c>
      <c r="D4" s="164">
        <v>24</v>
      </c>
      <c r="E4" s="163">
        <f t="shared" si="0"/>
        <v>42883</v>
      </c>
      <c r="F4" s="165">
        <f t="shared" ref="F4:F16" si="1">IF(D4&lt;=12,1,IF(D4&lt;=24,3,IF(D4&lt;=120,6,IF(D4&lt;=240,12,IF(D4&lt;=360,36,60)))))</f>
        <v>3</v>
      </c>
      <c r="G4" s="166">
        <f t="shared" ref="G4:G16" si="2">ROUNDDOWN(J4*10,2)/10</f>
        <v>1E-3</v>
      </c>
      <c r="H4" s="167">
        <f t="shared" ref="H4:H16" si="3">IF(K4-J4&gt;1%,(QUOTIENT(K4*10000,50)+1)*0.5%,(QUOTIENT(K4*10000,10)+1)*0.1%)</f>
        <v>0.02</v>
      </c>
      <c r="I4" s="168">
        <f t="shared" ref="I4:I16" si="4">IF(H4-G4&lt;0.5%,0.05%,IF(H4-G4&lt;1%,0.1%,IF(H4-G4&lt;2%,0.25%,0.5%)))</f>
        <v>2.5000000000000001E-3</v>
      </c>
      <c r="J4" s="167">
        <f>MIN(_xll.ohPack($Z$19:INDEX($Z$19:$Z$3552,MATCH(E4+1,$Y$19:$Y$3552,1),1)))</f>
        <v>1.8629999999986158E-3</v>
      </c>
      <c r="K4" s="168">
        <f>MAX(_xll.ohPack($Z$19:INDEX($Z$19:$Z$3552,MATCH(E4+1,$Y$19:$Y$3552,1),1)))</f>
        <v>1.5015474036375114E-2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64">
        <v>60</v>
      </c>
      <c r="E5" s="163">
        <f t="shared" si="0"/>
        <v>43979</v>
      </c>
      <c r="F5" s="165">
        <f t="shared" si="1"/>
        <v>6</v>
      </c>
      <c r="G5" s="166">
        <f t="shared" si="2"/>
        <v>1E-3</v>
      </c>
      <c r="H5" s="167">
        <f t="shared" si="3"/>
        <v>2.5000000000000001E-2</v>
      </c>
      <c r="I5" s="168">
        <f t="shared" si="4"/>
        <v>5.0000000000000001E-3</v>
      </c>
      <c r="J5" s="167">
        <f>MIN(_xll.ohPack($Z$19:INDEX($Z$19:$Z$3552,MATCH(E5+1,$Y$19:$Y$3552,1),1)))</f>
        <v>1.8629999999986158E-3</v>
      </c>
      <c r="K5" s="168">
        <f>MAX(_xll.ohPack($Z$19:INDEX($Z$19:$Z$3552,MATCH(E5+1,$Y$19:$Y$3552,1),1)))</f>
        <v>2.4929999030190719E-2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42004</v>
      </c>
      <c r="D6" s="164">
        <v>120</v>
      </c>
      <c r="E6" s="163">
        <f t="shared" si="0"/>
        <v>45805</v>
      </c>
      <c r="F6" s="165">
        <f t="shared" si="1"/>
        <v>6</v>
      </c>
      <c r="G6" s="166">
        <f t="shared" si="2"/>
        <v>1E-3</v>
      </c>
      <c r="H6" s="167">
        <f t="shared" si="3"/>
        <v>0.03</v>
      </c>
      <c r="I6" s="168">
        <f t="shared" si="4"/>
        <v>5.0000000000000001E-3</v>
      </c>
      <c r="J6" s="167">
        <f>MIN(_xll.ohPack($Z$19:INDEX($Z$19:$Z$3552,MATCH(E6+1,$Y$19:$Y$3552,1),1)))</f>
        <v>1.8629999999986158E-3</v>
      </c>
      <c r="K6" s="168">
        <f>MAX(_xll.ohPack($Z$19:INDEX($Z$19:$Z$3552,MATCH(E6+1,$Y$19:$Y$3552,1),1)))</f>
        <v>2.8850334639207997E-2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42004</v>
      </c>
      <c r="D7" s="164">
        <v>240</v>
      </c>
      <c r="E7" s="163">
        <f t="shared" si="0"/>
        <v>49457</v>
      </c>
      <c r="F7" s="165">
        <f t="shared" si="1"/>
        <v>12</v>
      </c>
      <c r="G7" s="166">
        <f t="shared" si="2"/>
        <v>1E-3</v>
      </c>
      <c r="H7" s="167">
        <f t="shared" si="3"/>
        <v>0.03</v>
      </c>
      <c r="I7" s="168">
        <f t="shared" si="4"/>
        <v>5.0000000000000001E-3</v>
      </c>
      <c r="J7" s="167">
        <f>MIN(_xll.ohPack($Z$19:INDEX($Z$19:$Z$3552,MATCH(E7+1,$Y$19:$Y$3552,1),1)))</f>
        <v>1.8629999999986158E-3</v>
      </c>
      <c r="K7" s="168">
        <f>MAX(_xll.ohPack($Z$19:INDEX($Z$19:$Z$3552,MATCH(E7+1,$Y$19:$Y$3552,1),1)))</f>
        <v>2.9104837433319861E-2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42004</v>
      </c>
      <c r="D8" s="164">
        <v>360</v>
      </c>
      <c r="E8" s="163">
        <f t="shared" si="0"/>
        <v>53110</v>
      </c>
      <c r="F8" s="165">
        <f t="shared" si="1"/>
        <v>36</v>
      </c>
      <c r="G8" s="166">
        <f t="shared" si="2"/>
        <v>1E-3</v>
      </c>
      <c r="H8" s="167">
        <f t="shared" si="3"/>
        <v>0.03</v>
      </c>
      <c r="I8" s="168">
        <f t="shared" si="4"/>
        <v>5.0000000000000001E-3</v>
      </c>
      <c r="J8" s="167">
        <f>MIN(_xll.ohPack($Z$19:INDEX($Z$19:$Z$3552,MATCH(E8+1,$Y$19:$Y$3552,1),1)))</f>
        <v>1.8629999999986158E-3</v>
      </c>
      <c r="K8" s="168">
        <f>MAX(_xll.ohPack($Z$19:INDEX($Z$19:$Z$3552,MATCH(E8+1,$Y$19:$Y$3552,1),1)))</f>
        <v>2.9104837433319861E-2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42004</v>
      </c>
      <c r="D9" s="164">
        <f>60*12</f>
        <v>720</v>
      </c>
      <c r="E9" s="163">
        <f t="shared" si="0"/>
        <v>64067</v>
      </c>
      <c r="F9" s="165">
        <f t="shared" si="1"/>
        <v>60</v>
      </c>
      <c r="G9" s="166">
        <f t="shared" si="2"/>
        <v>1E-3</v>
      </c>
      <c r="H9" s="167">
        <f t="shared" si="3"/>
        <v>0.03</v>
      </c>
      <c r="I9" s="168">
        <f t="shared" si="4"/>
        <v>5.0000000000000001E-3</v>
      </c>
      <c r="J9" s="167">
        <f>MIN(_xll.ohPack($Z$19:INDEX($Z$19:$Z$3552,MATCH(E9+1,$Y$19:$Y$3552,1),1)))</f>
        <v>1.8629999999986158E-3</v>
      </c>
      <c r="K9" s="168">
        <f>MAX(_xll.ohPack($Z$19:INDEX($Z$19:$Z$3552,MATCH(E9+1,$Y$19:$Y$3552,1),1)))</f>
        <v>2.9104837433319861E-2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42124</v>
      </c>
      <c r="D10" s="174">
        <v>12</v>
      </c>
      <c r="E10" s="173">
        <f t="shared" si="0"/>
        <v>42518</v>
      </c>
      <c r="F10" s="175">
        <f t="shared" si="1"/>
        <v>1</v>
      </c>
      <c r="G10" s="176">
        <f t="shared" si="2"/>
        <v>1E-3</v>
      </c>
      <c r="H10" s="177">
        <f t="shared" si="3"/>
        <v>8.0000000000000002E-3</v>
      </c>
      <c r="I10" s="178">
        <f t="shared" si="4"/>
        <v>1E-3</v>
      </c>
      <c r="J10" s="177">
        <f>MIN(_xll.ohPack($AA$19:INDEX($AA$19:$AA$3552,MATCH(E10+1,$Y$19:$Y$3552,1),1)))</f>
        <v>1.6935813229412844E-3</v>
      </c>
      <c r="K10" s="178">
        <f>MAX(_xll.ohPack($AA$19:INDEX($AA$19:$AA$3552,MATCH(E10+1,$Y$19:$Y$3552,1),1)))</f>
        <v>7.4288056734150842E-3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42094</v>
      </c>
      <c r="D11" s="164">
        <v>24</v>
      </c>
      <c r="E11" s="163">
        <f t="shared" si="0"/>
        <v>42883</v>
      </c>
      <c r="F11" s="165">
        <f t="shared" si="1"/>
        <v>3</v>
      </c>
      <c r="G11" s="166">
        <f t="shared" si="2"/>
        <v>1E-3</v>
      </c>
      <c r="H11" s="167">
        <f t="shared" si="3"/>
        <v>1.4999999999999999E-2</v>
      </c>
      <c r="I11" s="168">
        <f t="shared" si="4"/>
        <v>2.5000000000000001E-3</v>
      </c>
      <c r="J11" s="167">
        <f>MIN(_xll.ohPack($AA$19:INDEX($AA$19:$AA$3552,MATCH(E11+1,$Y$19:$Y$3552,1),1)))</f>
        <v>1.6935813229412844E-3</v>
      </c>
      <c r="K11" s="168">
        <f>MAX(_xll.ohPack($AA$19:INDEX($AA$19:$AA$3552,MATCH(E11+1,$Y$19:$Y$3552,1),1)))</f>
        <v>1.4834229490459094E-2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42004</v>
      </c>
      <c r="D12" s="164">
        <v>60</v>
      </c>
      <c r="E12" s="163">
        <f t="shared" si="0"/>
        <v>43979</v>
      </c>
      <c r="F12" s="165">
        <f t="shared" si="1"/>
        <v>6</v>
      </c>
      <c r="G12" s="166">
        <f t="shared" si="2"/>
        <v>1E-3</v>
      </c>
      <c r="H12" s="167">
        <f t="shared" si="3"/>
        <v>2.5000000000000001E-2</v>
      </c>
      <c r="I12" s="168">
        <f t="shared" si="4"/>
        <v>5.0000000000000001E-3</v>
      </c>
      <c r="J12" s="167">
        <f>MIN(_xll.ohPack($AA$19:INDEX($AA$19:$AA$3552,MATCH(E12+1,$Y$19:$Y$3552,1),1)))</f>
        <v>1.6935813229412844E-3</v>
      </c>
      <c r="K12" s="168">
        <f>MAX(_xll.ohPack($AA$19:INDEX($AA$19:$AA$3552,MATCH(E12+1,$Y$19:$Y$3552,1),1)))</f>
        <v>2.4832133615291241E-2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42004</v>
      </c>
      <c r="D13" s="164">
        <v>120</v>
      </c>
      <c r="E13" s="163">
        <f t="shared" si="0"/>
        <v>45805</v>
      </c>
      <c r="F13" s="165">
        <f t="shared" si="1"/>
        <v>6</v>
      </c>
      <c r="G13" s="166">
        <f t="shared" si="2"/>
        <v>1E-3</v>
      </c>
      <c r="H13" s="167">
        <f t="shared" si="3"/>
        <v>0.03</v>
      </c>
      <c r="I13" s="168">
        <f t="shared" si="4"/>
        <v>5.0000000000000001E-3</v>
      </c>
      <c r="J13" s="167">
        <f>MIN(_xll.ohPack($AA$19:INDEX($AA$19:$AA$3552,MATCH(E13+1,$Y$19:$Y$3552,1),1)))</f>
        <v>1.6935813229412844E-3</v>
      </c>
      <c r="K13" s="168">
        <f>MAX(_xll.ohPack($AA$19:INDEX($AA$19:$AA$3552,MATCH(E13+1,$Y$19:$Y$3552,1),1)))</f>
        <v>2.8802434337800165E-2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42004</v>
      </c>
      <c r="D14" s="164">
        <v>240</v>
      </c>
      <c r="E14" s="163">
        <f t="shared" si="0"/>
        <v>49457</v>
      </c>
      <c r="F14" s="165">
        <f t="shared" si="1"/>
        <v>12</v>
      </c>
      <c r="G14" s="166">
        <f t="shared" si="2"/>
        <v>1E-3</v>
      </c>
      <c r="H14" s="167">
        <f t="shared" si="3"/>
        <v>0.03</v>
      </c>
      <c r="I14" s="168">
        <f t="shared" si="4"/>
        <v>5.0000000000000001E-3</v>
      </c>
      <c r="J14" s="167">
        <f>MIN(_xll.ohPack($AA$19:INDEX($AA$19:$AA$3552,MATCH(E14+1,$Y$19:$Y$3552,1),1)))</f>
        <v>1.6935813229412844E-3</v>
      </c>
      <c r="K14" s="168">
        <f>MAX(_xll.ohPack($AA$19:INDEX($AA$19:$AA$3552,MATCH(E14+1,$Y$19:$Y$3552,1),1)))</f>
        <v>2.9067505622721868E-2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42004</v>
      </c>
      <c r="D15" s="164">
        <v>360</v>
      </c>
      <c r="E15" s="163">
        <f t="shared" si="0"/>
        <v>53110</v>
      </c>
      <c r="F15" s="165">
        <f t="shared" si="1"/>
        <v>36</v>
      </c>
      <c r="G15" s="166">
        <f t="shared" si="2"/>
        <v>1E-3</v>
      </c>
      <c r="H15" s="167">
        <f t="shared" si="3"/>
        <v>0.03</v>
      </c>
      <c r="I15" s="168">
        <f t="shared" si="4"/>
        <v>5.0000000000000001E-3</v>
      </c>
      <c r="J15" s="167">
        <f>MIN(_xll.ohPack($AA$19:INDEX($AA$19:$AA$3552,MATCH(E15+1,$Y$19:$Y$3552,1),1)))</f>
        <v>1.6935813229412844E-3</v>
      </c>
      <c r="K15" s="168">
        <f>MAX(_xll.ohPack($AA$19:INDEX($AA$19:$AA$3552,MATCH(E15+1,$Y$19:$Y$3552,1),1)))</f>
        <v>2.9067505622721868E-2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42004</v>
      </c>
      <c r="D16" s="164">
        <v>720</v>
      </c>
      <c r="E16" s="163">
        <f t="shared" si="0"/>
        <v>64067</v>
      </c>
      <c r="F16" s="165">
        <f t="shared" si="1"/>
        <v>60</v>
      </c>
      <c r="G16" s="166">
        <f t="shared" si="2"/>
        <v>1E-3</v>
      </c>
      <c r="H16" s="167">
        <f t="shared" si="3"/>
        <v>0.03</v>
      </c>
      <c r="I16" s="168">
        <f t="shared" si="4"/>
        <v>5.0000000000000001E-3</v>
      </c>
      <c r="J16" s="167">
        <f>MIN(_xll.ohPack($AA$19:INDEX($AA$19:$AA$3552,MATCH(E16+1,$Y$19:$Y$3552,1),1)))</f>
        <v>1.6935813229412844E-3</v>
      </c>
      <c r="K16" s="168">
        <f>MAX(_xll.ohPack($AA$19:INDEX($AA$19:$AA$3552,MATCH(E16+1,$Y$19:$Y$3552,1),1)))</f>
        <v>2.9067505622721868E-2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str">
        <f>_xll.qlLibor(,Currency,IndexTenor,YieldCurve,,YieldCurve)</f>
        <v>obj_00416#0014</v>
      </c>
      <c r="AA17" s="184" t="str">
        <f>_xll.qlOvernightIndex(,FamilyName,NDays,Currency,Calendar,MoneyMarketDayCounter,YieldCurve)</f>
        <v>obj_0041a#0014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 t="str">
        <f t="array" ref="M19:M30">_xll.ohFilter(RateHelpers!B4:B14,IF(ISERROR(RateHelpers!D4:D14),FALSE,TRUE))</f>
        <v>obj_00411#0010</v>
      </c>
      <c r="N19" s="193" t="str">
        <f>_xll.qlRateHelperQuoteName(M19)</f>
        <v>USD2X1S_Quote</v>
      </c>
      <c r="O19" s="194">
        <f>_xll.qlRateHelperLatestDate(M19,Trigger)</f>
        <v>42213</v>
      </c>
      <c r="P19" s="210">
        <f>_xll.qlRateHelperQuoteValue(M19,_xll.ohTrigger(RecalcTrigger,YieldCurve))</f>
        <v>1.8799999999999999E-3</v>
      </c>
      <c r="Q19" s="211" t="str">
        <f>SUBSTITUTE(SUBSTITUTE(N19,"X1S_Quote","M"),"USD","")</f>
        <v>2M</v>
      </c>
      <c r="R19" s="183" t="str">
        <f>_xll.qlSwapIndex(,FamilyName,Q19,NDays,Currency,Calendar,"1Y","modified following",MoneyMarketDayCounter,IborIndex,Discounting,,_xll.ohTrigger(Trigger,RecalcTrigger))</f>
        <v>obj_00417#0010</v>
      </c>
      <c r="S19" s="212">
        <f>_xll.qlIndexFixing(R19,$X$19,TRUE,Trigger)</f>
        <v>1.8969228417389122E-3</v>
      </c>
      <c r="T19" s="195">
        <f t="shared" ref="T19:T23" si="6">S19-P19</f>
        <v>1.692284173891224E-5</v>
      </c>
      <c r="U19" s="196">
        <f t="array" ref="U19">MAX(ABS(_xll.ohFilter(T19:T30,IF(ISERROR(T19:T30),FALSE,TRUE))))</f>
        <v>1.692284173891224E-5</v>
      </c>
      <c r="V19" s="197"/>
      <c r="W19" s="193" t="s">
        <v>153</v>
      </c>
      <c r="X19" s="198">
        <f>_xll.qlSettingsEvaluationDate(Trigger)</f>
        <v>42150</v>
      </c>
      <c r="Y19" s="198">
        <f>_xll.qlInterestRateIndexValueDate(IborIndex,X19,Trigger)</f>
        <v>42152</v>
      </c>
      <c r="Z19" s="199">
        <f t="array" ref="Z19:Z3552">IFERROR(_xll.qlIndexFixing(IborIndex,X19:X3552,TRUE,RecalcTrigger),NA())</f>
        <v>1.8629999999986158E-3</v>
      </c>
      <c r="AA19" s="201">
        <f t="array" ref="AA19:AA3552">IFERROR(_xll.qlIndexFixing(OverNightIndex,Y19:Y3552,TRUE,RecalcTrigger),NA())</f>
        <v>1.6935813229412844E-3</v>
      </c>
    </row>
    <row r="20" spans="1:27" ht="12" thickBot="1" x14ac:dyDescent="0.25">
      <c r="J20" s="203"/>
      <c r="M20" s="204" t="str">
        <v>obj_00410#0010</v>
      </c>
      <c r="N20" s="193" t="str">
        <f>_xll.qlRateHelperQuoteName(M20)</f>
        <v>USD3X1S_Quote</v>
      </c>
      <c r="O20" s="194">
        <f>_xll.qlRateHelperLatestDate(M20,Trigger)</f>
        <v>42244</v>
      </c>
      <c r="P20" s="210">
        <f>_xll.qlRateHelperQuoteValue(M20,_xll.ohTrigger(RecalcTrigger,YieldCurve))</f>
        <v>1.9500000000000001E-3</v>
      </c>
      <c r="Q20" s="211" t="str">
        <f t="shared" ref="Q20:Q30" si="7">SUBSTITUTE(SUBSTITUTE(N20,"X1S_Quote","M"),"USD","")</f>
        <v>3M</v>
      </c>
      <c r="R20" s="183" t="str">
        <f>_xll.qlSwapIndex(,FamilyName,Q20,NDays,Currency,Calendar,"1Y","modified following",MoneyMarketDayCounter,IborIndex,Discounting,,_xll.ohTrigger(Trigger,RecalcTrigger))</f>
        <v>obj_0041d#0010</v>
      </c>
      <c r="S20" s="212">
        <f>_xll.qlIndexFixing(R20,$X$19,TRUE,Trigger)</f>
        <v>1.949999999935527E-3</v>
      </c>
      <c r="T20" s="195">
        <f t="shared" si="6"/>
        <v>-6.4473166389023007E-14</v>
      </c>
      <c r="W20" s="193" t="str">
        <f>W19</f>
        <v>1D</v>
      </c>
      <c r="X20" s="194">
        <f>_xll.qlCalendarAdvance(LiborCalendar,X19,W20,"f",FALSE)</f>
        <v>42151</v>
      </c>
      <c r="Y20" s="198">
        <f>_xll.qlInterestRateIndexValueDate(IborIndex,X20,Trigger)</f>
        <v>42153</v>
      </c>
      <c r="Z20" s="199">
        <v>1.8724515129434072E-3</v>
      </c>
      <c r="AA20" s="201">
        <v>1.7100939205505483E-3</v>
      </c>
    </row>
    <row r="21" spans="1:27" ht="12" thickBot="1" x14ac:dyDescent="0.25">
      <c r="M21" s="204" t="str">
        <v>obj_00414#0010</v>
      </c>
      <c r="N21" s="193" t="str">
        <f>_xll.qlRateHelperQuoteName(M21)</f>
        <v>USD4X1S_Quote</v>
      </c>
      <c r="O21" s="194">
        <f>_xll.qlRateHelperLatestDate(M21,Trigger)</f>
        <v>42275</v>
      </c>
      <c r="P21" s="210">
        <f>_xll.qlRateHelperQuoteValue(M21,_xll.ohTrigger(RecalcTrigger,YieldCurve))</f>
        <v>2.0800000000000003E-3</v>
      </c>
      <c r="Q21" s="211" t="str">
        <f t="shared" si="7"/>
        <v>4M</v>
      </c>
      <c r="R21" s="183" t="str">
        <f>_xll.qlSwapIndex(,FamilyName,Q21,NDays,Currency,Calendar,"1Y","modified following",MoneyMarketDayCounter,IborIndex,Discounting,,_xll.ohTrigger(Trigger,RecalcTrigger))</f>
        <v>obj_00422#0010</v>
      </c>
      <c r="S21" s="212">
        <f>_xll.qlIndexFixing(R21,$X$19,TRUE,Trigger)</f>
        <v>2.0709641687671645E-3</v>
      </c>
      <c r="T21" s="195">
        <f t="shared" si="6"/>
        <v>-9.0358312328357206E-6</v>
      </c>
      <c r="W21" s="193" t="str">
        <f t="shared" ref="W21:W84" si="8">W20</f>
        <v>1D</v>
      </c>
      <c r="X21" s="194">
        <f>_xll.qlCalendarAdvance(LiborCalendar,X20,W21,"f",FALSE)</f>
        <v>42152</v>
      </c>
      <c r="Y21" s="198">
        <f>_xll.qlInterestRateIndexValueDate(IborIndex,X21,Trigger)</f>
        <v>42156</v>
      </c>
      <c r="Z21" s="199">
        <v>1.8953792307385697E-3</v>
      </c>
      <c r="AA21" s="201">
        <v>1.729909038736821E-3</v>
      </c>
    </row>
    <row r="22" spans="1:27" ht="23.25" thickBot="1" x14ac:dyDescent="0.25">
      <c r="J22" s="220" t="s">
        <v>163</v>
      </c>
      <c r="M22" s="204" t="str">
        <v>obj_00413#0010</v>
      </c>
      <c r="N22" s="193" t="str">
        <f>_xll.qlRateHelperQuoteName(M22)</f>
        <v>USD5X1S_Quote</v>
      </c>
      <c r="O22" s="194">
        <f>_xll.qlRateHelperLatestDate(M22,Trigger)</f>
        <v>42305</v>
      </c>
      <c r="P22" s="210">
        <f>_xll.qlRateHelperQuoteValue(M22,_xll.ohTrigger(RecalcTrigger,YieldCurve))</f>
        <v>2.2500000000000003E-3</v>
      </c>
      <c r="Q22" s="211" t="str">
        <f t="shared" si="7"/>
        <v>5M</v>
      </c>
      <c r="R22" s="183" t="str">
        <f>_xll.qlSwapIndex(,FamilyName,Q22,NDays,Currency,Calendar,"1Y","modified following",MoneyMarketDayCounter,IborIndex,Discounting,,_xll.ohTrigger(Trigger,RecalcTrigger))</f>
        <v>obj_0041b#0003</v>
      </c>
      <c r="S22" s="212">
        <f>_xll.qlIndexFixing(R22,$X$19,TRUE,Trigger)</f>
        <v>2.2336282224639367E-3</v>
      </c>
      <c r="T22" s="195">
        <f t="shared" si="6"/>
        <v>-1.6371777536063579E-5</v>
      </c>
      <c r="U22" s="206"/>
      <c r="W22" s="193" t="str">
        <f t="shared" si="8"/>
        <v>1D</v>
      </c>
      <c r="X22" s="194">
        <f>_xll.qlCalendarAdvance(LiborCalendar,X21,W22,"f",FALSE)</f>
        <v>42153</v>
      </c>
      <c r="Y22" s="198">
        <f>_xll.qlInterestRateIndexValueDate(IborIndex,X22,Trigger)</f>
        <v>42157</v>
      </c>
      <c r="Z22" s="199">
        <v>1.9040470297824186E-3</v>
      </c>
      <c r="AA22" s="201">
        <v>1.7522877899089906E-3</v>
      </c>
    </row>
    <row r="23" spans="1:27" ht="12" thickBot="1" x14ac:dyDescent="0.25">
      <c r="J23" s="219" t="str">
        <f>ROUNDDOWN((_xll.qlTermStructureMaxDate(YieldCurve,Trigger)-_xll.qlTermStructureReferenceDate(YieldCurve,Trigger))/365,)&amp;"Y"</f>
        <v>50Y</v>
      </c>
      <c r="M23" s="204" t="str">
        <v>obj_0040f#0010</v>
      </c>
      <c r="N23" s="193" t="str">
        <f>_xll.qlRateHelperQuoteName(M23)</f>
        <v>USD6X1S_Quote</v>
      </c>
      <c r="O23" s="194">
        <f>_xll.qlRateHelperLatestDate(M23,Trigger)</f>
        <v>42338</v>
      </c>
      <c r="P23" s="210">
        <f>_xll.qlRateHelperQuoteValue(M23,_xll.ohTrigger(RecalcTrigger,YieldCurve))</f>
        <v>2.4499999999999999E-3</v>
      </c>
      <c r="Q23" s="211" t="str">
        <f t="shared" si="7"/>
        <v>6M</v>
      </c>
      <c r="R23" s="183" t="str">
        <f>_xll.qlSwapIndex(,FamilyName,Q23,NDays,Currency,Calendar,"1Y","modified following",MoneyMarketDayCounter,IborIndex,Discounting,,_xll.ohTrigger(Trigger,RecalcTrigger))</f>
        <v>obj_00419#0003</v>
      </c>
      <c r="S23" s="212">
        <f>_xll.qlIndexFixing(R23,$X$19,TRUE,Trigger)</f>
        <v>2.4499999987710338E-3</v>
      </c>
      <c r="T23" s="195">
        <f t="shared" si="6"/>
        <v>-1.228966147598376E-12</v>
      </c>
      <c r="W23" s="193" t="str">
        <f t="shared" si="8"/>
        <v>1D</v>
      </c>
      <c r="X23" s="194">
        <f>_xll.qlCalendarAdvance(LiborCalendar,X22,W23,"f",FALSE)</f>
        <v>42156</v>
      </c>
      <c r="Y23" s="198">
        <f>_xll.qlInterestRateIndexValueDate(IborIndex,X23,Trigger)</f>
        <v>42158</v>
      </c>
      <c r="Z23" s="199">
        <v>1.9147702879397277E-3</v>
      </c>
      <c r="AA23" s="201">
        <v>1.7947626576120257E-3</v>
      </c>
    </row>
    <row r="24" spans="1:27" x14ac:dyDescent="0.2">
      <c r="M24" s="204" t="str">
        <v>obj_0040d#0010</v>
      </c>
      <c r="N24" s="193" t="str">
        <f>_xll.qlRateHelperQuoteName(M24)</f>
        <v>USD7X1S_Quote</v>
      </c>
      <c r="O24" s="194">
        <f>_xll.qlRateHelperLatestDate(M24,Trigger)</f>
        <v>42367</v>
      </c>
      <c r="P24" s="210">
        <f>_xll.qlRateHelperQuoteValue(M24,_xll.ohTrigger(RecalcTrigger,YieldCurve))</f>
        <v>2.66E-3</v>
      </c>
      <c r="Q24" s="211" t="str">
        <f t="shared" si="7"/>
        <v>7M</v>
      </c>
      <c r="R24" s="183" t="str">
        <f>_xll.qlSwapIndex(,FamilyName,Q24,NDays,Currency,Calendar,"1Y","modified following",MoneyMarketDayCounter,IborIndex,Discounting,,_xll.ohTrigger(Trigger,RecalcTrigger))</f>
        <v>obj_0041f#0003</v>
      </c>
      <c r="S24" s="212">
        <f>_xll.qlIndexFixing(R24,$X$19,TRUE,Trigger)</f>
        <v>2.6657555346281002E-3</v>
      </c>
      <c r="T24" s="195">
        <f>S24-P24</f>
        <v>5.7555346281001202E-6</v>
      </c>
      <c r="W24" s="193" t="str">
        <f t="shared" si="8"/>
        <v>1D</v>
      </c>
      <c r="X24" s="194">
        <f>_xll.qlCalendarAdvance(LiborCalendar,X23,W24,"f",FALSE)</f>
        <v>42157</v>
      </c>
      <c r="Y24" s="198">
        <f>_xll.qlInterestRateIndexValueDate(IborIndex,X24,Trigger)</f>
        <v>42159</v>
      </c>
      <c r="Z24" s="199">
        <v>1.9205379732095684E-3</v>
      </c>
      <c r="AA24" s="201">
        <v>1.833450271764292E-3</v>
      </c>
    </row>
    <row r="25" spans="1:27" x14ac:dyDescent="0.2">
      <c r="M25" s="204" t="str">
        <v>obj_0040a#0010</v>
      </c>
      <c r="N25" s="193" t="str">
        <f>_xll.qlRateHelperQuoteName(M25)</f>
        <v>USD8X1S_Quote</v>
      </c>
      <c r="O25" s="194">
        <f>_xll.qlRateHelperLatestDate(M25,Trigger)</f>
        <v>42397</v>
      </c>
      <c r="P25" s="210">
        <f>_xll.qlRateHelperQuoteValue(M25,_xll.ohTrigger(RecalcTrigger,YieldCurve))</f>
        <v>2.9000000000000002E-3</v>
      </c>
      <c r="Q25" s="211" t="str">
        <f t="shared" si="7"/>
        <v>8M</v>
      </c>
      <c r="R25" s="183" t="str">
        <f>_xll.qlSwapIndex(,FamilyName,Q25,NDays,Currency,Calendar,"1Y","modified following",MoneyMarketDayCounter,IborIndex,Discounting,,_xll.ohTrigger(Trigger,RecalcTrigger))</f>
        <v>obj_0041e#0003</v>
      </c>
      <c r="S25" s="212">
        <f>_xll.qlIndexFixing(R25,$X$19,TRUE,Trigger)</f>
        <v>2.9047902869218773E-3</v>
      </c>
      <c r="T25" s="195">
        <f t="shared" ref="T25:T30" si="9">S25-P25</f>
        <v>4.7902869218770586E-6</v>
      </c>
      <c r="W25" s="193" t="str">
        <f t="shared" si="8"/>
        <v>1D</v>
      </c>
      <c r="X25" s="194">
        <f>_xll.qlCalendarAdvance(LiborCalendar,X24,W25,"f",FALSE)</f>
        <v>42158</v>
      </c>
      <c r="Y25" s="198">
        <f>_xll.qlInterestRateIndexValueDate(IborIndex,X25,Trigger)</f>
        <v>42160</v>
      </c>
      <c r="Z25" s="199">
        <v>1.9259560239503679E-3</v>
      </c>
      <c r="AA25" s="201">
        <v>1.8509138725697483E-3</v>
      </c>
    </row>
    <row r="26" spans="1:27" x14ac:dyDescent="0.2">
      <c r="M26" s="204" t="str">
        <v>obj_00409#0010</v>
      </c>
      <c r="N26" s="193" t="str">
        <f>_xll.qlRateHelperQuoteName(M26)</f>
        <v>USD9X1S_Quote</v>
      </c>
      <c r="O26" s="194">
        <f>_xll.qlRateHelperLatestDate(M26,Trigger)</f>
        <v>42429</v>
      </c>
      <c r="P26" s="210">
        <f>_xll.qlRateHelperQuoteValue(M26,_xll.ohTrigger(RecalcTrigger,YieldCurve))</f>
        <v>3.1700000000000001E-3</v>
      </c>
      <c r="Q26" s="211" t="str">
        <f t="shared" si="7"/>
        <v>9M</v>
      </c>
      <c r="R26" s="183" t="str">
        <f>_xll.qlSwapIndex(,FamilyName,Q26,NDays,Currency,Calendar,"1Y","modified following",MoneyMarketDayCounter,IborIndex,Discounting,,_xll.ohTrigger(Trigger,RecalcTrigger))</f>
        <v>obj_00421#0003</v>
      </c>
      <c r="S26" s="212">
        <f>_xll.qlIndexFixing(R26,$X$19,TRUE,Trigger)</f>
        <v>3.1699999996215641E-3</v>
      </c>
      <c r="T26" s="195">
        <f t="shared" si="9"/>
        <v>-3.7843599781650639E-13</v>
      </c>
      <c r="W26" s="193" t="str">
        <f t="shared" si="8"/>
        <v>1D</v>
      </c>
      <c r="X26" s="194">
        <f>_xll.qlCalendarAdvance(LiborCalendar,X25,W26,"f",FALSE)</f>
        <v>42159</v>
      </c>
      <c r="Y26" s="198">
        <f>_xll.qlInterestRateIndexValueDate(IborIndex,X26,Trigger)</f>
        <v>42163</v>
      </c>
      <c r="Z26" s="199">
        <v>1.9396160492375358E-3</v>
      </c>
      <c r="AA26" s="201">
        <v>1.8672466650482278E-3</v>
      </c>
    </row>
    <row r="27" spans="1:27" x14ac:dyDescent="0.2">
      <c r="M27" s="204" t="str">
        <v>obj_00408#0010</v>
      </c>
      <c r="N27" s="193" t="str">
        <f>_xll.qlRateHelperQuoteName(M27)</f>
        <v>USD10X1S_Quote</v>
      </c>
      <c r="O27" s="194">
        <f>_xll.qlRateHelperLatestDate(M27,Trigger)</f>
        <v>42458</v>
      </c>
      <c r="P27" s="210">
        <f>_xll.qlRateHelperQuoteValue(M27,_xll.ohTrigger(RecalcTrigger,YieldCurve))</f>
        <v>3.3999999999999998E-3</v>
      </c>
      <c r="Q27" s="211" t="str">
        <f t="shared" si="7"/>
        <v>10M</v>
      </c>
      <c r="R27" s="183" t="str">
        <f>_xll.qlSwapIndex(,FamilyName,Q27,NDays,Currency,Calendar,"1Y","modified following",MoneyMarketDayCounter,IborIndex,Discounting,,_xll.ohTrigger(Trigger,RecalcTrigger))</f>
        <v>obj_00418#0003</v>
      </c>
      <c r="S27" s="212">
        <f>_xll.qlIndexFixing(R27,$X$19,TRUE,Trigger)</f>
        <v>3.416375277076146E-3</v>
      </c>
      <c r="T27" s="195">
        <f t="shared" si="9"/>
        <v>1.6375277076146211E-5</v>
      </c>
      <c r="W27" s="193" t="str">
        <f t="shared" si="8"/>
        <v>1D</v>
      </c>
      <c r="X27" s="194">
        <f>_xll.qlCalendarAdvance(LiborCalendar,X26,W27,"f",FALSE)</f>
        <v>42160</v>
      </c>
      <c r="Y27" s="198">
        <f>_xll.qlInterestRateIndexValueDate(IborIndex,X27,Trigger)</f>
        <v>42164</v>
      </c>
      <c r="Z27" s="199">
        <v>1.9428500100726609E-3</v>
      </c>
      <c r="AA27" s="201">
        <v>1.8824486491997305E-3</v>
      </c>
    </row>
    <row r="28" spans="1:27" x14ac:dyDescent="0.2">
      <c r="M28" s="204" t="str">
        <v>obj_00412#0010</v>
      </c>
      <c r="N28" s="193" t="str">
        <f>_xll.qlRateHelperQuoteName(M28)</f>
        <v>USD11X1S_Quote</v>
      </c>
      <c r="O28" s="194">
        <f>_xll.qlRateHelperLatestDate(M28,Trigger)</f>
        <v>42488</v>
      </c>
      <c r="P28" s="210">
        <f>_xll.qlRateHelperQuoteValue(M28,_xll.ohTrigger(RecalcTrigger,YieldCurve))</f>
        <v>3.6700000000000001E-3</v>
      </c>
      <c r="Q28" s="211" t="str">
        <f t="shared" si="7"/>
        <v>11M</v>
      </c>
      <c r="R28" s="183" t="str">
        <f>_xll.qlSwapIndex(,FamilyName,Q28,NDays,Currency,Calendar,"1Y","modified following",MoneyMarketDayCounter,IborIndex,Discounting,,_xll.ohTrigger(Trigger,RecalcTrigger))</f>
        <v>obj_00420#0003</v>
      </c>
      <c r="S28" s="212">
        <f>_xll.qlIndexFixing(R28,$X$19,TRUE,Trigger)</f>
        <v>3.679131824357652E-3</v>
      </c>
      <c r="T28" s="195">
        <f t="shared" si="9"/>
        <v>9.1318243576519152E-6</v>
      </c>
      <c r="W28" s="193" t="str">
        <f t="shared" si="8"/>
        <v>1D</v>
      </c>
      <c r="X28" s="194">
        <f>_xll.qlCalendarAdvance(LiborCalendar,X27,W28,"f",FALSE)</f>
        <v>42163</v>
      </c>
      <c r="Y28" s="198">
        <f>_xll.qlInterestRateIndexValueDate(IborIndex,X28,Trigger)</f>
        <v>42165</v>
      </c>
      <c r="Z28" s="199">
        <v>1.9454327470302957E-3</v>
      </c>
      <c r="AA28" s="201">
        <v>1.9090933792487164E-3</v>
      </c>
    </row>
    <row r="29" spans="1:27" x14ac:dyDescent="0.2">
      <c r="M29" s="204" t="str">
        <v>obj_0040e#0010</v>
      </c>
      <c r="N29" s="193" t="str">
        <f>_xll.qlRateHelperQuoteName(M29)</f>
        <v>USD12X1S_Quote</v>
      </c>
      <c r="O29" s="194">
        <f>_xll.qlRateHelperLatestDate(M29,Trigger)</f>
        <v>42521</v>
      </c>
      <c r="P29" s="210">
        <f>_xll.qlRateHelperQuoteValue(M29,_xll.ohTrigger(RecalcTrigger,YieldCurve))</f>
        <v>3.98E-3</v>
      </c>
      <c r="Q29" s="211" t="str">
        <f t="shared" si="7"/>
        <v>12M</v>
      </c>
      <c r="R29" s="183" t="str">
        <f>_xll.qlSwapIndex(,FamilyName,Q29,NDays,Currency,Calendar,"1Y","modified following",MoneyMarketDayCounter,IborIndex,Discounting,,_xll.ohTrigger(Trigger,RecalcTrigger))</f>
        <v>obj_0041c#0003</v>
      </c>
      <c r="S29" s="212">
        <f>_xll.qlIndexFixing(R29,$X$19,TRUE,Trigger)</f>
        <v>3.9799999999937195E-3</v>
      </c>
      <c r="T29" s="195">
        <f t="shared" si="9"/>
        <v>-6.2805663447740301E-15</v>
      </c>
      <c r="W29" s="193" t="str">
        <f t="shared" si="8"/>
        <v>1D</v>
      </c>
      <c r="X29" s="194">
        <f>_xll.qlCalendarAdvance(LiborCalendar,X28,W29,"f",FALSE)</f>
        <v>42164</v>
      </c>
      <c r="Y29" s="198">
        <f>_xll.qlInterestRateIndexValueDate(IborIndex,X29,Trigger)</f>
        <v>42166</v>
      </c>
      <c r="Z29" s="199">
        <v>1.9460060495424258E-3</v>
      </c>
      <c r="AA29" s="201">
        <v>1.9319484991786595E-3</v>
      </c>
    </row>
    <row r="30" spans="1:27" ht="12" thickBot="1" x14ac:dyDescent="0.25">
      <c r="M30" s="215" t="e">
        <v>#N/A</v>
      </c>
      <c r="N30" s="205" t="e">
        <f>_xll.qlRateHelperQuoteName(M30)</f>
        <v>#VALUE!</v>
      </c>
      <c r="O30" s="208" t="e">
        <f>_xll.qlRateHelperLatestDate(M30,Trigger)</f>
        <v>#VALUE!</v>
      </c>
      <c r="P30" s="213" t="e">
        <f>_xll.qlRateHelperQuoteValue(M30,_xll.ohTrigger(RecalcTrigger,YieldCurve))</f>
        <v>#VALUE!</v>
      </c>
      <c r="Q30" s="216" t="e">
        <f t="shared" si="7"/>
        <v>#VALUE!</v>
      </c>
      <c r="R30" s="209" t="e">
        <f>_xll.qlSwapIndex(,FamilyName,Q30,NDays,Currency,Calendar,"1Y","modified following",MoneyMarketDayCounter,IborIndex,Discounting,,_xll.ohTrigger(Trigger,RecalcTrigger))</f>
        <v>#VALUE!</v>
      </c>
      <c r="S30" s="214" t="e">
        <f>_xll.qlIndexFixing(R30,$X$19,TRUE,Trigger)</f>
        <v>#VALUE!</v>
      </c>
      <c r="T30" s="217" t="e">
        <f t="shared" si="9"/>
        <v>#VALUE!</v>
      </c>
      <c r="W30" s="193" t="str">
        <f t="shared" si="8"/>
        <v>1D</v>
      </c>
      <c r="X30" s="194">
        <f>_xll.qlCalendarAdvance(LiborCalendar,X29,W30,"f",FALSE)</f>
        <v>42165</v>
      </c>
      <c r="Y30" s="198">
        <f>_xll.qlInterestRateIndexValueDate(IborIndex,X30,Trigger)</f>
        <v>42167</v>
      </c>
      <c r="Z30" s="199">
        <v>1.9480461018849655E-3</v>
      </c>
      <c r="AA30" s="201">
        <v>1.9414964394570688E-3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42166</v>
      </c>
      <c r="Y31" s="198">
        <f>_xll.qlInterestRateIndexValueDate(IborIndex,X31,Trigger)</f>
        <v>42170</v>
      </c>
      <c r="Z31" s="199">
        <v>1.9502572295424514E-3</v>
      </c>
      <c r="AA31" s="201">
        <v>1.9499135706890769E-3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42167</v>
      </c>
      <c r="Y32" s="198">
        <f>_xll.qlInterestRateIndexValueDate(IborIndex,X32,Trigger)</f>
        <v>42171</v>
      </c>
      <c r="Z32" s="199">
        <v>1.9499401180667064E-3</v>
      </c>
      <c r="AA32" s="201">
        <v>1.9571998927947476E-3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42170</v>
      </c>
      <c r="Y33" s="198">
        <f>_xll.qlInterestRateIndexValueDate(IborIndex,X33,Trigger)</f>
        <v>42172</v>
      </c>
      <c r="Z33" s="199">
        <v>1.9493076150247646E-3</v>
      </c>
      <c r="AA33" s="201">
        <v>1.9680139310729317E-3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42171</v>
      </c>
      <c r="Y34" s="198">
        <f>_xll.qlInterestRateIndexValueDate(IborIndex,X34,Trigger)</f>
        <v>42173</v>
      </c>
      <c r="Z34" s="199">
        <v>1.9469102289237927E-3</v>
      </c>
      <c r="AA34" s="201">
        <v>1.9750370881155277E-3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42172</v>
      </c>
      <c r="Y35" s="198">
        <f>_xll.qlInterestRateIndexValueDate(IborIndex,X35,Trigger)</f>
        <v>42174</v>
      </c>
      <c r="Z35" s="199">
        <v>1.9465677214449623E-3</v>
      </c>
      <c r="AA35" s="201">
        <v>1.9766693634704069E-3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42173</v>
      </c>
      <c r="Y36" s="198">
        <f>_xll.qlInterestRateIndexValueDate(IborIndex,X36,Trigger)</f>
        <v>42177</v>
      </c>
      <c r="Z36" s="199">
        <v>1.9430933948489937E-3</v>
      </c>
      <c r="AA36" s="201">
        <v>1.9771708295390766E-3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42174</v>
      </c>
      <c r="Y37" s="198">
        <f>_xll.qlInterestRateIndexValueDate(IborIndex,X37,Trigger)</f>
        <v>42178</v>
      </c>
      <c r="Z37" s="199">
        <v>1.9415760434124962E-3</v>
      </c>
      <c r="AA37" s="201">
        <v>1.9765414860817287E-3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42177</v>
      </c>
      <c r="Y38" s="198">
        <f>_xll.qlInterestRateIndexValueDate(IborIndex,X38,Trigger)</f>
        <v>42179</v>
      </c>
      <c r="Z38" s="199">
        <v>1.9400791339547752E-3</v>
      </c>
      <c r="AA38" s="201">
        <v>1.9715242314433112E-3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42178</v>
      </c>
      <c r="Y39" s="198">
        <f>_xll.qlInterestRateIndexValueDate(IborIndex,X39,Trigger)</f>
        <v>42180</v>
      </c>
      <c r="Z39" s="199">
        <v>1.9386779928334819E-3</v>
      </c>
      <c r="AA39" s="201">
        <v>1.9629558618561305E-3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42179</v>
      </c>
      <c r="Y40" s="198">
        <f>_xll.qlInterestRateIndexValueDate(IborIndex,X40,Trigger)</f>
        <v>42181</v>
      </c>
      <c r="Z40" s="199">
        <v>1.9374459524841435E-3</v>
      </c>
      <c r="AA40" s="201">
        <v>1.9581115315592257E-3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42180</v>
      </c>
      <c r="Y41" s="198">
        <f>_xll.qlInterestRateIndexValueDate(IborIndex,X41,Trigger)</f>
        <v>42184</v>
      </c>
      <c r="Z41" s="199">
        <v>1.934580380779316E-3</v>
      </c>
      <c r="AA41" s="201">
        <v>1.9535754519672821E-3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42181</v>
      </c>
      <c r="Y42" s="198">
        <f>_xll.qlInterestRateIndexValueDate(IborIndex,X42,Trigger)</f>
        <v>42185</v>
      </c>
      <c r="Z42" s="199">
        <v>1.9349226519066274E-3</v>
      </c>
      <c r="AA42" s="201">
        <v>1.9493476230003637E-3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42184</v>
      </c>
      <c r="Y43" s="198">
        <f>_xll.qlInterestRateIndexValueDate(IborIndex,X43,Trigger)</f>
        <v>42186</v>
      </c>
      <c r="Z43" s="199">
        <v>1.9370610290423622E-3</v>
      </c>
      <c r="AA43" s="201">
        <v>1.9419299421574721E-3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42185</v>
      </c>
      <c r="Y44" s="198">
        <f>_xll.qlInterestRateIndexValueDate(IborIndex,X44,Trigger)</f>
        <v>42187</v>
      </c>
      <c r="Z44" s="199">
        <v>1.9365344445321231E-3</v>
      </c>
      <c r="AA44" s="201">
        <v>1.9355188131431333E-3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42186</v>
      </c>
      <c r="Y45" s="198">
        <f>_xll.qlInterestRateIndexValueDate(IborIndex,X45,Trigger)</f>
        <v>42191</v>
      </c>
      <c r="Z45" s="199">
        <v>1.9400733163873582E-3</v>
      </c>
      <c r="AA45" s="201">
        <v>1.9304539116848929E-3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42187</v>
      </c>
      <c r="Y46" s="198">
        <f>_xll.qlInterestRateIndexValueDate(IborIndex,X46,Trigger)</f>
        <v>42191</v>
      </c>
      <c r="Z46" s="199">
        <v>1.9400733163873582E-3</v>
      </c>
      <c r="AA46" s="201">
        <v>1.9304539116848929E-3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42188</v>
      </c>
      <c r="Y47" s="198">
        <f>_xll.qlInterestRateIndexValueDate(IborIndex,X47,Trigger)</f>
        <v>42192</v>
      </c>
      <c r="Z47" s="199">
        <v>1.9420108122311206E-3</v>
      </c>
      <c r="AA47" s="201">
        <v>1.9283838369332784E-3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42191</v>
      </c>
      <c r="Y48" s="198">
        <f>_xll.qlInterestRateIndexValueDate(IborIndex,X48,Trigger)</f>
        <v>42193</v>
      </c>
      <c r="Z48" s="199">
        <v>1.9484655216992701E-3</v>
      </c>
      <c r="AA48" s="201">
        <v>1.9252814854375799E-3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42192</v>
      </c>
      <c r="Y49" s="198">
        <f>_xll.qlInterestRateIndexValueDate(IborIndex,X49,Trigger)</f>
        <v>42194</v>
      </c>
      <c r="Z49" s="199">
        <v>1.9490179331524415E-3</v>
      </c>
      <c r="AA49" s="201">
        <v>1.9231860432977754E-3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42193</v>
      </c>
      <c r="Y50" s="198">
        <f>_xll.qlInterestRateIndexValueDate(IborIndex,X50,Trigger)</f>
        <v>42195</v>
      </c>
      <c r="Z50" s="199">
        <v>1.9496731054980919E-3</v>
      </c>
      <c r="AA50" s="201">
        <v>1.9226572211916704E-3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42194</v>
      </c>
      <c r="Y51" s="198">
        <f>_xll.qlInterestRateIndexValueDate(IborIndex,X51,Trigger)</f>
        <v>42198</v>
      </c>
      <c r="Z51" s="199">
        <v>1.9601101119081838E-3</v>
      </c>
      <c r="AA51" s="201">
        <v>1.9224366497905265E-3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42195</v>
      </c>
      <c r="Y52" s="198">
        <f>_xll.qlInterestRateIndexValueDate(IborIndex,X52,Trigger)</f>
        <v>42199</v>
      </c>
      <c r="Z52" s="199">
        <v>1.964205718198424E-3</v>
      </c>
      <c r="AA52" s="201">
        <v>1.9225243287745997E-3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42198</v>
      </c>
      <c r="Y53" s="198">
        <f>_xll.qlInterestRateIndexValueDate(IborIndex,X53,Trigger)</f>
        <v>42200</v>
      </c>
      <c r="Z53" s="199">
        <v>1.9749769466988324E-3</v>
      </c>
      <c r="AA53" s="201">
        <v>1.9237374686298381E-3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42199</v>
      </c>
      <c r="Y54" s="198">
        <f>_xll.qlInterestRateIndexValueDate(IborIndex,X54,Trigger)</f>
        <v>42201</v>
      </c>
      <c r="Z54" s="199">
        <v>1.9766082756880743E-3</v>
      </c>
      <c r="AA54" s="201">
        <v>1.9259575507213356E-3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42200</v>
      </c>
      <c r="Y55" s="198">
        <f>_xll.qlInterestRateIndexValueDate(IborIndex,X55,Trigger)</f>
        <v>42202</v>
      </c>
      <c r="Z55" s="199">
        <v>1.9783423541041762E-3</v>
      </c>
      <c r="AA55" s="201">
        <v>1.9275864825907263E-3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42201</v>
      </c>
      <c r="Y56" s="198">
        <f>_xll.qlInterestRateIndexValueDate(IborIndex,X56,Trigger)</f>
        <v>42205</v>
      </c>
      <c r="Z56" s="199">
        <v>1.9952537236966167E-3</v>
      </c>
      <c r="AA56" s="201">
        <v>1.9295236650052061E-3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42202</v>
      </c>
      <c r="Y57" s="198">
        <f>_xll.qlInterestRateIndexValueDate(IborIndex,X57,Trigger)</f>
        <v>42206</v>
      </c>
      <c r="Z57" s="199">
        <v>2.0015074564153886E-3</v>
      </c>
      <c r="AA57" s="201">
        <v>1.9317690980447111E-3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42205</v>
      </c>
      <c r="Y58" s="198">
        <f>_xll.qlInterestRateIndexValueDate(IborIndex,X58,Trigger)</f>
        <v>42207</v>
      </c>
      <c r="Z58" s="199">
        <v>2.016595414156603E-3</v>
      </c>
      <c r="AA58" s="201">
        <v>1.9372978911480487E-3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42206</v>
      </c>
      <c r="Y59" s="198">
        <f>_xll.qlInterestRateIndexValueDate(IborIndex,X59,Trigger)</f>
        <v>42208</v>
      </c>
      <c r="Z59" s="199">
        <v>2.0193055832701257E-3</v>
      </c>
      <c r="AA59" s="201">
        <v>1.9438333358934301E-3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42207</v>
      </c>
      <c r="Y60" s="198">
        <f>_xll.qlInterestRateIndexValueDate(IborIndex,X60,Trigger)</f>
        <v>42209</v>
      </c>
      <c r="Z60" s="199">
        <v>2.0221184901209593E-3</v>
      </c>
      <c r="AA60" s="201">
        <v>1.9476200218182527E-3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42208</v>
      </c>
      <c r="Y61" s="198">
        <f>_xll.qlInterestRateIndexValueDate(IborIndex,X61,Trigger)</f>
        <v>42212</v>
      </c>
      <c r="Z61" s="199">
        <v>2.0455042888816739E-3</v>
      </c>
      <c r="AA61" s="201">
        <v>1.9517149583681004E-3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42209</v>
      </c>
      <c r="Y62" s="198">
        <f>_xll.qlInterestRateIndexValueDate(IborIndex,X62,Trigger)</f>
        <v>42213</v>
      </c>
      <c r="Z62" s="199">
        <v>2.0539161724326825E-3</v>
      </c>
      <c r="AA62" s="201">
        <v>1.9561181455429733E-3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42212</v>
      </c>
      <c r="Y63" s="198">
        <f>_xll.qlInterestRateIndexValueDate(IborIndex,X63,Trigger)</f>
        <v>42214</v>
      </c>
      <c r="Z63" s="199">
        <v>2.0574482465436361E-3</v>
      </c>
      <c r="AA63" s="201">
        <v>1.9659627581614103E-3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42213</v>
      </c>
      <c r="Y64" s="198">
        <f>_xll.qlInterestRateIndexValueDate(IborIndex,X64,Trigger)</f>
        <v>42215</v>
      </c>
      <c r="Z64" s="199">
        <v>2.0610830479790131E-3</v>
      </c>
      <c r="AA64" s="201">
        <v>1.9768134008923965E-3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42214</v>
      </c>
      <c r="Y65" s="198">
        <f>_xll.qlInterestRateIndexValueDate(IborIndex,X65,Trigger)</f>
        <v>42216</v>
      </c>
      <c r="Z65" s="199">
        <v>2.064820574957858E-3</v>
      </c>
      <c r="AA65" s="201">
        <v>1.9827578414322033E-3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42215</v>
      </c>
      <c r="Y66" s="198">
        <f>_xll.qlInterestRateIndexValueDate(IborIndex,X66,Trigger)</f>
        <v>42219</v>
      </c>
      <c r="Z66" s="199">
        <v>2.1105819229323202E-3</v>
      </c>
      <c r="AA66" s="201">
        <v>1.9890105326769714E-3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42216</v>
      </c>
      <c r="Y67" s="198">
        <f>_xll.qlInterestRateIndexValueDate(IborIndex,X67,Trigger)</f>
        <v>42220</v>
      </c>
      <c r="Z67" s="199">
        <v>2.1209873127156767E-3</v>
      </c>
      <c r="AA67" s="201">
        <v>1.9955714747066366E-3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42219</v>
      </c>
      <c r="Y68" s="198">
        <f>_xll.qlInterestRateIndexValueDate(IborIndex,X68,Trigger)</f>
        <v>42221</v>
      </c>
      <c r="Z68" s="199">
        <v>2.1501567771524156E-3</v>
      </c>
      <c r="AA68" s="201">
        <v>2.0097320804079999E-3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42220</v>
      </c>
      <c r="Y69" s="198">
        <f>_xll.qlInterestRateIndexValueDate(IborIndex,X69,Trigger)</f>
        <v>42222</v>
      </c>
      <c r="Z69" s="199">
        <v>2.1550280900874763E-3</v>
      </c>
      <c r="AA69" s="201">
        <v>2.0248977501147181E-3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42221</v>
      </c>
      <c r="Y70" s="198">
        <f>_xll.qlInterestRateIndexValueDate(IborIndex,X70,Trigger)</f>
        <v>42223</v>
      </c>
      <c r="Z70" s="199">
        <v>2.1599991358958737E-3</v>
      </c>
      <c r="AA70" s="201">
        <v>2.0329999459089976E-3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42222</v>
      </c>
      <c r="Y71" s="198">
        <f>_xll.qlInterestRateIndexValueDate(IborIndex,X71,Trigger)</f>
        <v>42226</v>
      </c>
      <c r="Z71" s="199">
        <v>2.1884783204581806E-3</v>
      </c>
      <c r="AA71" s="201">
        <v>2.0414103926480465E-3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42223</v>
      </c>
      <c r="Y72" s="198">
        <f>_xll.qlInterestRateIndexValueDate(IborIndex,X72,Trigger)</f>
        <v>42227</v>
      </c>
      <c r="Z72" s="199">
        <v>2.2004973257382411E-3</v>
      </c>
      <c r="AA72" s="201">
        <v>2.0501290900920566E-3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42226</v>
      </c>
      <c r="Y73" s="198">
        <f>_xll.qlInterestRateIndexValueDate(IborIndex,X73,Trigger)</f>
        <v>42228</v>
      </c>
      <c r="Z73" s="199">
        <v>2.2261105347451153E-3</v>
      </c>
      <c r="AA73" s="201">
        <v>2.0686058744878721E-3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42227</v>
      </c>
      <c r="Y74" s="198">
        <f>_xll.qlInterestRateIndexValueDate(IborIndex,X74,Trigger)</f>
        <v>42229</v>
      </c>
      <c r="Z74" s="199">
        <v>2.2318697581819036E-3</v>
      </c>
      <c r="AA74" s="201">
        <v>2.0880863893957269E-3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42228</v>
      </c>
      <c r="Y75" s="198">
        <f>_xll.qlInterestRateIndexValueDate(IborIndex,X75,Trigger)</f>
        <v>42230</v>
      </c>
      <c r="Z75" s="199">
        <v>2.2377196170055417E-3</v>
      </c>
      <c r="AA75" s="201">
        <v>2.0983463415635839E-3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42229</v>
      </c>
      <c r="Y76" s="198">
        <f>_xll.qlInterestRateIndexValueDate(IborIndex,X76,Trigger)</f>
        <v>42233</v>
      </c>
      <c r="Z76" s="199">
        <v>2.2765264518943167E-3</v>
      </c>
      <c r="AA76" s="201">
        <v>2.1089145447561464E-3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42230</v>
      </c>
      <c r="Y77" s="198">
        <f>_xll.qlInterestRateIndexValueDate(IborIndex,X77,Trigger)</f>
        <v>42234</v>
      </c>
      <c r="Z77" s="199">
        <v>2.2897778797486934E-3</v>
      </c>
      <c r="AA77" s="201">
        <v>2.1197909989734143E-3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42233</v>
      </c>
      <c r="Y78" s="198">
        <f>_xll.qlInterestRateIndexValueDate(IborIndex,X78,Trigger)</f>
        <v>42235</v>
      </c>
      <c r="Z78" s="199">
        <v>2.3173047926430069E-3</v>
      </c>
      <c r="AA78" s="201">
        <v>2.1425841626232511E-3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42234</v>
      </c>
      <c r="Y79" s="198">
        <f>_xll.qlInterestRateIndexValueDate(IborIndex,X79,Trigger)</f>
        <v>42236</v>
      </c>
      <c r="Z79" s="199">
        <v>2.3238033748262943E-3</v>
      </c>
      <c r="AA79" s="201">
        <v>2.1663793267290288E-3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42235</v>
      </c>
      <c r="Y80" s="198">
        <f>_xll.qlInterestRateIndexValueDate(IborIndex,X80,Trigger)</f>
        <v>42237</v>
      </c>
      <c r="Z80" s="199">
        <v>2.3303706972689318E-3</v>
      </c>
      <c r="AA80" s="201">
        <v>2.1787970365494402E-3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42236</v>
      </c>
      <c r="Y81" s="198">
        <f>_xll.qlInterestRateIndexValueDate(IborIndex,X81,Trigger)</f>
        <v>42240</v>
      </c>
      <c r="Z81" s="199">
        <v>2.3720579419935165E-3</v>
      </c>
      <c r="AA81" s="201">
        <v>2.1915229976343653E-3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42237</v>
      </c>
      <c r="Y82" s="198">
        <f>_xll.qlInterestRateIndexValueDate(IborIndex,X82,Trigger)</f>
        <v>42241</v>
      </c>
      <c r="Z82" s="199">
        <v>2.386160590704275E-3</v>
      </c>
      <c r="AA82" s="201">
        <v>2.2045572099038679E-3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42240</v>
      </c>
      <c r="Y83" s="198">
        <f>_xll.qlInterestRateIndexValueDate(IborIndex,X83,Trigger)</f>
        <v>42242</v>
      </c>
      <c r="Z83" s="199">
        <v>2.4150122137399747E-3</v>
      </c>
      <c r="AA83" s="201">
        <v>2.2380618317607848E-3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42241</v>
      </c>
      <c r="Y84" s="198">
        <f>_xll.qlInterestRateIndexValueDate(IborIndex,X84,Trigger)</f>
        <v>42243</v>
      </c>
      <c r="Z84" s="199">
        <v>2.4219815077772266E-3</v>
      </c>
      <c r="AA84" s="201">
        <v>2.2719004692728362E-3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42242</v>
      </c>
      <c r="Y85" s="198">
        <f>_xll.qlInterestRateIndexValueDate(IborIndex,X85,Trigger)</f>
        <v>42244</v>
      </c>
      <c r="Z85" s="199">
        <v>2.443774116383776E-3</v>
      </c>
      <c r="AA85" s="201">
        <v>2.2855784984621152E-3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42243</v>
      </c>
      <c r="Y86" s="198">
        <f>_xll.qlInterestRateIndexValueDate(IborIndex,X86,Trigger)</f>
        <v>42248</v>
      </c>
      <c r="Z86" s="199">
        <v>2.4795621298547843E-3</v>
      </c>
      <c r="AA86" s="201">
        <v>2.2993236409263318E-3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42244</v>
      </c>
      <c r="Y87" s="198">
        <f>_xll.qlInterestRateIndexValueDate(IborIndex,X87,Trigger)</f>
        <v>42249</v>
      </c>
      <c r="Z87" s="199">
        <v>2.494216235940705E-3</v>
      </c>
      <c r="AA87" s="201">
        <v>2.3270526781260514E-3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42248</v>
      </c>
      <c r="Y88" s="198">
        <f>_xll.qlInterestRateIndexValueDate(IborIndex,X88,Trigger)</f>
        <v>42250</v>
      </c>
      <c r="Z88" s="199">
        <v>2.5240903960493943E-3</v>
      </c>
      <c r="AA88" s="201">
        <v>2.3549753423335318E-3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42249</v>
      </c>
      <c r="Y89" s="198">
        <f>_xll.qlInterestRateIndexValueDate(IborIndex,X89,Trigger)</f>
        <v>42251</v>
      </c>
      <c r="Z89" s="199">
        <v>2.531324768940941E-3</v>
      </c>
      <c r="AA89" s="201">
        <v>2.3690560506928193E-3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42250</v>
      </c>
      <c r="Y90" s="198">
        <f>_xll.qlInterestRateIndexValueDate(IborIndex,X90,Trigger)</f>
        <v>42255</v>
      </c>
      <c r="Z90" s="199">
        <v>2.5835509080298635E-3</v>
      </c>
      <c r="AA90" s="201">
        <v>2.3974188069963986E-3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42251</v>
      </c>
      <c r="Y91" s="198">
        <f>_xll.qlInterestRateIndexValueDate(IborIndex,X91,Trigger)</f>
        <v>42255</v>
      </c>
      <c r="Z91" s="199">
        <v>2.5835509080298635E-3</v>
      </c>
      <c r="AA91" s="201">
        <v>2.3974188069963986E-3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42254</v>
      </c>
      <c r="Y92" s="198">
        <f>_xll.qlInterestRateIndexValueDate(IborIndex,X92,Trigger)</f>
        <v>42256</v>
      </c>
      <c r="Z92" s="199">
        <v>2.5986750283060189E-3</v>
      </c>
      <c r="AA92" s="201">
        <v>2.4260887367066886E-3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42255</v>
      </c>
      <c r="Y93" s="198">
        <f>_xll.qlInterestRateIndexValueDate(IborIndex,X93,Trigger)</f>
        <v>42257</v>
      </c>
      <c r="Z93" s="199">
        <v>2.6373366965491067E-3</v>
      </c>
      <c r="AA93" s="201">
        <v>2.4549496784231906E-3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42256</v>
      </c>
      <c r="Y94" s="198">
        <f>_xll.qlInterestRateIndexValueDate(IborIndex,X94,Trigger)</f>
        <v>42258</v>
      </c>
      <c r="Z94" s="199">
        <v>2.6448165174516869E-3</v>
      </c>
      <c r="AA94" s="201">
        <v>2.4695001794672322E-3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42257</v>
      </c>
      <c r="Y95" s="198">
        <f>_xll.qlInterestRateIndexValueDate(IborIndex,X95,Trigger)</f>
        <v>42261</v>
      </c>
      <c r="Z95" s="199">
        <v>2.6753028231647491E-3</v>
      </c>
      <c r="AA95" s="201">
        <v>2.4841177937062753E-3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42258</v>
      </c>
      <c r="Y96" s="198">
        <f>_xll.qlInterestRateIndexValueDate(IborIndex,X96,Trigger)</f>
        <v>42262</v>
      </c>
      <c r="Z96" s="199">
        <v>2.6908298226322458E-3</v>
      </c>
      <c r="AA96" s="201">
        <v>2.4988025212202558E-3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42261</v>
      </c>
      <c r="Y97" s="198">
        <f>_xll.qlInterestRateIndexValueDate(IborIndex,X97,Trigger)</f>
        <v>42263</v>
      </c>
      <c r="Z97" s="199">
        <v>2.706423969534022E-3</v>
      </c>
      <c r="AA97" s="201">
        <v>2.5284134447733919E-3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42262</v>
      </c>
      <c r="Y98" s="198">
        <f>_xll.qlInterestRateIndexValueDate(IborIndex,X98,Trigger)</f>
        <v>42264</v>
      </c>
      <c r="Z98" s="199">
        <v>2.7381813572335822E-3</v>
      </c>
      <c r="AA98" s="201">
        <v>2.5582125641854248E-3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42263</v>
      </c>
      <c r="Y99" s="198">
        <f>_xll.qlInterestRateIndexValueDate(IborIndex,X99,Trigger)</f>
        <v>42265</v>
      </c>
      <c r="Z99" s="199">
        <v>2.7458841956619754E-3</v>
      </c>
      <c r="AA99" s="201">
        <v>2.5732328582339647E-3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42264</v>
      </c>
      <c r="Y100" s="198">
        <f>_xll.qlInterestRateIndexValueDate(IborIndex,X100,Trigger)</f>
        <v>42268</v>
      </c>
      <c r="Z100" s="199">
        <v>2.7854019248056971E-3</v>
      </c>
      <c r="AA100" s="201">
        <v>2.5883202655574422E-3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42265</v>
      </c>
      <c r="Y101" s="198">
        <f>_xll.qlInterestRateIndexValueDate(IborIndex,X101,Trigger)</f>
        <v>42269</v>
      </c>
      <c r="Z101" s="199">
        <v>2.8013989618660418E-3</v>
      </c>
      <c r="AA101" s="201">
        <v>2.6034747862357932E-3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42268</v>
      </c>
      <c r="Y102" s="198">
        <f>_xll.qlInterestRateIndexValueDate(IborIndex,X102,Trigger)</f>
        <v>42270</v>
      </c>
      <c r="Z102" s="199">
        <v>2.8174631482151824E-3</v>
      </c>
      <c r="AA102" s="201">
        <v>2.6340268107727383E-3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42269</v>
      </c>
      <c r="Y103" s="198">
        <f>_xll.qlInterestRateIndexValueDate(IborIndex,X103,Trigger)</f>
        <v>42271</v>
      </c>
      <c r="Z103" s="199">
        <v>2.8501623617177563E-3</v>
      </c>
      <c r="AA103" s="201">
        <v>2.6647640024179964E-3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42270</v>
      </c>
      <c r="Y104" s="198">
        <f>_xll.qlInterestRateIndexValueDate(IborIndex,X104,Trigger)</f>
        <v>42272</v>
      </c>
      <c r="Z104" s="199">
        <v>2.858099356028414E-3</v>
      </c>
      <c r="AA104" s="201">
        <v>2.6802540899506511E-3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42271</v>
      </c>
      <c r="Y105" s="198">
        <f>_xll.qlInterestRateIndexValueDate(IborIndex,X105,Trigger)</f>
        <v>42275</v>
      </c>
      <c r="Z105" s="199">
        <v>2.8987913288371914E-3</v>
      </c>
      <c r="AA105" s="201">
        <v>2.6958112906783072E-3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42272</v>
      </c>
      <c r="Y106" s="198">
        <f>_xll.qlInterestRateIndexValueDate(IborIndex,X106,Trigger)</f>
        <v>42276</v>
      </c>
      <c r="Z106" s="199">
        <v>2.9152584166425299E-3</v>
      </c>
      <c r="AA106" s="201">
        <v>2.711435605000645E-3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42275</v>
      </c>
      <c r="Y107" s="198">
        <f>_xll.qlInterestRateIndexValueDate(IborIndex,X107,Trigger)</f>
        <v>42277</v>
      </c>
      <c r="Z107" s="199">
        <v>2.9317926556498008E-3</v>
      </c>
      <c r="AA107" s="201">
        <v>2.7429288433644672E-3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42276</v>
      </c>
      <c r="Y108" s="198">
        <f>_xll.qlInterestRateIndexValueDate(IborIndex,X108,Trigger)</f>
        <v>42278</v>
      </c>
      <c r="Z108" s="199">
        <v>2.9654338454510043E-3</v>
      </c>
      <c r="AA108" s="201">
        <v>2.7746039959986035E-3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42277</v>
      </c>
      <c r="Y109" s="198">
        <f>_xll.qlInterestRateIndexValueDate(IborIndex,X109,Trigger)</f>
        <v>42279</v>
      </c>
      <c r="Z109" s="199">
        <v>2.9736049405834539E-3</v>
      </c>
      <c r="AA109" s="201">
        <v>2.7905638773351171E-3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42278</v>
      </c>
      <c r="Y110" s="198">
        <f>_xll.qlInterestRateIndexValueDate(IborIndex,X110,Trigger)</f>
        <v>42282</v>
      </c>
      <c r="Z110" s="199">
        <v>3.0241146308950285E-3</v>
      </c>
      <c r="AA110" s="201">
        <v>2.8065908721863764E-3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42279</v>
      </c>
      <c r="Y111" s="198">
        <f>_xll.qlInterestRateIndexValueDate(IborIndex,X111,Trigger)</f>
        <v>42283</v>
      </c>
      <c r="Z111" s="199">
        <v>3.0410855027177088E-3</v>
      </c>
      <c r="AA111" s="201">
        <v>2.8226849803925091E-3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42282</v>
      </c>
      <c r="Y112" s="198">
        <f>_xll.qlInterestRateIndexValueDate(IborIndex,X112,Trigger)</f>
        <v>42284</v>
      </c>
      <c r="Z112" s="199">
        <v>3.0756130107886552E-3</v>
      </c>
      <c r="AA112" s="201">
        <v>2.8551195514747718E-3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42283</v>
      </c>
      <c r="Y113" s="198">
        <f>_xll.qlInterestRateIndexValueDate(IborIndex,X113,Trigger)</f>
        <v>42285</v>
      </c>
      <c r="Z113" s="199">
        <v>3.0839959095249614E-3</v>
      </c>
      <c r="AA113" s="201">
        <v>2.8877325480447524E-3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42284</v>
      </c>
      <c r="Y114" s="198">
        <f>_xll.qlInterestRateIndexValueDate(IborIndex,X114,Trigger)</f>
        <v>42286</v>
      </c>
      <c r="Z114" s="199">
        <v>3.0924010474653678E-3</v>
      </c>
      <c r="AA114" s="201">
        <v>2.9041622236647413E-3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42285</v>
      </c>
      <c r="Y115" s="198">
        <f>_xll.qlInterestRateIndexValueDate(IborIndex,X115,Trigger)</f>
        <v>42290</v>
      </c>
      <c r="Z115" s="199">
        <v>3.1617619532094713E-3</v>
      </c>
      <c r="AA115" s="201">
        <v>2.937222915528892E-3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42286</v>
      </c>
      <c r="Y116" s="198">
        <f>_xll.qlInterestRateIndexValueDate(IborIndex,X116,Trigger)</f>
        <v>42290</v>
      </c>
      <c r="Z116" s="199">
        <v>3.1617619532094713E-3</v>
      </c>
      <c r="AA116" s="201">
        <v>2.937222915528892E-3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42289</v>
      </c>
      <c r="Y117" s="198">
        <f>_xll.qlInterestRateIndexValueDate(IborIndex,X117,Trigger)</f>
        <v>42291</v>
      </c>
      <c r="Z117" s="199">
        <v>3.1972317681881117E-3</v>
      </c>
      <c r="AA117" s="201">
        <v>2.9705989444028802E-3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42290</v>
      </c>
      <c r="Y118" s="198">
        <f>_xll.qlInterestRateIndexValueDate(IborIndex,X118,Trigger)</f>
        <v>42292</v>
      </c>
      <c r="Z118" s="199">
        <v>3.2058486579314427E-3</v>
      </c>
      <c r="AA118" s="201">
        <v>3.0041496615940133E-3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42291</v>
      </c>
      <c r="Y119" s="198">
        <f>_xll.qlInterestRateIndexValueDate(IborIndex,X119,Trigger)</f>
        <v>42293</v>
      </c>
      <c r="Z119" s="199">
        <v>3.2144877776076096E-3</v>
      </c>
      <c r="AA119" s="201">
        <v>3.0210491319770938E-3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42292</v>
      </c>
      <c r="Y120" s="198">
        <f>_xll.qlInterestRateIndexValueDate(IborIndex,X120,Trigger)</f>
        <v>42296</v>
      </c>
      <c r="Z120" s="199">
        <v>3.267818021212046E-3</v>
      </c>
      <c r="AA120" s="201">
        <v>3.038015715954856E-3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42293</v>
      </c>
      <c r="Y121" s="198">
        <f>_xll.qlInterestRateIndexValueDate(IborIndex,X121,Trigger)</f>
        <v>42297</v>
      </c>
      <c r="Z121" s="199">
        <v>3.2857290858950661E-3</v>
      </c>
      <c r="AA121" s="201">
        <v>3.0550494134473638E-3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42296</v>
      </c>
      <c r="Y122" s="198">
        <f>_xll.qlInterestRateIndexValueDate(IborIndex,X122,Trigger)</f>
        <v>42298</v>
      </c>
      <c r="Z122" s="199">
        <v>3.3221413805336912E-3</v>
      </c>
      <c r="AA122" s="201">
        <v>3.0893670315812471E-3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42297</v>
      </c>
      <c r="Y123" s="198">
        <f>_xll.qlInterestRateIndexValueDate(IborIndex,X123,Trigger)</f>
        <v>42299</v>
      </c>
      <c r="Z123" s="199">
        <v>3.3309921975324674E-3</v>
      </c>
      <c r="AA123" s="201">
        <v>3.1238553397638924E-3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42298</v>
      </c>
      <c r="Y124" s="198">
        <f>_xll.qlInterestRateIndexValueDate(IborIndex,X124,Trigger)</f>
        <v>42300</v>
      </c>
      <c r="Z124" s="199">
        <v>3.3398652347388191E-3</v>
      </c>
      <c r="AA124" s="201">
        <v>3.1412246053896808E-3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42299</v>
      </c>
      <c r="Y125" s="198">
        <f>_xll.qlInterestRateIndexValueDate(IborIndex,X125,Trigger)</f>
        <v>42303</v>
      </c>
      <c r="Z125" s="199">
        <v>3.4039803318039463E-3</v>
      </c>
      <c r="AA125" s="201">
        <v>3.158660984610151E-3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42300</v>
      </c>
      <c r="Y126" s="198">
        <f>_xll.qlInterestRateIndexValueDate(IborIndex,X126,Trigger)</f>
        <v>42304</v>
      </c>
      <c r="Z126" s="199">
        <v>3.4129870060966949E-3</v>
      </c>
      <c r="AA126" s="201">
        <v>3.176164477585175E-3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42303</v>
      </c>
      <c r="Y127" s="198">
        <f>_xll.qlInterestRateIndexValueDate(IborIndex,X127,Trigger)</f>
        <v>42305</v>
      </c>
      <c r="Z127" s="199">
        <v>3.4503419608016891E-3</v>
      </c>
      <c r="AA127" s="201">
        <v>3.2114238227887171E-3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42304</v>
      </c>
      <c r="Y128" s="198">
        <f>_xll.qlInterestRateIndexValueDate(IborIndex,X128,Trigger)</f>
        <v>42306</v>
      </c>
      <c r="Z128" s="199">
        <v>3.459426638095231E-3</v>
      </c>
      <c r="AA128" s="201">
        <v>3.2468495859117041E-3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42305</v>
      </c>
      <c r="Y129" s="198">
        <f>_xll.qlInterestRateIndexValueDate(IborIndex,X129,Trigger)</f>
        <v>42307</v>
      </c>
      <c r="Z129" s="199">
        <v>3.468533525385396E-3</v>
      </c>
      <c r="AA129" s="201">
        <v>3.2646886472598169E-3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42306</v>
      </c>
      <c r="Y130" s="198">
        <f>_xll.qlInterestRateIndexValueDate(IborIndex,X130,Trigger)</f>
        <v>42310</v>
      </c>
      <c r="Z130" s="199">
        <v>3.5150925525480048E-3</v>
      </c>
      <c r="AA130" s="201">
        <v>3.2825948222825474E-3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42307</v>
      </c>
      <c r="Y131" s="198">
        <f>_xll.qlInterestRateIndexValueDate(IborIndex,X131,Trigger)</f>
        <v>42311</v>
      </c>
      <c r="Z131" s="199">
        <v>3.5339013409600994E-3</v>
      </c>
      <c r="AA131" s="201">
        <v>3.3005681110598317E-3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42310</v>
      </c>
      <c r="Y132" s="198">
        <f>_xll.qlInterestRateIndexValueDate(IborIndex,X132,Trigger)</f>
        <v>42312</v>
      </c>
      <c r="Z132" s="199">
        <v>3.552768988231314E-3</v>
      </c>
      <c r="AA132" s="201">
        <v>3.3367693280972333E-3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42311</v>
      </c>
      <c r="Y133" s="198">
        <f>_xll.qlInterestRateIndexValueDate(IborIndex,X133,Trigger)</f>
        <v>42313</v>
      </c>
      <c r="Z133" s="199">
        <v>3.5910037646019743E-3</v>
      </c>
      <c r="AA133" s="201">
        <v>3.373132403474699E-3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42312</v>
      </c>
      <c r="Y134" s="198">
        <f>_xll.qlInterestRateIndexValueDate(IborIndex,X134,Trigger)</f>
        <v>42314</v>
      </c>
      <c r="Z134" s="199">
        <v>3.6003396478586028E-3</v>
      </c>
      <c r="AA134" s="201">
        <v>3.3914412610247524E-3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42313</v>
      </c>
      <c r="Y135" s="198">
        <f>_xll.qlInterestRateIndexValueDate(IborIndex,X135,Trigger)</f>
        <v>42317</v>
      </c>
      <c r="Z135" s="199">
        <v>3.6478932516494922E-3</v>
      </c>
      <c r="AA135" s="201">
        <v>3.4098172322494236E-3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42314</v>
      </c>
      <c r="Y136" s="198">
        <f>_xll.qlInterestRateIndexValueDate(IborIndex,X136,Trigger)</f>
        <v>42318</v>
      </c>
      <c r="Z136" s="199">
        <v>3.6670559383429335E-3</v>
      </c>
      <c r="AA136" s="201">
        <v>3.4282603173885207E-3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42317</v>
      </c>
      <c r="Y137" s="198">
        <f>_xll.qlInterestRateIndexValueDate(IborIndex,X137,Trigger)</f>
        <v>42320</v>
      </c>
      <c r="Z137" s="199">
        <v>3.7249820401283329E-3</v>
      </c>
      <c r="AA137" s="201">
        <v>3.5027037958101914E-3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42318</v>
      </c>
      <c r="Y138" s="198">
        <f>_xll.qlInterestRateIndexValueDate(IborIndex,X138,Trigger)</f>
        <v>42320</v>
      </c>
      <c r="Z138" s="199">
        <v>3.7249820401283329E-3</v>
      </c>
      <c r="AA138" s="201">
        <v>3.5027037958101914E-3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42319</v>
      </c>
      <c r="Y139" s="198">
        <f>_xll.qlInterestRateIndexValueDate(IborIndex,X139,Trigger)</f>
        <v>42321</v>
      </c>
      <c r="Z139" s="199">
        <v>3.7345181449924001E-3</v>
      </c>
      <c r="AA139" s="201">
        <v>3.5214824499618658E-3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42320</v>
      </c>
      <c r="Y140" s="198">
        <f>_xll.qlInterestRateIndexValueDate(IborIndex,X140,Trigger)</f>
        <v>42324</v>
      </c>
      <c r="Z140" s="199">
        <v>3.7827644351056122E-3</v>
      </c>
      <c r="AA140" s="201">
        <v>3.540328218027966E-3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42321</v>
      </c>
      <c r="Y141" s="198">
        <f>_xll.qlInterestRateIndexValueDate(IborIndex,X141,Trigger)</f>
        <v>42325</v>
      </c>
      <c r="Z141" s="199">
        <v>3.802145417751035E-3</v>
      </c>
      <c r="AA141" s="201">
        <v>3.5592410999285562E-3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42324</v>
      </c>
      <c r="Y142" s="198">
        <f>_xll.qlInterestRateIndexValueDate(IborIndex,X142,Trigger)</f>
        <v>42326</v>
      </c>
      <c r="Z142" s="199">
        <v>3.8215465156046236E-3</v>
      </c>
      <c r="AA142" s="201">
        <v>3.5973265223443462E-3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42325</v>
      </c>
      <c r="Y143" s="198">
        <f>_xll.qlInterestRateIndexValueDate(IborIndex,X143,Trigger)</f>
        <v>42327</v>
      </c>
      <c r="Z143" s="199">
        <v>3.8604715631118669E-3</v>
      </c>
      <c r="AA143" s="201">
        <v>3.635563766515304E-3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42326</v>
      </c>
      <c r="Y144" s="198">
        <f>_xll.qlInterestRateIndexValueDate(IborIndex,X144,Trigger)</f>
        <v>42328</v>
      </c>
      <c r="Z144" s="199">
        <v>3.8701504114968892E-3</v>
      </c>
      <c r="AA144" s="201">
        <v>3.6548122179080877E-3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42327</v>
      </c>
      <c r="Y145" s="198">
        <f>_xll.qlInterestRateIndexValueDate(IborIndex,X145,Trigger)</f>
        <v>42331</v>
      </c>
      <c r="Z145" s="199">
        <v>3.9187568686624985E-3</v>
      </c>
      <c r="AA145" s="201">
        <v>3.6741277832152974E-3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42328</v>
      </c>
      <c r="Y146" s="198">
        <f>_xll.qlInterestRateIndexValueDate(IborIndex,X146,Trigger)</f>
        <v>42332</v>
      </c>
      <c r="Z146" s="199">
        <v>3.9382205389140168E-3</v>
      </c>
      <c r="AA146" s="201">
        <v>3.693510462436933E-3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42331</v>
      </c>
      <c r="Y147" s="198">
        <f>_xll.qlInterestRateIndexValueDate(IborIndex,X147,Trigger)</f>
        <v>42333</v>
      </c>
      <c r="Z147" s="199">
        <v>3.9965625252766533E-3</v>
      </c>
      <c r="AA147" s="201">
        <v>3.7325382327590972E-3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42332</v>
      </c>
      <c r="Y148" s="198">
        <f>_xll.qlInterestRateIndexValueDate(IborIndex,X148,Trigger)</f>
        <v>42335</v>
      </c>
      <c r="Z148" s="199">
        <v>4.0160256188981336E-3</v>
      </c>
      <c r="AA148" s="201">
        <v>3.7913337312023287E-3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42333</v>
      </c>
      <c r="Y149" s="198">
        <f>_xll.qlInterestRateIndexValueDate(IborIndex,X149,Trigger)</f>
        <v>42335</v>
      </c>
      <c r="Z149" s="199">
        <v>4.0160256188981336E-3</v>
      </c>
      <c r="AA149" s="201">
        <v>3.7913337312023287E-3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42334</v>
      </c>
      <c r="Y150" s="198">
        <f>_xll.qlInterestRateIndexValueDate(IborIndex,X150,Trigger)</f>
        <v>42338</v>
      </c>
      <c r="Z150" s="199">
        <v>4.0646114028993156E-3</v>
      </c>
      <c r="AA150" s="201">
        <v>3.8109530876617725E-3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42335</v>
      </c>
      <c r="Y151" s="198">
        <f>_xll.qlInterestRateIndexValueDate(IborIndex,X151,Trigger)</f>
        <v>42339</v>
      </c>
      <c r="Z151" s="199">
        <v>4.1130317134481752E-3</v>
      </c>
      <c r="AA151" s="201">
        <v>3.8305565550711407E-3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42338</v>
      </c>
      <c r="Y152" s="198">
        <f>_xll.qlInterestRateIndexValueDate(IborIndex,X152,Trigger)</f>
        <v>42340</v>
      </c>
      <c r="Z152" s="199">
        <v>4.1227367186232175E-3</v>
      </c>
      <c r="AA152" s="201">
        <v>3.8697521213837405E-3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42339</v>
      </c>
      <c r="Y153" s="198">
        <f>_xll.qlInterestRateIndexValueDate(IborIndex,X153,Trigger)</f>
        <v>42341</v>
      </c>
      <c r="Z153" s="199">
        <v>4.1324362112013513E-3</v>
      </c>
      <c r="AA153" s="201">
        <v>3.9088115313301586E-3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42340</v>
      </c>
      <c r="Y154" s="198">
        <f>_xll.qlInterestRateIndexValueDate(IborIndex,X154,Trigger)</f>
        <v>42342</v>
      </c>
      <c r="Z154" s="199">
        <v>4.1421301905566407E-3</v>
      </c>
      <c r="AA154" s="201">
        <v>3.9283355522101715E-3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42341</v>
      </c>
      <c r="Y155" s="198">
        <f>_xll.qlInterestRateIndexValueDate(IborIndex,X155,Trigger)</f>
        <v>42345</v>
      </c>
      <c r="Z155" s="199">
        <v>4.2001027135013707E-3</v>
      </c>
      <c r="AA155" s="201">
        <v>3.9478436837203645E-3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42342</v>
      </c>
      <c r="Y156" s="198">
        <f>_xll.qlInterestRateIndexValueDate(IborIndex,X156,Trigger)</f>
        <v>42346</v>
      </c>
      <c r="Z156" s="199">
        <v>4.21939516019446E-3</v>
      </c>
      <c r="AA156" s="201">
        <v>3.9673359259406737E-3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42345</v>
      </c>
      <c r="Y157" s="198">
        <f>_xll.qlInterestRateIndexValueDate(IborIndex,X157,Trigger)</f>
        <v>42347</v>
      </c>
      <c r="Z157" s="199">
        <v>4.2578980362740675E-3</v>
      </c>
      <c r="AA157" s="201">
        <v>4.0063120297784138E-3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42346</v>
      </c>
      <c r="Y158" s="198">
        <f>_xll.qlInterestRateIndexValueDate(IborIndex,X158,Trigger)</f>
        <v>42348</v>
      </c>
      <c r="Z158" s="199">
        <v>4.2675404359515667E-3</v>
      </c>
      <c r="AA158" s="201">
        <v>4.0451460019230723E-3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42347</v>
      </c>
      <c r="Y159" s="198">
        <f>_xll.qlInterestRateIndexValueDate(IborIndex,X159,Trigger)</f>
        <v>42349</v>
      </c>
      <c r="Z159" s="199">
        <v>4.2771773162943215E-3</v>
      </c>
      <c r="AA159" s="201">
        <v>4.0645587976140263E-3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42348</v>
      </c>
      <c r="Y160" s="198">
        <f>_xll.qlInterestRateIndexValueDate(IborIndex,X160,Trigger)</f>
        <v>42352</v>
      </c>
      <c r="Z160" s="199">
        <v>4.3348166947670425E-3</v>
      </c>
      <c r="AA160" s="201">
        <v>4.0839557040150964E-3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42349</v>
      </c>
      <c r="Y161" s="198">
        <f>_xll.qlInterestRateIndexValueDate(IborIndex,X161,Trigger)</f>
        <v>42353</v>
      </c>
      <c r="Z161" s="199">
        <v>4.3539980921974437E-3</v>
      </c>
      <c r="AA161" s="201">
        <v>4.1033367211262828E-3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42352</v>
      </c>
      <c r="Y162" s="198">
        <f>_xll.qlInterestRateIndexValueDate(IborIndex,X162,Trigger)</f>
        <v>42354</v>
      </c>
      <c r="Z162" s="199">
        <v>4.401833743508241E-3</v>
      </c>
      <c r="AA162" s="201">
        <v>4.1420934477276461E-3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42353</v>
      </c>
      <c r="Y163" s="198">
        <f>_xll.qlInterestRateIndexValueDate(IborIndex,X163,Trigger)</f>
        <v>42355</v>
      </c>
      <c r="Z163" s="199">
        <v>4.4114163668455709E-3</v>
      </c>
      <c r="AA163" s="201">
        <v>4.1807018961925735E-3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42354</v>
      </c>
      <c r="Y164" s="198">
        <f>_xll.qlInterestRateIndexValueDate(IborIndex,X164,Trigger)</f>
        <v>42356</v>
      </c>
      <c r="Z164" s="199">
        <v>4.4209934645955684E-3</v>
      </c>
      <c r="AA164" s="201">
        <v>4.2000034665345964E-3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42355</v>
      </c>
      <c r="Y165" s="198">
        <f>_xll.qlInterestRateIndexValueDate(IborIndex,X165,Trigger)</f>
        <v>42359</v>
      </c>
      <c r="Z165" s="199">
        <v>4.4687533196186369E-3</v>
      </c>
      <c r="AA165" s="201">
        <v>4.2192891476666716E-3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42356</v>
      </c>
      <c r="Y166" s="198">
        <f>_xll.qlInterestRateIndexValueDate(IborIndex,X166,Trigger)</f>
        <v>42360</v>
      </c>
      <c r="Z166" s="199">
        <v>4.4878236639287906E-3</v>
      </c>
      <c r="AA166" s="201">
        <v>4.2771365937639416E-3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42359</v>
      </c>
      <c r="Y167" s="198">
        <f>_xll.qlInterestRateIndexValueDate(IborIndex,X167,Trigger)</f>
        <v>42361</v>
      </c>
      <c r="Z167" s="199">
        <v>4.5258888674126752E-3</v>
      </c>
      <c r="AA167" s="201">
        <v>4.3346695581725214E-3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42360</v>
      </c>
      <c r="Y168" s="198">
        <f>_xll.qlInterestRateIndexValueDate(IborIndex,X168,Trigger)</f>
        <v>42362</v>
      </c>
      <c r="Z168" s="199">
        <v>4.5354169524428056E-3</v>
      </c>
      <c r="AA168" s="201">
        <v>4.3538440138757295E-3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42361</v>
      </c>
      <c r="Y169" s="198">
        <f>_xll.qlInterestRateIndexValueDate(IborIndex,X169,Trigger)</f>
        <v>42367</v>
      </c>
      <c r="Z169" s="199">
        <v>4.6208718484913053E-3</v>
      </c>
      <c r="AA169" s="201">
        <v>4.4017814354480045E-3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42362</v>
      </c>
      <c r="Y170" s="198">
        <f>_xll.qlInterestRateIndexValueDate(IborIndex,X170,Trigger)</f>
        <v>42368</v>
      </c>
      <c r="Z170" s="199">
        <v>4.630356171878347E-3</v>
      </c>
      <c r="AA170" s="201">
        <v>4.4494779520043437E-3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42367</v>
      </c>
      <c r="Y171" s="198">
        <f>_xll.qlInterestRateIndexValueDate(IborIndex,X171,Trigger)</f>
        <v>42369</v>
      </c>
      <c r="Z171" s="199">
        <v>4.6398349596617153E-3</v>
      </c>
      <c r="AA171" s="201">
        <v>4.4685570715685685E-3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42368</v>
      </c>
      <c r="Y172" s="198">
        <f>_xll.qlInterestRateIndexValueDate(IborIndex,X172,Trigger)</f>
        <v>42373</v>
      </c>
      <c r="Z172" s="199">
        <v>4.7342943925398097E-3</v>
      </c>
      <c r="AA172" s="201">
        <v>4.4876203017629734E-3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42369</v>
      </c>
      <c r="Y173" s="198">
        <f>_xll.qlInterestRateIndexValueDate(IborIndex,X173,Trigger)</f>
        <v>42374</v>
      </c>
      <c r="Z173" s="199">
        <v>4.7531426191373526E-3</v>
      </c>
      <c r="AA173" s="201">
        <v>4.5066676425076224E-3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42373</v>
      </c>
      <c r="Y174" s="198">
        <f>_xll.qlInterestRateIndexValueDate(IborIndex,X174,Trigger)</f>
        <v>42375</v>
      </c>
      <c r="Z174" s="199">
        <v>4.7907704354763977E-3</v>
      </c>
      <c r="AA174" s="201">
        <v>4.5447667327636054E-3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42374</v>
      </c>
      <c r="Y175" s="198">
        <f>_xll.qlInterestRateIndexValueDate(IborIndex,X175,Trigger)</f>
        <v>42376</v>
      </c>
      <c r="Z175" s="199">
        <v>4.8001840399222728E-3</v>
      </c>
      <c r="AA175" s="201">
        <v>4.5826981119478916E-3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42375</v>
      </c>
      <c r="Y176" s="198">
        <f>_xll.qlInterestRateIndexValueDate(IborIndex,X176,Trigger)</f>
        <v>42377</v>
      </c>
      <c r="Z176" s="199">
        <v>4.8095921018255893E-3</v>
      </c>
      <c r="AA176" s="201">
        <v>4.6016660058434411E-3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42376</v>
      </c>
      <c r="Y177" s="198">
        <f>_xll.qlInterestRateIndexValueDate(IborIndex,X177,Trigger)</f>
        <v>42380</v>
      </c>
      <c r="Z177" s="199">
        <v>4.86589878723273E-3</v>
      </c>
      <c r="AA177" s="201">
        <v>4.6206180103691707E-3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42377</v>
      </c>
      <c r="Y178" s="198">
        <f>_xll.qlInterestRateIndexValueDate(IborIndex,X178,Trigger)</f>
        <v>42381</v>
      </c>
      <c r="Z178" s="199">
        <v>4.8846359492791692E-3</v>
      </c>
      <c r="AA178" s="201">
        <v>4.6395541255250805E-3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42380</v>
      </c>
      <c r="Y179" s="198">
        <f>_xll.qlInterestRateIndexValueDate(IborIndex,X179,Trigger)</f>
        <v>42382</v>
      </c>
      <c r="Z179" s="199">
        <v>4.9313815850520982E-3</v>
      </c>
      <c r="AA179" s="201">
        <v>4.6774341627919824E-3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42381</v>
      </c>
      <c r="Y180" s="198">
        <f>_xll.qlInterestRateIndexValueDate(IborIndex,X180,Trigger)</f>
        <v>42383</v>
      </c>
      <c r="Z180" s="199">
        <v>4.9407352484876947E-3</v>
      </c>
      <c r="AA180" s="201">
        <v>4.7151396920508404E-3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42382</v>
      </c>
      <c r="Y181" s="198">
        <f>_xll.qlInterestRateIndexValueDate(IborIndex,X181,Trigger)</f>
        <v>42384</v>
      </c>
      <c r="Z181" s="199">
        <v>4.9500833636384467E-3</v>
      </c>
      <c r="AA181" s="201">
        <v>4.7339963601977786E-3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42383</v>
      </c>
      <c r="Y182" s="198">
        <f>_xll.qlInterestRateIndexValueDate(IborIndex,X182,Trigger)</f>
        <v>42388</v>
      </c>
      <c r="Z182" s="199">
        <v>5.0153518124862817E-3</v>
      </c>
      <c r="AA182" s="201">
        <v>4.7716620282223232E-3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42384</v>
      </c>
      <c r="Y183" s="198">
        <f>_xll.qlInterestRateIndexValueDate(IborIndex,X183,Trigger)</f>
        <v>42388</v>
      </c>
      <c r="Z183" s="199">
        <v>5.0153518124862817E-3</v>
      </c>
      <c r="AA183" s="201">
        <v>4.7716620282223232E-3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42387</v>
      </c>
      <c r="Y184" s="198">
        <f>_xll.qlInterestRateIndexValueDate(IborIndex,X184,Trigger)</f>
        <v>42389</v>
      </c>
      <c r="Z184" s="199">
        <v>5.0525425137520393E-3</v>
      </c>
      <c r="AA184" s="201">
        <v>4.8093230893186956E-3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42388</v>
      </c>
      <c r="Y185" s="198">
        <f>_xll.qlInterestRateIndexValueDate(IborIndex,X185,Trigger)</f>
        <v>42390</v>
      </c>
      <c r="Z185" s="199">
        <v>5.0618414786357535E-3</v>
      </c>
      <c r="AA185" s="201">
        <v>4.8468026915138296E-3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42389</v>
      </c>
      <c r="Y186" s="198">
        <f>_xll.qlInterestRateIndexValueDate(IborIndex,X186,Trigger)</f>
        <v>42391</v>
      </c>
      <c r="Z186" s="199">
        <v>5.0711348901195091E-3</v>
      </c>
      <c r="AA186" s="201">
        <v>4.8655481336723483E-3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42390</v>
      </c>
      <c r="Y187" s="198">
        <f>_xll.qlInterestRateIndexValueDate(IborIndex,X187,Trigger)</f>
        <v>42394</v>
      </c>
      <c r="Z187" s="199">
        <v>5.1267751608148485E-3</v>
      </c>
      <c r="AA187" s="201">
        <v>4.8842776865409832E-3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42391</v>
      </c>
      <c r="Y188" s="198">
        <f>_xll.qlInterestRateIndexValueDate(IborIndex,X188,Trigger)</f>
        <v>42395</v>
      </c>
      <c r="Z188" s="199">
        <v>5.1452901824803584E-3</v>
      </c>
      <c r="AA188" s="201">
        <v>4.9029913499598621E-3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42394</v>
      </c>
      <c r="Y189" s="198">
        <f>_xll.qlInterestRateIndexValueDate(IborIndex,X189,Trigger)</f>
        <v>42396</v>
      </c>
      <c r="Z189" s="199">
        <v>5.1822624240999661E-3</v>
      </c>
      <c r="AA189" s="201">
        <v>4.9404335098124363E-3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42395</v>
      </c>
      <c r="Y190" s="198">
        <f>_xll.qlInterestRateIndexValueDate(IborIndex,X190,Trigger)</f>
        <v>42397</v>
      </c>
      <c r="Z190" s="199">
        <v>5.191504011738679E-3</v>
      </c>
      <c r="AA190" s="201">
        <v>4.9776871092976904E-3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42396</v>
      </c>
      <c r="Y191" s="198">
        <f>_xll.qlInterestRateIndexValueDate(IborIndex,X191,Trigger)</f>
        <v>42398</v>
      </c>
      <c r="Z191" s="199">
        <v>5.2007400407337546E-3</v>
      </c>
      <c r="AA191" s="201">
        <v>4.9963213255477257E-3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42397</v>
      </c>
      <c r="Y192" s="198">
        <f>_xll.qlInterestRateIndexValueDate(IborIndex,X192,Trigger)</f>
        <v>42401</v>
      </c>
      <c r="Z192" s="199">
        <v>5.237630977893387E-3</v>
      </c>
      <c r="AA192" s="201">
        <v>5.014939652348005E-3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42398</v>
      </c>
      <c r="Y193" s="198">
        <f>_xll.qlInterestRateIndexValueDate(IborIndex,X193,Trigger)</f>
        <v>42402</v>
      </c>
      <c r="Z193" s="199">
        <v>5.2560531262794636E-3</v>
      </c>
      <c r="AA193" s="201">
        <v>5.0335420896985283E-3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42401</v>
      </c>
      <c r="Y194" s="198">
        <f>_xll.qlInterestRateIndexValueDate(IborIndex,X194,Trigger)</f>
        <v>42403</v>
      </c>
      <c r="Z194" s="199">
        <v>5.2744643267526184E-3</v>
      </c>
      <c r="AA194" s="201">
        <v>5.0707654217152509E-3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42402</v>
      </c>
      <c r="Y195" s="198">
        <f>_xll.qlInterestRateIndexValueDate(IborIndex,X195,Trigger)</f>
        <v>42404</v>
      </c>
      <c r="Z195" s="199">
        <v>5.2928670401058012E-3</v>
      </c>
      <c r="AA195" s="201">
        <v>5.1077929447629344E-3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42403</v>
      </c>
      <c r="Y196" s="198">
        <f>_xll.qlInterestRateIndexValueDate(IborIndex,X196,Trigger)</f>
        <v>42405</v>
      </c>
      <c r="Z196" s="199">
        <v>5.3296992676231704E-3</v>
      </c>
      <c r="AA196" s="201">
        <v>5.1263159348646781E-3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42404</v>
      </c>
      <c r="Y197" s="198">
        <f>_xll.qlInterestRateIndexValueDate(IborIndex,X197,Trigger)</f>
        <v>42408</v>
      </c>
      <c r="Z197" s="199">
        <v>5.3664422388503491E-3</v>
      </c>
      <c r="AA197" s="201">
        <v>5.1448230355166658E-3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42405</v>
      </c>
      <c r="Y198" s="198">
        <f>_xll.qlInterestRateIndexValueDate(IborIndex,X198,Trigger)</f>
        <v>42409</v>
      </c>
      <c r="Z198" s="199">
        <v>5.3848394291236071E-3</v>
      </c>
      <c r="AA198" s="201">
        <v>5.1633142467988336E-3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42408</v>
      </c>
      <c r="Y199" s="198">
        <f>_xll.qlInterestRateIndexValueDate(IborIndex,X199,Trigger)</f>
        <v>42410</v>
      </c>
      <c r="Z199" s="199">
        <v>5.4032428973846509E-3</v>
      </c>
      <c r="AA199" s="201">
        <v>5.2003188224691854E-3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42409</v>
      </c>
      <c r="Y200" s="198">
        <f>_xll.qlInterestRateIndexValueDate(IborIndex,X200,Trigger)</f>
        <v>42411</v>
      </c>
      <c r="Z200" s="199">
        <v>5.4216551045339276E-3</v>
      </c>
      <c r="AA200" s="201">
        <v>5.2371201969503289E-3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42410</v>
      </c>
      <c r="Y201" s="198">
        <f>_xll.qlInterestRateIndexValueDate(IborIndex,X201,Trigger)</f>
        <v>42412</v>
      </c>
      <c r="Z201" s="199">
        <v>5.4586705903208127E-3</v>
      </c>
      <c r="AA201" s="201">
        <v>5.2555319608238449E-3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42411</v>
      </c>
      <c r="Y202" s="198">
        <f>_xll.qlInterestRateIndexValueDate(IborIndex,X202,Trigger)</f>
        <v>42416</v>
      </c>
      <c r="Z202" s="199">
        <v>5.5139333561917761E-3</v>
      </c>
      <c r="AA202" s="201">
        <v>5.2923078201416729E-3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42412</v>
      </c>
      <c r="Y203" s="198">
        <f>_xll.qlInterestRateIndexValueDate(IborIndex,X203,Trigger)</f>
        <v>42416</v>
      </c>
      <c r="Z203" s="199">
        <v>5.5139333561917761E-3</v>
      </c>
      <c r="AA203" s="201">
        <v>5.2923078201416729E-3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42415</v>
      </c>
      <c r="Y204" s="198">
        <f>_xll.qlInterestRateIndexValueDate(IborIndex,X204,Trigger)</f>
        <v>42417</v>
      </c>
      <c r="Z204" s="199">
        <v>5.5324496764316156E-3</v>
      </c>
      <c r="AA204" s="201">
        <v>5.3290937095962221E-3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42416</v>
      </c>
      <c r="Y205" s="198">
        <f>_xll.qlInterestRateIndexValueDate(IborIndex,X205,Trigger)</f>
        <v>42418</v>
      </c>
      <c r="Z205" s="199">
        <v>5.5509919622818071E-3</v>
      </c>
      <c r="AA205" s="201">
        <v>5.3656688650605133E-3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42417</v>
      </c>
      <c r="Y206" s="198">
        <f>_xll.qlInterestRateIndexValueDate(IborIndex,X206,Trigger)</f>
        <v>42419</v>
      </c>
      <c r="Z206" s="199">
        <v>5.588443667291749E-3</v>
      </c>
      <c r="AA206" s="201">
        <v>5.3839694026258655E-3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42418</v>
      </c>
      <c r="Y207" s="198">
        <f>_xll.qlInterestRateIndexValueDate(IborIndex,X207,Trigger)</f>
        <v>42422</v>
      </c>
      <c r="Z207" s="199">
        <v>5.6254699824219287E-3</v>
      </c>
      <c r="AA207" s="201">
        <v>5.4022540505815897E-3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42419</v>
      </c>
      <c r="Y208" s="198">
        <f>_xll.qlInterestRateIndexValueDate(IborIndex,X208,Trigger)</f>
        <v>42423</v>
      </c>
      <c r="Z208" s="199">
        <v>5.6441790119227311E-3</v>
      </c>
      <c r="AA208" s="201">
        <v>5.4205228090875579E-3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42422</v>
      </c>
      <c r="Y209" s="198">
        <f>_xll.qlInterestRateIndexValueDate(IborIndex,X209,Trigger)</f>
        <v>42424</v>
      </c>
      <c r="Z209" s="199">
        <v>5.6629287733792723E-3</v>
      </c>
      <c r="AA209" s="201">
        <v>5.4570900805650524E-3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42423</v>
      </c>
      <c r="Y210" s="198">
        <f>_xll.qlInterestRateIndexValueDate(IborIndex,X210,Trigger)</f>
        <v>42425</v>
      </c>
      <c r="Z210" s="199">
        <v>5.7201822040023591E-3</v>
      </c>
      <c r="AA210" s="201">
        <v>5.4934508375037439E-3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42424</v>
      </c>
      <c r="Y211" s="198">
        <f>_xll.qlInterestRateIndexValueDate(IborIndex,X211,Trigger)</f>
        <v>42426</v>
      </c>
      <c r="Z211" s="199">
        <v>5.7294602915636261E-3</v>
      </c>
      <c r="AA211" s="201">
        <v>5.511711483778825E-3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42425</v>
      </c>
      <c r="Y212" s="198">
        <f>_xll.qlInterestRateIndexValueDate(IborIndex,X212,Trigger)</f>
        <v>42429</v>
      </c>
      <c r="Z212" s="199">
        <v>5.7767901569737469E-3</v>
      </c>
      <c r="AA212" s="201">
        <v>5.5300275758618511E-3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42426</v>
      </c>
      <c r="Y213" s="198">
        <f>_xll.qlInterestRateIndexValueDate(IborIndex,X213,Trigger)</f>
        <v>42430</v>
      </c>
      <c r="Z213" s="199">
        <v>5.7958916972510001E-3</v>
      </c>
      <c r="AA213" s="201">
        <v>5.5483991137528221E-3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42429</v>
      </c>
      <c r="Y214" s="198">
        <f>_xll.qlInterestRateIndexValueDate(IborIndex,X214,Trigger)</f>
        <v>42431</v>
      </c>
      <c r="Z214" s="199">
        <v>5.8346516840014255E-3</v>
      </c>
      <c r="AA214" s="201">
        <v>5.5854136642707886E-3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42430</v>
      </c>
      <c r="Y215" s="198">
        <f>_xll.qlInterestRateIndexValueDate(IborIndex,X215,Trigger)</f>
        <v>42432</v>
      </c>
      <c r="Z215" s="199">
        <v>5.8440814153484788E-3</v>
      </c>
      <c r="AA215" s="201">
        <v>5.6224397233961554E-3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42431</v>
      </c>
      <c r="Y216" s="198">
        <f>_xll.qlInterestRateIndexValueDate(IborIndex,X216,Trigger)</f>
        <v>42433</v>
      </c>
      <c r="Z216" s="199">
        <v>5.8535293382309906E-3</v>
      </c>
      <c r="AA216" s="201">
        <v>5.6410884904867231E-3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42432</v>
      </c>
      <c r="Y217" s="198">
        <f>_xll.qlInterestRateIndexValueDate(IborIndex,X217,Trigger)</f>
        <v>42436</v>
      </c>
      <c r="Z217" s="199">
        <v>5.9116665152158E-3</v>
      </c>
      <c r="AA217" s="201">
        <v>5.6597927033052997E-3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42433</v>
      </c>
      <c r="Y218" s="198">
        <f>_xll.qlInterestRateIndexValueDate(IborIndex,X218,Trigger)</f>
        <v>42437</v>
      </c>
      <c r="Z218" s="199">
        <v>5.931156583510554E-3</v>
      </c>
      <c r="AA218" s="201">
        <v>5.6785523620117573E-3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42436</v>
      </c>
      <c r="Y219" s="198">
        <f>_xll.qlInterestRateIndexValueDate(IborIndex,X219,Trigger)</f>
        <v>42438</v>
      </c>
      <c r="Z219" s="199">
        <v>5.970698095614034E-3</v>
      </c>
      <c r="AA219" s="201">
        <v>5.7163472646060143E-3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42437</v>
      </c>
      <c r="Y220" s="198">
        <f>_xll.qlInterestRateIndexValueDate(IborIndex,X220,Trigger)</f>
        <v>42439</v>
      </c>
      <c r="Z220" s="199">
        <v>5.9803198686472769E-3</v>
      </c>
      <c r="AA220" s="201">
        <v>5.7541454554765892E-3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42438</v>
      </c>
      <c r="Y221" s="198">
        <f>_xll.qlInterestRateIndexValueDate(IborIndex,X221,Trigger)</f>
        <v>42440</v>
      </c>
      <c r="Z221" s="199">
        <v>5.989959820180189E-3</v>
      </c>
      <c r="AA221" s="201">
        <v>5.7731823435425156E-3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42439</v>
      </c>
      <c r="Y222" s="198">
        <f>_xll.qlInterestRateIndexValueDate(IborIndex,X222,Trigger)</f>
        <v>42443</v>
      </c>
      <c r="Z222" s="199">
        <v>6.0492626104508901E-3</v>
      </c>
      <c r="AA222" s="201">
        <v>5.792274677576259E-3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42440</v>
      </c>
      <c r="Y223" s="198">
        <f>_xll.qlInterestRateIndexValueDate(IborIndex,X223,Trigger)</f>
        <v>42444</v>
      </c>
      <c r="Z223" s="199">
        <v>6.0691412204399459E-3</v>
      </c>
      <c r="AA223" s="201">
        <v>5.8114224574978834E-3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42443</v>
      </c>
      <c r="Y224" s="198">
        <f>_xll.qlInterestRateIndexValueDate(IborIndex,X224,Trigger)</f>
        <v>42445</v>
      </c>
      <c r="Z224" s="199">
        <v>6.109464480484177E-3</v>
      </c>
      <c r="AA224" s="201">
        <v>5.8499978966075616E-3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42444</v>
      </c>
      <c r="Y225" s="198">
        <f>_xll.qlInterestRateIndexValueDate(IborIndex,X225,Trigger)</f>
        <v>42446</v>
      </c>
      <c r="Z225" s="199">
        <v>6.119278204767542E-3</v>
      </c>
      <c r="AA225" s="201">
        <v>5.8885680364628712E-3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42445</v>
      </c>
      <c r="Y226" s="198">
        <f>_xll.qlInterestRateIndexValueDate(IborIndex,X226,Trigger)</f>
        <v>42447</v>
      </c>
      <c r="Z226" s="199">
        <v>6.1291100940823323E-3</v>
      </c>
      <c r="AA226" s="201">
        <v>5.9079930461436447E-3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42446</v>
      </c>
      <c r="Y227" s="198">
        <f>_xll.qlInterestRateIndexValueDate(IborIndex,X227,Trigger)</f>
        <v>42450</v>
      </c>
      <c r="Z227" s="199">
        <v>6.1895785392624041E-3</v>
      </c>
      <c r="AA227" s="201">
        <v>5.9274735017122993E-3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42447</v>
      </c>
      <c r="Y228" s="198">
        <f>_xll.qlInterestRateIndexValueDate(IborIndex,X228,Trigger)</f>
        <v>42451</v>
      </c>
      <c r="Z228" s="199">
        <v>6.2098457049036288E-3</v>
      </c>
      <c r="AA228" s="201">
        <v>5.9865020806011415E-3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42450</v>
      </c>
      <c r="Y229" s="198">
        <f>_xll.qlInterestRateIndexValueDate(IborIndex,X229,Trigger)</f>
        <v>42452</v>
      </c>
      <c r="Z229" s="199">
        <v>6.2509509423082999E-3</v>
      </c>
      <c r="AA229" s="201">
        <v>6.0455206011678086E-3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42451</v>
      </c>
      <c r="Y230" s="198">
        <f>_xll.qlInterestRateIndexValueDate(IborIndex,X230,Trigger)</f>
        <v>42453</v>
      </c>
      <c r="Z230" s="199">
        <v>6.2609565243987308E-3</v>
      </c>
      <c r="AA230" s="201">
        <v>6.0653891788309267E-3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42452</v>
      </c>
      <c r="Y231" s="198">
        <f>_xll.qlInterestRateIndexValueDate(IborIndex,X231,Trigger)</f>
        <v>42458</v>
      </c>
      <c r="Z231" s="199">
        <v>6.3532701356690483E-3</v>
      </c>
      <c r="AA231" s="201">
        <v>6.0853132025417978E-3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42453</v>
      </c>
      <c r="Y232" s="198">
        <f>_xll.qlInterestRateIndexValueDate(IborIndex,X232,Trigger)</f>
        <v>42459</v>
      </c>
      <c r="Z232" s="199">
        <v>6.3634215918275672E-3</v>
      </c>
      <c r="AA232" s="201">
        <v>6.1254502921403997E-3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42458</v>
      </c>
      <c r="Y233" s="198">
        <f>_xll.qlInterestRateIndexValueDate(IborIndex,X233,Trigger)</f>
        <v>42460</v>
      </c>
      <c r="Z233" s="199">
        <v>6.3735911873879858E-3</v>
      </c>
      <c r="AA233" s="201">
        <v>6.1655637578628131E-3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42459</v>
      </c>
      <c r="Y234" s="198">
        <f>_xll.qlInterestRateIndexValueDate(IborIndex,X234,Trigger)</f>
        <v>42461</v>
      </c>
      <c r="Z234" s="199">
        <v>6.4262053278196785E-3</v>
      </c>
      <c r="AA234" s="201">
        <v>6.1857650118923857E-3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42460</v>
      </c>
      <c r="Y235" s="198">
        <f>_xll.qlInterestRateIndexValueDate(IborIndex,X235,Trigger)</f>
        <v>42464</v>
      </c>
      <c r="Z235" s="199">
        <v>6.4676698641035202E-3</v>
      </c>
      <c r="AA235" s="201">
        <v>6.2060217119697114E-3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42461</v>
      </c>
      <c r="Y236" s="198">
        <f>_xll.qlInterestRateIndexValueDate(IborIndex,X236,Trigger)</f>
        <v>42465</v>
      </c>
      <c r="Z236" s="199">
        <v>6.4886860491437659E-3</v>
      </c>
      <c r="AA236" s="201">
        <v>6.2263338582546623E-3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42464</v>
      </c>
      <c r="Y237" s="198">
        <f>_xll.qlInterestRateIndexValueDate(IborIndex,X237,Trigger)</f>
        <v>42466</v>
      </c>
      <c r="Z237" s="199">
        <v>6.509757745051914E-3</v>
      </c>
      <c r="AA237" s="201">
        <v>6.2672520743767279E-3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42465</v>
      </c>
      <c r="Y238" s="198">
        <f>_xll.qlInterestRateIndexValueDate(IborIndex,X238,Trigger)</f>
        <v>42467</v>
      </c>
      <c r="Z238" s="199">
        <v>6.5524735268238099E-3</v>
      </c>
      <c r="AA238" s="201">
        <v>6.3081369044315494E-3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42466</v>
      </c>
      <c r="Y239" s="198">
        <f>_xll.qlInterestRateIndexValueDate(IborIndex,X239,Trigger)</f>
        <v>42468</v>
      </c>
      <c r="Z239" s="199">
        <v>6.5628806538322879E-3</v>
      </c>
      <c r="AA239" s="201">
        <v>6.3287262813549461E-3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42467</v>
      </c>
      <c r="Y240" s="198">
        <f>_xll.qlInterestRateIndexValueDate(IborIndex,X240,Trigger)</f>
        <v>42471</v>
      </c>
      <c r="Z240" s="199">
        <v>6.6159488979362635E-3</v>
      </c>
      <c r="AA240" s="201">
        <v>6.349371104485968E-3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42468</v>
      </c>
      <c r="Y241" s="198">
        <f>_xll.qlInterestRateIndexValueDate(IborIndex,X241,Trigger)</f>
        <v>42472</v>
      </c>
      <c r="Z241" s="199">
        <v>6.637353665241541E-3</v>
      </c>
      <c r="AA241" s="201">
        <v>6.370071373664743E-3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42471</v>
      </c>
      <c r="Y242" s="198">
        <f>_xll.qlInterestRateIndexValueDate(IborIndex,X242,Trigger)</f>
        <v>42473</v>
      </c>
      <c r="Z242" s="199">
        <v>6.6588139454824002E-3</v>
      </c>
      <c r="AA242" s="201">
        <v>6.4117709256894528E-3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42472</v>
      </c>
      <c r="Y243" s="198">
        <f>_xll.qlInterestRateIndexValueDate(IborIndex,X243,Trigger)</f>
        <v>42474</v>
      </c>
      <c r="Z243" s="199">
        <v>6.7023124208587248E-3</v>
      </c>
      <c r="AA243" s="201">
        <v>6.4534269126159671E-3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42473</v>
      </c>
      <c r="Y244" s="198">
        <f>_xll.qlInterestRateIndexValueDate(IborIndex,X244,Trigger)</f>
        <v>42475</v>
      </c>
      <c r="Z244" s="199">
        <v>6.7129110914308744E-3</v>
      </c>
      <c r="AA244" s="201">
        <v>6.4744044128328682E-3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42474</v>
      </c>
      <c r="Y245" s="198">
        <f>_xll.qlInterestRateIndexValueDate(IborIndex,X245,Trigger)</f>
        <v>42478</v>
      </c>
      <c r="Z245" s="199">
        <v>6.7669480511147739E-3</v>
      </c>
      <c r="AA245" s="201">
        <v>6.4954373593373305E-3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42475</v>
      </c>
      <c r="Y246" s="198">
        <f>_xll.qlInterestRateIndexValueDate(IborIndex,X246,Trigger)</f>
        <v>42479</v>
      </c>
      <c r="Z246" s="199">
        <v>6.7887414152281167E-3</v>
      </c>
      <c r="AA246" s="201">
        <v>6.516525752049418E-3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42478</v>
      </c>
      <c r="Y247" s="198">
        <f>_xll.qlInterestRateIndexValueDate(IborIndex,X247,Trigger)</f>
        <v>42480</v>
      </c>
      <c r="Z247" s="199">
        <v>6.8105902943740304E-3</v>
      </c>
      <c r="AA247" s="201">
        <v>6.5590068559107095E-3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42479</v>
      </c>
      <c r="Y248" s="198">
        <f>_xll.qlInterestRateIndexValueDate(IborIndex,X248,Trigger)</f>
        <v>42481</v>
      </c>
      <c r="Z248" s="199">
        <v>6.8548717208941068E-3</v>
      </c>
      <c r="AA248" s="201">
        <v>6.6014337856135086E-3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42480</v>
      </c>
      <c r="Y249" s="198">
        <f>_xll.qlInterestRateIndexValueDate(IborIndex,X249,Trigger)</f>
        <v>42482</v>
      </c>
      <c r="Z249" s="199">
        <v>6.8656618284809647E-3</v>
      </c>
      <c r="AA249" s="201">
        <v>6.6227994096834664E-3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42481</v>
      </c>
      <c r="Y250" s="198">
        <f>_xll.qlInterestRateIndexValueDate(IborIndex,X250,Trigger)</f>
        <v>42485</v>
      </c>
      <c r="Z250" s="199">
        <v>6.9206674262156653E-3</v>
      </c>
      <c r="AA250" s="201">
        <v>6.6442204800409854E-3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42482</v>
      </c>
      <c r="Y251" s="198">
        <f>_xll.qlInterestRateIndexValueDate(IborIndex,X251,Trigger)</f>
        <v>42486</v>
      </c>
      <c r="Z251" s="199">
        <v>6.9428494019438958E-3</v>
      </c>
      <c r="AA251" s="201">
        <v>6.6656969967660018E-3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42485</v>
      </c>
      <c r="Y252" s="198">
        <f>_xll.qlInterestRateIndexValueDate(IborIndex,X252,Trigger)</f>
        <v>42487</v>
      </c>
      <c r="Z252" s="199">
        <v>6.9650868948389899E-3</v>
      </c>
      <c r="AA252" s="201">
        <v>6.7198536628776395E-3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42486</v>
      </c>
      <c r="Y253" s="198">
        <f>_xll.qlInterestRateIndexValueDate(IborIndex,X253,Trigger)</f>
        <v>42488</v>
      </c>
      <c r="Z253" s="199">
        <v>7.0215657722950591E-3</v>
      </c>
      <c r="AA253" s="201">
        <v>6.773911275104183E-3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42487</v>
      </c>
      <c r="Y254" s="198">
        <f>_xll.qlInterestRateIndexValueDate(IborIndex,X254,Trigger)</f>
        <v>42489</v>
      </c>
      <c r="Z254" s="199">
        <v>7.0325564579454269E-3</v>
      </c>
      <c r="AA254" s="201">
        <v>6.7957204698743112E-3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42488</v>
      </c>
      <c r="Y255" s="198">
        <f>_xll.qlInterestRateIndexValueDate(IborIndex,X255,Trigger)</f>
        <v>42493</v>
      </c>
      <c r="Z255" s="199">
        <v>7.1111846770955554E-3</v>
      </c>
      <c r="AA255" s="201">
        <v>6.8175851110918728E-3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42489</v>
      </c>
      <c r="Y256" s="198">
        <f>_xll.qlInterestRateIndexValueDate(IborIndex,X256,Trigger)</f>
        <v>42494</v>
      </c>
      <c r="Z256" s="199">
        <v>7.1569192489594584E-3</v>
      </c>
      <c r="AA256" s="201">
        <v>6.86162999326001E-3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42493</v>
      </c>
      <c r="Y257" s="198">
        <f>_xll.qlInterestRateIndexValueDate(IborIndex,X257,Trigger)</f>
        <v>42495</v>
      </c>
      <c r="Z257" s="199">
        <v>7.1680713991115197E-3</v>
      </c>
      <c r="AA257" s="201">
        <v>6.9055981395571564E-3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42494</v>
      </c>
      <c r="Y258" s="198">
        <f>_xll.qlInterestRateIndexValueDate(IborIndex,X258,Trigger)</f>
        <v>42496</v>
      </c>
      <c r="Z258" s="199">
        <v>7.1792414498213089E-3</v>
      </c>
      <c r="AA258" s="201">
        <v>6.9277400127720767E-3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42495</v>
      </c>
      <c r="Y259" s="198">
        <f>_xll.qlInterestRateIndexValueDate(IborIndex,X259,Trigger)</f>
        <v>42499</v>
      </c>
      <c r="Z259" s="199">
        <v>7.2476731549831275E-3</v>
      </c>
      <c r="AA259" s="201">
        <v>6.9499373323544944E-3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42496</v>
      </c>
      <c r="Y260" s="198">
        <f>_xll.qlInterestRateIndexValueDate(IborIndex,X260,Trigger)</f>
        <v>42500</v>
      </c>
      <c r="Z260" s="199">
        <v>7.2705562599011614E-3</v>
      </c>
      <c r="AA260" s="201">
        <v>6.9721900984642815E-3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42499</v>
      </c>
      <c r="Y261" s="198">
        <f>_xll.qlInterestRateIndexValueDate(IborIndex,X261,Trigger)</f>
        <v>42501</v>
      </c>
      <c r="Z261" s="199">
        <v>7.3167326342678382E-3</v>
      </c>
      <c r="AA261" s="201">
        <v>7.0170172209316206E-3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42500</v>
      </c>
      <c r="Y262" s="198">
        <f>_xll.qlInterestRateIndexValueDate(IborIndex,X262,Trigger)</f>
        <v>42502</v>
      </c>
      <c r="Z262" s="199">
        <v>7.3280535165851091E-3</v>
      </c>
      <c r="AA262" s="201">
        <v>7.0617556274576998E-3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42501</v>
      </c>
      <c r="Y263" s="198">
        <f>_xll.qlInterestRateIndexValueDate(IborIndex,X263,Trigger)</f>
        <v>42503</v>
      </c>
      <c r="Z263" s="199">
        <v>7.3393908382739011E-3</v>
      </c>
      <c r="AA263" s="201">
        <v>7.0842856259645259E-3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42502</v>
      </c>
      <c r="Y264" s="198">
        <f>_xll.qlInterestRateIndexValueDate(IborIndex,X264,Trigger)</f>
        <v>42506</v>
      </c>
      <c r="Z264" s="199">
        <v>7.4084547921484598E-3</v>
      </c>
      <c r="AA264" s="201">
        <v>7.1068710709187854E-3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42503</v>
      </c>
      <c r="Y265" s="198">
        <f>_xll.qlInterestRateIndexValueDate(IborIndex,X265,Trigger)</f>
        <v>42507</v>
      </c>
      <c r="Z265" s="199">
        <v>7.4315163000672523E-3</v>
      </c>
      <c r="AA265" s="201">
        <v>7.1295119624004144E-3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42506</v>
      </c>
      <c r="Y266" s="198">
        <f>_xll.qlInterestRateIndexValueDate(IborIndex,X266,Trigger)</f>
        <v>42508</v>
      </c>
      <c r="Z266" s="199">
        <v>7.4778842300713619E-3</v>
      </c>
      <c r="AA266" s="201">
        <v>7.1751215686255421E-3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42507</v>
      </c>
      <c r="Y267" s="198">
        <f>_xll.qlInterestRateIndexValueDate(IborIndex,X267,Trigger)</f>
        <v>42509</v>
      </c>
      <c r="Z267" s="199">
        <v>7.4893305421094847E-3</v>
      </c>
      <c r="AA267" s="201">
        <v>7.2206299939203689E-3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42508</v>
      </c>
      <c r="Y268" s="198">
        <f>_xll.qlInterestRateIndexValueDate(IborIndex,X268,Trigger)</f>
        <v>42510</v>
      </c>
      <c r="Z268" s="199">
        <v>7.5007890459396955E-3</v>
      </c>
      <c r="AA268" s="201">
        <v>7.2435481182786532E-3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42509</v>
      </c>
      <c r="Y269" s="198">
        <f>_xll.qlInterestRateIndexValueDate(IborIndex,X269,Trigger)</f>
        <v>42513</v>
      </c>
      <c r="Z269" s="199">
        <v>7.5701456024015743E-3</v>
      </c>
      <c r="AA269" s="201">
        <v>7.2665216890843709E-3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42510</v>
      </c>
      <c r="Y270" s="198">
        <f>_xll.qlInterestRateIndexValueDate(IborIndex,X270,Trigger)</f>
        <v>42514</v>
      </c>
      <c r="Z270" s="199">
        <v>7.5932722961590295E-3</v>
      </c>
      <c r="AA270" s="201">
        <v>7.2895507065773302E-3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42513</v>
      </c>
      <c r="Y271" s="198">
        <f>_xll.qlInterestRateIndexValueDate(IborIndex,X271,Trigger)</f>
        <v>42515</v>
      </c>
      <c r="Z271" s="199">
        <v>7.6396295280217238E-3</v>
      </c>
      <c r="AA271" s="201">
        <v>7.3476254200555147E-3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42514</v>
      </c>
      <c r="Y272" s="198">
        <f>_xll.qlInterestRateIndexValueDate(IborIndex,X272,Trigger)</f>
        <v>42516</v>
      </c>
      <c r="Z272" s="199">
        <v>7.6511347114974204E-3</v>
      </c>
      <c r="AA272" s="201">
        <v>7.4055155622954061E-3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42515</v>
      </c>
      <c r="Y273" s="198">
        <f>_xll.qlInterestRateIndexValueDate(IborIndex,X273,Trigger)</f>
        <v>42517</v>
      </c>
      <c r="Z273" s="199">
        <v>7.6626435526865894E-3</v>
      </c>
      <c r="AA273" s="201">
        <v>7.4288056734150842E-3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42516</v>
      </c>
      <c r="Y274" s="198">
        <f>_xll.qlInterestRateIndexValueDate(IborIndex,X274,Trigger)</f>
        <v>42521</v>
      </c>
      <c r="Z274" s="199">
        <v>7.7434519850578809E-3</v>
      </c>
      <c r="AA274" s="201">
        <v>7.4520796451249538E-3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42517</v>
      </c>
      <c r="Y275" s="198">
        <f>_xll.qlInterestRateIndexValueDate(IborIndex,X275,Trigger)</f>
        <v>42522</v>
      </c>
      <c r="Z275" s="199">
        <v>7.7665224767962115E-3</v>
      </c>
      <c r="AA275" s="201">
        <v>7.4987299814655017E-3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42521</v>
      </c>
      <c r="Y276" s="198">
        <f>_xll.qlInterestRateIndexValueDate(IborIndex,X276,Trigger)</f>
        <v>42523</v>
      </c>
      <c r="Z276" s="199">
        <v>7.8242560609442791E-3</v>
      </c>
      <c r="AA276" s="201">
        <v>7.5450141372268575E-3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42522</v>
      </c>
      <c r="Y277" s="198">
        <f>_xll.qlInterestRateIndexValueDate(IborIndex,X277,Trigger)</f>
        <v>42524</v>
      </c>
      <c r="Z277" s="199">
        <v>7.8357243727111836E-3</v>
      </c>
      <c r="AA277" s="201">
        <v>7.5682074114880038E-3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42523</v>
      </c>
      <c r="Y278" s="198">
        <f>_xll.qlInterestRateIndexValueDate(IborIndex,X278,Trigger)</f>
        <v>42527</v>
      </c>
      <c r="Z278" s="199">
        <v>7.8816333318014742E-3</v>
      </c>
      <c r="AA278" s="201">
        <v>7.5913845464192775E-3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42524</v>
      </c>
      <c r="Y279" s="198">
        <f>_xll.qlInterestRateIndexValueDate(IborIndex,X279,Trigger)</f>
        <v>42528</v>
      </c>
      <c r="Z279" s="199">
        <v>7.9046071814135033E-3</v>
      </c>
      <c r="AA279" s="201">
        <v>7.6145455417009345E-3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42527</v>
      </c>
      <c r="Y280" s="198">
        <f>_xll.qlInterestRateIndexValueDate(IborIndex,X280,Trigger)</f>
        <v>42529</v>
      </c>
      <c r="Z280" s="199">
        <v>7.9275649236834056E-3</v>
      </c>
      <c r="AA280" s="201">
        <v>7.6609767572133336E-3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42528</v>
      </c>
      <c r="Y281" s="198">
        <f>_xll.qlInterestRateIndexValueDate(IborIndex,X281,Trigger)</f>
        <v>42530</v>
      </c>
      <c r="Z281" s="199">
        <v>7.9735251958684694E-3</v>
      </c>
      <c r="AA281" s="201">
        <v>7.7070281282498598E-3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42529</v>
      </c>
      <c r="Y282" s="198">
        <f>_xll.qlInterestRateIndexValueDate(IborIndex,X282,Trigger)</f>
        <v>42531</v>
      </c>
      <c r="Z282" s="199">
        <v>7.9849362912069507E-3</v>
      </c>
      <c r="AA282" s="201">
        <v>7.7301084260827935E-3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42530</v>
      </c>
      <c r="Y283" s="198">
        <f>_xll.qlInterestRateIndexValueDate(IborIndex,X283,Trigger)</f>
        <v>42534</v>
      </c>
      <c r="Z283" s="199">
        <v>8.0421120216129793E-3</v>
      </c>
      <c r="AA283" s="201">
        <v>7.7531725845059185E-3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42531</v>
      </c>
      <c r="Y284" s="198">
        <f>_xll.qlInterestRateIndexValueDate(IborIndex,X284,Trigger)</f>
        <v>42535</v>
      </c>
      <c r="Z284" s="199">
        <v>8.0649731178663586E-3</v>
      </c>
      <c r="AA284" s="201">
        <v>7.7762206034392989E-3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42534</v>
      </c>
      <c r="Y285" s="198">
        <f>_xll.qlInterestRateIndexValueDate(IborIndex,X285,Trigger)</f>
        <v>42536</v>
      </c>
      <c r="Z285" s="199">
        <v>8.0878181061301291E-3</v>
      </c>
      <c r="AA285" s="201">
        <v>7.8224328095810591E-3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42535</v>
      </c>
      <c r="Y286" s="198">
        <f>_xll.qlInterestRateIndexValueDate(IborIndex,X286,Trigger)</f>
        <v>42537</v>
      </c>
      <c r="Z286" s="199">
        <v>8.1335600247972595E-3</v>
      </c>
      <c r="AA286" s="201">
        <v>7.8682512837158214E-3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42536</v>
      </c>
      <c r="Y287" s="198">
        <f>_xll.qlInterestRateIndexValueDate(IborIndex,X287,Trigger)</f>
        <v>42538</v>
      </c>
      <c r="Z287" s="199">
        <v>8.1449111678326188E-3</v>
      </c>
      <c r="AA287" s="201">
        <v>7.8912186050406063E-3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42537</v>
      </c>
      <c r="Y288" s="198">
        <f>_xll.qlInterestRateIndexValueDate(IborIndex,X288,Trigger)</f>
        <v>42541</v>
      </c>
      <c r="Z288" s="199">
        <v>8.2018014243514514E-3</v>
      </c>
      <c r="AA288" s="201">
        <v>7.9141697867157745E-3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42538</v>
      </c>
      <c r="Y289" s="198">
        <f>_xll.qlInterestRateIndexValueDate(IborIndex,X289,Trigger)</f>
        <v>42542</v>
      </c>
      <c r="Z289" s="199">
        <v>8.2245497627324582E-3</v>
      </c>
      <c r="AA289" s="201">
        <v>7.9371048289811341E-3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42541</v>
      </c>
      <c r="Y290" s="198">
        <f>_xll.qlInterestRateIndexValueDate(IborIndex,X290,Trigger)</f>
        <v>42543</v>
      </c>
      <c r="Z290" s="199">
        <v>8.2472819924790386E-3</v>
      </c>
      <c r="AA290" s="201">
        <v>7.983098135371236E-3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42542</v>
      </c>
      <c r="Y291" s="198">
        <f>_xll.qlInterestRateIndexValueDate(IborIndex,X291,Trigger)</f>
        <v>42544</v>
      </c>
      <c r="Z291" s="199">
        <v>8.2928056544451234E-3</v>
      </c>
      <c r="AA291" s="201">
        <v>8.0286836025855735E-3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42543</v>
      </c>
      <c r="Y292" s="198">
        <f>_xll.qlInterestRateIndexValueDate(IborIndex,X292,Trigger)</f>
        <v>42545</v>
      </c>
      <c r="Z292" s="199">
        <v>8.3040967899359053E-3</v>
      </c>
      <c r="AA292" s="201">
        <v>8.0515379471624016E-3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42544</v>
      </c>
      <c r="Y293" s="198">
        <f>_xll.qlInterestRateIndexValueDate(IborIndex,X293,Trigger)</f>
        <v>42548</v>
      </c>
      <c r="Z293" s="199">
        <v>8.3607015084794511E-3</v>
      </c>
      <c r="AA293" s="201">
        <v>8.0743761520896129E-3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42545</v>
      </c>
      <c r="Y294" s="198">
        <f>_xll.qlInterestRateIndexValueDate(IborIndex,X294,Trigger)</f>
        <v>42549</v>
      </c>
      <c r="Z294" s="199">
        <v>8.3833370844930144E-3</v>
      </c>
      <c r="AA294" s="201">
        <v>8.0971982175270796E-3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42548</v>
      </c>
      <c r="Y295" s="198">
        <f>_xll.qlInterestRateIndexValueDate(IborIndex,X295,Trigger)</f>
        <v>42550</v>
      </c>
      <c r="Z295" s="199">
        <v>8.4059565512299983E-3</v>
      </c>
      <c r="AA295" s="201">
        <v>8.142972731386422E-3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42549</v>
      </c>
      <c r="Y296" s="198">
        <f>_xll.qlInterestRateIndexValueDate(IborIndex,X296,Trigger)</f>
        <v>42551</v>
      </c>
      <c r="Z296" s="199">
        <v>8.4172015701764382E-3</v>
      </c>
      <c r="AA296" s="201">
        <v>8.1883250837400112E-3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42550</v>
      </c>
      <c r="Y297" s="198">
        <f>_xll.qlInterestRateIndexValueDate(IborIndex,X297,Trigger)</f>
        <v>42552</v>
      </c>
      <c r="Z297" s="199">
        <v>8.4624931250163529E-3</v>
      </c>
      <c r="AA297" s="201">
        <v>8.2110664514090104E-3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42551</v>
      </c>
      <c r="Y298" s="198">
        <f>_xll.qlInterestRateIndexValueDate(IborIndex,X298,Trigger)</f>
        <v>42556</v>
      </c>
      <c r="Z298" s="199">
        <v>8.5526509302790901E-3</v>
      </c>
      <c r="AA298" s="201">
        <v>8.2565007679580305E-3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42552</v>
      </c>
      <c r="Y299" s="198">
        <f>_xll.qlInterestRateIndexValueDate(IborIndex,X299,Trigger)</f>
        <v>42556</v>
      </c>
      <c r="Z299" s="199">
        <v>8.5526509302790901E-3</v>
      </c>
      <c r="AA299" s="201">
        <v>8.2565007679580305E-3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42555</v>
      </c>
      <c r="Y300" s="198">
        <f>_xll.qlInterestRateIndexValueDate(IborIndex,X300,Trigger)</f>
        <v>42557</v>
      </c>
      <c r="Z300" s="199">
        <v>8.5977523124324377E-3</v>
      </c>
      <c r="AA300" s="201">
        <v>8.3020565944824654E-3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42556</v>
      </c>
      <c r="Y301" s="198">
        <f>_xll.qlInterestRateIndexValueDate(IborIndex,X301,Trigger)</f>
        <v>42558</v>
      </c>
      <c r="Z301" s="199">
        <v>8.608929181855296E-3</v>
      </c>
      <c r="AA301" s="201">
        <v>8.3471757261399659E-3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42557</v>
      </c>
      <c r="Y302" s="198">
        <f>_xll.qlInterestRateIndexValueDate(IborIndex,X302,Trigger)</f>
        <v>42559</v>
      </c>
      <c r="Z302" s="199">
        <v>8.6201001407462761E-3</v>
      </c>
      <c r="AA302" s="201">
        <v>8.369804116741264E-3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42558</v>
      </c>
      <c r="Y303" s="198">
        <f>_xll.qlInterestRateIndexValueDate(IborIndex,X303,Trigger)</f>
        <v>42562</v>
      </c>
      <c r="Z303" s="199">
        <v>8.6874043682794166E-3</v>
      </c>
      <c r="AA303" s="201">
        <v>8.3924163677728814E-3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42559</v>
      </c>
      <c r="Y304" s="198">
        <f>_xll.qlInterestRateIndexValueDate(IborIndex,X304,Trigger)</f>
        <v>42563</v>
      </c>
      <c r="Z304" s="199">
        <v>8.7098068919246093E-3</v>
      </c>
      <c r="AA304" s="201">
        <v>8.4150124791548819E-3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42562</v>
      </c>
      <c r="Y305" s="198">
        <f>_xll.qlInterestRateIndexValueDate(IborIndex,X305,Trigger)</f>
        <v>42564</v>
      </c>
      <c r="Z305" s="199">
        <v>8.7546903033576175E-3</v>
      </c>
      <c r="AA305" s="201">
        <v>8.4603497215152146E-3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42563</v>
      </c>
      <c r="Y306" s="198">
        <f>_xll.qlInterestRateIndexValueDate(IborIndex,X306,Trigger)</f>
        <v>42565</v>
      </c>
      <c r="Z306" s="199">
        <v>8.7658070130033905E-3</v>
      </c>
      <c r="AA306" s="201">
        <v>8.5052355288262049E-3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42564</v>
      </c>
      <c r="Y307" s="198">
        <f>_xll.qlInterestRateIndexValueDate(IborIndex,X307,Trigger)</f>
        <v>42566</v>
      </c>
      <c r="Z307" s="199">
        <v>8.7769178049501208E-3</v>
      </c>
      <c r="AA307" s="201">
        <v>8.5277509421999298E-3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42565</v>
      </c>
      <c r="Y308" s="198">
        <f>_xll.qlInterestRateIndexValueDate(IborIndex,X308,Trigger)</f>
        <v>42569</v>
      </c>
      <c r="Z308" s="199">
        <v>8.8438837291649995E-3</v>
      </c>
      <c r="AA308" s="201">
        <v>8.5502502160039739E-3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42566</v>
      </c>
      <c r="Y309" s="198">
        <f>_xll.qlInterestRateIndexValueDate(IborIndex,X309,Trigger)</f>
        <v>42570</v>
      </c>
      <c r="Z309" s="199">
        <v>8.8661734837309561E-3</v>
      </c>
      <c r="AA309" s="201">
        <v>8.5727333501584013E-3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42569</v>
      </c>
      <c r="Y310" s="198">
        <f>_xll.qlInterestRateIndexValueDate(IborIndex,X310,Trigger)</f>
        <v>42571</v>
      </c>
      <c r="Z310" s="199">
        <v>8.9108390129709718E-3</v>
      </c>
      <c r="AA310" s="201">
        <v>8.617852109340518E-3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42570</v>
      </c>
      <c r="Y311" s="198">
        <f>_xll.qlInterestRateIndexValueDate(IborIndex,X311,Trigger)</f>
        <v>42572</v>
      </c>
      <c r="Z311" s="199">
        <v>8.9218955116571186E-3</v>
      </c>
      <c r="AA311" s="201">
        <v>8.6625044906796234E-3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42571</v>
      </c>
      <c r="Y312" s="198">
        <f>_xll.qlInterestRateIndexValueDate(IborIndex,X312,Trigger)</f>
        <v>42573</v>
      </c>
      <c r="Z312" s="199">
        <v>8.9329460856199441E-3</v>
      </c>
      <c r="AA312" s="201">
        <v>8.6849069266659029E-3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42572</v>
      </c>
      <c r="Y313" s="198">
        <f>_xll.qlInterestRateIndexValueDate(IborIndex,X313,Trigger)</f>
        <v>42576</v>
      </c>
      <c r="Z313" s="199">
        <v>8.9995736928423359E-3</v>
      </c>
      <c r="AA313" s="201">
        <v>8.7072932230825018E-3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42573</v>
      </c>
      <c r="Y314" s="198">
        <f>_xll.qlInterestRateIndexValueDate(IborIndex,X314,Trigger)</f>
        <v>42577</v>
      </c>
      <c r="Z314" s="199">
        <v>9.0217506737804362E-3</v>
      </c>
      <c r="AA314" s="201">
        <v>8.7296633798494838E-3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42576</v>
      </c>
      <c r="Y315" s="198">
        <f>_xll.qlInterestRateIndexValueDate(IborIndex,X315,Trigger)</f>
        <v>42578</v>
      </c>
      <c r="Z315" s="199">
        <v>9.0773346139105156E-3</v>
      </c>
      <c r="AA315" s="201">
        <v>8.7745637548408695E-3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42577</v>
      </c>
      <c r="Y316" s="198">
        <f>_xll.qlInterestRateIndexValueDate(IborIndex,X316,Trigger)</f>
        <v>42579</v>
      </c>
      <c r="Z316" s="199">
        <v>9.088328170671775E-3</v>
      </c>
      <c r="AA316" s="201">
        <v>8.8189826105811164E-3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42578</v>
      </c>
      <c r="Y317" s="198">
        <f>_xll.qlInterestRateIndexValueDate(IborIndex,X317,Trigger)</f>
        <v>42580</v>
      </c>
      <c r="Z317" s="199">
        <v>9.1104418247384637E-3</v>
      </c>
      <c r="AA317" s="201">
        <v>8.8412720691000146E-3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42579</v>
      </c>
      <c r="Y318" s="198">
        <f>_xll.qlInterestRateIndexValueDate(IborIndex,X318,Trigger)</f>
        <v>42583</v>
      </c>
      <c r="Z318" s="199">
        <v>9.1544742275355556E-3</v>
      </c>
      <c r="AA318" s="201">
        <v>8.8635453880492321E-3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42580</v>
      </c>
      <c r="Y319" s="198">
        <f>_xll.qlInterestRateIndexValueDate(IborIndex,X319,Trigger)</f>
        <v>42584</v>
      </c>
      <c r="Z319" s="199">
        <v>9.1765384303178089E-3</v>
      </c>
      <c r="AA319" s="201">
        <v>8.8858025672688967E-3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42583</v>
      </c>
      <c r="Y320" s="198">
        <f>_xll.qlInterestRateIndexValueDate(IborIndex,X320,Trigger)</f>
        <v>42585</v>
      </c>
      <c r="Z320" s="199">
        <v>9.2318522028344459E-3</v>
      </c>
      <c r="AA320" s="201">
        <v>8.9304846549520533E-3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42584</v>
      </c>
      <c r="Y321" s="198">
        <f>_xll.qlInterestRateIndexValueDate(IborIndex,X321,Trigger)</f>
        <v>42586</v>
      </c>
      <c r="Z321" s="199">
        <v>9.2427854491566371E-3</v>
      </c>
      <c r="AA321" s="201">
        <v>8.9746698876513875E-3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42585</v>
      </c>
      <c r="Y322" s="198">
        <f>_xll.qlInterestRateIndexValueDate(IborIndex,X322,Trigger)</f>
        <v>42587</v>
      </c>
      <c r="Z322" s="199">
        <v>9.2537127568151356E-3</v>
      </c>
      <c r="AA322" s="201">
        <v>8.9968463685430322E-3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42586</v>
      </c>
      <c r="Y323" s="198">
        <f>_xll.qlInterestRateIndexValueDate(IborIndex,X323,Trigger)</f>
        <v>42590</v>
      </c>
      <c r="Z323" s="199">
        <v>9.3085853016183408E-3</v>
      </c>
      <c r="AA323" s="201">
        <v>9.0190067097850601E-3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42587</v>
      </c>
      <c r="Y324" s="198">
        <f>_xll.qlInterestRateIndexValueDate(IborIndex,X324,Trigger)</f>
        <v>42591</v>
      </c>
      <c r="Z324" s="199">
        <v>9.3305367217425446E-3</v>
      </c>
      <c r="AA324" s="201">
        <v>9.0411509113774713E-3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42590</v>
      </c>
      <c r="Y325" s="198">
        <f>_xll.qlInterestRateIndexValueDate(IborIndex,X325,Trigger)</f>
        <v>42592</v>
      </c>
      <c r="Z325" s="199">
        <v>9.3745491155053633E-3</v>
      </c>
      <c r="AA325" s="201">
        <v>9.0856148065565634E-3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42591</v>
      </c>
      <c r="Y326" s="198">
        <f>_xll.qlInterestRateIndexValueDate(IborIndex,X326,Trigger)</f>
        <v>42593</v>
      </c>
      <c r="Z326" s="199">
        <v>9.3854246845495592E-3</v>
      </c>
      <c r="AA326" s="201">
        <v>9.1295663207713318E-3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42592</v>
      </c>
      <c r="Y327" s="198">
        <f>_xll.qlInterestRateIndexValueDate(IborIndex,X327,Trigger)</f>
        <v>42594</v>
      </c>
      <c r="Z327" s="199">
        <v>9.396294308705231E-3</v>
      </c>
      <c r="AA327" s="201">
        <v>9.1516298239557869E-3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42593</v>
      </c>
      <c r="Y328" s="198">
        <f>_xll.qlInterestRateIndexValueDate(IborIndex,X328,Trigger)</f>
        <v>42597</v>
      </c>
      <c r="Z328" s="199">
        <v>9.4619068836319879E-3</v>
      </c>
      <c r="AA328" s="201">
        <v>9.1736771873307532E-3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42594</v>
      </c>
      <c r="Y329" s="198">
        <f>_xll.qlInterestRateIndexValueDate(IborIndex,X329,Trigger)</f>
        <v>42598</v>
      </c>
      <c r="Z329" s="199">
        <v>9.4837455166191416E-3</v>
      </c>
      <c r="AA329" s="201">
        <v>9.1957084110561027E-3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42597</v>
      </c>
      <c r="Y330" s="198">
        <f>_xll.qlInterestRateIndexValueDate(IborIndex,X330,Trigger)</f>
        <v>42599</v>
      </c>
      <c r="Z330" s="199">
        <v>9.5275403622917636E-3</v>
      </c>
      <c r="AA330" s="201">
        <v>9.2399542065901841E-3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42598</v>
      </c>
      <c r="Y331" s="198">
        <f>_xll.qlInterestRateIndexValueDate(IborIndex,X331,Trigger)</f>
        <v>42600</v>
      </c>
      <c r="Z331" s="199">
        <v>9.5383555259700992E-3</v>
      </c>
      <c r="AA331" s="201">
        <v>9.2836719089817166E-3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42599</v>
      </c>
      <c r="Y332" s="198">
        <f>_xll.qlInterestRateIndexValueDate(IborIndex,X332,Trigger)</f>
        <v>42601</v>
      </c>
      <c r="Z332" s="199">
        <v>9.5491647383337489E-3</v>
      </c>
      <c r="AA332" s="201">
        <v>9.305622434139238E-3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42600</v>
      </c>
      <c r="Y333" s="198">
        <f>_xll.qlInterestRateIndexValueDate(IborIndex,X333,Trigger)</f>
        <v>42604</v>
      </c>
      <c r="Z333" s="199">
        <v>9.6144389422802411E-3</v>
      </c>
      <c r="AA333" s="201">
        <v>9.3275568196471426E-3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42601</v>
      </c>
      <c r="Y334" s="198">
        <f>_xll.qlInterestRateIndexValueDate(IborIndex,X334,Trigger)</f>
        <v>42605</v>
      </c>
      <c r="Z334" s="199">
        <v>9.6361647836668181E-3</v>
      </c>
      <c r="AA334" s="201">
        <v>9.3494750654254943E-3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42604</v>
      </c>
      <c r="Y335" s="198">
        <f>_xll.qlInterestRateIndexValueDate(IborIndex,X335,Trigger)</f>
        <v>42606</v>
      </c>
      <c r="Z335" s="199">
        <v>9.6797421598327962E-3</v>
      </c>
      <c r="AA335" s="201">
        <v>9.4045584817536998E-3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42605</v>
      </c>
      <c r="Y336" s="198">
        <f>_xll.qlInterestRateIndexValueDate(IborIndex,X336,Trigger)</f>
        <v>42607</v>
      </c>
      <c r="Z336" s="199">
        <v>9.690496872101495E-3</v>
      </c>
      <c r="AA336" s="201">
        <v>9.4588241982940247E-3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42606</v>
      </c>
      <c r="Y337" s="198">
        <f>_xll.qlInterestRateIndexValueDate(IborIndex,X337,Trigger)</f>
        <v>42608</v>
      </c>
      <c r="Z337" s="199">
        <v>9.7012456267814469E-3</v>
      </c>
      <c r="AA337" s="201">
        <v>9.4806456057749955E-3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42607</v>
      </c>
      <c r="Y338" s="198">
        <f>_xll.qlInterestRateIndexValueDate(IborIndex,X338,Trigger)</f>
        <v>42612</v>
      </c>
      <c r="Z338" s="199">
        <v>9.7877944917775551E-3</v>
      </c>
      <c r="AA338" s="201">
        <v>9.5024508733665414E-3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42608</v>
      </c>
      <c r="Y339" s="198">
        <f>_xll.qlInterestRateIndexValueDate(IborIndex,X339,Trigger)</f>
        <v>42613</v>
      </c>
      <c r="Z339" s="199">
        <v>9.798502717350388E-3</v>
      </c>
      <c r="AA339" s="201">
        <v>9.5462607398211219E-3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42612</v>
      </c>
      <c r="Y340" s="198">
        <f>_xll.qlInterestRateIndexValueDate(IborIndex,X340,Trigger)</f>
        <v>42614</v>
      </c>
      <c r="Z340" s="199">
        <v>9.8418486908843916E-3</v>
      </c>
      <c r="AA340" s="201">
        <v>9.5895105465171326E-3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42613</v>
      </c>
      <c r="Y341" s="198">
        <f>_xll.qlInterestRateIndexValueDate(IborIndex,X341,Trigger)</f>
        <v>42615</v>
      </c>
      <c r="Z341" s="199">
        <v>9.8525369430021905E-3</v>
      </c>
      <c r="AA341" s="201">
        <v>9.6112351153809783E-3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42614</v>
      </c>
      <c r="Y342" s="198">
        <f>_xll.qlInterestRateIndexValueDate(IborIndex,X342,Trigger)</f>
        <v>42619</v>
      </c>
      <c r="Z342" s="199">
        <v>9.9277907072163885E-3</v>
      </c>
      <c r="AA342" s="201">
        <v>9.6546358339200111E-3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42615</v>
      </c>
      <c r="Y343" s="198">
        <f>_xll.qlInterestRateIndexValueDate(IborIndex,X343,Trigger)</f>
        <v>42619</v>
      </c>
      <c r="Z343" s="199">
        <v>9.9277907072163885E-3</v>
      </c>
      <c r="AA343" s="201">
        <v>9.6546358339200111E-3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42618</v>
      </c>
      <c r="Y344" s="198">
        <f>_xll.qlInterestRateIndexValueDate(IborIndex,X344,Trigger)</f>
        <v>42620</v>
      </c>
      <c r="Z344" s="199">
        <v>9.9492823017790499E-3</v>
      </c>
      <c r="AA344" s="201">
        <v>9.6982278669432986E-3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42619</v>
      </c>
      <c r="Y345" s="198">
        <f>_xll.qlInterestRateIndexValueDate(IborIndex,X345,Trigger)</f>
        <v>42621</v>
      </c>
      <c r="Z345" s="199">
        <v>1.0003230365771353E-2</v>
      </c>
      <c r="AA345" s="201">
        <v>9.7412435938437625E-3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42620</v>
      </c>
      <c r="Y346" s="198">
        <f>_xll.qlInterestRateIndexValueDate(IborIndex,X346,Trigger)</f>
        <v>42622</v>
      </c>
      <c r="Z346" s="199">
        <v>1.0013855388984194E-2</v>
      </c>
      <c r="AA346" s="201">
        <v>9.7628551842809941E-3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42621</v>
      </c>
      <c r="Y347" s="198">
        <f>_xll.qlInterestRateIndexValueDate(IborIndex,X347,Trigger)</f>
        <v>42625</v>
      </c>
      <c r="Z347" s="199">
        <v>1.0056498539014136E-2</v>
      </c>
      <c r="AA347" s="201">
        <v>9.7844506350686089E-3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42622</v>
      </c>
      <c r="Y348" s="198">
        <f>_xll.qlInterestRateIndexValueDate(IborIndex,X348,Trigger)</f>
        <v>42626</v>
      </c>
      <c r="Z348" s="199">
        <v>1.0077893438743324E-2</v>
      </c>
      <c r="AA348" s="201">
        <v>9.8060299460467348E-3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42625</v>
      </c>
      <c r="Y349" s="198">
        <f>_xll.qlInterestRateIndexValueDate(IborIndex,X349,Trigger)</f>
        <v>42627</v>
      </c>
      <c r="Z349" s="199">
        <v>1.0099272222366729E-2</v>
      </c>
      <c r="AA349" s="201">
        <v>9.8494042303709506E-3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42626</v>
      </c>
      <c r="Y350" s="198">
        <f>_xll.qlInterestRateIndexValueDate(IborIndex,X350,Trigger)</f>
        <v>42628</v>
      </c>
      <c r="Z350" s="199">
        <v>1.0142183619006595E-2</v>
      </c>
      <c r="AA350" s="201">
        <v>9.8921857921041578E-3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42627</v>
      </c>
      <c r="Y351" s="198">
        <f>_xll.qlInterestRateIndexValueDate(IborIndex,X351,Trigger)</f>
        <v>42629</v>
      </c>
      <c r="Z351" s="199">
        <v>1.0152750735382795E-2</v>
      </c>
      <c r="AA351" s="201">
        <v>9.9136844041147754E-3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42628</v>
      </c>
      <c r="Y352" s="198">
        <f>_xll.qlInterestRateIndexValueDate(IborIndex,X352,Trigger)</f>
        <v>42632</v>
      </c>
      <c r="Z352" s="199">
        <v>1.0205924395848776E-2</v>
      </c>
      <c r="AA352" s="201">
        <v>9.9351668763958401E-3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42629</v>
      </c>
      <c r="Y353" s="198">
        <f>_xll.qlInterestRateIndexValueDate(IborIndex,X353,Trigger)</f>
        <v>42633</v>
      </c>
      <c r="Z353" s="199">
        <v>1.0227206481020268E-2</v>
      </c>
      <c r="AA353" s="201">
        <v>9.9566332087874798E-3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42632</v>
      </c>
      <c r="Y354" s="198">
        <f>_xll.qlInterestRateIndexValueDate(IborIndex,X354,Trigger)</f>
        <v>42634</v>
      </c>
      <c r="Z354" s="199">
        <v>1.0248472449481127E-2</v>
      </c>
      <c r="AA354" s="201">
        <v>9.999789827173089E-3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42633</v>
      </c>
      <c r="Y355" s="198">
        <f>_xll.qlInterestRateIndexValueDate(IborIndex,X355,Trigger)</f>
        <v>42635</v>
      </c>
      <c r="Z355" s="199">
        <v>1.0291166665056528E-2</v>
      </c>
      <c r="AA355" s="201">
        <v>1.0042337140498958E-2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42634</v>
      </c>
      <c r="Y356" s="198">
        <f>_xll.qlInterestRateIndexValueDate(IborIndex,X356,Trigger)</f>
        <v>42636</v>
      </c>
      <c r="Z356" s="199">
        <v>1.0301673150257486E-2</v>
      </c>
      <c r="AA356" s="201">
        <v>1.0063722773843153E-2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42635</v>
      </c>
      <c r="Y357" s="198">
        <f>_xll.qlInterestRateIndexValueDate(IborIndex,X357,Trigger)</f>
        <v>42639</v>
      </c>
      <c r="Z357" s="199">
        <v>1.0354560538141655E-2</v>
      </c>
      <c r="AA357" s="201">
        <v>1.0085092267457796E-2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42636</v>
      </c>
      <c r="Y358" s="198">
        <f>_xll.qlInterestRateIndexValueDate(IborIndex,X358,Trigger)</f>
        <v>42640</v>
      </c>
      <c r="Z358" s="199">
        <v>1.0375729804545486E-2</v>
      </c>
      <c r="AA358" s="201">
        <v>1.0106445621183013E-2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42639</v>
      </c>
      <c r="Y359" s="198">
        <f>_xll.qlInterestRateIndexValueDate(IborIndex,X359,Trigger)</f>
        <v>42641</v>
      </c>
      <c r="Z359" s="199">
        <v>1.0396882953644493E-2</v>
      </c>
      <c r="AA359" s="201">
        <v>1.0149384654285498E-2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42640</v>
      </c>
      <c r="Y360" s="198">
        <f>_xll.qlInterestRateIndexValueDate(IborIndex,X360,Trigger)</f>
        <v>42642</v>
      </c>
      <c r="Z360" s="199">
        <v>1.0439360057181712E-2</v>
      </c>
      <c r="AA360" s="201">
        <v>1.0191697637909058E-2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42641</v>
      </c>
      <c r="Y361" s="198">
        <f>_xll.qlInterestRateIndexValueDate(IborIndex,X361,Trigger)</f>
        <v>42643</v>
      </c>
      <c r="Z361" s="199">
        <v>1.0449805870327145E-2</v>
      </c>
      <c r="AA361" s="201">
        <v>1.0212970292506895E-2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42642</v>
      </c>
      <c r="Y362" s="198">
        <f>_xll.qlInterestRateIndexValueDate(IborIndex,X362,Trigger)</f>
        <v>42646</v>
      </c>
      <c r="Z362" s="199">
        <v>1.051304957098039E-2</v>
      </c>
      <c r="AA362" s="201">
        <v>1.0234226807215308E-2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42643</v>
      </c>
      <c r="Y363" s="198">
        <f>_xll.qlInterestRateIndexValueDate(IborIndex,X363,Trigger)</f>
        <v>42647</v>
      </c>
      <c r="Z363" s="199">
        <v>1.0534098570447683E-2</v>
      </c>
      <c r="AA363" s="201">
        <v>1.0255467182194167E-2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42646</v>
      </c>
      <c r="Y364" s="198">
        <f>_xll.qlInterestRateIndexValueDate(IborIndex,X364,Trigger)</f>
        <v>42648</v>
      </c>
      <c r="Z364" s="199">
        <v>1.0576372670757003E-2</v>
      </c>
      <c r="AA364" s="201">
        <v>1.0298188708857126E-2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42647</v>
      </c>
      <c r="Y365" s="198">
        <f>_xll.qlInterestRateIndexValueDate(IborIndex,X365,Trigger)</f>
        <v>42649</v>
      </c>
      <c r="Z365" s="199">
        <v>1.0586763764154627E-2</v>
      </c>
      <c r="AA365" s="201">
        <v>1.0340267283375226E-2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42648</v>
      </c>
      <c r="Y366" s="198">
        <f>_xll.qlInterestRateIndexValueDate(IborIndex,X366,Trigger)</f>
        <v>42650</v>
      </c>
      <c r="Z366" s="199">
        <v>1.0597148865357894E-2</v>
      </c>
      <c r="AA366" s="201">
        <v>1.0361426959066833E-2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42649</v>
      </c>
      <c r="Y367" s="198">
        <f>_xll.qlInterestRateIndexValueDate(IborIndex,X367,Trigger)</f>
        <v>42654</v>
      </c>
      <c r="Z367" s="199">
        <v>1.0712711062254087E-2</v>
      </c>
      <c r="AA367" s="201">
        <v>1.0403697890781771E-2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42650</v>
      </c>
      <c r="Y368" s="198">
        <f>_xll.qlInterestRateIndexValueDate(IborIndex,X368,Trigger)</f>
        <v>42654</v>
      </c>
      <c r="Z368" s="199">
        <v>1.0712711062254087E-2</v>
      </c>
      <c r="AA368" s="201">
        <v>1.0403697890781771E-2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42653</v>
      </c>
      <c r="Y369" s="198">
        <f>_xll.qlInterestRateIndexValueDate(IborIndex,X369,Trigger)</f>
        <v>42655</v>
      </c>
      <c r="Z369" s="199">
        <v>1.0723047407099012E-2</v>
      </c>
      <c r="AA369" s="201">
        <v>1.0446201987877046E-2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42654</v>
      </c>
      <c r="Y370" s="198">
        <f>_xll.qlInterestRateIndexValueDate(IborIndex,X370,Trigger)</f>
        <v>42656</v>
      </c>
      <c r="Z370" s="199">
        <v>1.0733377754910123E-2</v>
      </c>
      <c r="AA370" s="201">
        <v>1.0488046075938229E-2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42655</v>
      </c>
      <c r="Y371" s="198">
        <f>_xll.qlInterestRateIndexValueDate(IborIndex,X371,Trigger)</f>
        <v>42657</v>
      </c>
      <c r="Z371" s="199">
        <v>1.0743702105262829E-2</v>
      </c>
      <c r="AA371" s="201">
        <v>1.0509092772483797E-2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42656</v>
      </c>
      <c r="Y372" s="198">
        <f>_xll.qlInterestRateIndexValueDate(IborIndex,X372,Trigger)</f>
        <v>42660</v>
      </c>
      <c r="Z372" s="199">
        <v>1.0806268867457237E-2</v>
      </c>
      <c r="AA372" s="201">
        <v>1.0530123329219876E-2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42657</v>
      </c>
      <c r="Y373" s="198">
        <f>_xll.qlInterestRateIndexValueDate(IborIndex,X373,Trigger)</f>
        <v>42661</v>
      </c>
      <c r="Z373" s="199">
        <v>1.082709221832537E-2</v>
      </c>
      <c r="AA373" s="201">
        <v>1.055113774606653E-2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42660</v>
      </c>
      <c r="Y374" s="198">
        <f>_xll.qlInterestRateIndexValueDate(IborIndex,X374,Trigger)</f>
        <v>42662</v>
      </c>
      <c r="Z374" s="199">
        <v>1.0868932434403466E-2</v>
      </c>
      <c r="AA374" s="201">
        <v>1.0593424488440917E-2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42661</v>
      </c>
      <c r="Y375" s="198">
        <f>_xll.qlInterestRateIndexValueDate(IborIndex,X375,Trigger)</f>
        <v>42663</v>
      </c>
      <c r="Z375" s="199">
        <v>1.0879201998552912E-2</v>
      </c>
      <c r="AA375" s="201">
        <v>1.0635034014558897E-2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42662</v>
      </c>
      <c r="Y376" s="198">
        <f>_xll.qlInterestRateIndexValueDate(IborIndex,X376,Trigger)</f>
        <v>42664</v>
      </c>
      <c r="Z376" s="199">
        <v>1.0889465560122659E-2</v>
      </c>
      <c r="AA376" s="201">
        <v>1.0655967731958427E-2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42663</v>
      </c>
      <c r="Y377" s="198">
        <f>_xll.qlInterestRateIndexValueDate(IborIndex,X377,Trigger)</f>
        <v>42667</v>
      </c>
      <c r="Z377" s="199">
        <v>1.0962175545611019E-2</v>
      </c>
      <c r="AA377" s="201">
        <v>1.0676885309388595E-2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42664</v>
      </c>
      <c r="Y378" s="198">
        <f>_xll.qlInterestRateIndexValueDate(IborIndex,X378,Trigger)</f>
        <v>42668</v>
      </c>
      <c r="Z378" s="199">
        <v>1.0972404354076662E-2</v>
      </c>
      <c r="AA378" s="201">
        <v>1.0697786747009275E-2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42667</v>
      </c>
      <c r="Y379" s="198">
        <f>_xll.qlInterestRateIndexValueDate(IborIndex,X379,Trigger)</f>
        <v>42669</v>
      </c>
      <c r="Z379" s="199">
        <v>1.1014027720962393E-2</v>
      </c>
      <c r="AA379" s="201">
        <v>1.0739856207617748E-2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42668</v>
      </c>
      <c r="Y380" s="198">
        <f>_xll.qlInterestRateIndexValueDate(IborIndex,X380,Trigger)</f>
        <v>42670</v>
      </c>
      <c r="Z380" s="199">
        <v>1.1024236464355075E-2</v>
      </c>
      <c r="AA380" s="201">
        <v>1.0781231098357935E-2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42669</v>
      </c>
      <c r="Y381" s="198">
        <f>_xll.qlInterestRateIndexValueDate(IborIndex,X381,Trigger)</f>
        <v>42671</v>
      </c>
      <c r="Z381" s="199">
        <v>1.103443920018312E-2</v>
      </c>
      <c r="AA381" s="201">
        <v>1.0802051836371618E-2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42670</v>
      </c>
      <c r="Y382" s="198">
        <f>_xll.qlInterestRateIndexValueDate(IborIndex,X382,Trigger)</f>
        <v>42674</v>
      </c>
      <c r="Z382" s="199">
        <v>1.1085894509076155E-2</v>
      </c>
      <c r="AA382" s="201">
        <v>1.0822856434575812E-2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42671</v>
      </c>
      <c r="Y383" s="198">
        <f>_xll.qlInterestRateIndexValueDate(IborIndex,X383,Trigger)</f>
        <v>42675</v>
      </c>
      <c r="Z383" s="199">
        <v>1.1106499619368826E-2</v>
      </c>
      <c r="AA383" s="201">
        <v>1.0843644892730708E-2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42674</v>
      </c>
      <c r="Y384" s="198">
        <f>_xll.qlInterestRateIndexValueDate(IborIndex,X384,Trigger)</f>
        <v>42676</v>
      </c>
      <c r="Z384" s="199">
        <v>1.1127088609407032E-2</v>
      </c>
      <c r="AA384" s="201">
        <v>1.0885497142556488E-2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42675</v>
      </c>
      <c r="Y385" s="198">
        <f>_xll.qlInterestRateIndexValueDate(IborIndex,X385,Trigger)</f>
        <v>42677</v>
      </c>
      <c r="Z385" s="199">
        <v>1.1168481121751062E-2</v>
      </c>
      <c r="AA385" s="201">
        <v>1.0926637326296174E-2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42676</v>
      </c>
      <c r="Y386" s="198">
        <f>_xll.qlInterestRateIndexValueDate(IborIndex,X386,Trigger)</f>
        <v>42678</v>
      </c>
      <c r="Z386" s="199">
        <v>1.1178622995844665E-2</v>
      </c>
      <c r="AA386" s="201">
        <v>1.0947345084844073E-2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42677</v>
      </c>
      <c r="Y387" s="198">
        <f>_xll.qlInterestRateIndexValueDate(IborIndex,X387,Trigger)</f>
        <v>42681</v>
      </c>
      <c r="Z387" s="199">
        <v>1.1229791752868756E-2</v>
      </c>
      <c r="AA387" s="201">
        <v>1.0968036703502548E-2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42678</v>
      </c>
      <c r="Y388" s="198">
        <f>_xll.qlInterestRateIndexValueDate(IborIndex,X388,Trigger)</f>
        <v>42682</v>
      </c>
      <c r="Z388" s="199">
        <v>1.1250284019637569E-2</v>
      </c>
      <c r="AA388" s="201">
        <v>1.0988712182191662E-2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42681</v>
      </c>
      <c r="Y389" s="198">
        <f>_xll.qlInterestRateIndexValueDate(IborIndex,X389,Trigger)</f>
        <v>42683</v>
      </c>
      <c r="Z389" s="199">
        <v>1.1270760165568383E-2</v>
      </c>
      <c r="AA389" s="201">
        <v>1.1030347290326148E-2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42682</v>
      </c>
      <c r="Y390" s="198">
        <f>_xll.qlInterestRateIndexValueDate(IborIndex,X390,Trigger)</f>
        <v>42684</v>
      </c>
      <c r="Z390" s="199">
        <v>1.131193594034019E-2</v>
      </c>
      <c r="AA390" s="201">
        <v>1.1071252697494316E-2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42683</v>
      </c>
      <c r="Y391" s="198">
        <f>_xll.qlInterestRateIndexValueDate(IborIndex,X391,Trigger)</f>
        <v>42688</v>
      </c>
      <c r="Z391" s="199">
        <v>1.1372899079825416E-2</v>
      </c>
      <c r="AA391" s="201">
        <v>1.1112426115449381E-2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42684</v>
      </c>
      <c r="Y392" s="198">
        <f>_xll.qlInterestRateIndexValueDate(IborIndex,X392,Trigger)</f>
        <v>42688</v>
      </c>
      <c r="Z392" s="199">
        <v>1.1372899079825416E-2</v>
      </c>
      <c r="AA392" s="201">
        <v>1.1112426115449381E-2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42685</v>
      </c>
      <c r="Y393" s="198">
        <f>_xll.qlInterestRateIndexValueDate(IborIndex,X393,Trigger)</f>
        <v>42689</v>
      </c>
      <c r="Z393" s="199">
        <v>1.1393278499020276E-2</v>
      </c>
      <c r="AA393" s="201">
        <v>1.1132988614432904E-2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42688</v>
      </c>
      <c r="Y394" s="198">
        <f>_xll.qlInterestRateIndexValueDate(IborIndex,X394,Trigger)</f>
        <v>42690</v>
      </c>
      <c r="Z394" s="199">
        <v>1.1413641796804264E-2</v>
      </c>
      <c r="AA394" s="201">
        <v>1.1174406648075674E-2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42689</v>
      </c>
      <c r="Y395" s="198">
        <f>_xll.qlInterestRateIndexValueDate(IborIndex,X395,Trigger)</f>
        <v>42691</v>
      </c>
      <c r="Z395" s="199">
        <v>1.145460088989414E-2</v>
      </c>
      <c r="AA395" s="201">
        <v>1.1215077210913194E-2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42690</v>
      </c>
      <c r="Y396" s="198">
        <f>_xll.qlInterestRateIndexValueDate(IborIndex,X396,Trigger)</f>
        <v>42692</v>
      </c>
      <c r="Z396" s="199">
        <v>1.146462093638506E-2</v>
      </c>
      <c r="AA396" s="201">
        <v>1.1235559010129847E-2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42691</v>
      </c>
      <c r="Y397" s="198">
        <f>_xll.qlInterestRateIndexValueDate(IborIndex,X397,Trigger)</f>
        <v>42695</v>
      </c>
      <c r="Z397" s="199">
        <v>1.1515216461675415E-2</v>
      </c>
      <c r="AA397" s="201">
        <v>1.1256024669297204E-2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42692</v>
      </c>
      <c r="Y398" s="198">
        <f>_xll.qlInterestRateIndexValueDate(IborIndex,X398,Trigger)</f>
        <v>42696</v>
      </c>
      <c r="Z398" s="199">
        <v>1.1535483029267546E-2</v>
      </c>
      <c r="AA398" s="201">
        <v>1.1276474188575136E-2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42695</v>
      </c>
      <c r="Y399" s="198">
        <f>_xll.qlInterestRateIndexValueDate(IborIndex,X399,Trigger)</f>
        <v>42697</v>
      </c>
      <c r="Z399" s="199">
        <v>1.1555733474875929E-2</v>
      </c>
      <c r="AA399" s="201">
        <v>1.131767521298066E-2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42696</v>
      </c>
      <c r="Y400" s="198">
        <f>_xll.qlInterestRateIndexValueDate(IborIndex,X400,Trigger)</f>
        <v>42699</v>
      </c>
      <c r="Z400" s="199">
        <v>1.1626918895700071E-2</v>
      </c>
      <c r="AA400" s="201">
        <v>1.1378479685024701E-2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42697</v>
      </c>
      <c r="Y401" s="198">
        <f>_xll.qlInterestRateIndexValueDate(IborIndex,X401,Trigger)</f>
        <v>42699</v>
      </c>
      <c r="Z401" s="199">
        <v>1.1626918895700071E-2</v>
      </c>
      <c r="AA401" s="201">
        <v>1.1378479685024701E-2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42698</v>
      </c>
      <c r="Y402" s="198">
        <f>_xll.qlInterestRateIndexValueDate(IborIndex,X402,Trigger)</f>
        <v>42702</v>
      </c>
      <c r="Z402" s="199">
        <v>1.1656743870294584E-2</v>
      </c>
      <c r="AA402" s="201">
        <v>1.1398832364246658E-2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42699</v>
      </c>
      <c r="Y403" s="198">
        <f>_xll.qlInterestRateIndexValueDate(IborIndex,X403,Trigger)</f>
        <v>42703</v>
      </c>
      <c r="Z403" s="199">
        <v>1.1676897582284518E-2</v>
      </c>
      <c r="AA403" s="201">
        <v>1.1419168903579191E-2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42702</v>
      </c>
      <c r="Y404" s="198">
        <f>_xll.qlInterestRateIndexValueDate(IborIndex,X404,Trigger)</f>
        <v>42704</v>
      </c>
      <c r="Z404" s="199">
        <v>1.1697035171715164E-2</v>
      </c>
      <c r="AA404" s="201">
        <v>1.1460152982216698E-2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42703</v>
      </c>
      <c r="Y405" s="198">
        <f>_xll.qlInterestRateIndexValueDate(IborIndex,X405,Trigger)</f>
        <v>42705</v>
      </c>
      <c r="Z405" s="199">
        <v>1.1747756192324651E-2</v>
      </c>
      <c r="AA405" s="201">
        <v>1.1500353660736096E-2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42704</v>
      </c>
      <c r="Y406" s="198">
        <f>_xll.qlInterestRateIndexValueDate(IborIndex,X406,Trigger)</f>
        <v>42706</v>
      </c>
      <c r="Z406" s="199">
        <v>1.1757651593403418E-2</v>
      </c>
      <c r="AA406" s="201">
        <v>1.1520609500061951E-2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42705</v>
      </c>
      <c r="Y407" s="198">
        <f>_xll.qlInterestRateIndexValueDate(IborIndex,X407,Trigger)</f>
        <v>42709</v>
      </c>
      <c r="Z407" s="199">
        <v>1.1807656227035531E-2</v>
      </c>
      <c r="AA407" s="201">
        <v>1.154084919933851E-2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42706</v>
      </c>
      <c r="Y408" s="198">
        <f>_xll.qlInterestRateIndexValueDate(IborIndex,X408,Trigger)</f>
        <v>42710</v>
      </c>
      <c r="Z408" s="199">
        <v>1.1827689675110165E-2</v>
      </c>
      <c r="AA408" s="201">
        <v>1.1561072758565771E-2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42709</v>
      </c>
      <c r="Y409" s="198">
        <f>_xll.qlInterestRateIndexValueDate(IborIndex,X409,Trigger)</f>
        <v>42711</v>
      </c>
      <c r="Z409" s="199">
        <v>1.1868013130937882E-2</v>
      </c>
      <c r="AA409" s="201">
        <v>1.160183995290609E-2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42710</v>
      </c>
      <c r="Y410" s="198">
        <f>_xll.qlInterestRateIndexValueDate(IborIndex,X410,Trigger)</f>
        <v>42712</v>
      </c>
      <c r="Z410" s="199">
        <v>1.187785622450227E-2</v>
      </c>
      <c r="AA410" s="201">
        <v>1.1641805595381527E-2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42711</v>
      </c>
      <c r="Y411" s="198">
        <f>_xll.qlInterestRateIndexValueDate(IborIndex,X411,Trigger)</f>
        <v>42713</v>
      </c>
      <c r="Z411" s="199">
        <v>1.188769328351987E-2</v>
      </c>
      <c r="AA411" s="201">
        <v>1.1661948454442239E-2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42712</v>
      </c>
      <c r="Y412" s="198">
        <f>_xll.qlInterestRateIndexValueDate(IborIndex,X412,Trigger)</f>
        <v>42716</v>
      </c>
      <c r="Z412" s="199">
        <v>1.1947551786469028E-2</v>
      </c>
      <c r="AA412" s="201">
        <v>1.168207517353359E-2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42713</v>
      </c>
      <c r="Y413" s="198">
        <f>_xll.qlInterestRateIndexValueDate(IborIndex,X413,Trigger)</f>
        <v>42717</v>
      </c>
      <c r="Z413" s="199">
        <v>1.1967472374739579E-2</v>
      </c>
      <c r="AA413" s="201">
        <v>1.1702185752655581E-2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42716</v>
      </c>
      <c r="Y414" s="198">
        <f>_xll.qlInterestRateIndexValueDate(IborIndex,X414,Trigger)</f>
        <v>42718</v>
      </c>
      <c r="Z414" s="199">
        <v>1.2017673549069966E-2</v>
      </c>
      <c r="AA414" s="201">
        <v>1.1742736122304365E-2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42717</v>
      </c>
      <c r="Y415" s="198">
        <f>_xll.qlInterestRateIndexValueDate(IborIndex,X415,Trigger)</f>
        <v>42719</v>
      </c>
      <c r="Z415" s="199">
        <v>1.2027452903454649E-2</v>
      </c>
      <c r="AA415" s="201">
        <v>1.1782466668410763E-2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42718</v>
      </c>
      <c r="Y416" s="198">
        <f>_xll.qlInterestRateIndexValueDate(IborIndex,X416,Trigger)</f>
        <v>42720</v>
      </c>
      <c r="Z416" s="199">
        <v>1.2037226218981067E-2</v>
      </c>
      <c r="AA416" s="201">
        <v>1.1802496547286268E-2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42719</v>
      </c>
      <c r="Y417" s="198">
        <f>_xll.qlInterestRateIndexValueDate(IborIndex,X417,Trigger)</f>
        <v>42723</v>
      </c>
      <c r="Z417" s="199">
        <v>1.2086657315077248E-2</v>
      </c>
      <c r="AA417" s="201">
        <v>1.1822510286032539E-2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42720</v>
      </c>
      <c r="Y418" s="198">
        <f>_xll.qlInterestRateIndexValueDate(IborIndex,X418,Trigger)</f>
        <v>42724</v>
      </c>
      <c r="Z418" s="199">
        <v>1.2106465039482449E-2</v>
      </c>
      <c r="AA418" s="201">
        <v>1.1842507884729514E-2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42723</v>
      </c>
      <c r="Y419" s="198">
        <f>_xll.qlInterestRateIndexValueDate(IborIndex,X419,Trigger)</f>
        <v>42725</v>
      </c>
      <c r="Z419" s="199">
        <v>1.2146355598867878E-2</v>
      </c>
      <c r="AA419" s="201">
        <v>1.1903174763386204E-2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42724</v>
      </c>
      <c r="Y420" s="198">
        <f>_xll.qlInterestRateIndexValueDate(IborIndex,X420,Trigger)</f>
        <v>42726</v>
      </c>
      <c r="Z420" s="199">
        <v>1.2156076555615847E-2</v>
      </c>
      <c r="AA420" s="201">
        <v>1.1962154535796188E-2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42725</v>
      </c>
      <c r="Y421" s="198">
        <f>_xll.qlInterestRateIndexValueDate(IborIndex,X421,Trigger)</f>
        <v>42727</v>
      </c>
      <c r="Z421" s="199">
        <v>1.2165791469916526E-2</v>
      </c>
      <c r="AA421" s="201">
        <v>1.1982039154068147E-2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42726</v>
      </c>
      <c r="Y422" s="198">
        <f>_xll.qlInterestRateIndexValueDate(IborIndex,X422,Trigger)</f>
        <v>42732</v>
      </c>
      <c r="Z422" s="199">
        <v>1.2284341820371384E-2</v>
      </c>
      <c r="AA422" s="201">
        <v>1.2032273183284481E-2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42727</v>
      </c>
      <c r="Y423" s="198">
        <f>_xll.qlInterestRateIndexValueDate(IborIndex,X423,Trigger)</f>
        <v>42733</v>
      </c>
      <c r="Z423" s="199">
        <v>1.2294001665381638E-2</v>
      </c>
      <c r="AA423" s="201">
        <v>1.2081220144208871E-2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42732</v>
      </c>
      <c r="Y424" s="198">
        <f>_xll.qlInterestRateIndexValueDate(IborIndex,X424,Trigger)</f>
        <v>42734</v>
      </c>
      <c r="Z424" s="199">
        <v>1.2313640757166955E-2</v>
      </c>
      <c r="AA424" s="201">
        <v>1.2101007921945239E-2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42733</v>
      </c>
      <c r="Y425" s="198">
        <f>_xll.qlInterestRateIndexValueDate(IborIndex,X425,Trigger)</f>
        <v>42738</v>
      </c>
      <c r="Z425" s="199">
        <v>1.2382080150933446E-2</v>
      </c>
      <c r="AA425" s="201">
        <v>1.2120779559632311E-2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42734</v>
      </c>
      <c r="Y426" s="198">
        <f>_xll.qlInterestRateIndexValueDate(IborIndex,X426,Trigger)</f>
        <v>42739</v>
      </c>
      <c r="Z426" s="199">
        <v>1.2421537993528147E-2</v>
      </c>
      <c r="AA426" s="201">
        <v>1.2160679794881446E-2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42738</v>
      </c>
      <c r="Y427" s="198">
        <f>_xll.qlInterestRateIndexValueDate(IborIndex,X427,Trigger)</f>
        <v>42740</v>
      </c>
      <c r="Z427" s="199">
        <v>1.2431136699142808E-2</v>
      </c>
      <c r="AA427" s="201">
        <v>1.2199704709328074E-2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42739</v>
      </c>
      <c r="Y428" s="198">
        <f>_xll.qlInterestRateIndexValueDate(IborIndex,X428,Trigger)</f>
        <v>42741</v>
      </c>
      <c r="Z428" s="199">
        <v>1.2440729354945486E-2</v>
      </c>
      <c r="AA428" s="201">
        <v>1.2219395646528852E-2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42740</v>
      </c>
      <c r="Y429" s="198">
        <f>_xll.qlInterestRateIndexValueDate(IborIndex,X429,Trigger)</f>
        <v>42744</v>
      </c>
      <c r="Z429" s="199">
        <v>1.2499233432752277E-2</v>
      </c>
      <c r="AA429" s="201">
        <v>1.2239070443600397E-2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42741</v>
      </c>
      <c r="Y430" s="198">
        <f>_xll.qlInterestRateIndexValueDate(IborIndex,X430,Trigger)</f>
        <v>42745</v>
      </c>
      <c r="Z430" s="199">
        <v>1.2518702541376901E-2</v>
      </c>
      <c r="AA430" s="201">
        <v>1.2258729100542709E-2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42744</v>
      </c>
      <c r="Y431" s="198">
        <f>_xll.qlInterestRateIndexValueDate(IborIndex,X431,Trigger)</f>
        <v>42746</v>
      </c>
      <c r="Z431" s="199">
        <v>1.2557944088514749E-2</v>
      </c>
      <c r="AA431" s="201">
        <v>1.2298412731350794E-2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42745</v>
      </c>
      <c r="Y432" s="198">
        <f>_xll.qlInterestRateIndexValueDate(IborIndex,X432,Trigger)</f>
        <v>42747</v>
      </c>
      <c r="Z432" s="199">
        <v>1.2567481627994981E-2</v>
      </c>
      <c r="AA432" s="201">
        <v>1.2337202327179497E-2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42746</v>
      </c>
      <c r="Y433" s="198">
        <f>_xll.qlInterestRateIndexValueDate(IborIndex,X433,Trigger)</f>
        <v>42748</v>
      </c>
      <c r="Z433" s="199">
        <v>1.2577013114175547E-2</v>
      </c>
      <c r="AA433" s="201">
        <v>1.2356780283635516E-2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42747</v>
      </c>
      <c r="Y434" s="198">
        <f>_xll.qlInterestRateIndexValueDate(IborIndex,X434,Trigger)</f>
        <v>42752</v>
      </c>
      <c r="Z434" s="199">
        <v>1.2654534784381267E-2</v>
      </c>
      <c r="AA434" s="201">
        <v>1.2395887775920045E-2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42748</v>
      </c>
      <c r="Y435" s="198">
        <f>_xll.qlInterestRateIndexValueDate(IborIndex,X435,Trigger)</f>
        <v>42752</v>
      </c>
      <c r="Z435" s="199">
        <v>1.2654534784381267E-2</v>
      </c>
      <c r="AA435" s="201">
        <v>1.2395887775920045E-2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42751</v>
      </c>
      <c r="Y436" s="198">
        <f>_xll.qlInterestRateIndexValueDate(IborIndex,X436,Trigger)</f>
        <v>42753</v>
      </c>
      <c r="Z436" s="199">
        <v>1.2703395627149786E-2</v>
      </c>
      <c r="AA436" s="201">
        <v>1.2435354852726732E-2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42752</v>
      </c>
      <c r="Y437" s="198">
        <f>_xll.qlInterestRateIndexValueDate(IborIndex,X437,Trigger)</f>
        <v>42754</v>
      </c>
      <c r="Z437" s="199">
        <v>1.2712869287826547E-2</v>
      </c>
      <c r="AA437" s="201">
        <v>1.2473909078938306E-2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42753</v>
      </c>
      <c r="Y438" s="198">
        <f>_xll.qlInterestRateIndexValueDate(IborIndex,X438,Trigger)</f>
        <v>42755</v>
      </c>
      <c r="Z438" s="199">
        <v>1.272233689157215E-2</v>
      </c>
      <c r="AA438" s="201">
        <v>1.2493374054409756E-2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42754</v>
      </c>
      <c r="Y439" s="198">
        <f>_xll.qlInterestRateIndexValueDate(IborIndex,X439,Trigger)</f>
        <v>42758</v>
      </c>
      <c r="Z439" s="199">
        <v>1.2770333507355652E-2</v>
      </c>
      <c r="AA439" s="201">
        <v>1.2512822889672037E-2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42755</v>
      </c>
      <c r="Y440" s="198">
        <f>_xll.qlInterestRateIndexValueDate(IborIndex,X440,Trigger)</f>
        <v>42759</v>
      </c>
      <c r="Z440" s="199">
        <v>1.2789576852213885E-2</v>
      </c>
      <c r="AA440" s="201">
        <v>1.2532255584805085E-2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42758</v>
      </c>
      <c r="Y441" s="198">
        <f>_xll.qlInterestRateIndexValueDate(IborIndex,X441,Trigger)</f>
        <v>42760</v>
      </c>
      <c r="Z441" s="199">
        <v>1.2828385925575217E-2</v>
      </c>
      <c r="AA441" s="201">
        <v>1.2571506156344725E-2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42759</v>
      </c>
      <c r="Y442" s="198">
        <f>_xll.qlInterestRateIndexValueDate(IborIndex,X442,Trigger)</f>
        <v>42761</v>
      </c>
      <c r="Z442" s="199">
        <v>1.283780105619664E-2</v>
      </c>
      <c r="AA442" s="201">
        <v>1.2609824963725202E-2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42760</v>
      </c>
      <c r="Y443" s="198">
        <f>_xll.qlInterestRateIndexValueDate(IborIndex,X443,Trigger)</f>
        <v>42762</v>
      </c>
      <c r="Z443" s="199">
        <v>1.2847210126944578E-2</v>
      </c>
      <c r="AA443" s="201">
        <v>1.2629176958132149E-2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42761</v>
      </c>
      <c r="Y444" s="198">
        <f>_xll.qlInterestRateIndexValueDate(IborIndex,X444,Trigger)</f>
        <v>42765</v>
      </c>
      <c r="Z444" s="199">
        <v>1.288517142941659E-2</v>
      </c>
      <c r="AA444" s="201">
        <v>1.2648512812329926E-2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42762</v>
      </c>
      <c r="Y445" s="198">
        <f>_xll.qlInterestRateIndexValueDate(IborIndex,X445,Trigger)</f>
        <v>42766</v>
      </c>
      <c r="Z445" s="199">
        <v>1.2894553570474341E-2</v>
      </c>
      <c r="AA445" s="201">
        <v>1.2667832526318534E-2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42765</v>
      </c>
      <c r="Y446" s="198">
        <f>_xll.qlInterestRateIndexValueDate(IborIndex,X446,Trigger)</f>
        <v>42767</v>
      </c>
      <c r="Z446" s="199">
        <v>1.2913690034379271E-2</v>
      </c>
      <c r="AA446" s="201">
        <v>1.2706866639460301E-2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42766</v>
      </c>
      <c r="Y447" s="198">
        <f>_xll.qlInterestRateIndexValueDate(IborIndex,X447,Trigger)</f>
        <v>42768</v>
      </c>
      <c r="Z447" s="199">
        <v>1.2932810369862744E-2</v>
      </c>
      <c r="AA447" s="201">
        <v>1.2744949980660891E-2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42767</v>
      </c>
      <c r="Y448" s="198">
        <f>_xll.qlInterestRateIndexValueDate(IborIndex,X448,Trigger)</f>
        <v>42769</v>
      </c>
      <c r="Z448" s="199">
        <v>1.2951914576856245E-2</v>
      </c>
      <c r="AA448" s="201">
        <v>1.2764188993843462E-2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42768</v>
      </c>
      <c r="Y449" s="198">
        <f>_xll.qlInterestRateIndexValueDate(IborIndex,X449,Trigger)</f>
        <v>42772</v>
      </c>
      <c r="Z449" s="199">
        <v>1.3009130426180349E-2</v>
      </c>
      <c r="AA449" s="201">
        <v>1.2783411866816863E-2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42769</v>
      </c>
      <c r="Y450" s="198">
        <f>_xll.qlInterestRateIndexValueDate(IborIndex,X450,Trigger)</f>
        <v>42773</v>
      </c>
      <c r="Z450" s="199">
        <v>1.3028170118497391E-2</v>
      </c>
      <c r="AA450" s="201">
        <v>1.2802618599581095E-2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42772</v>
      </c>
      <c r="Y451" s="198">
        <f>_xll.qlInterestRateIndexValueDate(IborIndex,X451,Trigger)</f>
        <v>42774</v>
      </c>
      <c r="Z451" s="199">
        <v>1.3047193681964751E-2</v>
      </c>
      <c r="AA451" s="201">
        <v>1.2841436299408926E-2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42773</v>
      </c>
      <c r="Y452" s="198">
        <f>_xll.qlInterestRateIndexValueDate(IborIndex,X452,Trigger)</f>
        <v>42775</v>
      </c>
      <c r="Z452" s="199">
        <v>1.3066201116511054E-2</v>
      </c>
      <c r="AA452" s="201">
        <v>1.2879284128866075E-2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42774</v>
      </c>
      <c r="Y453" s="198">
        <f>_xll.qlInterestRateIndexValueDate(IborIndex,X453,Trigger)</f>
        <v>42776</v>
      </c>
      <c r="Z453" s="199">
        <v>1.3085192422062075E-2</v>
      </c>
      <c r="AA453" s="201">
        <v>1.2898410160584461E-2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42775</v>
      </c>
      <c r="Y454" s="198">
        <f>_xll.qlInterestRateIndexValueDate(IborIndex,X454,Trigger)</f>
        <v>42779</v>
      </c>
      <c r="Z454" s="199">
        <v>1.3142069564058279E-2</v>
      </c>
      <c r="AA454" s="201">
        <v>1.291752005225355E-2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42776</v>
      </c>
      <c r="Y455" s="198">
        <f>_xll.qlInterestRateIndexValueDate(IborIndex,X455,Trigger)</f>
        <v>42780</v>
      </c>
      <c r="Z455" s="199">
        <v>1.3160996352928729E-2</v>
      </c>
      <c r="AA455" s="201">
        <v>1.293661380371347E-2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42779</v>
      </c>
      <c r="Y456" s="198">
        <f>_xll.qlInterestRateIndexValueDate(IborIndex,X456,Trigger)</f>
        <v>42781</v>
      </c>
      <c r="Z456" s="199">
        <v>1.3179907012449896E-2</v>
      </c>
      <c r="AA456" s="201">
        <v>1.2975215133552709E-2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42780</v>
      </c>
      <c r="Y457" s="198">
        <f>_xll.qlInterestRateIndexValueDate(IborIndex,X457,Trigger)</f>
        <v>42782</v>
      </c>
      <c r="Z457" s="199">
        <v>1.3198801542553262E-2</v>
      </c>
      <c r="AA457" s="201">
        <v>1.3012827407301586E-2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42781</v>
      </c>
      <c r="Y458" s="198">
        <f>_xll.qlInterestRateIndexValueDate(IborIndex,X458,Trigger)</f>
        <v>42783</v>
      </c>
      <c r="Z458" s="199">
        <v>1.32176799431646E-2</v>
      </c>
      <c r="AA458" s="201">
        <v>1.303184045771566E-2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42782</v>
      </c>
      <c r="Y459" s="198">
        <f>_xll.qlInterestRateIndexValueDate(IborIndex,X459,Trigger)</f>
        <v>42787</v>
      </c>
      <c r="Z459" s="199">
        <v>1.3293032249270809E-2</v>
      </c>
      <c r="AA459" s="201">
        <v>1.3069818137756428E-2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42783</v>
      </c>
      <c r="Y460" s="198">
        <f>_xll.qlInterestRateIndexValueDate(IborIndex,X460,Trigger)</f>
        <v>42787</v>
      </c>
      <c r="Z460" s="199">
        <v>1.3293032249270809E-2</v>
      </c>
      <c r="AA460" s="201">
        <v>1.3069818137756428E-2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42786</v>
      </c>
      <c r="Y461" s="198">
        <f>_xll.qlInterestRateIndexValueDate(IborIndex,X461,Trigger)</f>
        <v>42788</v>
      </c>
      <c r="Z461" s="199">
        <v>1.3311830001359999E-2</v>
      </c>
      <c r="AA461" s="201">
        <v>1.3108203139227115E-2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42787</v>
      </c>
      <c r="Y462" s="198">
        <f>_xll.qlInterestRateIndexValueDate(IborIndex,X462,Trigger)</f>
        <v>42789</v>
      </c>
      <c r="Z462" s="199">
        <v>1.333061162353179E-2</v>
      </c>
      <c r="AA462" s="201">
        <v>1.3145579815247999E-2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42788</v>
      </c>
      <c r="Y463" s="198">
        <f>_xll.qlInterestRateIndexValueDate(IborIndex,X463,Trigger)</f>
        <v>42790</v>
      </c>
      <c r="Z463" s="199">
        <v>1.3349377115714807E-2</v>
      </c>
      <c r="AA463" s="201">
        <v>1.3164479884038016E-2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42789</v>
      </c>
      <c r="Y464" s="198">
        <f>_xll.qlInterestRateIndexValueDate(IborIndex,X464,Trigger)</f>
        <v>42793</v>
      </c>
      <c r="Z464" s="199">
        <v>1.3405576811640341E-2</v>
      </c>
      <c r="AA464" s="201">
        <v>1.3183363812618865E-2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42790</v>
      </c>
      <c r="Y465" s="198">
        <f>_xll.qlInterestRateIndexValueDate(IborIndex,X465,Trigger)</f>
        <v>42794</v>
      </c>
      <c r="Z465" s="199">
        <v>1.345293360439791E-2</v>
      </c>
      <c r="AA465" s="201">
        <v>1.3202231600910608E-2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42793</v>
      </c>
      <c r="Y466" s="198">
        <f>_xll.qlInterestRateIndexValueDate(IborIndex,X466,Trigger)</f>
        <v>42795</v>
      </c>
      <c r="Z466" s="199">
        <v>1.3490662096059033E-2</v>
      </c>
      <c r="AA466" s="201">
        <v>1.3240400313820899E-2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42794</v>
      </c>
      <c r="Y467" s="198">
        <f>_xll.qlInterestRateIndexValueDate(IborIndex,X467,Trigger)</f>
        <v>42796</v>
      </c>
      <c r="Z467" s="199">
        <v>1.3499770799667299E-2</v>
      </c>
      <c r="AA467" s="201">
        <v>1.3277541351826017E-2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42795</v>
      </c>
      <c r="Y468" s="198">
        <f>_xll.qlInterestRateIndexValueDate(IborIndex,X468,Trigger)</f>
        <v>42797</v>
      </c>
      <c r="Z468" s="199">
        <v>1.350887342923732E-2</v>
      </c>
      <c r="AA468" s="201">
        <v>1.3296328438832106E-2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42796</v>
      </c>
      <c r="Y469" s="198">
        <f>_xll.qlInterestRateIndexValueDate(IborIndex,X469,Trigger)</f>
        <v>42800</v>
      </c>
      <c r="Z469" s="199">
        <v>1.356466808781836E-2</v>
      </c>
      <c r="AA469" s="201">
        <v>1.3315099385788898E-2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42797</v>
      </c>
      <c r="Y470" s="198">
        <f>_xll.qlInterestRateIndexValueDate(IborIndex,X470,Trigger)</f>
        <v>42801</v>
      </c>
      <c r="Z470" s="199">
        <v>1.3583234047813553E-2</v>
      </c>
      <c r="AA470" s="201">
        <v>1.3333854192296712E-2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42800</v>
      </c>
      <c r="Y471" s="198">
        <f>_xll.qlInterestRateIndexValueDate(IborIndex,X471,Trigger)</f>
        <v>42802</v>
      </c>
      <c r="Z471" s="199">
        <v>1.3620746512844114E-2</v>
      </c>
      <c r="AA471" s="201">
        <v>1.3371806654696172E-2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42801</v>
      </c>
      <c r="Y472" s="198">
        <f>_xll.qlInterestRateIndexValueDate(IborIndex,X472,Trigger)</f>
        <v>42803</v>
      </c>
      <c r="Z472" s="199">
        <v>1.3629793868733808E-2</v>
      </c>
      <c r="AA472" s="201">
        <v>1.3408712016076407E-2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42802</v>
      </c>
      <c r="Y473" s="198">
        <f>_xll.qlInterestRateIndexValueDate(IborIndex,X473,Trigger)</f>
        <v>42804</v>
      </c>
      <c r="Z473" s="199">
        <v>1.3638835148133563E-2</v>
      </c>
      <c r="AA473" s="201">
        <v>1.3427386121298568E-2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42803</v>
      </c>
      <c r="Y474" s="198">
        <f>_xll.qlInterestRateIndexValueDate(IborIndex,X474,Trigger)</f>
        <v>42807</v>
      </c>
      <c r="Z474" s="199">
        <v>1.3694291077319103E-2</v>
      </c>
      <c r="AA474" s="201">
        <v>1.3446044086311559E-2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42804</v>
      </c>
      <c r="Y475" s="198">
        <f>_xll.qlInterestRateIndexValueDate(IborIndex,X475,Trigger)</f>
        <v>42808</v>
      </c>
      <c r="Z475" s="199">
        <v>1.3750473974501227E-2</v>
      </c>
      <c r="AA475" s="201">
        <v>1.3464685911035446E-2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42807</v>
      </c>
      <c r="Y476" s="198">
        <f>_xll.qlInterestRateIndexValueDate(IborIndex,X476,Trigger)</f>
        <v>42809</v>
      </c>
      <c r="Z476" s="199">
        <v>1.375946335389772E-2</v>
      </c>
      <c r="AA476" s="201">
        <v>1.3502422159268335E-2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42808</v>
      </c>
      <c r="Y477" s="198">
        <f>_xll.qlInterestRateIndexValueDate(IborIndex,X477,Trigger)</f>
        <v>42810</v>
      </c>
      <c r="Z477" s="199">
        <v>1.3768446654292403E-2</v>
      </c>
      <c r="AA477" s="201">
        <v>1.353909180719981E-2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42809</v>
      </c>
      <c r="Y478" s="198">
        <f>_xll.qlInterestRateIndexValueDate(IborIndex,X478,Trigger)</f>
        <v>42811</v>
      </c>
      <c r="Z478" s="199">
        <v>1.3777423875613037E-2</v>
      </c>
      <c r="AA478" s="201">
        <v>1.355765293047817E-2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42810</v>
      </c>
      <c r="Y479" s="198">
        <f>_xll.qlInterestRateIndexValueDate(IborIndex,X479,Trigger)</f>
        <v>42814</v>
      </c>
      <c r="Z479" s="199">
        <v>1.3823123679345666E-2</v>
      </c>
      <c r="AA479" s="201">
        <v>1.3576197913547361E-2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42811</v>
      </c>
      <c r="Y480" s="198">
        <f>_xll.qlInterestRateIndexValueDate(IborIndex,X480,Trigger)</f>
        <v>42815</v>
      </c>
      <c r="Z480" s="199">
        <v>1.3841463813814838E-2</v>
      </c>
      <c r="AA480" s="201">
        <v>1.359472675624751E-2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42814</v>
      </c>
      <c r="Y481" s="198">
        <f>_xll.qlInterestRateIndexValueDate(IborIndex,X481,Trigger)</f>
        <v>42816</v>
      </c>
      <c r="Z481" s="199">
        <v>1.3878544301880232E-2</v>
      </c>
      <c r="AA481" s="201">
        <v>1.3632246824979433E-2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42815</v>
      </c>
      <c r="Y482" s="198">
        <f>_xll.qlInterestRateIndexValueDate(IborIndex,X482,Trigger)</f>
        <v>42817</v>
      </c>
      <c r="Z482" s="199">
        <v>1.388746890699788E-2</v>
      </c>
      <c r="AA482" s="201">
        <v>1.3668680724316928E-2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42816</v>
      </c>
      <c r="Y483" s="198">
        <f>_xll.qlInterestRateIndexValueDate(IborIndex,X483,Trigger)</f>
        <v>42818</v>
      </c>
      <c r="Z483" s="199">
        <v>1.3896387431097435E-2</v>
      </c>
      <c r="AA483" s="201">
        <v>1.3687128865571552E-2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42817</v>
      </c>
      <c r="Y484" s="198">
        <f>_xll.qlInterestRateIndexValueDate(IborIndex,X484,Trigger)</f>
        <v>42821</v>
      </c>
      <c r="Z484" s="199">
        <v>1.3951165867591351E-2</v>
      </c>
      <c r="AA484" s="201">
        <v>1.3705560866457134E-2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42818</v>
      </c>
      <c r="Y485" s="198">
        <f>_xll.qlInterestRateIndexValueDate(IborIndex,X485,Trigger)</f>
        <v>42822</v>
      </c>
      <c r="Z485" s="199">
        <v>1.3969393083671046E-2</v>
      </c>
      <c r="AA485" s="201">
        <v>1.3723976727133547E-2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42821</v>
      </c>
      <c r="Y486" s="198">
        <f>_xll.qlInterestRateIndexValueDate(IborIndex,X486,Trigger)</f>
        <v>42823</v>
      </c>
      <c r="Z486" s="199">
        <v>1.3978270439860552E-2</v>
      </c>
      <c r="AA486" s="201">
        <v>1.3761280649244867E-2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42822</v>
      </c>
      <c r="Y487" s="198">
        <f>_xll.qlInterestRateIndexValueDate(IborIndex,X487,Trigger)</f>
        <v>42824</v>
      </c>
      <c r="Z487" s="199">
        <v>1.3987141713747075E-2</v>
      </c>
      <c r="AA487" s="201">
        <v>1.3797478766548466E-2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42823</v>
      </c>
      <c r="Y488" s="198">
        <f>_xll.qlInterestRateIndexValueDate(IborIndex,X488,Trigger)</f>
        <v>42825</v>
      </c>
      <c r="Z488" s="199">
        <v>1.3996006905288334E-2</v>
      </c>
      <c r="AA488" s="201">
        <v>1.381581392561948E-2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42824</v>
      </c>
      <c r="Y489" s="198">
        <f>_xll.qlInterestRateIndexValueDate(IborIndex,X489,Trigger)</f>
        <v>42828</v>
      </c>
      <c r="Z489" s="199">
        <v>1.406912068017796E-2</v>
      </c>
      <c r="AA489" s="201">
        <v>1.3834132944401389E-2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42825</v>
      </c>
      <c r="Y490" s="198">
        <f>_xll.qlInterestRateIndexValueDate(IborIndex,X490,Trigger)</f>
        <v>42829</v>
      </c>
      <c r="Z490" s="199">
        <v>1.4087242331930483E-2</v>
      </c>
      <c r="AA490" s="201">
        <v>1.3852435822734321E-2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42828</v>
      </c>
      <c r="Y491" s="198">
        <f>_xll.qlInterestRateIndexValueDate(IborIndex,X491,Trigger)</f>
        <v>42830</v>
      </c>
      <c r="Z491" s="199">
        <v>1.4105347851406158E-2</v>
      </c>
      <c r="AA491" s="201">
        <v>1.3889523629480038E-2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42829</v>
      </c>
      <c r="Y492" s="198">
        <f>_xll.qlInterestRateIndexValueDate(IborIndex,X492,Trigger)</f>
        <v>42831</v>
      </c>
      <c r="Z492" s="199">
        <v>1.4141982298012945E-2</v>
      </c>
      <c r="AA492" s="201">
        <v>1.3925485933095061E-2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42830</v>
      </c>
      <c r="Y493" s="198">
        <f>_xll.qlInterestRateIndexValueDate(IborIndex,X493,Trigger)</f>
        <v>42832</v>
      </c>
      <c r="Z493" s="199">
        <v>1.4150777999269394E-2</v>
      </c>
      <c r="AA493" s="201">
        <v>1.3943708109902531E-2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42831</v>
      </c>
      <c r="Y494" s="198">
        <f>_xll.qlInterestRateIndexValueDate(IborIndex,X494,Trigger)</f>
        <v>42835</v>
      </c>
      <c r="Z494" s="199">
        <v>1.4195633462111168E-2</v>
      </c>
      <c r="AA494" s="201">
        <v>1.3961914146261023E-2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42832</v>
      </c>
      <c r="Y495" s="198">
        <f>_xll.qlInterestRateIndexValueDate(IborIndex,X495,Trigger)</f>
        <v>42836</v>
      </c>
      <c r="Z495" s="199">
        <v>1.4213642186409636E-2</v>
      </c>
      <c r="AA495" s="201">
        <v>1.4017510759158469E-2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42835</v>
      </c>
      <c r="Y496" s="198">
        <f>_xll.qlInterestRateIndexValueDate(IborIndex,X496,Trigger)</f>
        <v>42837</v>
      </c>
      <c r="Z496" s="199">
        <v>1.4231634777917002E-2</v>
      </c>
      <c r="AA496" s="201">
        <v>1.4070811417461471E-2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42836</v>
      </c>
      <c r="Y497" s="198">
        <f>_xll.qlInterestRateIndexValueDate(IborIndex,X497,Trigger)</f>
        <v>42838</v>
      </c>
      <c r="Z497" s="199">
        <v>1.4268053308641448E-2</v>
      </c>
      <c r="AA497" s="201">
        <v>1.4088904471396546E-2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42837</v>
      </c>
      <c r="Y498" s="198">
        <f>_xll.qlInterestRateIndexValueDate(IborIndex,X498,Trigger)</f>
        <v>42843</v>
      </c>
      <c r="Z498" s="199">
        <v>1.433925153445248E-2</v>
      </c>
      <c r="AA498" s="201">
        <v>1.410698138496258E-2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42838</v>
      </c>
      <c r="Y499" s="198">
        <f>_xll.qlInterestRateIndexValueDate(IborIndex,X499,Trigger)</f>
        <v>42844</v>
      </c>
      <c r="Z499" s="199">
        <v>1.4357131194445039E-2</v>
      </c>
      <c r="AA499" s="201">
        <v>1.4143637047814295E-2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42843</v>
      </c>
      <c r="Y500" s="198">
        <f>_xll.qlInterestRateIndexValueDate(IborIndex,X500,Trigger)</f>
        <v>42845</v>
      </c>
      <c r="Z500" s="199">
        <v>1.4393333827198151E-2</v>
      </c>
      <c r="AA500" s="201">
        <v>1.4179127635776112E-2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42844</v>
      </c>
      <c r="Y501" s="198">
        <f>_xll.qlInterestRateIndexValueDate(IborIndex,X501,Trigger)</f>
        <v>42846</v>
      </c>
      <c r="Z501" s="199">
        <v>1.4402006644867264E-2</v>
      </c>
      <c r="AA501" s="201">
        <v>1.419712384749694E-2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42845</v>
      </c>
      <c r="Y502" s="198">
        <f>_xll.qlInterestRateIndexValueDate(IborIndex,X502,Trigger)</f>
        <v>42849</v>
      </c>
      <c r="Z502" s="199">
        <v>1.4446287492511978E-2</v>
      </c>
      <c r="AA502" s="201">
        <v>1.4215103918928662E-2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42846</v>
      </c>
      <c r="Y503" s="198">
        <f>_xll.qlInterestRateIndexValueDate(IborIndex,X503,Trigger)</f>
        <v>42850</v>
      </c>
      <c r="Z503" s="199">
        <v>1.4464070351244196E-2</v>
      </c>
      <c r="AA503" s="201">
        <v>1.4233067849911407E-2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42849</v>
      </c>
      <c r="Y504" s="198">
        <f>_xll.qlInterestRateIndexValueDate(IborIndex,X504,Trigger)</f>
        <v>42851</v>
      </c>
      <c r="Z504" s="199">
        <v>1.4481837076180781E-2</v>
      </c>
      <c r="AA504" s="201">
        <v>1.427874640718807E-2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42850</v>
      </c>
      <c r="Y505" s="198">
        <f>_xll.qlInterestRateIndexValueDate(IborIndex,X505,Trigger)</f>
        <v>42852</v>
      </c>
      <c r="Z505" s="199">
        <v>1.4526934915163024E-2</v>
      </c>
      <c r="AA505" s="201">
        <v>1.4322645399209577E-2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42851</v>
      </c>
      <c r="Y506" s="198">
        <f>_xll.qlInterestRateIndexValueDate(IborIndex,X506,Trigger)</f>
        <v>42853</v>
      </c>
      <c r="Z506" s="199">
        <v>1.4544647278317382E-2</v>
      </c>
      <c r="AA506" s="201">
        <v>1.4340512487898138E-2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42852</v>
      </c>
      <c r="Y507" s="198">
        <f>_xll.qlInterestRateIndexValueDate(IborIndex,X507,Trigger)</f>
        <v>42857</v>
      </c>
      <c r="Z507" s="199">
        <v>1.4597181205971081E-2</v>
      </c>
      <c r="AA507" s="201">
        <v>1.4358363436297594E-2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42853</v>
      </c>
      <c r="Y508" s="198">
        <f>_xll.qlInterestRateIndexValueDate(IborIndex,X508,Trigger)</f>
        <v>42858</v>
      </c>
      <c r="Z508" s="199">
        <v>1.4632959378192726E-2</v>
      </c>
      <c r="AA508" s="201">
        <v>1.4394587059918251E-2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42857</v>
      </c>
      <c r="Y509" s="198">
        <f>_xll.qlInterestRateIndexValueDate(IborIndex,X509,Trigger)</f>
        <v>42859</v>
      </c>
      <c r="Z509" s="199">
        <v>1.4641515102316593E-2</v>
      </c>
      <c r="AA509" s="201">
        <v>1.4429605825485581E-2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42858</v>
      </c>
      <c r="Y510" s="198">
        <f>_xll.qlInterestRateIndexValueDate(IborIndex,X510,Trigger)</f>
        <v>42860</v>
      </c>
      <c r="Z510" s="199">
        <v>1.4650064718825061E-2</v>
      </c>
      <c r="AA510" s="201">
        <v>1.4447376071800022E-2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42859</v>
      </c>
      <c r="Y511" s="198">
        <f>_xll.qlInterestRateIndexValueDate(IborIndex,X511,Trigger)</f>
        <v>42863</v>
      </c>
      <c r="Z511" s="199">
        <v>1.470279035670659E-2</v>
      </c>
      <c r="AA511" s="201">
        <v>1.4465130177745422E-2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42860</v>
      </c>
      <c r="Y512" s="198">
        <f>_xll.qlInterestRateIndexValueDate(IborIndex,X512,Trigger)</f>
        <v>42864</v>
      </c>
      <c r="Z512" s="199">
        <v>1.4720329391055329E-2</v>
      </c>
      <c r="AA512" s="201">
        <v>1.4482868143161909E-2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42863</v>
      </c>
      <c r="Y513" s="198">
        <f>_xll.qlInterestRateIndexValueDate(IborIndex,X513,Trigger)</f>
        <v>42865</v>
      </c>
      <c r="Z513" s="199">
        <v>1.4755856993951998E-2</v>
      </c>
      <c r="AA513" s="201">
        <v>1.4518875782432161E-2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42864</v>
      </c>
      <c r="Y514" s="198">
        <f>_xll.qlInterestRateIndexValueDate(IborIndex,X514,Trigger)</f>
        <v>42866</v>
      </c>
      <c r="Z514" s="199">
        <v>1.4764348961875395E-2</v>
      </c>
      <c r="AA514" s="201">
        <v>1.455365860097757E-2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42865</v>
      </c>
      <c r="Y515" s="198">
        <f>_xll.qlInterestRateIndexValueDate(IborIndex,X515,Trigger)</f>
        <v>42867</v>
      </c>
      <c r="Z515" s="199">
        <v>1.4772834674350669E-2</v>
      </c>
      <c r="AA515" s="201">
        <v>1.4571315864388978E-2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42866</v>
      </c>
      <c r="Y516" s="198">
        <f>_xll.qlInterestRateIndexValueDate(IborIndex,X516,Trigger)</f>
        <v>42870</v>
      </c>
      <c r="Z516" s="199">
        <v>1.4825167300603796E-2</v>
      </c>
      <c r="AA516" s="201">
        <v>1.4588956987351409E-2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42867</v>
      </c>
      <c r="Y517" s="198">
        <f>_xll.qlInterestRateIndexValueDate(IborIndex,X517,Trigger)</f>
        <v>42871</v>
      </c>
      <c r="Z517" s="199">
        <v>1.4842572046127314E-2</v>
      </c>
      <c r="AA517" s="201">
        <v>1.4606581969864862E-2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42870</v>
      </c>
      <c r="Y518" s="198">
        <f>_xll.qlInterestRateIndexValueDate(IborIndex,X518,Trigger)</f>
        <v>42872</v>
      </c>
      <c r="Z518" s="199">
        <v>1.4877823653897015E-2</v>
      </c>
      <c r="AA518" s="201">
        <v>1.4642373645967766E-2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42871</v>
      </c>
      <c r="Y519" s="198">
        <f>_xll.qlInterestRateIndexValueDate(IborIndex,X519,Trigger)</f>
        <v>42873</v>
      </c>
      <c r="Z519" s="199">
        <v>1.488624747382733E-2</v>
      </c>
      <c r="AA519" s="201">
        <v>1.4676920495748647E-2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42872</v>
      </c>
      <c r="Y520" s="198">
        <f>_xll.qlInterestRateIndexValueDate(IborIndex,X520,Trigger)</f>
        <v>42874</v>
      </c>
      <c r="Z520" s="199">
        <v>1.4894664607975956E-2</v>
      </c>
      <c r="AA520" s="201">
        <v>1.4694464776177085E-2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42873</v>
      </c>
      <c r="Y521" s="198">
        <f>_xll.qlInterestRateIndexValueDate(IborIndex,X521,Trigger)</f>
        <v>42877</v>
      </c>
      <c r="Z521" s="199">
        <v>1.4946569730127288E-2</v>
      </c>
      <c r="AA521" s="201">
        <v>1.4711992916076611E-2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42874</v>
      </c>
      <c r="Y522" s="198">
        <f>_xll.qlInterestRateIndexValueDate(IborIndex,X522,Trigger)</f>
        <v>42878</v>
      </c>
      <c r="Z522" s="199">
        <v>1.4963828689207244E-2</v>
      </c>
      <c r="AA522" s="201">
        <v>1.4729504915607095E-2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42877</v>
      </c>
      <c r="Y523" s="198">
        <f>_xll.qlInterestRateIndexValueDate(IborIndex,X523,Trigger)</f>
        <v>42879</v>
      </c>
      <c r="Z523" s="199">
        <v>1.4998783742872427E-2</v>
      </c>
      <c r="AA523" s="201">
        <v>1.477411360125247E-2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42878</v>
      </c>
      <c r="Y524" s="198">
        <f>_xll.qlInterestRateIndexValueDate(IborIndex,X524,Trigger)</f>
        <v>42880</v>
      </c>
      <c r="Z524" s="199">
        <v>1.5007132665016965E-2</v>
      </c>
      <c r="AA524" s="201">
        <v>1.4816821595893259E-2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42879</v>
      </c>
      <c r="Y525" s="198">
        <f>_xll.qlInterestRateIndexValueDate(IborIndex,X525,Trigger)</f>
        <v>42881</v>
      </c>
      <c r="Z525" s="199">
        <v>1.5015474036375114E-2</v>
      </c>
      <c r="AA525" s="201">
        <v>1.4834229490459094E-2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42880</v>
      </c>
      <c r="Y526" s="198">
        <f>_xll.qlInterestRateIndexValueDate(IborIndex,X526,Trigger)</f>
        <v>42885</v>
      </c>
      <c r="Z526" s="199">
        <v>1.50840188352004E-2</v>
      </c>
      <c r="AA526" s="201">
        <v>1.4851613982305167E-2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42881</v>
      </c>
      <c r="Y527" s="198">
        <f>_xll.qlInterestRateIndexValueDate(IborIndex,X527,Trigger)</f>
        <v>42886</v>
      </c>
      <c r="Z527" s="199">
        <v>1.5092304243235155E-2</v>
      </c>
      <c r="AA527" s="201">
        <v>1.4886920526500091E-2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42885</v>
      </c>
      <c r="Y528" s="198">
        <f>_xll.qlInterestRateIndexValueDate(IborIndex,X528,Trigger)</f>
        <v>42887</v>
      </c>
      <c r="Z528" s="199">
        <v>1.5126926862196466E-2</v>
      </c>
      <c r="AA528" s="201">
        <v>1.4920917922651711E-2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42886</v>
      </c>
      <c r="Y529" s="198">
        <f>_xll.qlInterestRateIndexValueDate(IborIndex,X529,Trigger)</f>
        <v>42888</v>
      </c>
      <c r="Z529" s="199">
        <v>1.5135183528663047E-2</v>
      </c>
      <c r="AA529" s="201">
        <v>1.4938185400898973E-2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42887</v>
      </c>
      <c r="Y530" s="198">
        <f>_xll.qlInterestRateIndexValueDate(IborIndex,X530,Trigger)</f>
        <v>42891</v>
      </c>
      <c r="Z530" s="199">
        <v>1.5177399596425722E-2</v>
      </c>
      <c r="AA530" s="201">
        <v>1.495542947650641E-2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42888</v>
      </c>
      <c r="Y531" s="198">
        <f>_xll.qlInterestRateIndexValueDate(IborIndex,X531,Trigger)</f>
        <v>42892</v>
      </c>
      <c r="Z531" s="199">
        <v>1.5194348442757466E-2</v>
      </c>
      <c r="AA531" s="201">
        <v>1.4972650149314148E-2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42891</v>
      </c>
      <c r="Y532" s="198">
        <f>_xll.qlInterestRateIndexValueDate(IborIndex,X532,Trigger)</f>
        <v>42893</v>
      </c>
      <c r="Z532" s="199">
        <v>1.5211273880755272E-2</v>
      </c>
      <c r="AA532" s="201">
        <v>1.5007639078881141E-2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42892</v>
      </c>
      <c r="Y533" s="198">
        <f>_xll.qlInterestRateIndexValueDate(IborIndex,X533,Trigger)</f>
        <v>42894</v>
      </c>
      <c r="Z533" s="199">
        <v>1.5245578787196623E-2</v>
      </c>
      <c r="AA533" s="201">
        <v>1.5041298813347481E-2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42893</v>
      </c>
      <c r="Y534" s="198">
        <f>_xll.qlInterestRateIndexValueDate(IborIndex,X534,Trigger)</f>
        <v>42895</v>
      </c>
      <c r="Z534" s="199">
        <v>1.5253748522805692E-2</v>
      </c>
      <c r="AA534" s="201">
        <v>1.5058402472476473E-2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42894</v>
      </c>
      <c r="Y535" s="198">
        <f>_xll.qlInterestRateIndexValueDate(IborIndex,X535,Trigger)</f>
        <v>42898</v>
      </c>
      <c r="Z535" s="199">
        <v>1.529554994227933E-2</v>
      </c>
      <c r="AA535" s="201">
        <v>1.5075482728965639E-2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42895</v>
      </c>
      <c r="Y536" s="198">
        <f>_xll.qlInterestRateIndexValueDate(IborIndex,X536,Trigger)</f>
        <v>42899</v>
      </c>
      <c r="Z536" s="199">
        <v>1.5312334928197835E-2</v>
      </c>
      <c r="AA536" s="201">
        <v>1.5092539582655107E-2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42902</v>
      </c>
      <c r="Y537" s="198">
        <f>_xll.qlInterestRateIndexValueDate(IborIndex,X537,Trigger)</f>
        <v>42906</v>
      </c>
      <c r="Z537" s="199">
        <v>1.5429174371499599E-2</v>
      </c>
      <c r="AA537" s="201">
        <v>1.5211282281129002E-2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42909</v>
      </c>
      <c r="Y538" s="198">
        <f>_xll.qlInterestRateIndexValueDate(IborIndex,X538,Trigger)</f>
        <v>42913</v>
      </c>
      <c r="Z538" s="199">
        <v>1.5544866739177543E-2</v>
      </c>
      <c r="AA538" s="201">
        <v>1.53288782437766E-2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42916</v>
      </c>
      <c r="Y539" s="198">
        <f>_xll.qlInterestRateIndexValueDate(IborIndex,X539,Trigger)</f>
        <v>42921</v>
      </c>
      <c r="Z539" s="199">
        <v>1.5700885098430817E-2</v>
      </c>
      <c r="AA539" s="201">
        <v>1.547904576035819E-2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42923</v>
      </c>
      <c r="Y540" s="198">
        <f>_xll.qlInterestRateIndexValueDate(IborIndex,X540,Trigger)</f>
        <v>42927</v>
      </c>
      <c r="Z540" s="199">
        <v>1.5781152258405828E-2</v>
      </c>
      <c r="AA540" s="201">
        <v>1.5560629956716809E-2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42930</v>
      </c>
      <c r="Y541" s="198">
        <f>_xll.qlInterestRateIndexValueDate(IborIndex,X541,Trigger)</f>
        <v>42934</v>
      </c>
      <c r="Z541" s="199">
        <v>1.5893326190107915E-2</v>
      </c>
      <c r="AA541" s="201">
        <v>1.5674785704851146E-2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42937</v>
      </c>
      <c r="Y542" s="198">
        <f>_xll.qlInterestRateIndexValueDate(IborIndex,X542,Trigger)</f>
        <v>42941</v>
      </c>
      <c r="Z542" s="199">
        <v>1.6004352897187601E-2</v>
      </c>
      <c r="AA542" s="201">
        <v>1.5787794712602832E-2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42944</v>
      </c>
      <c r="Y543" s="198">
        <f>_xll.qlInterestRateIndexValueDate(IborIndex,X543,Trigger)</f>
        <v>42948</v>
      </c>
      <c r="Z543" s="199">
        <v>1.6114232346765386E-2</v>
      </c>
      <c r="AA543" s="201">
        <v>1.5899656978852761E-2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42951</v>
      </c>
      <c r="Y544" s="198">
        <f>_xll.qlInterestRateIndexValueDate(IborIndex,X544,Trigger)</f>
        <v>42955</v>
      </c>
      <c r="Z544" s="199">
        <v>1.6222964506296983E-2</v>
      </c>
      <c r="AA544" s="201">
        <v>1.6010372502641701E-2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42958</v>
      </c>
      <c r="Y545" s="198">
        <f>_xll.qlInterestRateIndexValueDate(IborIndex,X545,Trigger)</f>
        <v>42962</v>
      </c>
      <c r="Z545" s="199">
        <v>1.6330549343588782E-2</v>
      </c>
      <c r="AA545" s="201">
        <v>1.6119941282930483E-2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42965</v>
      </c>
      <c r="Y546" s="198">
        <f>_xll.qlInterestRateIndexValueDate(IborIndex,X546,Trigger)</f>
        <v>42969</v>
      </c>
      <c r="Z546" s="199">
        <v>1.6436986826774663E-2</v>
      </c>
      <c r="AA546" s="201">
        <v>1.6228363318520067E-2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42972</v>
      </c>
      <c r="Y547" s="198">
        <f>_xll.qlInterestRateIndexValueDate(IborIndex,X547,Trigger)</f>
        <v>42977</v>
      </c>
      <c r="Z547" s="199">
        <v>1.6549433080864873E-2</v>
      </c>
      <c r="AA547" s="201">
        <v>1.6366814297441579E-2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42979</v>
      </c>
      <c r="Y548" s="198">
        <f>_xll.qlInterestRateIndexValueDate(IborIndex,X548,Trigger)</f>
        <v>42983</v>
      </c>
      <c r="Z548" s="199">
        <v>1.6638694124837095E-2</v>
      </c>
      <c r="AA548" s="201">
        <v>1.6441767151844644E-2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42986</v>
      </c>
      <c r="Y549" s="198">
        <f>_xll.qlInterestRateIndexValueDate(IborIndex,X549,Trigger)</f>
        <v>42990</v>
      </c>
      <c r="Z549" s="199">
        <v>1.6741766544615011E-2</v>
      </c>
      <c r="AA549" s="201">
        <v>1.6546748947421364E-2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42993</v>
      </c>
      <c r="Y550" s="198">
        <f>_xll.qlInterestRateIndexValueDate(IborIndex,X550,Trigger)</f>
        <v>42997</v>
      </c>
      <c r="Z550" s="199">
        <v>1.6843691512582026E-2</v>
      </c>
      <c r="AA550" s="201">
        <v>1.6650583994302082E-2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43000</v>
      </c>
      <c r="Y551" s="198">
        <f>_xll.qlInterestRateIndexValueDate(IborIndex,X551,Trigger)</f>
        <v>43004</v>
      </c>
      <c r="Z551" s="199">
        <v>1.6944468999521511E-2</v>
      </c>
      <c r="AA551" s="201">
        <v>1.6753272291527566E-2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43007</v>
      </c>
      <c r="Y552" s="198">
        <f>_xll.qlInterestRateIndexValueDate(IborIndex,X552,Trigger)</f>
        <v>43011</v>
      </c>
      <c r="Z552" s="199">
        <v>1.7051515548222578E-2</v>
      </c>
      <c r="AA552" s="201">
        <v>1.6854813838058647E-2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43014</v>
      </c>
      <c r="Y553" s="198">
        <f>_xll.qlInterestRateIndexValueDate(IborIndex,X553,Trigger)</f>
        <v>43018</v>
      </c>
      <c r="Z553" s="199">
        <v>1.7171895693675315E-2</v>
      </c>
      <c r="AA553" s="201">
        <v>1.6955208633016028E-2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43021</v>
      </c>
      <c r="Y554" s="198">
        <f>_xll.qlInterestRateIndexValueDate(IborIndex,X554,Trigger)</f>
        <v>43025</v>
      </c>
      <c r="Z554" s="199">
        <v>1.724717823316194E-2</v>
      </c>
      <c r="AA554" s="201">
        <v>1.7054456675360541E-2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43028</v>
      </c>
      <c r="Y555" s="198">
        <f>_xll.qlInterestRateIndexValueDate(IborIndex,X555,Trigger)</f>
        <v>43032</v>
      </c>
      <c r="Z555" s="199">
        <v>1.7343288151670827E-2</v>
      </c>
      <c r="AA555" s="201">
        <v>1.7152557964132953E-2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43035</v>
      </c>
      <c r="Y556" s="198">
        <f>_xll.qlInterestRateIndexValueDate(IborIndex,X556,Trigger)</f>
        <v>43039</v>
      </c>
      <c r="Z556" s="199">
        <v>1.7431143219421408E-2</v>
      </c>
      <c r="AA556" s="201">
        <v>1.7249512498453967E-2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43042</v>
      </c>
      <c r="Y557" s="198">
        <f>_xll.qlInterestRateIndexValueDate(IborIndex,X557,Trigger)</f>
        <v>43046</v>
      </c>
      <c r="Z557" s="199">
        <v>1.7525035225157026E-2</v>
      </c>
      <c r="AA557" s="201">
        <v>1.7345320277284415E-2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43049</v>
      </c>
      <c r="Y558" s="198">
        <f>_xll.qlInterestRateIndexValueDate(IborIndex,X558,Trigger)</f>
        <v>43053</v>
      </c>
      <c r="Z558" s="199">
        <v>1.761777955458399E-2</v>
      </c>
      <c r="AA558" s="201">
        <v>1.7439981299904872E-2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43056</v>
      </c>
      <c r="Y559" s="198">
        <f>_xll.qlInterestRateIndexValueDate(IborIndex,X559,Trigger)</f>
        <v>43060</v>
      </c>
      <c r="Z559" s="199">
        <v>1.770937618111823E-2</v>
      </c>
      <c r="AA559" s="201">
        <v>1.7533495565196233E-2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43063</v>
      </c>
      <c r="Y560" s="198">
        <f>_xll.qlInterestRateIndexValueDate(IborIndex,X560,Trigger)</f>
        <v>43067</v>
      </c>
      <c r="Z560" s="199">
        <v>1.7799825078508746E-2</v>
      </c>
      <c r="AA560" s="201">
        <v>1.7625863072439074E-2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43070</v>
      </c>
      <c r="Y561" s="198">
        <f>_xll.qlInterestRateIndexValueDate(IborIndex,X561,Trigger)</f>
        <v>43074</v>
      </c>
      <c r="Z561" s="199">
        <v>1.7895845955412919E-2</v>
      </c>
      <c r="AA561" s="201">
        <v>1.7717083820674162E-2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43077</v>
      </c>
      <c r="Y562" s="198">
        <f>_xll.qlInterestRateIndexValueDate(IborIndex,X562,Trigger)</f>
        <v>43081</v>
      </c>
      <c r="Z562" s="199">
        <v>1.7983921716912453E-2</v>
      </c>
      <c r="AA562" s="201">
        <v>1.7807157808942264E-2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43084</v>
      </c>
      <c r="Y563" s="198">
        <f>_xll.qlInterestRateIndexValueDate(IborIndex,X563,Trigger)</f>
        <v>43088</v>
      </c>
      <c r="Z563" s="199">
        <v>1.8070849634630674E-2</v>
      </c>
      <c r="AA563" s="201">
        <v>1.7896085036603893E-2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43091</v>
      </c>
      <c r="Y564" s="198">
        <f>_xll.qlInterestRateIndexValueDate(IborIndex,X564,Trigger)</f>
        <v>43097</v>
      </c>
      <c r="Z564" s="199">
        <v>1.8187384861742817E-2</v>
      </c>
      <c r="AA564" s="201">
        <v>1.8045863736046996E-2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43098</v>
      </c>
      <c r="Y565" s="198">
        <f>_xll.qlInterestRateIndexValueDate(IborIndex,X565,Trigger)</f>
        <v>43103</v>
      </c>
      <c r="Z565" s="199">
        <v>1.8266032851609024E-2</v>
      </c>
      <c r="AA565" s="201">
        <v>1.8095942805311793E-2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43105</v>
      </c>
      <c r="Y566" s="198">
        <f>_xll.qlInterestRateIndexValueDate(IborIndex,X566,Trigger)</f>
        <v>43109</v>
      </c>
      <c r="Z566" s="199">
        <v>1.8324746069340744E-2</v>
      </c>
      <c r="AA566" s="201">
        <v>1.8155986146437542E-2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43112</v>
      </c>
      <c r="Y567" s="198">
        <f>_xll.qlInterestRateIndexValueDate(IborIndex,X567,Trigger)</f>
        <v>43116</v>
      </c>
      <c r="Z567" s="199">
        <v>1.8407082357873708E-2</v>
      </c>
      <c r="AA567" s="201">
        <v>1.8240326322720435E-2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43119</v>
      </c>
      <c r="Y568" s="198">
        <f>_xll.qlInterestRateIndexValueDate(IborIndex,X568,Trigger)</f>
        <v>43123</v>
      </c>
      <c r="Z568" s="199">
        <v>1.8488270677295936E-2</v>
      </c>
      <c r="AA568" s="201">
        <v>1.8323519734080307E-2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43126</v>
      </c>
      <c r="Y569" s="198">
        <f>_xll.qlInterestRateIndexValueDate(IborIndex,X569,Trigger)</f>
        <v>43130</v>
      </c>
      <c r="Z569" s="199">
        <v>1.8556108130829647E-2</v>
      </c>
      <c r="AA569" s="201">
        <v>1.8405566379797733E-2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43133</v>
      </c>
      <c r="Y570" s="198">
        <f>_xll.qlInterestRateIndexValueDate(IborIndex,X570,Trigger)</f>
        <v>43137</v>
      </c>
      <c r="Z570" s="199">
        <v>1.8629121940132758E-2</v>
      </c>
      <c r="AA570" s="201">
        <v>1.8486466259073353E-2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43140</v>
      </c>
      <c r="Y571" s="198">
        <f>_xll.qlInterestRateIndexValueDate(IborIndex,X571,Trigger)</f>
        <v>43144</v>
      </c>
      <c r="Z571" s="199">
        <v>1.8707100098003564E-2</v>
      </c>
      <c r="AA571" s="201">
        <v>1.856621937102787E-2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43147</v>
      </c>
      <c r="Y572" s="198">
        <f>_xll.qlInterestRateIndexValueDate(IborIndex,X572,Trigger)</f>
        <v>43151</v>
      </c>
      <c r="Z572" s="199">
        <v>1.878393032647141E-2</v>
      </c>
      <c r="AA572" s="201">
        <v>1.8644825715101732E-2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43154</v>
      </c>
      <c r="Y573" s="198">
        <f>_xll.qlInterestRateIndexValueDate(IborIndex,X573,Trigger)</f>
        <v>43158</v>
      </c>
      <c r="Z573" s="199">
        <v>1.8859612604981306E-2</v>
      </c>
      <c r="AA573" s="201">
        <v>1.8722285290415641E-2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43161</v>
      </c>
      <c r="Y574" s="198">
        <f>_xll.qlInterestRateIndexValueDate(IborIndex,X574,Trigger)</f>
        <v>43165</v>
      </c>
      <c r="Z574" s="199">
        <v>1.8951291919598125E-2</v>
      </c>
      <c r="AA574" s="201">
        <v>1.8798598096170238E-2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43168</v>
      </c>
      <c r="Y575" s="198">
        <f>_xll.qlInterestRateIndexValueDate(IborIndex,X575,Trigger)</f>
        <v>43172</v>
      </c>
      <c r="Z575" s="199">
        <v>1.9024443800942765E-2</v>
      </c>
      <c r="AA575" s="201">
        <v>1.887376413180597E-2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43175</v>
      </c>
      <c r="Y576" s="198">
        <f>_xll.qlInterestRateIndexValueDate(IborIndex,X576,Trigger)</f>
        <v>43179</v>
      </c>
      <c r="Z576" s="199">
        <v>1.9096447530316484E-2</v>
      </c>
      <c r="AA576" s="201">
        <v>1.894778339644354E-2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43182</v>
      </c>
      <c r="Y577" s="198">
        <f>_xll.qlInterestRateIndexValueDate(IborIndex,X577,Trigger)</f>
        <v>43186</v>
      </c>
      <c r="Z577" s="199">
        <v>1.9167303086389254E-2</v>
      </c>
      <c r="AA577" s="201">
        <v>1.9043256944614839E-2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43193</v>
      </c>
      <c r="Y578" s="198">
        <f>_xll.qlInterestRateIndexValueDate(IborIndex,X578,Trigger)</f>
        <v>43195</v>
      </c>
      <c r="Z578" s="199">
        <v>1.9267439080637289E-2</v>
      </c>
      <c r="AA578" s="201">
        <v>1.9132852858598781E-2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43200</v>
      </c>
      <c r="Y579" s="198">
        <f>_xll.qlInterestRateIndexValueDate(IborIndex,X579,Trigger)</f>
        <v>43202</v>
      </c>
      <c r="Z579" s="199">
        <v>1.9330233863456836E-2</v>
      </c>
      <c r="AA579" s="201">
        <v>1.9202776507070141E-2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43207</v>
      </c>
      <c r="Y580" s="198">
        <f>_xll.qlInterestRateIndexValueDate(IborIndex,X580,Trigger)</f>
        <v>43209</v>
      </c>
      <c r="Z580" s="199">
        <v>1.9397238286691654E-2</v>
      </c>
      <c r="AA580" s="201">
        <v>1.9271553381505768E-2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43214</v>
      </c>
      <c r="Y581" s="198">
        <f>_xll.qlInterestRateIndexValueDate(IborIndex,X581,Trigger)</f>
        <v>43216</v>
      </c>
      <c r="Z581" s="199">
        <v>1.9468217055847701E-2</v>
      </c>
      <c r="AA581" s="201">
        <v>1.933918348118624E-2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43221</v>
      </c>
      <c r="Y582" s="198">
        <f>_xll.qlInterestRateIndexValueDate(IborIndex,X582,Trigger)</f>
        <v>43223</v>
      </c>
      <c r="Z582" s="199">
        <v>1.9527821449417115E-2</v>
      </c>
      <c r="AA582" s="201">
        <v>1.9415070808967982E-2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43228</v>
      </c>
      <c r="Y583" s="198">
        <f>_xll.qlInterestRateIndexValueDate(IborIndex,X583,Trigger)</f>
        <v>43230</v>
      </c>
      <c r="Z583" s="199">
        <v>1.959155762639081E-2</v>
      </c>
      <c r="AA583" s="201">
        <v>1.9471003353883631E-2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43235</v>
      </c>
      <c r="Y584" s="198">
        <f>_xll.qlInterestRateIndexValueDate(IborIndex,X584,Trigger)</f>
        <v>43237</v>
      </c>
      <c r="Z584" s="199">
        <v>1.9654486443283214E-2</v>
      </c>
      <c r="AA584" s="201">
        <v>1.9535193125541639E-2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43242</v>
      </c>
      <c r="Y585" s="198">
        <f>_xll.qlInterestRateIndexValueDate(IborIndex,X585,Trigger)</f>
        <v>43244</v>
      </c>
      <c r="Z585" s="199">
        <v>1.971679150789829E-2</v>
      </c>
      <c r="AA585" s="201">
        <v>1.9607151497842423E-2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43249</v>
      </c>
      <c r="Y586" s="198">
        <f>_xll.qlInterestRateIndexValueDate(IborIndex,X586,Trigger)</f>
        <v>43251</v>
      </c>
      <c r="Z586" s="199">
        <v>1.9763848871512158E-2</v>
      </c>
      <c r="AA586" s="201">
        <v>1.9660494324957867E-2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43256</v>
      </c>
      <c r="Y587" s="198">
        <f>_xll.qlInterestRateIndexValueDate(IborIndex,X587,Trigger)</f>
        <v>43258</v>
      </c>
      <c r="Z587" s="199">
        <v>1.9840199787928281E-2</v>
      </c>
      <c r="AA587" s="201">
        <v>1.9722440890435067E-2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43263</v>
      </c>
      <c r="Y588" s="198">
        <f>_xll.qlInterestRateIndexValueDate(IborIndex,X588,Trigger)</f>
        <v>43265</v>
      </c>
      <c r="Z588" s="199">
        <v>1.9901434864212919E-2</v>
      </c>
      <c r="AA588" s="201">
        <v>1.9784078666518212E-2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43270</v>
      </c>
      <c r="Y589" s="198">
        <f>_xll.qlInterestRateIndexValueDate(IborIndex,X589,Trigger)</f>
        <v>43272</v>
      </c>
      <c r="Z589" s="199">
        <v>1.9962360942245572E-2</v>
      </c>
      <c r="AA589" s="201">
        <v>1.9845407653127367E-2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43277</v>
      </c>
      <c r="Y590" s="198">
        <f>_xll.qlInterestRateIndexValueDate(IborIndex,X590,Trigger)</f>
        <v>43279</v>
      </c>
      <c r="Z590" s="199">
        <v>2.0022978017012749E-2</v>
      </c>
      <c r="AA590" s="201">
        <v>1.9906427850102659E-2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43284</v>
      </c>
      <c r="Y591" s="198">
        <f>_xll.qlInterestRateIndexValueDate(IborIndex,X591,Trigger)</f>
        <v>43286</v>
      </c>
      <c r="Z591" s="199">
        <v>2.0083286083525942E-2</v>
      </c>
      <c r="AA591" s="201">
        <v>1.9967139257124344E-2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43291</v>
      </c>
      <c r="Y592" s="198">
        <f>_xll.qlInterestRateIndexValueDate(IborIndex,X592,Trigger)</f>
        <v>43293</v>
      </c>
      <c r="Z592" s="199">
        <v>2.014328513682162E-2</v>
      </c>
      <c r="AA592" s="201">
        <v>2.0027541874192423E-2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43298</v>
      </c>
      <c r="Y593" s="198">
        <f>_xll.qlInterestRateIndexValueDate(IborIndex,X593,Trigger)</f>
        <v>43300</v>
      </c>
      <c r="Z593" s="199">
        <v>2.0202975171958737E-2</v>
      </c>
      <c r="AA593" s="201">
        <v>2.0087635701147022E-2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43305</v>
      </c>
      <c r="Y594" s="198">
        <f>_xll.qlInterestRateIndexValueDate(IborIndex,X594,Trigger)</f>
        <v>43307</v>
      </c>
      <c r="Z594" s="199">
        <v>2.0267138894123349E-2</v>
      </c>
      <c r="AA594" s="201">
        <v>2.014742073782827E-2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43312</v>
      </c>
      <c r="Y595" s="198">
        <f>_xll.qlInterestRateIndexValueDate(IborIndex,X595,Trigger)</f>
        <v>43314</v>
      </c>
      <c r="Z595" s="199">
        <v>2.0326192130741626E-2</v>
      </c>
      <c r="AA595" s="201">
        <v>2.0206896983916423E-2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43319</v>
      </c>
      <c r="Y596" s="198">
        <f>_xll.qlInterestRateIndexValueDate(IborIndex,X596,Trigger)</f>
        <v>43321</v>
      </c>
      <c r="Z596" s="199">
        <v>2.0380191119417912E-2</v>
      </c>
      <c r="AA596" s="201">
        <v>2.0266064439491416E-2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43326</v>
      </c>
      <c r="Y597" s="198">
        <f>_xll.qlInterestRateIndexValueDate(IborIndex,X597,Trigger)</f>
        <v>43328</v>
      </c>
      <c r="Z597" s="199">
        <v>2.0438645033044878E-2</v>
      </c>
      <c r="AA597" s="201">
        <v>2.0324923104313442E-2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43333</v>
      </c>
      <c r="Y598" s="198">
        <f>_xll.qlInterestRateIndexValueDate(IborIndex,X598,Trigger)</f>
        <v>43335</v>
      </c>
      <c r="Z598" s="199">
        <v>2.0496789904202728E-2</v>
      </c>
      <c r="AA598" s="201">
        <v>2.0391812038464963E-2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43340</v>
      </c>
      <c r="Y599" s="198">
        <f>_xll.qlInterestRateIndexValueDate(IborIndex,X599,Trigger)</f>
        <v>43342</v>
      </c>
      <c r="Z599" s="199">
        <v>2.0540549385328725E-2</v>
      </c>
      <c r="AA599" s="201">
        <v>2.0441714060979166E-2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43347</v>
      </c>
      <c r="Y600" s="198">
        <f>_xll.qlInterestRateIndexValueDate(IborIndex,X600,Trigger)</f>
        <v>43349</v>
      </c>
      <c r="Z600" s="199">
        <v>2.0616822599770695E-2</v>
      </c>
      <c r="AA600" s="201">
        <v>2.0499646352583056E-2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43354</v>
      </c>
      <c r="Y601" s="198">
        <f>_xll.qlInterestRateIndexValueDate(IborIndex,X601,Trigger)</f>
        <v>43356</v>
      </c>
      <c r="Z601" s="199">
        <v>2.0669370215119776E-2</v>
      </c>
      <c r="AA601" s="201">
        <v>2.0557269852874427E-2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43361</v>
      </c>
      <c r="Y602" s="198">
        <f>_xll.qlInterestRateIndexValueDate(IborIndex,X602,Trigger)</f>
        <v>43363</v>
      </c>
      <c r="Z602" s="199">
        <v>2.072627886878925E-2</v>
      </c>
      <c r="AA602" s="201">
        <v>2.0614584561533533E-2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43368</v>
      </c>
      <c r="Y603" s="198">
        <f>_xll.qlInterestRateIndexValueDate(IborIndex,X603,Trigger)</f>
        <v>43370</v>
      </c>
      <c r="Z603" s="199">
        <v>2.0782878456311049E-2</v>
      </c>
      <c r="AA603" s="201">
        <v>2.0671590478560375E-2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43375</v>
      </c>
      <c r="Y604" s="198">
        <f>_xll.qlInterestRateIndexValueDate(IborIndex,X604,Trigger)</f>
        <v>43377</v>
      </c>
      <c r="Z604" s="199">
        <v>2.0839168973026401E-2</v>
      </c>
      <c r="AA604" s="201">
        <v>2.0728287603875017E-2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43382</v>
      </c>
      <c r="Y605" s="198">
        <f>_xll.qlInterestRateIndexValueDate(IborIndex,X605,Trigger)</f>
        <v>43384</v>
      </c>
      <c r="Z605" s="199">
        <v>2.0899726428798004E-2</v>
      </c>
      <c r="AA605" s="201">
        <v>2.0784675937157715E-2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43389</v>
      </c>
      <c r="Y606" s="198">
        <f>_xll.qlInterestRateIndexValueDate(IborIndex,X606,Trigger)</f>
        <v>43391</v>
      </c>
      <c r="Z606" s="199">
        <v>2.0950822775530065E-2</v>
      </c>
      <c r="AA606" s="201">
        <v>2.0840755478408468E-2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43396</v>
      </c>
      <c r="Y607" s="198">
        <f>_xll.qlInterestRateIndexValueDate(IborIndex,X607,Trigger)</f>
        <v>43398</v>
      </c>
      <c r="Z607" s="199">
        <v>2.1006186052130726E-2</v>
      </c>
      <c r="AA607" s="201">
        <v>2.0896526227307533E-2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43403</v>
      </c>
      <c r="Y608" s="198">
        <f>_xll.qlInterestRateIndexValueDate(IborIndex,X608,Trigger)</f>
        <v>43405</v>
      </c>
      <c r="Z608" s="199">
        <v>2.1061240239539647E-2</v>
      </c>
      <c r="AA608" s="201">
        <v>2.0951988183934844E-2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43410</v>
      </c>
      <c r="Y609" s="198">
        <f>_xll.qlInterestRateIndexValueDate(IborIndex,X609,Trigger)</f>
        <v>43412</v>
      </c>
      <c r="Z609" s="199">
        <v>2.1115985333227949E-2</v>
      </c>
      <c r="AA609" s="201">
        <v>2.1007141347890723E-2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43417</v>
      </c>
      <c r="Y610" s="198">
        <f>_xll.qlInterestRateIndexValueDate(IborIndex,X610,Trigger)</f>
        <v>43419</v>
      </c>
      <c r="Z610" s="199">
        <v>2.1170421328691735E-2</v>
      </c>
      <c r="AA610" s="201">
        <v>2.1061985719335041E-2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43424</v>
      </c>
      <c r="Y611" s="198">
        <f>_xll.qlInterestRateIndexValueDate(IborIndex,X611,Trigger)</f>
        <v>43427</v>
      </c>
      <c r="Z611" s="199">
        <v>2.1227793681884665E-2</v>
      </c>
      <c r="AA611" s="201">
        <v>2.1124286887239663E-2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43431</v>
      </c>
      <c r="Y612" s="198">
        <f>_xll.qlInterestRateIndexValueDate(IborIndex,X612,Trigger)</f>
        <v>43433</v>
      </c>
      <c r="Z612" s="199">
        <v>2.1278366007035088E-2</v>
      </c>
      <c r="AA612" s="201">
        <v>2.1170748083489954E-2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43438</v>
      </c>
      <c r="Y613" s="198">
        <f>_xll.qlInterestRateIndexValueDate(IborIndex,X613,Trigger)</f>
        <v>43440</v>
      </c>
      <c r="Z613" s="199">
        <v>2.1331874681031759E-2</v>
      </c>
      <c r="AA613" s="201">
        <v>2.1224666075960741E-2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43445</v>
      </c>
      <c r="Y614" s="198">
        <f>_xll.qlInterestRateIndexValueDate(IborIndex,X614,Trigger)</f>
        <v>43447</v>
      </c>
      <c r="Z614" s="199">
        <v>2.1385074239030633E-2</v>
      </c>
      <c r="AA614" s="201">
        <v>2.1278275275280478E-2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43452</v>
      </c>
      <c r="Y615" s="198">
        <f>_xll.qlInterestRateIndexValueDate(IborIndex,X615,Trigger)</f>
        <v>43454</v>
      </c>
      <c r="Z615" s="199">
        <v>2.1442351781724964E-2</v>
      </c>
      <c r="AA615" s="201">
        <v>2.134042763008992E-2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43461</v>
      </c>
      <c r="Y616" s="198">
        <f>_xll.qlInterestRateIndexValueDate(IborIndex,X616,Trigger)</f>
        <v>43465</v>
      </c>
      <c r="Z616" s="199">
        <v>2.1516094704921388E-2</v>
      </c>
      <c r="AA616" s="201">
        <v>2.1407183455970369E-2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43468</v>
      </c>
      <c r="Y617" s="198">
        <f>_xll.qlInterestRateIndexValueDate(IborIndex,X617,Trigger)</f>
        <v>43472</v>
      </c>
      <c r="Z617" s="199">
        <v>2.1568209206979678E-2</v>
      </c>
      <c r="AA617" s="201">
        <v>2.1452245629083322E-2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43475</v>
      </c>
      <c r="Y618" s="198">
        <f>_xll.qlInterestRateIndexValueDate(IborIndex,X618,Trigger)</f>
        <v>43479</v>
      </c>
      <c r="Z618" s="199">
        <v>2.1620014584551962E-2</v>
      </c>
      <c r="AA618" s="201">
        <v>2.1504531427254392E-2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43482</v>
      </c>
      <c r="Y619" s="198">
        <f>_xll.qlInterestRateIndexValueDate(IborIndex,X619,Trigger)</f>
        <v>43487</v>
      </c>
      <c r="Z619" s="199">
        <v>2.1678842205264767E-2</v>
      </c>
      <c r="AA619" s="201">
        <v>2.1563908510104923E-2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43489</v>
      </c>
      <c r="Y620" s="198">
        <f>_xll.qlInterestRateIndexValueDate(IborIndex,X620,Trigger)</f>
        <v>43493</v>
      </c>
      <c r="Z620" s="199">
        <v>2.1722697949725259E-2</v>
      </c>
      <c r="AA620" s="201">
        <v>2.1608176641665366E-2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43496</v>
      </c>
      <c r="Y621" s="198">
        <f>_xll.qlInterestRateIndexValueDate(IborIndex,X621,Trigger)</f>
        <v>43500</v>
      </c>
      <c r="Z621" s="199">
        <v>2.1760774037596114E-2</v>
      </c>
      <c r="AA621" s="201">
        <v>2.1659536057505591E-2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43503</v>
      </c>
      <c r="Y622" s="198">
        <f>_xll.qlInterestRateIndexValueDate(IborIndex,X622,Trigger)</f>
        <v>43507</v>
      </c>
      <c r="Z622" s="199">
        <v>2.1811399936934515E-2</v>
      </c>
      <c r="AA622" s="201">
        <v>2.1710586679075661E-2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43510</v>
      </c>
      <c r="Y623" s="198">
        <f>_xll.qlInterestRateIndexValueDate(IborIndex,X623,Trigger)</f>
        <v>43515</v>
      </c>
      <c r="Z623" s="199">
        <v>2.1868879606467155E-2</v>
      </c>
      <c r="AA623" s="201">
        <v>2.1768552130954077E-2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43517</v>
      </c>
      <c r="Y624" s="198">
        <f>_xll.qlInterestRateIndexValueDate(IborIndex,X624,Trigger)</f>
        <v>43521</v>
      </c>
      <c r="Z624" s="199">
        <v>2.1911724404710675E-2</v>
      </c>
      <c r="AA624" s="201">
        <v>2.1811761538685914E-2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43524</v>
      </c>
      <c r="Y625" s="198">
        <f>_xll.qlInterestRateIndexValueDate(IborIndex,X625,Trigger)</f>
        <v>43528</v>
      </c>
      <c r="Z625" s="199">
        <v>2.1973996397933272E-2</v>
      </c>
      <c r="AA625" s="201">
        <v>2.1861885776406353E-2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43531</v>
      </c>
      <c r="Y626" s="198">
        <f>_xll.qlInterestRateIndexValueDate(IborIndex,X626,Trigger)</f>
        <v>43535</v>
      </c>
      <c r="Z626" s="199">
        <v>2.202332863293224E-2</v>
      </c>
      <c r="AA626" s="201">
        <v>2.1911701219297086E-2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43538</v>
      </c>
      <c r="Y627" s="198">
        <f>_xll.qlInterestRateIndexValueDate(IborIndex,X627,Trigger)</f>
        <v>43542</v>
      </c>
      <c r="Z627" s="199">
        <v>2.2072351707149072E-2</v>
      </c>
      <c r="AA627" s="201">
        <v>2.196120786719824E-2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43545</v>
      </c>
      <c r="Y628" s="198">
        <f>_xll.qlInterestRateIndexValueDate(IborIndex,X628,Trigger)</f>
        <v>43549</v>
      </c>
      <c r="Z628" s="199">
        <v>2.2121065616672059E-2</v>
      </c>
      <c r="AA628" s="201">
        <v>2.2010405719870008E-2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43552</v>
      </c>
      <c r="Y629" s="198">
        <f>_xll.qlInterestRateIndexValueDate(IborIndex,X629,Trigger)</f>
        <v>43556</v>
      </c>
      <c r="Z629" s="199">
        <v>2.216535721702062E-2</v>
      </c>
      <c r="AA629" s="201">
        <v>2.2059294777392324E-2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43559</v>
      </c>
      <c r="Y630" s="198">
        <f>_xll.qlInterestRateIndexValueDate(IborIndex,X630,Trigger)</f>
        <v>43563</v>
      </c>
      <c r="Z630" s="199">
        <v>2.221347190645595E-2</v>
      </c>
      <c r="AA630" s="201">
        <v>2.2107875039525382E-2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43566</v>
      </c>
      <c r="Y631" s="198">
        <f>_xll.qlInterestRateIndexValueDate(IborIndex,X631,Trigger)</f>
        <v>43570</v>
      </c>
      <c r="Z631" s="199">
        <v>2.2261277432567006E-2</v>
      </c>
      <c r="AA631" s="201">
        <v>2.2156146506109309E-2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43573</v>
      </c>
      <c r="Y632" s="198">
        <f>_xll.qlInterestRateIndexValueDate(IborIndex,X632,Trigger)</f>
        <v>43579</v>
      </c>
      <c r="Z632" s="199">
        <v>2.2322287393692797E-2</v>
      </c>
      <c r="AA632" s="201">
        <v>2.2225940037516878E-2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43580</v>
      </c>
      <c r="Y633" s="198">
        <f>_xll.qlInterestRateIndexValueDate(IborIndex,X633,Trigger)</f>
        <v>43584</v>
      </c>
      <c r="Z633" s="199">
        <v>2.2355961011168546E-2</v>
      </c>
      <c r="AA633" s="201">
        <v>2.2251763052389961E-2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43587</v>
      </c>
      <c r="Y634" s="198">
        <f>_xll.qlInterestRateIndexValueDate(IborIndex,X634,Trigger)</f>
        <v>43592</v>
      </c>
      <c r="Z634" s="199">
        <v>2.2413555353293799E-2</v>
      </c>
      <c r="AA634" s="201">
        <v>2.2305846506665006E-2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43594</v>
      </c>
      <c r="Y635" s="198">
        <f>_xll.qlInterestRateIndexValueDate(IborIndex,X635,Trigger)</f>
        <v>43598</v>
      </c>
      <c r="Z635" s="199">
        <v>2.2453529231491017E-2</v>
      </c>
      <c r="AA635" s="201">
        <v>2.2346144415115177E-2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43601</v>
      </c>
      <c r="Y636" s="198">
        <f>_xll.qlInterestRateIndexValueDate(IborIndex,X636,Trigger)</f>
        <v>43605</v>
      </c>
      <c r="Z636" s="199">
        <v>2.250001241384457E-2</v>
      </c>
      <c r="AA636" s="201">
        <v>2.2392871902354727E-2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43608</v>
      </c>
      <c r="Y637" s="198">
        <f>_xll.qlInterestRateIndexValueDate(IborIndex,X637,Trigger)</f>
        <v>43613</v>
      </c>
      <c r="Z637" s="199">
        <v>2.2553010065407355E-2</v>
      </c>
      <c r="AA637" s="201">
        <v>2.2445914307542836E-2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43615</v>
      </c>
      <c r="Y638" s="198">
        <f>_xll.qlInterestRateIndexValueDate(IborIndex,X638,Trigger)</f>
        <v>43619</v>
      </c>
      <c r="Z638" s="199">
        <v>2.2588702349658263E-2</v>
      </c>
      <c r="AA638" s="201">
        <v>2.2485602417541273E-2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43622</v>
      </c>
      <c r="Y639" s="198">
        <f>_xll.qlInterestRateIndexValueDate(IborIndex,X639,Trigger)</f>
        <v>43626</v>
      </c>
      <c r="Z639" s="199">
        <v>2.2634993726941666E-2</v>
      </c>
      <c r="AA639" s="201">
        <v>2.2531872513456008E-2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43629</v>
      </c>
      <c r="Y640" s="198">
        <f>_xll.qlInterestRateIndexValueDate(IborIndex,X640,Trigger)</f>
        <v>43633</v>
      </c>
      <c r="Z640" s="199">
        <v>2.2681249997731356E-2</v>
      </c>
      <c r="AA640" s="201">
        <v>2.2578107394979341E-2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43636</v>
      </c>
      <c r="Y641" s="198">
        <f>_xll.qlInterestRateIndexValueDate(IborIndex,X641,Trigger)</f>
        <v>43640</v>
      </c>
      <c r="Z641" s="199">
        <v>2.2727471161627655E-2</v>
      </c>
      <c r="AA641" s="201">
        <v>2.2624307062111271E-2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43643</v>
      </c>
      <c r="Y642" s="198">
        <f>_xll.qlInterestRateIndexValueDate(IborIndex,X642,Trigger)</f>
        <v>43647</v>
      </c>
      <c r="Z642" s="199">
        <v>2.277767314941985E-2</v>
      </c>
      <c r="AA642" s="201">
        <v>2.2670471514691926E-2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43650</v>
      </c>
      <c r="Y643" s="198">
        <f>_xll.qlInterestRateIndexValueDate(IborIndex,X643,Trigger)</f>
        <v>43654</v>
      </c>
      <c r="Z643" s="199">
        <v>2.2823824510640252E-2</v>
      </c>
      <c r="AA643" s="201">
        <v>2.2716600752881178E-2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43657</v>
      </c>
      <c r="Y644" s="198">
        <f>_xll.qlInterestRateIndexValueDate(IborIndex,X644,Trigger)</f>
        <v>43661</v>
      </c>
      <c r="Z644" s="199">
        <v>2.2869940767391645E-2</v>
      </c>
      <c r="AA644" s="201">
        <v>2.2762694776519155E-2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43664</v>
      </c>
      <c r="Y645" s="198">
        <f>_xll.qlInterestRateIndexValueDate(IborIndex,X645,Trigger)</f>
        <v>43668</v>
      </c>
      <c r="Z645" s="199">
        <v>2.2916021919261453E-2</v>
      </c>
      <c r="AA645" s="201">
        <v>2.2808753585685793E-2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43671</v>
      </c>
      <c r="Y646" s="198">
        <f>_xll.qlInterestRateIndexValueDate(IborIndex,X646,Trigger)</f>
        <v>43675</v>
      </c>
      <c r="Z646" s="199">
        <v>2.2962067965819056E-2</v>
      </c>
      <c r="AA646" s="201">
        <v>2.2854777180381092E-2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43678</v>
      </c>
      <c r="Y647" s="198">
        <f>_xll.qlInterestRateIndexValueDate(IborIndex,X647,Trigger)</f>
        <v>43682</v>
      </c>
      <c r="Z647" s="199">
        <v>2.3008078906659617E-2</v>
      </c>
      <c r="AA647" s="201">
        <v>2.2900765560525116E-2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43685</v>
      </c>
      <c r="Y648" s="198">
        <f>_xll.qlInterestRateIndexValueDate(IborIndex,X648,Trigger)</f>
        <v>43689</v>
      </c>
      <c r="Z648" s="199">
        <v>2.3054054741355093E-2</v>
      </c>
      <c r="AA648" s="201">
        <v>2.2946718726117865E-2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43692</v>
      </c>
      <c r="Y649" s="198">
        <f>_xll.qlInterestRateIndexValueDate(IborIndex,X649,Trigger)</f>
        <v>43696</v>
      </c>
      <c r="Z649" s="199">
        <v>2.3099995469490327E-2</v>
      </c>
      <c r="AA649" s="201">
        <v>2.2992636677239275E-2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43699</v>
      </c>
      <c r="Y650" s="198">
        <f>_xll.qlInterestRateIndexValueDate(IborIndex,X650,Trigger)</f>
        <v>43704</v>
      </c>
      <c r="Z650" s="199">
        <v>2.3152456170633502E-2</v>
      </c>
      <c r="AA650" s="201">
        <v>2.3045071215790358E-2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43706</v>
      </c>
      <c r="Y651" s="198">
        <f>_xll.qlInterestRateIndexValueDate(IborIndex,X651,Trigger)</f>
        <v>43711</v>
      </c>
      <c r="Z651" s="199">
        <v>2.3194301833253661E-2</v>
      </c>
      <c r="AA651" s="201">
        <v>2.3090913707033422E-2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43713</v>
      </c>
      <c r="Y652" s="198">
        <f>_xll.qlInterestRateIndexValueDate(IborIndex,X652,Trigger)</f>
        <v>43717</v>
      </c>
      <c r="Z652" s="199">
        <v>2.3233586793229399E-2</v>
      </c>
      <c r="AA652" s="201">
        <v>2.3130179243056048E-2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43720</v>
      </c>
      <c r="Y653" s="198">
        <f>_xll.qlInterestRateIndexValueDate(IborIndex,X653,Trigger)</f>
        <v>43724</v>
      </c>
      <c r="Z653" s="199">
        <v>2.327938664275031E-2</v>
      </c>
      <c r="AA653" s="201">
        <v>2.317595633573255E-2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43727</v>
      </c>
      <c r="Y654" s="198">
        <f>_xll.qlInterestRateIndexValueDate(IborIndex,X654,Trigger)</f>
        <v>43731</v>
      </c>
      <c r="Z654" s="199">
        <v>2.3325151380112707E-2</v>
      </c>
      <c r="AA654" s="201">
        <v>2.3221698213937714E-2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43734</v>
      </c>
      <c r="Y655" s="198">
        <f>_xll.qlInterestRateIndexValueDate(IborIndex,X655,Trigger)</f>
        <v>43738</v>
      </c>
      <c r="Z655" s="199">
        <v>2.3374902577228889E-2</v>
      </c>
      <c r="AA655" s="201">
        <v>2.3267404877351794E-2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43741</v>
      </c>
      <c r="Y656" s="198">
        <f>_xll.qlInterestRateIndexValueDate(IborIndex,X656,Trigger)</f>
        <v>43745</v>
      </c>
      <c r="Z656" s="199">
        <v>2.3420597547787254E-2</v>
      </c>
      <c r="AA656" s="201">
        <v>2.3313076326294535E-2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43748</v>
      </c>
      <c r="Y657" s="198">
        <f>_xll.qlInterestRateIndexValueDate(IborIndex,X657,Trigger)</f>
        <v>43753</v>
      </c>
      <c r="Z657" s="199">
        <v>2.3472777379561379E-2</v>
      </c>
      <c r="AA657" s="201">
        <v>2.3365229147875866E-2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43755</v>
      </c>
      <c r="Y658" s="198">
        <f>_xll.qlInterestRateIndexValueDate(IborIndex,X658,Trigger)</f>
        <v>43759</v>
      </c>
      <c r="Z658" s="199">
        <v>2.3511882158826419E-2</v>
      </c>
      <c r="AA658" s="201">
        <v>2.340431357996664E-2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43762</v>
      </c>
      <c r="Y659" s="198">
        <f>_xll.qlInterestRateIndexValueDate(IborIndex,X659,Trigger)</f>
        <v>43766</v>
      </c>
      <c r="Z659" s="199">
        <v>2.3561495446184355E-2</v>
      </c>
      <c r="AA659" s="201">
        <v>2.3449879384855876E-2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43769</v>
      </c>
      <c r="Y660" s="198">
        <f>_xll.qlInterestRateIndexValueDate(IborIndex,X660,Trigger)</f>
        <v>43773</v>
      </c>
      <c r="Z660" s="199">
        <v>2.3599002426525573E-2</v>
      </c>
      <c r="AA660" s="201">
        <v>2.3495409975033965E-2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43776</v>
      </c>
      <c r="Y661" s="198">
        <f>_xll.qlInterestRateIndexValueDate(IborIndex,X661,Trigger)</f>
        <v>43781</v>
      </c>
      <c r="Z661" s="199">
        <v>2.3651021206864797E-2</v>
      </c>
      <c r="AA661" s="201">
        <v>2.354740181514714E-2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43783</v>
      </c>
      <c r="Y662" s="198">
        <f>_xll.qlInterestRateIndexValueDate(IborIndex,X662,Trigger)</f>
        <v>43787</v>
      </c>
      <c r="Z662" s="199">
        <v>2.3690005193218511E-2</v>
      </c>
      <c r="AA662" s="201">
        <v>2.3586365511176766E-2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43790</v>
      </c>
      <c r="Y663" s="198">
        <f>_xll.qlInterestRateIndexValueDate(IborIndex,X663,Trigger)</f>
        <v>43794</v>
      </c>
      <c r="Z663" s="199">
        <v>2.3743504802635762E-2</v>
      </c>
      <c r="AA663" s="201">
        <v>2.3631790457141477E-2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43797</v>
      </c>
      <c r="Y664" s="198">
        <f>_xll.qlInterestRateIndexValueDate(IborIndex,X664,Trigger)</f>
        <v>43801</v>
      </c>
      <c r="Z664" s="199">
        <v>2.3784893321489212E-2</v>
      </c>
      <c r="AA664" s="201">
        <v>2.3677180188395042E-2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43804</v>
      </c>
      <c r="Y665" s="198">
        <f>_xll.qlInterestRateIndexValueDate(IborIndex,X665,Trigger)</f>
        <v>43808</v>
      </c>
      <c r="Z665" s="199">
        <v>2.3830272288150975E-2</v>
      </c>
      <c r="AA665" s="201">
        <v>2.3722534704857523E-2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43811</v>
      </c>
      <c r="Y666" s="198">
        <f>_xll.qlInterestRateIndexValueDate(IborIndex,X666,Trigger)</f>
        <v>43815</v>
      </c>
      <c r="Z666" s="199">
        <v>2.3875616141202659E-2</v>
      </c>
      <c r="AA666" s="201">
        <v>2.3767854006608857E-2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43818</v>
      </c>
      <c r="Y667" s="198">
        <f>_xll.qlInterestRateIndexValueDate(IborIndex,X667,Trigger)</f>
        <v>43822</v>
      </c>
      <c r="Z667" s="199">
        <v>2.3920924880236841E-2</v>
      </c>
      <c r="AA667" s="201">
        <v>2.3834112323681822E-2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43826</v>
      </c>
      <c r="Y668" s="198">
        <f>_xll.qlInterestRateIndexValueDate(IborIndex,X668,Trigger)</f>
        <v>43830</v>
      </c>
      <c r="Z668" s="199">
        <v>2.3972663298983541E-2</v>
      </c>
      <c r="AA668" s="201">
        <v>2.387935209870129E-2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43833</v>
      </c>
      <c r="Y669" s="198">
        <f>_xll.qlInterestRateIndexValueDate(IborIndex,X669,Trigger)</f>
        <v>43837</v>
      </c>
      <c r="Z669" s="199">
        <v>2.4017896792300968E-2</v>
      </c>
      <c r="AA669" s="201">
        <v>2.3910056842115779E-2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43840</v>
      </c>
      <c r="Y670" s="198">
        <f>_xll.qlInterestRateIndexValueDate(IborIndex,X670,Trigger)</f>
        <v>43844</v>
      </c>
      <c r="Z670" s="199">
        <v>2.4063095170303871E-2</v>
      </c>
      <c r="AA670" s="201">
        <v>2.3955230253926985E-2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43847</v>
      </c>
      <c r="Y671" s="198">
        <f>_xll.qlInterestRateIndexValueDate(IborIndex,X671,Trigger)</f>
        <v>43851</v>
      </c>
      <c r="Z671" s="199">
        <v>2.4108258432582248E-2</v>
      </c>
      <c r="AA671" s="201">
        <v>2.4000368450867171E-2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43854</v>
      </c>
      <c r="Y672" s="198">
        <f>_xll.qlInterestRateIndexValueDate(IborIndex,X672,Trigger)</f>
        <v>43858</v>
      </c>
      <c r="Z672" s="199">
        <v>2.4153386578726111E-2</v>
      </c>
      <c r="AA672" s="201">
        <v>2.4045471432936338E-2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43861</v>
      </c>
      <c r="Y673" s="198">
        <f>_xll.qlInterestRateIndexValueDate(IborIndex,X673,Trigger)</f>
        <v>43865</v>
      </c>
      <c r="Z673" s="199">
        <v>2.4190418990330271E-2</v>
      </c>
      <c r="AA673" s="201">
        <v>2.4090539200134486E-2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43868</v>
      </c>
      <c r="Y674" s="198">
        <f>_xll.qlInterestRateIndexValueDate(IborIndex,X674,Trigger)</f>
        <v>43872</v>
      </c>
      <c r="Z674" s="199">
        <v>2.4235475864333108E-2</v>
      </c>
      <c r="AA674" s="201">
        <v>2.4135571752461615E-2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43875</v>
      </c>
      <c r="Y675" s="198">
        <f>_xll.qlInterestRateIndexValueDate(IborIndex,X675,Trigger)</f>
        <v>43879</v>
      </c>
      <c r="Z675" s="199">
        <v>2.4280497614509337E-2</v>
      </c>
      <c r="AA675" s="201">
        <v>2.4180569089917725E-2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43882</v>
      </c>
      <c r="Y676" s="198">
        <f>_xll.qlInterestRateIndexValueDate(IborIndex,X676,Trigger)</f>
        <v>43886</v>
      </c>
      <c r="Z676" s="199">
        <v>2.4325484240473066E-2</v>
      </c>
      <c r="AA676" s="201">
        <v>2.4225531212422879E-2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43889</v>
      </c>
      <c r="Y677" s="198">
        <f>_xll.qlInterestRateIndexValueDate(IborIndex,X677,Trigger)</f>
        <v>43893</v>
      </c>
      <c r="Z677" s="199">
        <v>2.4378500553106228E-2</v>
      </c>
      <c r="AA677" s="201">
        <v>2.4270458120057015E-2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43896</v>
      </c>
      <c r="Y678" s="198">
        <f>_xll.qlInterestRateIndexValueDate(IborIndex,X678,Trigger)</f>
        <v>43900</v>
      </c>
      <c r="Z678" s="199">
        <v>2.4439552537718155E-2</v>
      </c>
      <c r="AA678" s="201">
        <v>2.4315349812660259E-2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43903</v>
      </c>
      <c r="Y679" s="198">
        <f>_xll.qlInterestRateIndexValueDate(IborIndex,X679,Trigger)</f>
        <v>43907</v>
      </c>
      <c r="Z679" s="199">
        <v>2.446830031559934E-2</v>
      </c>
      <c r="AA679" s="201">
        <v>2.4360206290392483E-2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43910</v>
      </c>
      <c r="Y680" s="198">
        <f>_xll.qlInterestRateIndexValueDate(IborIndex,X680,Trigger)</f>
        <v>43914</v>
      </c>
      <c r="Z680" s="199">
        <v>2.4513147517943368E-2</v>
      </c>
      <c r="AA680" s="201">
        <v>2.4405027553093817E-2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43917</v>
      </c>
      <c r="Y681" s="198">
        <f>_xll.qlInterestRateIndexValueDate(IborIndex,X681,Trigger)</f>
        <v>43921</v>
      </c>
      <c r="Z681" s="199">
        <v>2.4553924929831439E-2</v>
      </c>
      <c r="AA681" s="201">
        <v>2.4449813600924131E-2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43924</v>
      </c>
      <c r="Y682" s="198">
        <f>_xll.qlInterestRateIndexValueDate(IborIndex,X682,Trigger)</f>
        <v>43928</v>
      </c>
      <c r="Z682" s="199">
        <v>2.4598701346997487E-2</v>
      </c>
      <c r="AA682" s="201">
        <v>2.4510680147702857E-2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43935</v>
      </c>
      <c r="Y683" s="198">
        <f>_xll.qlInterestRateIndexValueDate(IborIndex,X683,Trigger)</f>
        <v>43937</v>
      </c>
      <c r="Z683" s="199">
        <v>2.4664291494459478E-2</v>
      </c>
      <c r="AA683" s="201">
        <v>2.4564816022190072E-2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43942</v>
      </c>
      <c r="Y684" s="198">
        <f>_xll.qlInterestRateIndexValueDate(IborIndex,X684,Trigger)</f>
        <v>43944</v>
      </c>
      <c r="Z684" s="199">
        <v>2.4713025680629389E-2</v>
      </c>
      <c r="AA684" s="201">
        <v>2.4609476302064337E-2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43949</v>
      </c>
      <c r="Y685" s="198">
        <f>_xll.qlInterestRateIndexValueDate(IborIndex,X685,Trigger)</f>
        <v>43951</v>
      </c>
      <c r="Z685" s="199">
        <v>2.4741539701359234E-2</v>
      </c>
      <c r="AA685" s="201">
        <v>2.4660473501487701E-2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43956</v>
      </c>
      <c r="Y686" s="198">
        <f>_xll.qlInterestRateIndexValueDate(IborIndex,X686,Trigger)</f>
        <v>43958</v>
      </c>
      <c r="Z686" s="199">
        <v>2.4798198685584971E-2</v>
      </c>
      <c r="AA686" s="201">
        <v>2.4698691216800128E-2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43963</v>
      </c>
      <c r="Y687" s="198">
        <f>_xll.qlInterestRateIndexValueDate(IborIndex,X687,Trigger)</f>
        <v>43965</v>
      </c>
      <c r="Z687" s="199">
        <v>2.4842522840304027E-2</v>
      </c>
      <c r="AA687" s="201">
        <v>2.4743245851501783E-2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43970</v>
      </c>
      <c r="Y688" s="198">
        <f>_xll.qlInterestRateIndexValueDate(IborIndex,X688,Trigger)</f>
        <v>43972</v>
      </c>
      <c r="Z688" s="199">
        <v>2.4886497094654403E-2</v>
      </c>
      <c r="AA688" s="201">
        <v>2.4794122313585021E-2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43977</v>
      </c>
      <c r="Y689" s="198">
        <f>_xll.qlInterestRateIndexValueDate(IborIndex,X689,Trigger)</f>
        <v>43979</v>
      </c>
      <c r="Z689" s="199">
        <v>2.4929999030190719E-2</v>
      </c>
      <c r="AA689" s="201">
        <v>2.4832133615291241E-2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43984</v>
      </c>
      <c r="Y690" s="198">
        <f>_xll.qlInterestRateIndexValueDate(IborIndex,X690,Trigger)</f>
        <v>43986</v>
      </c>
      <c r="Z690" s="199">
        <v>2.4972926629096281E-2</v>
      </c>
      <c r="AA690" s="201">
        <v>2.4875944422193541E-2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43991</v>
      </c>
      <c r="Y691" s="198">
        <f>_xll.qlInterestRateIndexValueDate(IborIndex,X691,Trigger)</f>
        <v>43993</v>
      </c>
      <c r="Z691" s="199">
        <v>2.5015259482264185E-2</v>
      </c>
      <c r="AA691" s="201">
        <v>2.4919161604106677E-2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43998</v>
      </c>
      <c r="Y692" s="198">
        <f>_xll.qlInterestRateIndexValueDate(IborIndex,X692,Trigger)</f>
        <v>44000</v>
      </c>
      <c r="Z692" s="199">
        <v>2.5056997582999785E-2</v>
      </c>
      <c r="AA692" s="201">
        <v>2.4961785160870775E-2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44005</v>
      </c>
      <c r="Y693" s="198">
        <f>_xll.qlInterestRateIndexValueDate(IborIndex,X693,Trigger)</f>
        <v>44007</v>
      </c>
      <c r="Z693" s="199">
        <v>2.5098140924688372E-2</v>
      </c>
      <c r="AA693" s="201">
        <v>2.5003815092086157E-2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44012</v>
      </c>
      <c r="Y694" s="198">
        <f>_xll.qlInterestRateIndexValueDate(IborIndex,X694,Trigger)</f>
        <v>44014</v>
      </c>
      <c r="Z694" s="199">
        <v>2.5138689500822653E-2</v>
      </c>
      <c r="AA694" s="201">
        <v>2.5045251397672885E-2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44019</v>
      </c>
      <c r="Y695" s="198">
        <f>_xll.qlInterestRateIndexValueDate(IborIndex,X695,Trigger)</f>
        <v>44021</v>
      </c>
      <c r="Z695" s="199">
        <v>2.517864330498526E-2</v>
      </c>
      <c r="AA695" s="201">
        <v>2.5086094077391152E-2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44026</v>
      </c>
      <c r="Y696" s="198">
        <f>_xll.qlInterestRateIndexValueDate(IborIndex,X696,Trigger)</f>
        <v>44028</v>
      </c>
      <c r="Z696" s="199">
        <v>2.5218002330848754E-2</v>
      </c>
      <c r="AA696" s="201">
        <v>2.5126343131081086E-2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44033</v>
      </c>
      <c r="Y697" s="198">
        <f>_xll.qlInterestRateIndexValueDate(IborIndex,X697,Trigger)</f>
        <v>44035</v>
      </c>
      <c r="Z697" s="199">
        <v>2.5256766572188116E-2</v>
      </c>
      <c r="AA697" s="201">
        <v>2.5165998558422942E-2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44040</v>
      </c>
      <c r="Y698" s="198">
        <f>_xll.qlInterestRateIndexValueDate(IborIndex,X698,Trigger)</f>
        <v>44042</v>
      </c>
      <c r="Z698" s="199">
        <v>2.5284237404615557E-2</v>
      </c>
      <c r="AA698" s="201">
        <v>2.520506035941672E-2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44047</v>
      </c>
      <c r="Y699" s="198">
        <f>_xll.qlInterestRateIndexValueDate(IborIndex,X699,Trigger)</f>
        <v>44049</v>
      </c>
      <c r="Z699" s="199">
        <v>2.5336029775148657E-2</v>
      </c>
      <c r="AA699" s="201">
        <v>2.524352853366274E-2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44054</v>
      </c>
      <c r="Y700" s="198">
        <f>_xll.qlInterestRateIndexValueDate(IborIndex,X700,Trigger)</f>
        <v>44056</v>
      </c>
      <c r="Z700" s="199">
        <v>2.5369490528157623E-2</v>
      </c>
      <c r="AA700" s="201">
        <v>2.5281403081161002E-2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44061</v>
      </c>
      <c r="Y701" s="198">
        <f>_xll.qlInterestRateIndexValueDate(IborIndex,X701,Trigger)</f>
        <v>44063</v>
      </c>
      <c r="Z701" s="199">
        <v>2.5405875570976288E-2</v>
      </c>
      <c r="AA701" s="201">
        <v>2.5318684001511826E-2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44068</v>
      </c>
      <c r="Y702" s="198">
        <f>_xll.qlInterestRateIndexValueDate(IborIndex,X702,Trigger)</f>
        <v>44070</v>
      </c>
      <c r="Z702" s="199">
        <v>2.5441665799529611E-2</v>
      </c>
      <c r="AA702" s="201">
        <v>2.5360563877239173E-2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44075</v>
      </c>
      <c r="Y703" s="198">
        <f>_xll.qlInterestRateIndexValueDate(IborIndex,X703,Trigger)</f>
        <v>44077</v>
      </c>
      <c r="Z703" s="199">
        <v>2.5476861208154622E-2</v>
      </c>
      <c r="AA703" s="201">
        <v>2.5391464960451415E-2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44082</v>
      </c>
      <c r="Y704" s="198">
        <f>_xll.qlInterestRateIndexValueDate(IborIndex,X704,Trigger)</f>
        <v>44084</v>
      </c>
      <c r="Z704" s="199">
        <v>2.551478106373169E-2</v>
      </c>
      <c r="AA704" s="201">
        <v>2.54269649986405E-2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44089</v>
      </c>
      <c r="Y705" s="198">
        <f>_xll.qlInterestRateIndexValueDate(IborIndex,X705,Trigger)</f>
        <v>44091</v>
      </c>
      <c r="Z705" s="199">
        <v>2.5545467543434952E-2</v>
      </c>
      <c r="AA705" s="201">
        <v>2.5461871409122594E-2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44096</v>
      </c>
      <c r="Y706" s="198">
        <f>_xll.qlInterestRateIndexValueDate(IborIndex,X706,Trigger)</f>
        <v>44098</v>
      </c>
      <c r="Z706" s="199">
        <v>2.5578878459231458E-2</v>
      </c>
      <c r="AA706" s="201">
        <v>2.5496184191657889E-2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44103</v>
      </c>
      <c r="Y707" s="198">
        <f>_xll.qlInterestRateIndexValueDate(IborIndex,X707,Trigger)</f>
        <v>44105</v>
      </c>
      <c r="Z707" s="199">
        <v>2.5611694533379525E-2</v>
      </c>
      <c r="AA707" s="201">
        <v>2.5529903346086513E-2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44110</v>
      </c>
      <c r="Y708" s="198">
        <f>_xll.qlInterestRateIndexValueDate(IborIndex,X708,Trigger)</f>
        <v>44112</v>
      </c>
      <c r="Z708" s="199">
        <v>2.5643915760688307E-2</v>
      </c>
      <c r="AA708" s="201">
        <v>2.556302887232853E-2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44117</v>
      </c>
      <c r="Y709" s="198">
        <f>_xll.qlInterestRateIndexValueDate(IborIndex,X709,Trigger)</f>
        <v>44119</v>
      </c>
      <c r="Z709" s="199">
        <v>2.5675542136056884E-2</v>
      </c>
      <c r="AA709" s="201">
        <v>2.5595560770064196E-2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44124</v>
      </c>
      <c r="Y710" s="198">
        <f>_xll.qlInterestRateIndexValueDate(IborIndex,X710,Trigger)</f>
        <v>44126</v>
      </c>
      <c r="Z710" s="199">
        <v>2.5706573654479259E-2</v>
      </c>
      <c r="AA710" s="201">
        <v>2.5627499039213575E-2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44131</v>
      </c>
      <c r="Y711" s="198">
        <f>_xll.qlInterestRateIndexValueDate(IborIndex,X711,Trigger)</f>
        <v>44133</v>
      </c>
      <c r="Z711" s="199">
        <v>2.5737010311041864E-2</v>
      </c>
      <c r="AA711" s="201">
        <v>2.5658843679616794E-2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44138</v>
      </c>
      <c r="Y712" s="198">
        <f>_xll.qlInterestRateIndexValueDate(IborIndex,X712,Trigger)</f>
        <v>44140</v>
      </c>
      <c r="Z712" s="199">
        <v>2.5766852100931048E-2</v>
      </c>
      <c r="AA712" s="201">
        <v>2.5689594691193918E-2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44145</v>
      </c>
      <c r="Y713" s="198">
        <f>_xll.qlInterestRateIndexValueDate(IborIndex,X713,Trigger)</f>
        <v>44147</v>
      </c>
      <c r="Z713" s="199">
        <v>2.5796099019420593E-2</v>
      </c>
      <c r="AA713" s="201">
        <v>2.5719752073625202E-2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44152</v>
      </c>
      <c r="Y714" s="198">
        <f>_xll.qlInterestRateIndexValueDate(IborIndex,X714,Trigger)</f>
        <v>44154</v>
      </c>
      <c r="Z714" s="199">
        <v>2.5824751061881701E-2</v>
      </c>
      <c r="AA714" s="201">
        <v>2.5749315826910646E-2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44159</v>
      </c>
      <c r="Y715" s="198">
        <f>_xll.qlInterestRateIndexValueDate(IborIndex,X715,Trigger)</f>
        <v>44162</v>
      </c>
      <c r="Z715" s="199">
        <v>2.5856767827825144E-2</v>
      </c>
      <c r="AA715" s="201">
        <v>2.5782376080405456E-2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44166</v>
      </c>
      <c r="Y716" s="198">
        <f>_xll.qlInterestRateIndexValueDate(IborIndex,X716,Trigger)</f>
        <v>44168</v>
      </c>
      <c r="Z716" s="199">
        <v>2.5880270500670544E-2</v>
      </c>
      <c r="AA716" s="201">
        <v>2.5806662445244655E-2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44173</v>
      </c>
      <c r="Y717" s="198">
        <f>_xll.qlInterestRateIndexValueDate(IborIndex,X717,Trigger)</f>
        <v>44175</v>
      </c>
      <c r="Z717" s="199">
        <v>2.5907137888210308E-2</v>
      </c>
      <c r="AA717" s="201">
        <v>2.5834445310053411E-2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44180</v>
      </c>
      <c r="Y718" s="198">
        <f>_xll.qlInterestRateIndexValueDate(IborIndex,X718,Trigger)</f>
        <v>44182</v>
      </c>
      <c r="Z718" s="199">
        <v>2.5936164862696162E-2</v>
      </c>
      <c r="AA718" s="201">
        <v>2.5861634545156775E-2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44187</v>
      </c>
      <c r="Y719" s="198">
        <f>_xll.qlInterestRateIndexValueDate(IborIndex,X719,Trigger)</f>
        <v>44189</v>
      </c>
      <c r="Z719" s="199">
        <v>2.5959087978322526E-2</v>
      </c>
      <c r="AA719" s="201">
        <v>2.5895719860526967E-2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44194</v>
      </c>
      <c r="Y720" s="198">
        <f>_xll.qlInterestRateIndexValueDate(IborIndex,X720,Trigger)</f>
        <v>44196</v>
      </c>
      <c r="Z720" s="199">
        <v>2.5976128733378099E-2</v>
      </c>
      <c r="AA720" s="201">
        <v>2.5917898233664971E-2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44201</v>
      </c>
      <c r="Y721" s="198">
        <f>_xll.qlInterestRateIndexValueDate(IborIndex,X721,Trigger)</f>
        <v>44203</v>
      </c>
      <c r="Z721" s="199">
        <v>2.6008658461220968E-2</v>
      </c>
      <c r="AA721" s="201">
        <v>2.593964047031605E-2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44208</v>
      </c>
      <c r="Y722" s="198">
        <f>_xll.qlInterestRateIndexValueDate(IborIndex,X722,Trigger)</f>
        <v>44210</v>
      </c>
      <c r="Z722" s="199">
        <v>2.6035142982970525E-2</v>
      </c>
      <c r="AA722" s="201">
        <v>2.5964455184919188E-2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44215</v>
      </c>
      <c r="Y723" s="198">
        <f>_xll.qlInterestRateIndexValueDate(IborIndex,X723,Trigger)</f>
        <v>44217</v>
      </c>
      <c r="Z723" s="199">
        <v>2.6055849305518242E-2</v>
      </c>
      <c r="AA723" s="201">
        <v>2.5988676269177446E-2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44222</v>
      </c>
      <c r="Y724" s="198">
        <f>_xll.qlInterestRateIndexValueDate(IborIndex,X724,Trigger)</f>
        <v>44224</v>
      </c>
      <c r="Z724" s="199">
        <v>2.6070999785997466E-2</v>
      </c>
      <c r="AA724" s="201">
        <v>2.6012303722930952E-2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44229</v>
      </c>
      <c r="Y725" s="198">
        <f>_xll.qlInterestRateIndexValueDate(IborIndex,X725,Trigger)</f>
        <v>44231</v>
      </c>
      <c r="Z725" s="199">
        <v>2.6090746375216117E-2</v>
      </c>
      <c r="AA725" s="201">
        <v>2.6035337546019832E-2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44236</v>
      </c>
      <c r="Y726" s="198">
        <f>_xll.qlInterestRateIndexValueDate(IborIndex,X726,Trigger)</f>
        <v>44238</v>
      </c>
      <c r="Z726" s="199">
        <v>2.6112423276241716E-2</v>
      </c>
      <c r="AA726" s="201">
        <v>2.6057777738284216E-2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44243</v>
      </c>
      <c r="Y727" s="198">
        <f>_xll.qlInterestRateIndexValueDate(IborIndex,X727,Trigger)</f>
        <v>44245</v>
      </c>
      <c r="Z727" s="199">
        <v>2.613350541792268E-2</v>
      </c>
      <c r="AA727" s="201">
        <v>2.6079624299724102E-2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44250</v>
      </c>
      <c r="Y728" s="198">
        <f>_xll.qlInterestRateIndexValueDate(IborIndex,X728,Trigger)</f>
        <v>44252</v>
      </c>
      <c r="Z728" s="199">
        <v>2.6153992797338495E-2</v>
      </c>
      <c r="AA728" s="201">
        <v>2.610087723017962E-2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44257</v>
      </c>
      <c r="Y729" s="198">
        <f>_xll.qlInterestRateIndexValueDate(IborIndex,X729,Trigger)</f>
        <v>44259</v>
      </c>
      <c r="Z729" s="199">
        <v>2.6185448783103998E-2</v>
      </c>
      <c r="AA729" s="201">
        <v>2.6121536529490896E-2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44264</v>
      </c>
      <c r="Y730" s="198">
        <f>_xll.qlInterestRateIndexValueDate(IborIndex,X730,Trigger)</f>
        <v>44266</v>
      </c>
      <c r="Z730" s="199">
        <v>2.6202277188816792E-2</v>
      </c>
      <c r="AA730" s="201">
        <v>2.6141602197657932E-2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44271</v>
      </c>
      <c r="Y731" s="198">
        <f>_xll.qlInterestRateIndexValueDate(IborIndex,X731,Trigger)</f>
        <v>44273</v>
      </c>
      <c r="Z731" s="199">
        <v>2.6220815721748059E-2</v>
      </c>
      <c r="AA731" s="201">
        <v>2.616107423460079E-2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44278</v>
      </c>
      <c r="Y732" s="198">
        <f>_xll.qlInterestRateIndexValueDate(IborIndex,X732,Trigger)</f>
        <v>44280</v>
      </c>
      <c r="Z732" s="199">
        <v>2.6238759311422166E-2</v>
      </c>
      <c r="AA732" s="201">
        <v>2.6179952640079662E-2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44285</v>
      </c>
      <c r="Y733" s="198">
        <f>_xll.qlInterestRateIndexValueDate(IborIndex,X733,Trigger)</f>
        <v>44287</v>
      </c>
      <c r="Z733" s="199">
        <v>2.6258248334582006E-2</v>
      </c>
      <c r="AA733" s="201">
        <v>2.6203352600928653E-2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44292</v>
      </c>
      <c r="Y734" s="198">
        <f>_xll.qlInterestRateIndexValueDate(IborIndex,X734,Trigger)</f>
        <v>44294</v>
      </c>
      <c r="Z734" s="199">
        <v>2.6272861649742907E-2</v>
      </c>
      <c r="AA734" s="201">
        <v>2.6215928556565515E-2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44299</v>
      </c>
      <c r="Y735" s="198">
        <f>_xll.qlInterestRateIndexValueDate(IborIndex,X735,Trigger)</f>
        <v>44301</v>
      </c>
      <c r="Z735" s="199">
        <v>2.6289020392986362E-2</v>
      </c>
      <c r="AA735" s="201">
        <v>2.6233026067412624E-2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44306</v>
      </c>
      <c r="Y736" s="198">
        <f>_xll.qlInterestRateIndexValueDate(IborIndex,X736,Trigger)</f>
        <v>44308</v>
      </c>
      <c r="Z736" s="199">
        <v>2.630458418218129E-2</v>
      </c>
      <c r="AA736" s="201">
        <v>2.6249529946476002E-2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44313</v>
      </c>
      <c r="Y737" s="198">
        <f>_xll.qlInterestRateIndexValueDate(IborIndex,X737,Trigger)</f>
        <v>44315</v>
      </c>
      <c r="Z737" s="199">
        <v>2.6313604881023155E-2</v>
      </c>
      <c r="AA737" s="201">
        <v>2.6267664626473675E-2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44320</v>
      </c>
      <c r="Y738" s="198">
        <f>_xll.qlInterestRateIndexValueDate(IborIndex,X738,Trigger)</f>
        <v>44322</v>
      </c>
      <c r="Z738" s="199">
        <v>2.6334003906750281E-2</v>
      </c>
      <c r="AA738" s="201">
        <v>2.6280756809091699E-2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44327</v>
      </c>
      <c r="Y739" s="198">
        <f>_xll.qlInterestRateIndexValueDate(IborIndex,X739,Trigger)</f>
        <v>44329</v>
      </c>
      <c r="Z739" s="199">
        <v>2.6348084191645804E-2</v>
      </c>
      <c r="AA739" s="201">
        <v>2.6295479792404208E-2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44334</v>
      </c>
      <c r="Y740" s="198">
        <f>_xll.qlInterestRateIndexValueDate(IborIndex,X740,Trigger)</f>
        <v>44336</v>
      </c>
      <c r="Z740" s="199">
        <v>2.6361954451279146E-2</v>
      </c>
      <c r="AA740" s="201">
        <v>2.6309609143773116E-2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44341</v>
      </c>
      <c r="Y741" s="198">
        <f>_xll.qlInterestRateIndexValueDate(IborIndex,X741,Trigger)</f>
        <v>44343</v>
      </c>
      <c r="Z741" s="199">
        <v>2.6375773188693497E-2</v>
      </c>
      <c r="AA741" s="201">
        <v>2.6325180076556265E-2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44348</v>
      </c>
      <c r="Y742" s="198">
        <f>_xll.qlInterestRateIndexValueDate(IborIndex,X742,Trigger)</f>
        <v>44350</v>
      </c>
      <c r="Z742" s="199">
        <v>2.6391654481344225E-2</v>
      </c>
      <c r="AA742" s="201">
        <v>2.6336900880004066E-2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44355</v>
      </c>
      <c r="Y743" s="198">
        <f>_xll.qlInterestRateIndexValueDate(IborIndex,X743,Trigger)</f>
        <v>44357</v>
      </c>
      <c r="Z743" s="199">
        <v>2.6403720903158678E-2</v>
      </c>
      <c r="AA743" s="201">
        <v>2.6350695228787302E-2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44362</v>
      </c>
      <c r="Y744" s="198">
        <f>_xll.qlInterestRateIndexValueDate(IborIndex,X744,Trigger)</f>
        <v>44364</v>
      </c>
      <c r="Z744" s="199">
        <v>2.6417889160493535E-2</v>
      </c>
      <c r="AA744" s="201">
        <v>2.6364618892289471E-2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44369</v>
      </c>
      <c r="Y745" s="198">
        <f>_xll.qlInterestRateIndexValueDate(IborIndex,X745,Trigger)</f>
        <v>44371</v>
      </c>
      <c r="Z745" s="199">
        <v>2.6432187044225508E-2</v>
      </c>
      <c r="AA745" s="201">
        <v>2.6378671870590509E-2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44376</v>
      </c>
      <c r="Y746" s="198">
        <f>_xll.qlInterestRateIndexValueDate(IborIndex,X746,Trigger)</f>
        <v>44378</v>
      </c>
      <c r="Z746" s="199">
        <v>2.644661455483921E-2</v>
      </c>
      <c r="AA746" s="201">
        <v>2.6392854163770352E-2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44383</v>
      </c>
      <c r="Y747" s="198">
        <f>_xll.qlInterestRateIndexValueDate(IborIndex,X747,Trigger)</f>
        <v>44385</v>
      </c>
      <c r="Z747" s="199">
        <v>2.6461171692836738E-2</v>
      </c>
      <c r="AA747" s="201">
        <v>2.6407165771749064E-2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44390</v>
      </c>
      <c r="Y748" s="198">
        <f>_xll.qlInterestRateIndexValueDate(IborIndex,X748,Trigger)</f>
        <v>44392</v>
      </c>
      <c r="Z748" s="199">
        <v>2.6475858458720192E-2</v>
      </c>
      <c r="AA748" s="201">
        <v>2.6421606694526645E-2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44397</v>
      </c>
      <c r="Y749" s="198">
        <f>_xll.qlInterestRateIndexValueDate(IborIndex,X749,Trigger)</f>
        <v>44399</v>
      </c>
      <c r="Z749" s="199">
        <v>2.6490674852994167E-2</v>
      </c>
      <c r="AA749" s="201">
        <v>2.6436176932183031E-2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44404</v>
      </c>
      <c r="Y750" s="198">
        <f>_xll.qlInterestRateIndexValueDate(IborIndex,X750,Trigger)</f>
        <v>44406</v>
      </c>
      <c r="Z750" s="199">
        <v>2.6507675672270314E-2</v>
      </c>
      <c r="AA750" s="201">
        <v>2.6450876484718222E-2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44411</v>
      </c>
      <c r="Y751" s="198">
        <f>_xll.qlInterestRateIndexValueDate(IborIndex,X751,Trigger)</f>
        <v>44413</v>
      </c>
      <c r="Z751" s="199">
        <v>2.6522761693887696E-2</v>
      </c>
      <c r="AA751" s="201">
        <v>2.6465705352212154E-2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44418</v>
      </c>
      <c r="Y752" s="198">
        <f>_xll.qlInterestRateIndexValueDate(IborIndex,X752,Trigger)</f>
        <v>44420</v>
      </c>
      <c r="Z752" s="199">
        <v>2.6535901811302609E-2</v>
      </c>
      <c r="AA752" s="201">
        <v>2.6480663534504956E-2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44425</v>
      </c>
      <c r="Y753" s="198">
        <f>_xll.qlInterestRateIndexValueDate(IborIndex,X753,Trigger)</f>
        <v>44427</v>
      </c>
      <c r="Z753" s="199">
        <v>2.6551236724297045E-2</v>
      </c>
      <c r="AA753" s="201">
        <v>2.6495751031836434E-2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44432</v>
      </c>
      <c r="Y754" s="198">
        <f>_xll.qlInterestRateIndexValueDate(IborIndex,X754,Trigger)</f>
        <v>44434</v>
      </c>
      <c r="Z754" s="199">
        <v>2.656670126828492E-2</v>
      </c>
      <c r="AA754" s="201">
        <v>2.6513152230638326E-2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44439</v>
      </c>
      <c r="Y755" s="198">
        <f>_xll.qlInterestRateIndexValueDate(IborIndex,X755,Trigger)</f>
        <v>44441</v>
      </c>
      <c r="Z755" s="199">
        <v>2.6582295443790815E-2</v>
      </c>
      <c r="AA755" s="201">
        <v>2.6526313971215743E-2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44446</v>
      </c>
      <c r="Y756" s="198">
        <f>_xll.qlInterestRateIndexValueDate(IborIndex,X756,Trigger)</f>
        <v>44448</v>
      </c>
      <c r="Z756" s="199">
        <v>2.6600136415116635E-2</v>
      </c>
      <c r="AA756" s="201">
        <v>2.6541789413343508E-2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44453</v>
      </c>
      <c r="Y757" s="198">
        <f>_xll.qlInterestRateIndexValueDate(IborIndex,X757,Trigger)</f>
        <v>44455</v>
      </c>
      <c r="Z757" s="199">
        <v>2.6613872691539919E-2</v>
      </c>
      <c r="AA757" s="201">
        <v>2.6557394170509951E-2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44460</v>
      </c>
      <c r="Y758" s="198">
        <f>_xll.qlInterestRateIndexValueDate(IborIndex,X758,Trigger)</f>
        <v>44462</v>
      </c>
      <c r="Z758" s="199">
        <v>2.6629855764867261E-2</v>
      </c>
      <c r="AA758" s="201">
        <v>2.6573128242635136E-2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44467</v>
      </c>
      <c r="Y759" s="198">
        <f>_xll.qlInterestRateIndexValueDate(IborIndex,X759,Trigger)</f>
        <v>44469</v>
      </c>
      <c r="Z759" s="199">
        <v>2.6639529625675448E-2</v>
      </c>
      <c r="AA759" s="201">
        <v>2.6588991629798997E-2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44474</v>
      </c>
      <c r="Y760" s="198">
        <f>_xll.qlInterestRateIndexValueDate(IborIndex,X760,Trigger)</f>
        <v>44476</v>
      </c>
      <c r="Z760" s="199">
        <v>2.6662210813182818E-2</v>
      </c>
      <c r="AA760" s="201">
        <v>2.6604984332001536E-2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44481</v>
      </c>
      <c r="Y761" s="198">
        <f>_xll.qlInterestRateIndexValueDate(IborIndex,X761,Trigger)</f>
        <v>44483</v>
      </c>
      <c r="Z761" s="199">
        <v>2.6678582789285143E-2</v>
      </c>
      <c r="AA761" s="201">
        <v>2.6621106349242751E-2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44488</v>
      </c>
      <c r="Y762" s="198">
        <f>_xll.qlInterestRateIndexValueDate(IborIndex,X762,Trigger)</f>
        <v>44490</v>
      </c>
      <c r="Z762" s="199">
        <v>2.6695084400772395E-2</v>
      </c>
      <c r="AA762" s="201">
        <v>2.663735768160258E-2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44495</v>
      </c>
      <c r="Y763" s="198">
        <f>_xll.qlInterestRateIndexValueDate(IborIndex,X763,Trigger)</f>
        <v>44497</v>
      </c>
      <c r="Z763" s="199">
        <v>2.6711715648206624E-2</v>
      </c>
      <c r="AA763" s="201">
        <v>2.6653738329081023E-2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44502</v>
      </c>
      <c r="Y764" s="198">
        <f>_xll.qlInterestRateIndexValueDate(IborIndex,X764,Trigger)</f>
        <v>44504</v>
      </c>
      <c r="Z764" s="199">
        <v>2.6728476532169865E-2</v>
      </c>
      <c r="AA764" s="201">
        <v>2.6670248291518206E-2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44509</v>
      </c>
      <c r="Y765" s="198">
        <f>_xll.qlInterestRateIndexValueDate(IborIndex,X765,Trigger)</f>
        <v>44512</v>
      </c>
      <c r="Z765" s="199">
        <v>2.6745578765095909E-2</v>
      </c>
      <c r="AA765" s="201">
        <v>2.6689275165274751E-2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44516</v>
      </c>
      <c r="Y766" s="198">
        <f>_xll.qlInterestRateIndexValueDate(IborIndex,X766,Trigger)</f>
        <v>44518</v>
      </c>
      <c r="Z766" s="199">
        <v>2.676238721198404E-2</v>
      </c>
      <c r="AA766" s="201">
        <v>2.6703656162068157E-2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44523</v>
      </c>
      <c r="Y767" s="198">
        <f>_xll.qlInterestRateIndexValueDate(IborIndex,X767,Trigger)</f>
        <v>44526</v>
      </c>
      <c r="Z767" s="199">
        <v>2.6784231538647549E-2</v>
      </c>
      <c r="AA767" s="201">
        <v>2.6722978613307191E-2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44530</v>
      </c>
      <c r="Y768" s="198">
        <f>_xll.qlInterestRateIndexValueDate(IborIndex,X768,Trigger)</f>
        <v>44532</v>
      </c>
      <c r="Z768" s="199">
        <v>2.6799059460001346E-2</v>
      </c>
      <c r="AA768" s="201">
        <v>2.6737581293252433E-2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44537</v>
      </c>
      <c r="Y769" s="198">
        <f>_xll.qlInterestRateIndexValueDate(IborIndex,X769,Trigger)</f>
        <v>44539</v>
      </c>
      <c r="Z769" s="199">
        <v>2.6814225520232493E-2</v>
      </c>
      <c r="AA769" s="201">
        <v>2.6754737831602426E-2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44544</v>
      </c>
      <c r="Y770" s="198">
        <f>_xll.qlInterestRateIndexValueDate(IborIndex,X770,Trigger)</f>
        <v>44546</v>
      </c>
      <c r="Z770" s="199">
        <v>2.6834028372339253E-2</v>
      </c>
      <c r="AA770" s="201">
        <v>2.677202368515097E-2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44551</v>
      </c>
      <c r="Y771" s="198">
        <f>_xll.qlInterestRateIndexValueDate(IborIndex,X771,Trigger)</f>
        <v>44553</v>
      </c>
      <c r="Z771" s="199">
        <v>2.6849432591705691E-2</v>
      </c>
      <c r="AA771" s="201">
        <v>2.6794438368300533E-2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44559</v>
      </c>
      <c r="Y772" s="198">
        <f>_xll.qlInterestRateIndexValueDate(IborIndex,X772,Trigger)</f>
        <v>44565</v>
      </c>
      <c r="Z772" s="199">
        <v>2.687773107164923E-2</v>
      </c>
      <c r="AA772" s="201">
        <v>2.681454198906863E-2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44566</v>
      </c>
      <c r="Y773" s="198">
        <f>_xll.qlInterestRateIndexValueDate(IborIndex,X773,Trigger)</f>
        <v>44568</v>
      </c>
      <c r="Z773" s="199">
        <v>2.688543361428649E-2</v>
      </c>
      <c r="AA773" s="201">
        <v>2.6827192522329568E-2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44573</v>
      </c>
      <c r="Y774" s="198">
        <f>_xll.qlInterestRateIndexValueDate(IborIndex,X774,Trigger)</f>
        <v>44575</v>
      </c>
      <c r="Z774" s="199">
        <v>2.6903498808127979E-2</v>
      </c>
      <c r="AA774" s="201">
        <v>2.6845014110614684E-2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44580</v>
      </c>
      <c r="Y775" s="198">
        <f>_xll.qlInterestRateIndexValueDate(IborIndex,X775,Trigger)</f>
        <v>44582</v>
      </c>
      <c r="Z775" s="199">
        <v>2.6924011150144533E-2</v>
      </c>
      <c r="AA775" s="201">
        <v>2.6862965014178286E-2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44587</v>
      </c>
      <c r="Y776" s="198">
        <f>_xll.qlInterestRateIndexValueDate(IborIndex,X776,Trigger)</f>
        <v>44589</v>
      </c>
      <c r="Z776" s="199">
        <v>2.6940018094174789E-2</v>
      </c>
      <c r="AA776" s="201">
        <v>2.6881045233100309E-2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44594</v>
      </c>
      <c r="Y777" s="198">
        <f>_xll.qlInterestRateIndexValueDate(IborIndex,X777,Trigger)</f>
        <v>44596</v>
      </c>
      <c r="Z777" s="199">
        <v>2.6951462616510317E-2</v>
      </c>
      <c r="AA777" s="201">
        <v>2.6899254767380754E-2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44601</v>
      </c>
      <c r="Y778" s="198">
        <f>_xll.qlInterestRateIndexValueDate(IborIndex,X778,Trigger)</f>
        <v>44603</v>
      </c>
      <c r="Z778" s="199">
        <v>2.6970014401284419E-2</v>
      </c>
      <c r="AA778" s="201">
        <v>2.6917593617099556E-2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44608</v>
      </c>
      <c r="Y779" s="198">
        <f>_xll.qlInterestRateIndexValueDate(IborIndex,X779,Trigger)</f>
        <v>44610</v>
      </c>
      <c r="Z779" s="199">
        <v>2.6988695788984059E-2</v>
      </c>
      <c r="AA779" s="201">
        <v>2.6936061782096843E-2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44615</v>
      </c>
      <c r="Y780" s="198">
        <f>_xll.qlInterestRateIndexValueDate(IborIndex,X780,Trigger)</f>
        <v>44617</v>
      </c>
      <c r="Z780" s="199">
        <v>2.700750678017164E-2</v>
      </c>
      <c r="AA780" s="201">
        <v>2.6954659262612424E-2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44622</v>
      </c>
      <c r="Y781" s="198">
        <f>_xll.qlInterestRateIndexValueDate(IborIndex,X781,Trigger)</f>
        <v>44624</v>
      </c>
      <c r="Z781" s="199">
        <v>2.7033584911748676E-2</v>
      </c>
      <c r="AA781" s="201">
        <v>2.6973386058486426E-2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44629</v>
      </c>
      <c r="Y782" s="198">
        <f>_xll.qlInterestRateIndexValueDate(IborIndex,X782,Trigger)</f>
        <v>44631</v>
      </c>
      <c r="Z782" s="199">
        <v>2.7052687183531109E-2</v>
      </c>
      <c r="AA782" s="201">
        <v>2.6992242169878722E-2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44636</v>
      </c>
      <c r="Y783" s="198">
        <f>_xll.qlInterestRateIndexValueDate(IborIndex,X783,Trigger)</f>
        <v>44638</v>
      </c>
      <c r="Z783" s="199">
        <v>2.7074321945140256E-2</v>
      </c>
      <c r="AA783" s="201">
        <v>2.7011227596709375E-2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44643</v>
      </c>
      <c r="Y784" s="198">
        <f>_xll.qlInterestRateIndexValueDate(IborIndex,X784,Trigger)</f>
        <v>44645</v>
      </c>
      <c r="Z784" s="199">
        <v>2.7091280640449106E-2</v>
      </c>
      <c r="AA784" s="201">
        <v>2.7030342338978386E-2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44650</v>
      </c>
      <c r="Y785" s="198">
        <f>_xll.qlInterestRateIndexValueDate(IborIndex,X785,Trigger)</f>
        <v>44652</v>
      </c>
      <c r="Z785" s="199">
        <v>2.7113196121051064E-2</v>
      </c>
      <c r="AA785" s="201">
        <v>2.7049586396845626E-2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44657</v>
      </c>
      <c r="Y786" s="198">
        <f>_xll.qlInterestRateIndexValueDate(IborIndex,X786,Trigger)</f>
        <v>44659</v>
      </c>
      <c r="Z786" s="199">
        <v>2.7130392652800539E-2</v>
      </c>
      <c r="AA786" s="201">
        <v>2.7068959770311096E-2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44664</v>
      </c>
      <c r="Y787" s="198">
        <f>_xll.qlInterestRateIndexValueDate(IborIndex,X787,Trigger)</f>
        <v>44670</v>
      </c>
      <c r="Z787" s="199">
        <v>2.7159036527804048E-2</v>
      </c>
      <c r="AA787" s="201">
        <v>2.7094058407879373E-2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44671</v>
      </c>
      <c r="Y788" s="198">
        <f>_xll.qlInterestRateIndexValueDate(IborIndex,X788,Trigger)</f>
        <v>44673</v>
      </c>
      <c r="Z788" s="199">
        <v>2.7170023225819923E-2</v>
      </c>
      <c r="AA788" s="201">
        <v>2.7108094463716981E-2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44678</v>
      </c>
      <c r="Y789" s="198">
        <f>_xll.qlInterestRateIndexValueDate(IborIndex,X789,Trigger)</f>
        <v>44680</v>
      </c>
      <c r="Z789" s="199">
        <v>2.7192500282751109E-2</v>
      </c>
      <c r="AA789" s="201">
        <v>2.7130689385970186E-2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44685</v>
      </c>
      <c r="Y790" s="198">
        <f>_xll.qlInterestRateIndexValueDate(IborIndex,X790,Trigger)</f>
        <v>44687</v>
      </c>
      <c r="Z790" s="199">
        <v>2.7210161882491878E-2</v>
      </c>
      <c r="AA790" s="201">
        <v>2.7147746419675656E-2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44692</v>
      </c>
      <c r="Y791" s="198">
        <f>_xll.qlInterestRateIndexValueDate(IborIndex,X791,Trigger)</f>
        <v>44694</v>
      </c>
      <c r="Z791" s="199">
        <v>2.7230334779388035E-2</v>
      </c>
      <c r="AA791" s="201">
        <v>2.7167766371052338E-2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44699</v>
      </c>
      <c r="Y792" s="198">
        <f>_xll.qlInterestRateIndexValueDate(IborIndex,X792,Trigger)</f>
        <v>44701</v>
      </c>
      <c r="Z792" s="199">
        <v>2.725045184026709E-2</v>
      </c>
      <c r="AA792" s="201">
        <v>2.7187915638107185E-2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44706</v>
      </c>
      <c r="Y793" s="198">
        <f>_xll.qlInterestRateIndexValueDate(IborIndex,X793,Trigger)</f>
        <v>44708</v>
      </c>
      <c r="Z793" s="199">
        <v>2.7270413191262451E-2</v>
      </c>
      <c r="AA793" s="201">
        <v>2.7211091210608274E-2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44713</v>
      </c>
      <c r="Y794" s="198">
        <f>_xll.qlInterestRateIndexValueDate(IborIndex,X794,Trigger)</f>
        <v>44715</v>
      </c>
      <c r="Z794" s="199">
        <v>2.7292533120354401E-2</v>
      </c>
      <c r="AA794" s="201">
        <v>2.7228348450005768E-2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44720</v>
      </c>
      <c r="Y795" s="198">
        <f>_xll.qlInterestRateIndexValueDate(IborIndex,X795,Trigger)</f>
        <v>44722</v>
      </c>
      <c r="Z795" s="199">
        <v>2.7309517794327793E-2</v>
      </c>
      <c r="AA795" s="201">
        <v>2.7248192201447807E-2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44727</v>
      </c>
      <c r="Y796" s="198">
        <f>_xll.qlInterestRateIndexValueDate(IborIndex,X796,Trigger)</f>
        <v>44729</v>
      </c>
      <c r="Z796" s="199">
        <v>2.7328602662449776E-2</v>
      </c>
      <c r="AA796" s="201">
        <v>2.7267723974047087E-2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44734</v>
      </c>
      <c r="Y797" s="198">
        <f>_xll.qlInterestRateIndexValueDate(IborIndex,X797,Trigger)</f>
        <v>44736</v>
      </c>
      <c r="Z797" s="199">
        <v>2.7347374870944539E-2</v>
      </c>
      <c r="AA797" s="201">
        <v>2.7286943767803606E-2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44741</v>
      </c>
      <c r="Y798" s="198">
        <f>_xll.qlInterestRateIndexValueDate(IborIndex,X798,Trigger)</f>
        <v>44743</v>
      </c>
      <c r="Z798" s="199">
        <v>2.7365834418298454E-2</v>
      </c>
      <c r="AA798" s="201">
        <v>2.7305851582557494E-2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44748</v>
      </c>
      <c r="Y799" s="198">
        <f>_xll.qlInterestRateIndexValueDate(IborIndex,X799,Trigger)</f>
        <v>44750</v>
      </c>
      <c r="Z799" s="199">
        <v>2.7383981303023677E-2</v>
      </c>
      <c r="AA799" s="201">
        <v>2.7324447418468623E-2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44755</v>
      </c>
      <c r="Y800" s="198">
        <f>_xll.qlInterestRateIndexValueDate(IborIndex,X800,Trigger)</f>
        <v>44757</v>
      </c>
      <c r="Z800" s="199">
        <v>2.7401815523658155E-2</v>
      </c>
      <c r="AA800" s="201">
        <v>2.7342731275297183E-2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44762</v>
      </c>
      <c r="Y801" s="198">
        <f>_xll.qlInterestRateIndexValueDate(IborIndex,X801,Trigger)</f>
        <v>44764</v>
      </c>
      <c r="Z801" s="199">
        <v>2.7419337078760455E-2</v>
      </c>
      <c r="AA801" s="201">
        <v>2.7360703153043175E-2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44769</v>
      </c>
      <c r="Y802" s="198">
        <f>_xll.qlInterestRateIndexValueDate(IborIndex,X802,Trigger)</f>
        <v>44771</v>
      </c>
      <c r="Z802" s="199">
        <v>2.7441034658740291E-2</v>
      </c>
      <c r="AA802" s="201">
        <v>2.73783630517066E-2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44776</v>
      </c>
      <c r="Y803" s="198">
        <f>_xll.qlInterestRateIndexValueDate(IborIndex,X803,Trigger)</f>
        <v>44778</v>
      </c>
      <c r="Z803" s="199">
        <v>2.7455666429895276E-2</v>
      </c>
      <c r="AA803" s="201">
        <v>2.7395710971207521E-2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44783</v>
      </c>
      <c r="Y804" s="198">
        <f>_xll.qlInterestRateIndexValueDate(IborIndex,X804,Trigger)</f>
        <v>44785</v>
      </c>
      <c r="Z804" s="199">
        <v>2.7470025736913869E-2</v>
      </c>
      <c r="AA804" s="201">
        <v>2.7412746911466002E-2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44790</v>
      </c>
      <c r="Y805" s="198">
        <f>_xll.qlInterestRateIndexValueDate(IborIndex,X805,Trigger)</f>
        <v>44792</v>
      </c>
      <c r="Z805" s="199">
        <v>2.7486296616037905E-2</v>
      </c>
      <c r="AA805" s="201">
        <v>2.7429470872561978E-2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44797</v>
      </c>
      <c r="Y806" s="198">
        <f>_xll.qlInterestRateIndexValueDate(IborIndex,X806,Trigger)</f>
        <v>44799</v>
      </c>
      <c r="Z806" s="199">
        <v>2.7502254822824885E-2</v>
      </c>
      <c r="AA806" s="201">
        <v>2.7448201955406759E-2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44804</v>
      </c>
      <c r="Y807" s="198">
        <f>_xll.qlInterestRateIndexValueDate(IborIndex,X807,Trigger)</f>
        <v>44806</v>
      </c>
      <c r="Z807" s="199">
        <v>2.7517900355993257E-2</v>
      </c>
      <c r="AA807" s="201">
        <v>2.7461982856706868E-2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44811</v>
      </c>
      <c r="Y808" s="198">
        <f>_xll.qlInterestRateIndexValueDate(IborIndex,X808,Trigger)</f>
        <v>44813</v>
      </c>
      <c r="Z808" s="199">
        <v>2.7535351866794233E-2</v>
      </c>
      <c r="AA808" s="201">
        <v>2.7477770879755781E-2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44818</v>
      </c>
      <c r="Y809" s="198">
        <f>_xll.qlInterestRateIndexValueDate(IborIndex,X809,Trigger)</f>
        <v>44820</v>
      </c>
      <c r="Z809" s="199">
        <v>2.7548253396440781E-2</v>
      </c>
      <c r="AA809" s="201">
        <v>2.7493246923402381E-2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44825</v>
      </c>
      <c r="Y810" s="198">
        <f>_xll.qlInterestRateIndexValueDate(IborIndex,X810,Trigger)</f>
        <v>44827</v>
      </c>
      <c r="Z810" s="199">
        <v>2.7562960901275437E-2</v>
      </c>
      <c r="AA810" s="201">
        <v>2.7508410987486798E-2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44832</v>
      </c>
      <c r="Y811" s="198">
        <f>_xll.qlInterestRateIndexValueDate(IborIndex,X811,Trigger)</f>
        <v>44834</v>
      </c>
      <c r="Z811" s="199">
        <v>2.7577355727594757E-2</v>
      </c>
      <c r="AA811" s="201">
        <v>2.7523263072248838E-2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44839</v>
      </c>
      <c r="Y812" s="198">
        <f>_xll.qlInterestRateIndexValueDate(IborIndex,X812,Trigger)</f>
        <v>44841</v>
      </c>
      <c r="Z812" s="199">
        <v>2.7591437874243532E-2</v>
      </c>
      <c r="AA812" s="201">
        <v>2.7537803177368758E-2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44846</v>
      </c>
      <c r="Y813" s="198">
        <f>_xll.qlInterestRateIndexValueDate(IborIndex,X813,Trigger)</f>
        <v>44848</v>
      </c>
      <c r="Z813" s="199">
        <v>2.7605207340082028E-2</v>
      </c>
      <c r="AA813" s="201">
        <v>2.7552031302926494E-2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44853</v>
      </c>
      <c r="Y814" s="198">
        <f>_xll.qlInterestRateIndexValueDate(IborIndex,X814,Trigger)</f>
        <v>44855</v>
      </c>
      <c r="Z814" s="199">
        <v>2.7618664123998885E-2</v>
      </c>
      <c r="AA814" s="201">
        <v>2.756594744884211E-2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44860</v>
      </c>
      <c r="Y815" s="198">
        <f>_xll.qlInterestRateIndexValueDate(IborIndex,X815,Trigger)</f>
        <v>44862</v>
      </c>
      <c r="Z815" s="199">
        <v>2.7631808224913665E-2</v>
      </c>
      <c r="AA815" s="201">
        <v>2.7579551615195541E-2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44867</v>
      </c>
      <c r="Y816" s="198">
        <f>_xll.qlInterestRateIndexValueDate(IborIndex,X816,Trigger)</f>
        <v>44869</v>
      </c>
      <c r="Z816" s="199">
        <v>2.7644639641766579E-2</v>
      </c>
      <c r="AA816" s="201">
        <v>2.7592843801826916E-2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44874</v>
      </c>
      <c r="Y817" s="198">
        <f>_xll.qlInterestRateIndexValueDate(IborIndex,X817,Trigger)</f>
        <v>44879</v>
      </c>
      <c r="Z817" s="199">
        <v>2.7660507934974099E-2</v>
      </c>
      <c r="AA817" s="201">
        <v>2.7607652856209697E-2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44881</v>
      </c>
      <c r="Y818" s="198">
        <f>_xll.qlInterestRateIndexValueDate(IborIndex,X818,Trigger)</f>
        <v>44883</v>
      </c>
      <c r="Z818" s="199">
        <v>2.7669364419171383E-2</v>
      </c>
      <c r="AA818" s="201">
        <v>2.7618492235843561E-2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44888</v>
      </c>
      <c r="Y819" s="198">
        <f>_xll.qlInterestRateIndexValueDate(IborIndex,X819,Trigger)</f>
        <v>44890</v>
      </c>
      <c r="Z819" s="199">
        <v>2.768502441752025E-2</v>
      </c>
      <c r="AA819" s="201">
        <v>2.7630848483228831E-2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44895</v>
      </c>
      <c r="Y820" s="198">
        <f>_xll.qlInterestRateIndexValueDate(IborIndex,X820,Trigger)</f>
        <v>44897</v>
      </c>
      <c r="Z820" s="199">
        <v>2.7694701294624646E-2</v>
      </c>
      <c r="AA820" s="201">
        <v>2.7642892750732173E-2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44902</v>
      </c>
      <c r="Y821" s="198">
        <f>_xll.qlInterestRateIndexValueDate(IborIndex,X821,Trigger)</f>
        <v>44904</v>
      </c>
      <c r="Z821" s="199">
        <v>2.7704106429779121E-2</v>
      </c>
      <c r="AA821" s="201">
        <v>2.7654625038513458E-2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44909</v>
      </c>
      <c r="Y822" s="198">
        <f>_xll.qlInterestRateIndexValueDate(IborIndex,X822,Trigger)</f>
        <v>44911</v>
      </c>
      <c r="Z822" s="199">
        <v>2.7716881602624921E-2</v>
      </c>
      <c r="AA822" s="201">
        <v>2.7666045346332879E-2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44916</v>
      </c>
      <c r="Y823" s="198">
        <f>_xll.qlInterestRateIndexValueDate(IborIndex,X823,Trigger)</f>
        <v>44918</v>
      </c>
      <c r="Z823" s="199">
        <v>2.7725704322298712E-2</v>
      </c>
      <c r="AA823" s="201">
        <v>2.7680270179804012E-2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44923</v>
      </c>
      <c r="Y824" s="198">
        <f>_xll.qlInterestRateIndexValueDate(IborIndex,X824,Trigger)</f>
        <v>44925</v>
      </c>
      <c r="Z824" s="199">
        <v>2.7737811052423178E-2</v>
      </c>
      <c r="AA824" s="201">
        <v>2.7689466889917469E-2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44930</v>
      </c>
      <c r="Y825" s="198">
        <f>_xll.qlInterestRateIndexValueDate(IborIndex,X825,Trigger)</f>
        <v>44932</v>
      </c>
      <c r="Z825" s="199">
        <v>2.7746051448321481E-2</v>
      </c>
      <c r="AA825" s="201">
        <v>2.7698434390259763E-2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44937</v>
      </c>
      <c r="Y826" s="198">
        <f>_xll.qlInterestRateIndexValueDate(IborIndex,X826,Trigger)</f>
        <v>44939</v>
      </c>
      <c r="Z826" s="199">
        <v>2.7755755971831431E-2</v>
      </c>
      <c r="AA826" s="201">
        <v>2.7708606778311662E-2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44944</v>
      </c>
      <c r="Y827" s="198">
        <f>_xll.qlInterestRateIndexValueDate(IborIndex,X827,Trigger)</f>
        <v>44946</v>
      </c>
      <c r="Z827" s="199">
        <v>2.7766859852865755E-2</v>
      </c>
      <c r="AA827" s="201">
        <v>2.7718467186401696E-2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44951</v>
      </c>
      <c r="Y828" s="198">
        <f>_xll.qlInterestRateIndexValueDate(IborIndex,X828,Trigger)</f>
        <v>44953</v>
      </c>
      <c r="Z828" s="199">
        <v>2.7774226935944498E-2</v>
      </c>
      <c r="AA828" s="201">
        <v>2.7728015614369994E-2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44958</v>
      </c>
      <c r="Y829" s="198">
        <f>_xll.qlInterestRateIndexValueDate(IborIndex,X829,Trigger)</f>
        <v>44960</v>
      </c>
      <c r="Z829" s="199">
        <v>2.7777975240132084E-2</v>
      </c>
      <c r="AA829" s="201">
        <v>2.7737252062296491E-2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44965</v>
      </c>
      <c r="Y830" s="198">
        <f>_xll.qlInterestRateIndexValueDate(IborIndex,X830,Trigger)</f>
        <v>44967</v>
      </c>
      <c r="Z830" s="199">
        <v>2.7786494019071486E-2</v>
      </c>
      <c r="AA830" s="201">
        <v>2.7746176530101252E-2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44972</v>
      </c>
      <c r="Y831" s="198">
        <f>_xll.qlInterestRateIndexValueDate(IborIndex,X831,Trigger)</f>
        <v>44974</v>
      </c>
      <c r="Z831" s="199">
        <v>2.7794700172967892E-2</v>
      </c>
      <c r="AA831" s="201">
        <v>2.7754789017784276E-2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44979</v>
      </c>
      <c r="Y832" s="198">
        <f>_xll.qlInterestRateIndexValueDate(IborIndex,X832,Trigger)</f>
        <v>44981</v>
      </c>
      <c r="Z832" s="199">
        <v>2.7802593701218927E-2</v>
      </c>
      <c r="AA832" s="201">
        <v>2.7763089525345563E-2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44986</v>
      </c>
      <c r="Y833" s="198">
        <f>_xll.qlInterestRateIndexValueDate(IborIndex,X833,Trigger)</f>
        <v>44988</v>
      </c>
      <c r="Z833" s="199">
        <v>2.7814932162359831E-2</v>
      </c>
      <c r="AA833" s="201">
        <v>2.7771078052785114E-2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44993</v>
      </c>
      <c r="Y834" s="198">
        <f>_xll.qlInterestRateIndexValueDate(IborIndex,X834,Trigger)</f>
        <v>44995</v>
      </c>
      <c r="Z834" s="199">
        <v>2.7823695199180043E-2</v>
      </c>
      <c r="AA834" s="201">
        <v>2.7778754600022992E-2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45000</v>
      </c>
      <c r="Y835" s="198">
        <f>_xll.qlInterestRateIndexValueDate(IborIndex,X835,Trigger)</f>
        <v>45002</v>
      </c>
      <c r="Z835" s="199">
        <v>2.7829025365599086E-2</v>
      </c>
      <c r="AA835" s="201">
        <v>2.7786119167059198E-2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45007</v>
      </c>
      <c r="Y836" s="198">
        <f>_xll.qlInterestRateIndexValueDate(IborIndex,X836,Trigger)</f>
        <v>45009</v>
      </c>
      <c r="Z836" s="199">
        <v>2.7835602917562825E-2</v>
      </c>
      <c r="AA836" s="201">
        <v>2.7793171753813795E-2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45014</v>
      </c>
      <c r="Y837" s="198">
        <f>_xll.qlInterestRateIndexValueDate(IborIndex,X837,Trigger)</f>
        <v>45016</v>
      </c>
      <c r="Z837" s="199">
        <v>2.7837371938491833E-2</v>
      </c>
      <c r="AA837" s="201">
        <v>2.7799912360446655E-2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45021</v>
      </c>
      <c r="Y838" s="198">
        <f>_xll.qlInterestRateIndexValueDate(IborIndex,X838,Trigger)</f>
        <v>45027</v>
      </c>
      <c r="Z838" s="199">
        <v>2.7849618532646225E-2</v>
      </c>
      <c r="AA838" s="201">
        <v>2.7808120434587025E-2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45028</v>
      </c>
      <c r="Y839" s="198">
        <f>_xll.qlInterestRateIndexValueDate(IborIndex,X839,Trigger)</f>
        <v>45030</v>
      </c>
      <c r="Z839" s="199">
        <v>2.7853459368543897E-2</v>
      </c>
      <c r="AA839" s="201">
        <v>2.7812457632787613E-2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45035</v>
      </c>
      <c r="Y840" s="198">
        <f>_xll.qlInterestRateIndexValueDate(IborIndex,X840,Trigger)</f>
        <v>45037</v>
      </c>
      <c r="Z840" s="199">
        <v>2.7858786115636344E-2</v>
      </c>
      <c r="AA840" s="201">
        <v>2.7818262298495711E-2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45042</v>
      </c>
      <c r="Y841" s="198">
        <f>_xll.qlInterestRateIndexValueDate(IborIndex,X841,Trigger)</f>
        <v>45044</v>
      </c>
      <c r="Z841" s="199">
        <v>2.786661207116126E-2</v>
      </c>
      <c r="AA841" s="201">
        <v>2.7824514185583737E-2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45049</v>
      </c>
      <c r="Y842" s="198">
        <f>_xll.qlInterestRateIndexValueDate(IborIndex,X842,Trigger)</f>
        <v>45051</v>
      </c>
      <c r="Z842" s="199">
        <v>2.7868512728575937E-2</v>
      </c>
      <c r="AA842" s="201">
        <v>2.7828935689147016E-2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45056</v>
      </c>
      <c r="Y843" s="198">
        <f>_xll.qlInterestRateIndexValueDate(IborIndex,X843,Trigger)</f>
        <v>45058</v>
      </c>
      <c r="Z843" s="199">
        <v>2.7873004326482449E-2</v>
      </c>
      <c r="AA843" s="201">
        <v>2.7833804414010288E-2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45063</v>
      </c>
      <c r="Y844" s="198">
        <f>_xll.qlInterestRateIndexValueDate(IborIndex,X844,Trigger)</f>
        <v>45065</v>
      </c>
      <c r="Z844" s="199">
        <v>2.7877381862908699E-2</v>
      </c>
      <c r="AA844" s="201">
        <v>2.7838361158512015E-2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45070</v>
      </c>
      <c r="Y845" s="198">
        <f>_xll.qlInterestRateIndexValueDate(IborIndex,X845,Trigger)</f>
        <v>45072</v>
      </c>
      <c r="Z845" s="199">
        <v>2.7881752298810913E-2</v>
      </c>
      <c r="AA845" s="201">
        <v>2.7843198101757949E-2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45077</v>
      </c>
      <c r="Y846" s="198">
        <f>_xll.qlInterestRateIndexValueDate(IborIndex,X846,Trigger)</f>
        <v>45079</v>
      </c>
      <c r="Z846" s="199">
        <v>2.7886221192019948E-2</v>
      </c>
      <c r="AA846" s="201">
        <v>2.784681036336778E-2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45084</v>
      </c>
      <c r="Y847" s="198">
        <f>_xll.qlInterestRateIndexValueDate(IborIndex,X847,Trigger)</f>
        <v>45086</v>
      </c>
      <c r="Z847" s="199">
        <v>2.789084774031023E-2</v>
      </c>
      <c r="AA847" s="201">
        <v>2.7851173803137286E-2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45091</v>
      </c>
      <c r="Y848" s="198">
        <f>_xll.qlInterestRateIndexValueDate(IborIndex,X848,Trigger)</f>
        <v>45093</v>
      </c>
      <c r="Z848" s="199">
        <v>2.7895635270158918E-2</v>
      </c>
      <c r="AA848" s="201">
        <v>2.78556978493949E-2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45098</v>
      </c>
      <c r="Y849" s="198">
        <f>_xll.qlInterestRateIndexValueDate(IborIndex,X849,Trigger)</f>
        <v>45100</v>
      </c>
      <c r="Z849" s="199">
        <v>2.7900583781769722E-2</v>
      </c>
      <c r="AA849" s="201">
        <v>2.7860382502060688E-2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45105</v>
      </c>
      <c r="Y850" s="198">
        <f>_xll.qlInterestRateIndexValueDate(IborIndex,X850,Trigger)</f>
        <v>45107</v>
      </c>
      <c r="Z850" s="199">
        <v>2.7905693275346345E-2</v>
      </c>
      <c r="AA850" s="201">
        <v>2.7865227761134648E-2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45112</v>
      </c>
      <c r="Y851" s="198">
        <f>_xll.qlInterestRateIndexValueDate(IborIndex,X851,Trigger)</f>
        <v>45114</v>
      </c>
      <c r="Z851" s="199">
        <v>2.791096375109766E-2</v>
      </c>
      <c r="AA851" s="201">
        <v>2.7870233626776653E-2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45119</v>
      </c>
      <c r="Y852" s="198">
        <f>_xll.qlInterestRateIndexValueDate(IborIndex,X852,Trigger)</f>
        <v>45121</v>
      </c>
      <c r="Z852" s="199">
        <v>2.7916395209247997E-2</v>
      </c>
      <c r="AA852" s="201">
        <v>2.7875400098746894E-2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45126</v>
      </c>
      <c r="Y853" s="198">
        <f>_xll.qlInterestRateIndexValueDate(IborIndex,X853,Trigger)</f>
        <v>45128</v>
      </c>
      <c r="Z853" s="199">
        <v>2.7921987650016536E-2</v>
      </c>
      <c r="AA853" s="201">
        <v>2.7880727177205245E-2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45133</v>
      </c>
      <c r="Y854" s="198">
        <f>_xll.qlInterestRateIndexValueDate(IborIndex,X854,Trigger)</f>
        <v>45135</v>
      </c>
      <c r="Z854" s="199">
        <v>2.7929249286083591E-2</v>
      </c>
      <c r="AA854" s="201">
        <v>2.7886214862151704E-2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45140</v>
      </c>
      <c r="Y855" s="198">
        <f>_xll.qlInterestRateIndexValueDate(IborIndex,X855,Trigger)</f>
        <v>45142</v>
      </c>
      <c r="Z855" s="199">
        <v>2.7935175650840027E-2</v>
      </c>
      <c r="AA855" s="201">
        <v>2.7891863153586272E-2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45147</v>
      </c>
      <c r="Y856" s="198">
        <f>_xll.qlInterestRateIndexValueDate(IborIndex,X856,Trigger)</f>
        <v>45149</v>
      </c>
      <c r="Z856" s="199">
        <v>2.7939730870408831E-2</v>
      </c>
      <c r="AA856" s="201">
        <v>2.7897672051588884E-2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45154</v>
      </c>
      <c r="Y857" s="198">
        <f>_xll.qlInterestRateIndexValueDate(IborIndex,X857,Trigger)</f>
        <v>45156</v>
      </c>
      <c r="Z857" s="199">
        <v>2.7945967244050848E-2</v>
      </c>
      <c r="AA857" s="201">
        <v>2.7903641556079606E-2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45161</v>
      </c>
      <c r="Y858" s="198">
        <f>_xll.qlInterestRateIndexValueDate(IborIndex,X858,Trigger)</f>
        <v>45163</v>
      </c>
      <c r="Z858" s="199">
        <v>2.795236460154105E-2</v>
      </c>
      <c r="AA858" s="201">
        <v>2.7910660507819429E-2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45168</v>
      </c>
      <c r="Y859" s="198">
        <f>_xll.qlInterestRateIndexValueDate(IborIndex,X859,Trigger)</f>
        <v>45170</v>
      </c>
      <c r="Z859" s="199">
        <v>2.7958922943147613E-2</v>
      </c>
      <c r="AA859" s="201">
        <v>2.7916062384525375E-2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45175</v>
      </c>
      <c r="Y860" s="198">
        <f>_xll.qlInterestRateIndexValueDate(IborIndex,X860,Trigger)</f>
        <v>45177</v>
      </c>
      <c r="Z860" s="199">
        <v>2.7967222418929238E-2</v>
      </c>
      <c r="AA860" s="201">
        <v>2.7922513708480423E-2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45182</v>
      </c>
      <c r="Y861" s="198">
        <f>_xll.qlInterestRateIndexValueDate(IborIndex,X861,Trigger)</f>
        <v>45184</v>
      </c>
      <c r="Z861" s="199">
        <v>2.7972522579790243E-2</v>
      </c>
      <c r="AA861" s="201">
        <v>2.7929125639003516E-2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45189</v>
      </c>
      <c r="Y862" s="198">
        <f>_xll.qlInterestRateIndexValueDate(IborIndex,X862,Trigger)</f>
        <v>45191</v>
      </c>
      <c r="Z862" s="199">
        <v>2.7979563875396182E-2</v>
      </c>
      <c r="AA862" s="201">
        <v>2.7935898176014717E-2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45196</v>
      </c>
      <c r="Y863" s="198">
        <f>_xll.qlInterestRateIndexValueDate(IborIndex,X863,Trigger)</f>
        <v>45198</v>
      </c>
      <c r="Z863" s="199">
        <v>2.7988382445227888E-2</v>
      </c>
      <c r="AA863" s="201">
        <v>2.7942831319593964E-2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45203</v>
      </c>
      <c r="Y864" s="198">
        <f>_xll.qlInterestRateIndexValueDate(IborIndex,X864,Trigger)</f>
        <v>45205</v>
      </c>
      <c r="Z864" s="199">
        <v>2.7994129422629032E-2</v>
      </c>
      <c r="AA864" s="201">
        <v>2.7949925069821191E-2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45210</v>
      </c>
      <c r="Y865" s="198">
        <f>_xll.qlInterestRateIndexValueDate(IborIndex,X865,Trigger)</f>
        <v>45212</v>
      </c>
      <c r="Z865" s="199">
        <v>2.8001653674859336E-2</v>
      </c>
      <c r="AA865" s="201">
        <v>2.7957179426536527E-2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45217</v>
      </c>
      <c r="Y866" s="198">
        <f>_xll.qlInterestRateIndexValueDate(IborIndex,X866,Trigger)</f>
        <v>45219</v>
      </c>
      <c r="Z866" s="199">
        <v>2.800933891325082E-2</v>
      </c>
      <c r="AA866" s="201">
        <v>2.7964594389819908E-2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45224</v>
      </c>
      <c r="Y867" s="198">
        <f>_xll.qlInterestRateIndexValueDate(IborIndex,X867,Trigger)</f>
        <v>45226</v>
      </c>
      <c r="Z867" s="199">
        <v>2.8017185138123221E-2</v>
      </c>
      <c r="AA867" s="201">
        <v>2.797216995975127E-2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45231</v>
      </c>
      <c r="Y868" s="198">
        <f>_xll.qlInterestRateIndexValueDate(IborIndex,X868,Trigger)</f>
        <v>45233</v>
      </c>
      <c r="Z868" s="199">
        <v>2.8025192349793709E-2</v>
      </c>
      <c r="AA868" s="201">
        <v>2.7979906136330612E-2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45238</v>
      </c>
      <c r="Y869" s="198">
        <f>_xll.qlInterestRateIndexValueDate(IborIndex,X869,Trigger)</f>
        <v>45243</v>
      </c>
      <c r="Z869" s="199">
        <v>2.8035217618098685E-2</v>
      </c>
      <c r="AA869" s="201">
        <v>2.7988944141954519E-2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45245</v>
      </c>
      <c r="Y870" s="198">
        <f>_xll.qlInterestRateIndexValueDate(IborIndex,X870,Trigger)</f>
        <v>45247</v>
      </c>
      <c r="Z870" s="199">
        <v>2.8041689734880117E-2</v>
      </c>
      <c r="AA870" s="201">
        <v>2.7995860309113496E-2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45252</v>
      </c>
      <c r="Y871" s="198">
        <f>_xll.qlInterestRateIndexValueDate(IborIndex,X871,Trigger)</f>
        <v>45254</v>
      </c>
      <c r="Z871" s="199">
        <v>2.805360759456154E-2</v>
      </c>
      <c r="AA871" s="201">
        <v>2.8004078305476909E-2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45259</v>
      </c>
      <c r="Y872" s="198">
        <f>_xll.qlInterestRateIndexValueDate(IborIndex,X872,Trigger)</f>
        <v>45261</v>
      </c>
      <c r="Z872" s="199">
        <v>2.8060556463175013E-2</v>
      </c>
      <c r="AA872" s="201">
        <v>2.8012456908408367E-2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45266</v>
      </c>
      <c r="Y873" s="198">
        <f>_xll.qlInterestRateIndexValueDate(IborIndex,X873,Trigger)</f>
        <v>45268</v>
      </c>
      <c r="Z873" s="199">
        <v>2.8067643222056269E-2</v>
      </c>
      <c r="AA873" s="201">
        <v>2.8020996118067742E-2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45273</v>
      </c>
      <c r="Y874" s="198">
        <f>_xll.qlInterestRateIndexValueDate(IborIndex,X874,Trigger)</f>
        <v>45275</v>
      </c>
      <c r="Z874" s="199">
        <v>2.8078366138951649E-2</v>
      </c>
      <c r="AA874" s="201">
        <v>2.8029695934375098E-2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45280</v>
      </c>
      <c r="Y875" s="198">
        <f>_xll.qlInterestRateIndexValueDate(IborIndex,X875,Trigger)</f>
        <v>45282</v>
      </c>
      <c r="Z875" s="199">
        <v>2.8085750490721383E-2</v>
      </c>
      <c r="AA875" s="201">
        <v>2.8041117405983584E-2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45287</v>
      </c>
      <c r="Y876" s="198">
        <f>_xll.qlInterestRateIndexValueDate(IborIndex,X876,Trigger)</f>
        <v>45289</v>
      </c>
      <c r="Z876" s="199">
        <v>2.8098595294754541E-2</v>
      </c>
      <c r="AA876" s="201">
        <v>2.8048879216377998E-2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45294</v>
      </c>
      <c r="Y877" s="198">
        <f>_xll.qlInterestRateIndexValueDate(IborIndex,X877,Trigger)</f>
        <v>45296</v>
      </c>
      <c r="Z877" s="199">
        <v>2.8104501717983912E-2</v>
      </c>
      <c r="AA877" s="201">
        <v>2.8056759023504796E-2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45301</v>
      </c>
      <c r="Y878" s="198">
        <f>_xll.qlInterestRateIndexValueDate(IborIndex,X878,Trigger)</f>
        <v>45303</v>
      </c>
      <c r="Z878" s="199">
        <v>2.8114118817054563E-2</v>
      </c>
      <c r="AA878" s="201">
        <v>2.8066101266563948E-2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45308</v>
      </c>
      <c r="Y879" s="198">
        <f>_xll.qlInterestRateIndexValueDate(IborIndex,X879,Trigger)</f>
        <v>45310</v>
      </c>
      <c r="Z879" s="199">
        <v>2.8125707871505812E-2</v>
      </c>
      <c r="AA879" s="201">
        <v>2.8075604116351016E-2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45315</v>
      </c>
      <c r="Y880" s="198">
        <f>_xll.qlInterestRateIndexValueDate(IborIndex,X880,Trigger)</f>
        <v>45317</v>
      </c>
      <c r="Z880" s="199">
        <v>2.8133835988080776E-2</v>
      </c>
      <c r="AA880" s="201">
        <v>2.8085267572866002E-2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45322</v>
      </c>
      <c r="Y881" s="198">
        <f>_xll.qlInterestRateIndexValueDate(IborIndex,X881,Trigger)</f>
        <v>45324</v>
      </c>
      <c r="Z881" s="199">
        <v>2.8143936060848591E-2</v>
      </c>
      <c r="AA881" s="201">
        <v>2.809509163618884E-2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45329</v>
      </c>
      <c r="Y882" s="198">
        <f>_xll.qlInterestRateIndexValueDate(IborIndex,X882,Trigger)</f>
        <v>45331</v>
      </c>
      <c r="Z882" s="199">
        <v>2.8154197125682536E-2</v>
      </c>
      <c r="AA882" s="201">
        <v>2.8105076306319532E-2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45336</v>
      </c>
      <c r="Y883" s="198">
        <f>_xll.qlInterestRateIndexValueDate(IborIndex,X883,Trigger)</f>
        <v>45338</v>
      </c>
      <c r="Z883" s="199">
        <v>2.8164619183000342E-2</v>
      </c>
      <c r="AA883" s="201">
        <v>2.8115221583098204E-2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45343</v>
      </c>
      <c r="Y884" s="198">
        <f>_xll.qlInterestRateIndexValueDate(IborIndex,X884,Trigger)</f>
        <v>45345</v>
      </c>
      <c r="Z884" s="199">
        <v>2.8175202233235209E-2</v>
      </c>
      <c r="AA884" s="201">
        <v>2.8125527466764666E-2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45350</v>
      </c>
      <c r="Y885" s="198">
        <f>_xll.qlInterestRateIndexValueDate(IborIndex,X885,Trigger)</f>
        <v>45352</v>
      </c>
      <c r="Z885" s="199">
        <v>2.8187831090822069E-2</v>
      </c>
      <c r="AA885" s="201">
        <v>2.8135993957159044E-2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45357</v>
      </c>
      <c r="Y886" s="198">
        <f>_xll.qlInterestRateIndexValueDate(IborIndex,X886,Trigger)</f>
        <v>45359</v>
      </c>
      <c r="Z886" s="199">
        <v>2.8196851314230196E-2</v>
      </c>
      <c r="AA886" s="201">
        <v>2.8146621054441212E-2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45364</v>
      </c>
      <c r="Y887" s="198">
        <f>_xll.qlInterestRateIndexValueDate(IborIndex,X887,Trigger)</f>
        <v>45366</v>
      </c>
      <c r="Z887" s="199">
        <v>2.8207917345890239E-2</v>
      </c>
      <c r="AA887" s="201">
        <v>2.8157408758451297E-2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45371</v>
      </c>
      <c r="Y888" s="198">
        <f>_xll.qlInterestRateIndexValueDate(IborIndex,X888,Trigger)</f>
        <v>45373</v>
      </c>
      <c r="Z888" s="199">
        <v>2.8219144372262039E-2</v>
      </c>
      <c r="AA888" s="201">
        <v>2.8168357069429106E-2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45378</v>
      </c>
      <c r="Y889" s="198">
        <f>_xll.qlInterestRateIndexValueDate(IborIndex,X889,Trigger)</f>
        <v>45384</v>
      </c>
      <c r="Z889" s="199">
        <v>2.8235172009207332E-2</v>
      </c>
      <c r="AA889" s="201">
        <v>2.8182669462939458E-2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45385</v>
      </c>
      <c r="Y890" s="198">
        <f>_xll.qlInterestRateIndexValueDate(IborIndex,X890,Trigger)</f>
        <v>45387</v>
      </c>
      <c r="Z890" s="199">
        <v>2.8244028122160481E-2</v>
      </c>
      <c r="AA890" s="201">
        <v>2.8190735511888221E-2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45392</v>
      </c>
      <c r="Y891" s="198">
        <f>_xll.qlInterestRateIndexValueDate(IborIndex,X891,Trigger)</f>
        <v>45394</v>
      </c>
      <c r="Z891" s="199">
        <v>2.8253791424366778E-2</v>
      </c>
      <c r="AA891" s="201">
        <v>2.8202165643449462E-2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45399</v>
      </c>
      <c r="Y892" s="198">
        <f>_xll.qlInterestRateIndexValueDate(IborIndex,X892,Trigger)</f>
        <v>45401</v>
      </c>
      <c r="Z892" s="199">
        <v>2.8265662434327612E-2</v>
      </c>
      <c r="AA892" s="201">
        <v>2.8213756381818555E-2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45406</v>
      </c>
      <c r="Y893" s="198">
        <f>_xll.qlInterestRateIndexValueDate(IborIndex,X893,Trigger)</f>
        <v>45408</v>
      </c>
      <c r="Z893" s="199">
        <v>2.8279678447007683E-2</v>
      </c>
      <c r="AA893" s="201">
        <v>2.8225507727235311E-2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45413</v>
      </c>
      <c r="Y894" s="198">
        <f>_xll.qlInterestRateIndexValueDate(IborIndex,X894,Trigger)</f>
        <v>45415</v>
      </c>
      <c r="Z894" s="199">
        <v>2.8289881418920915E-2</v>
      </c>
      <c r="AA894" s="201">
        <v>2.8239134497827223E-2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45420</v>
      </c>
      <c r="Y895" s="198">
        <f>_xll.qlInterestRateIndexValueDate(IborIndex,X895,Trigger)</f>
        <v>45422</v>
      </c>
      <c r="Z895" s="199">
        <v>2.8302180144767684E-2</v>
      </c>
      <c r="AA895" s="201">
        <v>2.824949223889206E-2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45427</v>
      </c>
      <c r="Y896" s="198">
        <f>_xll.qlInterestRateIndexValueDate(IborIndex,X896,Trigger)</f>
        <v>45429</v>
      </c>
      <c r="Z896" s="199">
        <v>2.8314533221620728E-2</v>
      </c>
      <c r="AA896" s="201">
        <v>2.8261725405132054E-2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45434</v>
      </c>
      <c r="Y897" s="198">
        <f>_xll.qlInterestRateIndexValueDate(IborIndex,X897,Trigger)</f>
        <v>45436</v>
      </c>
      <c r="Z897" s="199">
        <v>2.8326883224006644E-2</v>
      </c>
      <c r="AA897" s="201">
        <v>2.8275896787279819E-2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45441</v>
      </c>
      <c r="Y898" s="198">
        <f>_xll.qlInterestRateIndexValueDate(IborIndex,X898,Trigger)</f>
        <v>45443</v>
      </c>
      <c r="Z898" s="199">
        <v>2.8333218684297404E-2</v>
      </c>
      <c r="AA898" s="201">
        <v>2.8286527715737364E-2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45448</v>
      </c>
      <c r="Y899" s="198">
        <f>_xll.qlInterestRateIndexValueDate(IborIndex,X899,Trigger)</f>
        <v>45450</v>
      </c>
      <c r="Z899" s="199">
        <v>2.8351372205974078E-2</v>
      </c>
      <c r="AA899" s="201">
        <v>2.8298844008523005E-2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45455</v>
      </c>
      <c r="Y900" s="198">
        <f>_xll.qlInterestRateIndexValueDate(IborIndex,X900,Trigger)</f>
        <v>45457</v>
      </c>
      <c r="Z900" s="199">
        <v>2.8363477616954798E-2</v>
      </c>
      <c r="AA900" s="201">
        <v>2.8311067193627082E-2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45462</v>
      </c>
      <c r="Y901" s="198">
        <f>_xll.qlInterestRateIndexValueDate(IborIndex,X901,Trigger)</f>
        <v>45464</v>
      </c>
      <c r="Z901" s="199">
        <v>2.8375489712268068E-2</v>
      </c>
      <c r="AA901" s="201">
        <v>2.8323197270969658E-2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45469</v>
      </c>
      <c r="Y902" s="198">
        <f>_xll.qlInterestRateIndexValueDate(IborIndex,X902,Trigger)</f>
        <v>45471</v>
      </c>
      <c r="Z902" s="199">
        <v>2.8391330417948495E-2</v>
      </c>
      <c r="AA902" s="201">
        <v>2.8335234240710605E-2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45476</v>
      </c>
      <c r="Y903" s="198">
        <f>_xll.qlInterestRateIndexValueDate(IborIndex,X903,Trigger)</f>
        <v>45478</v>
      </c>
      <c r="Z903" s="199">
        <v>2.8399233954739624E-2</v>
      </c>
      <c r="AA903" s="201">
        <v>2.8347178102769988E-2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45483</v>
      </c>
      <c r="Y904" s="198">
        <f>_xll.qlInterestRateIndexValueDate(IborIndex,X904,Trigger)</f>
        <v>45485</v>
      </c>
      <c r="Z904" s="199">
        <v>2.8410966101325465E-2</v>
      </c>
      <c r="AA904" s="201">
        <v>2.8359028857147806E-2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45490</v>
      </c>
      <c r="Y905" s="198">
        <f>_xll.qlInterestRateIndexValueDate(IborIndex,X905,Trigger)</f>
        <v>45492</v>
      </c>
      <c r="Z905" s="199">
        <v>2.8422604931101547E-2</v>
      </c>
      <c r="AA905" s="201">
        <v>2.8370786503684187E-2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45497</v>
      </c>
      <c r="Y906" s="198">
        <f>_xll.qlInterestRateIndexValueDate(IborIndex,X906,Trigger)</f>
        <v>45499</v>
      </c>
      <c r="Z906" s="199">
        <v>2.8436088649157754E-2</v>
      </c>
      <c r="AA906" s="201">
        <v>2.8382451042539003E-2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45504</v>
      </c>
      <c r="Y907" s="198">
        <f>_xll.qlInterestRateIndexValueDate(IborIndex,X907,Trigger)</f>
        <v>45506</v>
      </c>
      <c r="Z907" s="199">
        <v>2.8447535082084252E-2</v>
      </c>
      <c r="AA907" s="201">
        <v>2.8394022473712255E-2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45511</v>
      </c>
      <c r="Y908" s="198">
        <f>_xll.qlInterestRateIndexValueDate(IborIndex,X908,Trigger)</f>
        <v>45513</v>
      </c>
      <c r="Z908" s="199">
        <v>2.845696151678118E-2</v>
      </c>
      <c r="AA908" s="201">
        <v>2.8405500797124006E-2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45518</v>
      </c>
      <c r="Y909" s="198">
        <f>_xll.qlInterestRateIndexValueDate(IborIndex,X909,Trigger)</f>
        <v>45520</v>
      </c>
      <c r="Z909" s="199">
        <v>2.8468227076543649E-2</v>
      </c>
      <c r="AA909" s="201">
        <v>2.8416886012774256E-2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45525</v>
      </c>
      <c r="Y910" s="198">
        <f>_xll.qlInterestRateIndexValueDate(IborIndex,X910,Trigger)</f>
        <v>45527</v>
      </c>
      <c r="Z910" s="199">
        <v>2.8479399318116817E-2</v>
      </c>
      <c r="AA910" s="201">
        <v>2.8429783678269871E-2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45532</v>
      </c>
      <c r="Y911" s="198">
        <f>_xll.qlInterestRateIndexValueDate(IborIndex,X911,Trigger)</f>
        <v>45534</v>
      </c>
      <c r="Z911" s="199">
        <v>2.8490478241232506E-2</v>
      </c>
      <c r="AA911" s="201">
        <v>2.8439377120790255E-2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45539</v>
      </c>
      <c r="Y912" s="198">
        <f>_xll.qlInterestRateIndexValueDate(IborIndex,X912,Trigger)</f>
        <v>45541</v>
      </c>
      <c r="Z912" s="199">
        <v>2.8501463845627701E-2</v>
      </c>
      <c r="AA912" s="201">
        <v>2.8450483013156003E-2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45546</v>
      </c>
      <c r="Y913" s="198">
        <f>_xll.qlInterestRateIndexValueDate(IborIndex,X913,Trigger)</f>
        <v>45548</v>
      </c>
      <c r="Z913" s="199">
        <v>2.8514253851840698E-2</v>
      </c>
      <c r="AA913" s="201">
        <v>2.8461495797680314E-2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45553</v>
      </c>
      <c r="Y914" s="198">
        <f>_xll.qlInterestRateIndexValueDate(IborIndex,X914,Trigger)</f>
        <v>45555</v>
      </c>
      <c r="Z914" s="199">
        <v>2.8523155097196818E-2</v>
      </c>
      <c r="AA914" s="201">
        <v>2.8472415474523061E-2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45560</v>
      </c>
      <c r="Y915" s="198">
        <f>_xll.qlInterestRateIndexValueDate(IborIndex,X915,Trigger)</f>
        <v>45562</v>
      </c>
      <c r="Z915" s="199">
        <v>2.8533860743847287E-2</v>
      </c>
      <c r="AA915" s="201">
        <v>2.8483242043444434E-2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45567</v>
      </c>
      <c r="Y916" s="198">
        <f>_xll.qlInterestRateIndexValueDate(IborIndex,X916,Trigger)</f>
        <v>45569</v>
      </c>
      <c r="Z916" s="199">
        <v>2.8544473070732934E-2</v>
      </c>
      <c r="AA916" s="201">
        <v>2.8493975504604308E-2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45574</v>
      </c>
      <c r="Y917" s="198">
        <f>_xll.qlInterestRateIndexValueDate(IborIndex,X917,Trigger)</f>
        <v>45576</v>
      </c>
      <c r="Z917" s="199">
        <v>2.8556866508896162E-2</v>
      </c>
      <c r="AA917" s="201">
        <v>2.8504615857922744E-2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45581</v>
      </c>
      <c r="Y918" s="198">
        <f>_xll.qlInterestRateIndexValueDate(IborIndex,X918,Trigger)</f>
        <v>45583</v>
      </c>
      <c r="Z918" s="199">
        <v>2.8565417764191234E-2</v>
      </c>
      <c r="AA918" s="201">
        <v>2.8515163103399743E-2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45588</v>
      </c>
      <c r="Y919" s="198">
        <f>_xll.qlInterestRateIndexValueDate(IborIndex,X919,Trigger)</f>
        <v>45590</v>
      </c>
      <c r="Z919" s="199">
        <v>2.8575750130261063E-2</v>
      </c>
      <c r="AA919" s="201">
        <v>2.8525617241035306E-2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45595</v>
      </c>
      <c r="Y920" s="198">
        <f>_xll.qlInterestRateIndexValueDate(IborIndex,X920,Trigger)</f>
        <v>45597</v>
      </c>
      <c r="Z920" s="199">
        <v>2.8585989175555271E-2</v>
      </c>
      <c r="AA920" s="201">
        <v>2.8535978270909368E-2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45602</v>
      </c>
      <c r="Y921" s="198">
        <f>_xll.qlInterestRateIndexValueDate(IborIndex,X921,Trigger)</f>
        <v>45604</v>
      </c>
      <c r="Z921" s="199">
        <v>2.8596134899831465E-2</v>
      </c>
      <c r="AA921" s="201">
        <v>2.8546246192782121E-2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45609</v>
      </c>
      <c r="Y922" s="198">
        <f>_xll.qlInterestRateIndexValueDate(IborIndex,X922,Trigger)</f>
        <v>45611</v>
      </c>
      <c r="Z922" s="199">
        <v>2.8606187302842107E-2</v>
      </c>
      <c r="AA922" s="201">
        <v>2.8556421006893373E-2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45616</v>
      </c>
      <c r="Y923" s="198">
        <f>_xll.qlInterestRateIndexValueDate(IborIndex,X923,Trigger)</f>
        <v>45618</v>
      </c>
      <c r="Z923" s="199">
        <v>2.8616146384349964E-2</v>
      </c>
      <c r="AA923" s="201">
        <v>2.8566502713163189E-2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45623</v>
      </c>
      <c r="Y924" s="198">
        <f>_xll.qlInterestRateIndexValueDate(IborIndex,X924,Trigger)</f>
        <v>45625</v>
      </c>
      <c r="Z924" s="199">
        <v>2.8627845544814956E-2</v>
      </c>
      <c r="AA924" s="201">
        <v>2.8576491311511631E-2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45630</v>
      </c>
      <c r="Y925" s="198">
        <f>_xll.qlInterestRateIndexValueDate(IborIndex,X925,Trigger)</f>
        <v>45632</v>
      </c>
      <c r="Z925" s="199">
        <v>2.8635784581895519E-2</v>
      </c>
      <c r="AA925" s="201">
        <v>2.8586386802018637E-2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45637</v>
      </c>
      <c r="Y926" s="198">
        <f>_xll.qlInterestRateIndexValueDate(IborIndex,X926,Trigger)</f>
        <v>45639</v>
      </c>
      <c r="Z926" s="199">
        <v>2.8645463697461335E-2</v>
      </c>
      <c r="AA926" s="201">
        <v>2.859618918460427E-2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45644</v>
      </c>
      <c r="Y927" s="198">
        <f>_xll.qlInterestRateIndexValueDate(IborIndex,X927,Trigger)</f>
        <v>45646</v>
      </c>
      <c r="Z927" s="199">
        <v>2.865686519945676E-2</v>
      </c>
      <c r="AA927" s="201">
        <v>2.8609550592184618E-2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45653</v>
      </c>
      <c r="Y928" s="198">
        <f>_xll.qlInterestRateIndexValueDate(IborIndex,X928,Trigger)</f>
        <v>45657</v>
      </c>
      <c r="Z928" s="199">
        <v>2.8669924329762928E-2</v>
      </c>
      <c r="AA928" s="201">
        <v>2.8623242645569036E-2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45660</v>
      </c>
      <c r="Y929" s="198">
        <f>_xll.qlInterestRateIndexValueDate(IborIndex,X929,Trigger)</f>
        <v>45664</v>
      </c>
      <c r="Z929" s="199">
        <v>2.867927014980853E-2</v>
      </c>
      <c r="AA929" s="201">
        <v>2.862774145739877E-2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45667</v>
      </c>
      <c r="Y930" s="198">
        <f>_xll.qlInterestRateIndexValueDate(IborIndex,X930,Trigger)</f>
        <v>45671</v>
      </c>
      <c r="Z930" s="199">
        <v>2.8688522646595334E-2</v>
      </c>
      <c r="AA930" s="201">
        <v>2.8637144806058501E-2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45674</v>
      </c>
      <c r="Y931" s="198">
        <f>_xll.qlInterestRateIndexValueDate(IborIndex,X931,Trigger)</f>
        <v>45678</v>
      </c>
      <c r="Z931" s="199">
        <v>2.8697681819898999E-2</v>
      </c>
      <c r="AA931" s="201">
        <v>2.8646455046796859E-2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45681</v>
      </c>
      <c r="Y932" s="198">
        <f>_xll.qlInterestRateIndexValueDate(IborIndex,X932,Trigger)</f>
        <v>45685</v>
      </c>
      <c r="Z932" s="199">
        <v>2.8706747669490038E-2</v>
      </c>
      <c r="AA932" s="201">
        <v>2.8655672179533909E-2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45688</v>
      </c>
      <c r="Y933" s="198">
        <f>_xll.qlInterestRateIndexValueDate(IborIndex,X933,Trigger)</f>
        <v>45692</v>
      </c>
      <c r="Z933" s="199">
        <v>2.8710387168484935E-2</v>
      </c>
      <c r="AA933" s="201">
        <v>2.8664796204429521E-2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45695</v>
      </c>
      <c r="Y934" s="198">
        <f>_xll.qlInterestRateIndexValueDate(IborIndex,X934,Trigger)</f>
        <v>45699</v>
      </c>
      <c r="Z934" s="199">
        <v>2.8719284241214917E-2</v>
      </c>
      <c r="AA934" s="201">
        <v>2.8673827121323825E-2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45702</v>
      </c>
      <c r="Y935" s="198">
        <f>_xll.qlInterestRateIndexValueDate(IborIndex,X935,Trigger)</f>
        <v>45706</v>
      </c>
      <c r="Z935" s="199">
        <v>2.8728088011290724E-2</v>
      </c>
      <c r="AA935" s="201">
        <v>2.8682764930296756E-2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45709</v>
      </c>
      <c r="Y936" s="198">
        <f>_xll.qlInterestRateIndexValueDate(IborIndex,X936,Trigger)</f>
        <v>45713</v>
      </c>
      <c r="Z936" s="199">
        <v>2.8736798478523933E-2</v>
      </c>
      <c r="AA936" s="201">
        <v>2.8691609631188442E-2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45716</v>
      </c>
      <c r="Y937" s="198">
        <f>_xll.qlInterestRateIndexValueDate(IborIndex,X937,Trigger)</f>
        <v>45720</v>
      </c>
      <c r="Z937" s="199">
        <v>2.8750677054334643E-2</v>
      </c>
      <c r="AA937" s="201">
        <v>2.8700361224238691E-2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45723</v>
      </c>
      <c r="Y938" s="198">
        <f>_xll.qlInterestRateIndexValueDate(IborIndex,X938,Trigger)</f>
        <v>45727</v>
      </c>
      <c r="Z938" s="199">
        <v>2.875918295719412E-2</v>
      </c>
      <c r="AA938" s="201">
        <v>2.8709019709207695E-2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45730</v>
      </c>
      <c r="Y939" s="198">
        <f>_xll.qlInterestRateIndexValueDate(IborIndex,X939,Trigger)</f>
        <v>45734</v>
      </c>
      <c r="Z939" s="199">
        <v>2.8774556124138023E-2</v>
      </c>
      <c r="AA939" s="201">
        <v>2.8717585086255326E-2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45737</v>
      </c>
      <c r="Y940" s="198">
        <f>_xll.qlInterestRateIndexValueDate(IborIndex,X940,Trigger)</f>
        <v>45741</v>
      </c>
      <c r="Z940" s="199">
        <v>2.877591478716468E-2</v>
      </c>
      <c r="AA940" s="201">
        <v>2.8726057355301648E-2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45744</v>
      </c>
      <c r="Y941" s="198">
        <f>_xll.qlInterestRateIndexValueDate(IborIndex,X941,Trigger)</f>
        <v>45748</v>
      </c>
      <c r="Z941" s="199">
        <v>2.8782411378696082E-2</v>
      </c>
      <c r="AA941" s="201">
        <v>2.8734436516346662E-2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45751</v>
      </c>
      <c r="Y942" s="198">
        <f>_xll.qlInterestRateIndexValueDate(IborIndex,X942,Trigger)</f>
        <v>45755</v>
      </c>
      <c r="Z942" s="199">
        <v>2.8790549995721726E-2</v>
      </c>
      <c r="AA942" s="201">
        <v>2.8742722569390367E-2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45758</v>
      </c>
      <c r="Y943" s="198">
        <f>_xll.qlInterestRateIndexValueDate(IborIndex,X943,Trigger)</f>
        <v>45762</v>
      </c>
      <c r="Z943" s="199">
        <v>2.8798595294055929E-2</v>
      </c>
      <c r="AA943" s="201">
        <v>2.8757830769121639E-2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45769</v>
      </c>
      <c r="Y944" s="198">
        <f>_xll.qlInterestRateIndexValueDate(IborIndex,X944,Trigger)</f>
        <v>45771</v>
      </c>
      <c r="Z944" s="199">
        <v>2.8813929295891005E-2</v>
      </c>
      <c r="AA944" s="201">
        <v>2.8763602026034008E-2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45776</v>
      </c>
      <c r="Y945" s="198">
        <f>_xll.qlInterestRateIndexValueDate(IborIndex,X945,Trigger)</f>
        <v>45778</v>
      </c>
      <c r="Z945" s="199">
        <v>2.8820040458813756E-2</v>
      </c>
      <c r="AA945" s="201">
        <v>2.8772684167472917E-2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45783</v>
      </c>
      <c r="Y946" s="198">
        <f>_xll.qlInterestRateIndexValueDate(IborIndex,X946,Trigger)</f>
        <v>45785</v>
      </c>
      <c r="Z946" s="199">
        <v>2.882776470736953E-2</v>
      </c>
      <c r="AA946" s="201">
        <v>2.8779415966750932E-2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45790</v>
      </c>
      <c r="Y947" s="198">
        <f>_xll.qlInterestRateIndexValueDate(IborIndex,X947,Trigger)</f>
        <v>45792</v>
      </c>
      <c r="Z947" s="199">
        <v>2.883539048463668E-2</v>
      </c>
      <c r="AA947" s="201">
        <v>2.8787183275067463E-2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45797</v>
      </c>
      <c r="Y948" s="198">
        <f>_xll.qlInterestRateIndexValueDate(IborIndex,X948,Trigger)</f>
        <v>45799</v>
      </c>
      <c r="Z948" s="199">
        <v>2.8842914793729968E-2</v>
      </c>
      <c r="AA948" s="201">
        <v>2.8795946188981958E-2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45804</v>
      </c>
      <c r="Y949" s="198">
        <f>_xll.qlInterestRateIndexValueDate(IborIndex,X949,Trigger)</f>
        <v>45806</v>
      </c>
      <c r="Z949" s="199">
        <v>2.8850334639207997E-2</v>
      </c>
      <c r="AA949" s="201">
        <v>2.8802434337800165E-2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45811</v>
      </c>
      <c r="Y950" s="198">
        <f>_xll.qlInterestRateIndexValueDate(IborIndex,X950,Trigger)</f>
        <v>45813</v>
      </c>
      <c r="Z950" s="199">
        <v>2.8857647765337668E-2</v>
      </c>
      <c r="AA950" s="201">
        <v>2.8809904752407078E-2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45818</v>
      </c>
      <c r="Y951" s="198">
        <f>_xll.qlInterestRateIndexValueDate(IborIndex,X951,Trigger)</f>
        <v>45820</v>
      </c>
      <c r="Z951" s="199">
        <v>2.886485385738824E-2</v>
      </c>
      <c r="AA951" s="201">
        <v>2.8817268393703799E-2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45825</v>
      </c>
      <c r="Y952" s="198">
        <f>_xll.qlInterestRateIndexValueDate(IborIndex,X952,Trigger)</f>
        <v>45827</v>
      </c>
      <c r="Z952" s="199">
        <v>2.8871952915154875E-2</v>
      </c>
      <c r="AA952" s="201">
        <v>2.8824525261690326E-2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45832</v>
      </c>
      <c r="Y953" s="198">
        <f>_xll.qlInterestRateIndexValueDate(IborIndex,X953,Trigger)</f>
        <v>45834</v>
      </c>
      <c r="Z953" s="199">
        <v>2.8878944938440232E-2</v>
      </c>
      <c r="AA953" s="201">
        <v>2.8831675356446596E-2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45839</v>
      </c>
      <c r="Y954" s="198">
        <f>_xll.qlInterestRateIndexValueDate(IborIndex,X954,Trigger)</f>
        <v>45841</v>
      </c>
      <c r="Z954" s="199">
        <v>2.8885829927036977E-2</v>
      </c>
      <c r="AA954" s="201">
        <v>2.8838718677892672E-2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45846</v>
      </c>
      <c r="Y955" s="198">
        <f>_xll.qlInterestRateIndexValueDate(IborIndex,X955,Trigger)</f>
        <v>45848</v>
      </c>
      <c r="Z955" s="199">
        <v>2.8892607880755261E-2</v>
      </c>
      <c r="AA955" s="201">
        <v>2.8845655226028555E-2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45853</v>
      </c>
      <c r="Y956" s="198">
        <f>_xll.qlInterestRateIndexValueDate(IborIndex,X956,Trigger)</f>
        <v>45855</v>
      </c>
      <c r="Z956" s="199">
        <v>2.8899278799400241E-2</v>
      </c>
      <c r="AA956" s="201">
        <v>2.8852485000854244E-2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45860</v>
      </c>
      <c r="Y957" s="198">
        <f>_xll.qlInterestRateIndexValueDate(IborIndex,X957,Trigger)</f>
        <v>45862</v>
      </c>
      <c r="Z957" s="199">
        <v>2.8907461077696667E-2</v>
      </c>
      <c r="AA957" s="201">
        <v>2.8859208002369741E-2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45867</v>
      </c>
      <c r="Y958" s="198">
        <f>_xll.qlInterestRateIndexValueDate(IborIndex,X958,Trigger)</f>
        <v>45869</v>
      </c>
      <c r="Z958" s="199">
        <v>2.890746216907903E-2</v>
      </c>
      <c r="AA958" s="201">
        <v>2.8865824230495107E-2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45874</v>
      </c>
      <c r="Y959" s="198">
        <f>_xll.qlInterestRateIndexValueDate(IborIndex,X959,Trigger)</f>
        <v>45876</v>
      </c>
      <c r="Z959" s="199">
        <v>2.8918649343006864E-2</v>
      </c>
      <c r="AA959" s="201">
        <v>2.8872333685390217E-2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45881</v>
      </c>
      <c r="Y960" s="198">
        <f>_xll.qlInterestRateIndexValueDate(IborIndex,X960,Trigger)</f>
        <v>45883</v>
      </c>
      <c r="Z960" s="199">
        <v>2.8924892119487622E-2</v>
      </c>
      <c r="AA960" s="201">
        <v>2.8878736366895197E-2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45888</v>
      </c>
      <c r="Y961" s="198">
        <f>_xll.qlInterestRateIndexValueDate(IborIndex,X961,Trigger)</f>
        <v>45890</v>
      </c>
      <c r="Z961" s="199">
        <v>2.8931027859978309E-2</v>
      </c>
      <c r="AA961" s="201">
        <v>2.888592297436432E-2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45895</v>
      </c>
      <c r="Y962" s="198">
        <f>_xll.qlInterestRateIndexValueDate(IborIndex,X962,Trigger)</f>
        <v>45897</v>
      </c>
      <c r="Z962" s="199">
        <v>2.8937056564301566E-2</v>
      </c>
      <c r="AA962" s="201">
        <v>2.8891221409894641E-2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45902</v>
      </c>
      <c r="Y963" s="198">
        <f>_xll.qlInterestRateIndexValueDate(IborIndex,X963,Trigger)</f>
        <v>45904</v>
      </c>
      <c r="Z963" s="199">
        <v>2.8942978232285033E-2</v>
      </c>
      <c r="AA963" s="201">
        <v>2.8897303771469041E-2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45909</v>
      </c>
      <c r="Y964" s="198">
        <f>_xll.qlInterestRateIndexValueDate(IborIndex,X964,Trigger)</f>
        <v>45911</v>
      </c>
      <c r="Z964" s="199">
        <v>2.8950361183283396E-2</v>
      </c>
      <c r="AA964" s="201">
        <v>2.8903279359573375E-2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45916</v>
      </c>
      <c r="Y965" s="198">
        <f>_xll.qlInterestRateIndexValueDate(IborIndex,X965,Trigger)</f>
        <v>45918</v>
      </c>
      <c r="Z965" s="199">
        <v>2.8954500458563126E-2</v>
      </c>
      <c r="AA965" s="201">
        <v>2.8909148174367516E-2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45923</v>
      </c>
      <c r="Y966" s="198">
        <f>_xll.qlInterestRateIndexValueDate(IborIndex,X966,Trigger)</f>
        <v>45925</v>
      </c>
      <c r="Z966" s="199">
        <v>2.8960101016528017E-2</v>
      </c>
      <c r="AA966" s="201">
        <v>2.8914910215771528E-2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45930</v>
      </c>
      <c r="Y967" s="198">
        <f>_xll.qlInterestRateIndexValueDate(IborIndex,X967,Trigger)</f>
        <v>45932</v>
      </c>
      <c r="Z967" s="199">
        <v>2.896559453749864E-2</v>
      </c>
      <c r="AA967" s="201">
        <v>2.892056548378541E-2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45937</v>
      </c>
      <c r="Y968" s="198">
        <f>_xll.qlInterestRateIndexValueDate(IborIndex,X968,Trigger)</f>
        <v>45939</v>
      </c>
      <c r="Z968" s="199">
        <v>2.8970981021320119E-2</v>
      </c>
      <c r="AA968" s="201">
        <v>2.8926113978489099E-2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45944</v>
      </c>
      <c r="Y969" s="198">
        <f>_xll.qlInterestRateIndexValueDate(IborIndex,X969,Trigger)</f>
        <v>45946</v>
      </c>
      <c r="Z969" s="199">
        <v>2.8976260467837578E-2</v>
      </c>
      <c r="AA969" s="201">
        <v>2.8931555699722722E-2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45951</v>
      </c>
      <c r="Y970" s="198">
        <f>_xll.qlInterestRateIndexValueDate(IborIndex,X970,Trigger)</f>
        <v>45953</v>
      </c>
      <c r="Z970" s="199">
        <v>2.898143287689614E-2</v>
      </c>
      <c r="AA970" s="201">
        <v>2.8936890647646152E-2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45958</v>
      </c>
      <c r="Y971" s="198">
        <f>_xll.qlInterestRateIndexValueDate(IborIndex,X971,Trigger)</f>
        <v>45960</v>
      </c>
      <c r="Z971" s="199">
        <v>2.8981941114534147E-2</v>
      </c>
      <c r="AA971" s="201">
        <v>2.8942118822179452E-2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45965</v>
      </c>
      <c r="Y972" s="198">
        <f>_xll.qlInterestRateIndexValueDate(IborIndex,X972,Trigger)</f>
        <v>45967</v>
      </c>
      <c r="Z972" s="199">
        <v>2.8991456582067032E-2</v>
      </c>
      <c r="AA972" s="201">
        <v>2.8947240223322623E-2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45972</v>
      </c>
      <c r="Y973" s="198">
        <f>_xll.qlInterestRateIndexValueDate(IborIndex,X973,Trigger)</f>
        <v>45974</v>
      </c>
      <c r="Z973" s="199">
        <v>2.8996307877892091E-2</v>
      </c>
      <c r="AA973" s="201">
        <v>2.8952254851075665E-2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45979</v>
      </c>
      <c r="Y974" s="198">
        <f>_xll.qlInterestRateIndexValueDate(IborIndex,X974,Trigger)</f>
        <v>45981</v>
      </c>
      <c r="Z974" s="199">
        <v>2.900105213568871E-2</v>
      </c>
      <c r="AA974" s="201">
        <v>2.8957162705358641E-2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45986</v>
      </c>
      <c r="Y975" s="198">
        <f>_xll.qlInterestRateIndexValueDate(IborIndex,X975,Trigger)</f>
        <v>45989</v>
      </c>
      <c r="Z975" s="199">
        <v>2.900783082365602E-2</v>
      </c>
      <c r="AA975" s="201">
        <v>2.8962640938745565E-2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45993</v>
      </c>
      <c r="Y976" s="198">
        <f>_xll.qlInterestRateIndexValueDate(IborIndex,X976,Trigger)</f>
        <v>45995</v>
      </c>
      <c r="Z976" s="199">
        <v>2.9010219536669546E-2</v>
      </c>
      <c r="AA976" s="201">
        <v>2.8966658093754205E-2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46000</v>
      </c>
      <c r="Y977" s="198">
        <f>_xll.qlInterestRateIndexValueDate(IborIndex,X977,Trigger)</f>
        <v>46002</v>
      </c>
      <c r="Z977" s="199">
        <v>2.9014642679593972E-2</v>
      </c>
      <c r="AA977" s="201">
        <v>2.8971245627786857E-2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46007</v>
      </c>
      <c r="Y978" s="198">
        <f>_xll.qlInterestRateIndexValueDate(IborIndex,X978,Trigger)</f>
        <v>46009</v>
      </c>
      <c r="Z978" s="199">
        <v>2.9020425699261505E-2</v>
      </c>
      <c r="AA978" s="201">
        <v>2.8975726388509315E-2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46014</v>
      </c>
      <c r="Y979" s="198">
        <f>_xll.qlInterestRateIndexValueDate(IborIndex,X979,Trigger)</f>
        <v>46020</v>
      </c>
      <c r="Z979" s="199">
        <v>2.9024068924163871E-2</v>
      </c>
      <c r="AA979" s="201">
        <v>2.8982802942132402E-2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46021</v>
      </c>
      <c r="Y980" s="198">
        <f>_xll.qlInterestRateIndexValueDate(IborIndex,X980,Trigger)</f>
        <v>46024</v>
      </c>
      <c r="Z980" s="199">
        <v>2.9026395276472081E-2</v>
      </c>
      <c r="AA980" s="201">
        <v>2.89849684752852E-2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46028</v>
      </c>
      <c r="Y981" s="198">
        <f>_xll.qlInterestRateIndexValueDate(IborIndex,X981,Trigger)</f>
        <v>46030</v>
      </c>
      <c r="Z981" s="199">
        <v>2.9031264864589901E-2</v>
      </c>
      <c r="AA981" s="201">
        <v>2.8988528029856298E-2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46035</v>
      </c>
      <c r="Y982" s="198">
        <f>_xll.qlInterestRateIndexValueDate(IborIndex,X982,Trigger)</f>
        <v>46037</v>
      </c>
      <c r="Z982" s="199">
        <v>2.9036590447974416E-2</v>
      </c>
      <c r="AA982" s="201">
        <v>2.899258169677843E-2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46042</v>
      </c>
      <c r="Y983" s="198">
        <f>_xll.qlInterestRateIndexValueDate(IborIndex,X983,Trigger)</f>
        <v>46044</v>
      </c>
      <c r="Z983" s="199">
        <v>2.9038933723427862E-2</v>
      </c>
      <c r="AA983" s="201">
        <v>2.8996528590310433E-2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46049</v>
      </c>
      <c r="Y984" s="198">
        <f>_xll.qlInterestRateIndexValueDate(IborIndex,X984,Trigger)</f>
        <v>46051</v>
      </c>
      <c r="Z984" s="199">
        <v>2.903833502016219E-2</v>
      </c>
      <c r="AA984" s="201">
        <v>2.9000368710452307E-2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46056</v>
      </c>
      <c r="Y985" s="198">
        <f>_xll.qlInterestRateIndexValueDate(IborIndex,X985,Trigger)</f>
        <v>46058</v>
      </c>
      <c r="Z985" s="199">
        <v>2.9040505835296049E-2</v>
      </c>
      <c r="AA985" s="201">
        <v>2.9004102056964243E-2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46063</v>
      </c>
      <c r="Y986" s="198">
        <f>_xll.qlInterestRateIndexValueDate(IborIndex,X986,Trigger)</f>
        <v>46065</v>
      </c>
      <c r="Z986" s="199">
        <v>2.9043995084973809E-2</v>
      </c>
      <c r="AA986" s="201">
        <v>2.9007728630165985E-2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46070</v>
      </c>
      <c r="Y987" s="198">
        <f>_xll.qlInterestRateIndexValueDate(IborIndex,X987,Trigger)</f>
        <v>46072</v>
      </c>
      <c r="Z987" s="199">
        <v>2.9047377329501117E-2</v>
      </c>
      <c r="AA987" s="201">
        <v>2.9011248429817726E-2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46077</v>
      </c>
      <c r="Y988" s="198">
        <f>_xll.qlInterestRateIndexValueDate(IborIndex,X988,Trigger)</f>
        <v>46079</v>
      </c>
      <c r="Z988" s="199">
        <v>2.9050652568795181E-2</v>
      </c>
      <c r="AA988" s="201">
        <v>2.9014661456079338E-2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46084</v>
      </c>
      <c r="Y989" s="198">
        <f>_xll.qlInterestRateIndexValueDate(IborIndex,X989,Trigger)</f>
        <v>46086</v>
      </c>
      <c r="Z989" s="199">
        <v>2.9060757416984634E-2</v>
      </c>
      <c r="AA989" s="201">
        <v>2.9017967708870884E-2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46091</v>
      </c>
      <c r="Y990" s="198">
        <f>_xll.qlInterestRateIndexValueDate(IborIndex,X990,Trigger)</f>
        <v>46093</v>
      </c>
      <c r="Z990" s="199">
        <v>2.906240298805457E-2</v>
      </c>
      <c r="AA990" s="201">
        <v>2.9021167188192365E-2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46098</v>
      </c>
      <c r="Y991" s="198">
        <f>_xll.qlInterestRateIndexValueDate(IborIndex,X991,Trigger)</f>
        <v>46100</v>
      </c>
      <c r="Z991" s="199">
        <v>2.9065327581232203E-2</v>
      </c>
      <c r="AA991" s="201">
        <v>2.902425989404378E-2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46105</v>
      </c>
      <c r="Y992" s="198">
        <f>_xll.qlInterestRateIndexValueDate(IborIndex,X992,Trigger)</f>
        <v>46107</v>
      </c>
      <c r="Z992" s="199">
        <v>2.9068145134422962E-2</v>
      </c>
      <c r="AA992" s="201">
        <v>2.9027245826505066E-2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46112</v>
      </c>
      <c r="Y993" s="198">
        <f>_xll.qlInterestRateIndexValueDate(IborIndex,X993,Trigger)</f>
        <v>46114</v>
      </c>
      <c r="Z993" s="199">
        <v>2.9072212050282271E-2</v>
      </c>
      <c r="AA993" s="201">
        <v>2.903092799075857E-2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46119</v>
      </c>
      <c r="Y994" s="198">
        <f>_xll.qlInterestRateIndexValueDate(IborIndex,X994,Trigger)</f>
        <v>46121</v>
      </c>
      <c r="Z994" s="199">
        <v>2.9073459120511624E-2</v>
      </c>
      <c r="AA994" s="201">
        <v>2.9032897370857569E-2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46126</v>
      </c>
      <c r="Y995" s="198">
        <f>_xll.qlInterestRateIndexValueDate(IborIndex,X995,Trigger)</f>
        <v>46128</v>
      </c>
      <c r="Z995" s="199">
        <v>2.9075955553257149E-2</v>
      </c>
      <c r="AA995" s="201">
        <v>2.9035562982828722E-2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46133</v>
      </c>
      <c r="Y996" s="198">
        <f>_xll.qlInterestRateIndexValueDate(IborIndex,X996,Trigger)</f>
        <v>46135</v>
      </c>
      <c r="Z996" s="199">
        <v>2.9079679013504552E-2</v>
      </c>
      <c r="AA996" s="201">
        <v>2.9038121821249874E-2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46140</v>
      </c>
      <c r="Y997" s="198">
        <f>_xll.qlInterestRateIndexValueDate(IborIndex,X997,Trigger)</f>
        <v>46142</v>
      </c>
      <c r="Z997" s="199">
        <v>2.90766436400633E-2</v>
      </c>
      <c r="AA997" s="201">
        <v>2.9040915465046169E-2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46147</v>
      </c>
      <c r="Y998" s="198">
        <f>_xll.qlInterestRateIndexValueDate(IborIndex,X998,Trigger)</f>
        <v>46149</v>
      </c>
      <c r="Z998" s="199">
        <v>2.9082802609469161E-2</v>
      </c>
      <c r="AA998" s="201">
        <v>2.9042919177841853E-2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46154</v>
      </c>
      <c r="Y999" s="198">
        <f>_xll.qlInterestRateIndexValueDate(IborIndex,X999,Trigger)</f>
        <v>46156</v>
      </c>
      <c r="Z999" s="199">
        <v>2.9084870880645985E-2</v>
      </c>
      <c r="AA999" s="201">
        <v>2.9045157695932744E-2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46161</v>
      </c>
      <c r="Y1000" s="198">
        <f>_xll.qlInterestRateIndexValueDate(IborIndex,X1000,Trigger)</f>
        <v>46163</v>
      </c>
      <c r="Z1000" s="199">
        <v>2.9086832111278882E-2</v>
      </c>
      <c r="AA1000" s="201">
        <v>2.9047585259203146E-2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46168</v>
      </c>
      <c r="Y1001" s="198">
        <f>_xll.qlInterestRateIndexValueDate(IborIndex,X1001,Trigger)</f>
        <v>46170</v>
      </c>
      <c r="Z1001" s="199">
        <v>2.90886863013054E-2</v>
      </c>
      <c r="AA1001" s="201">
        <v>2.9049314411464522E-2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46175</v>
      </c>
      <c r="Y1002" s="198">
        <f>_xll.qlInterestRateIndexValueDate(IborIndex,X1002,Trigger)</f>
        <v>46177</v>
      </c>
      <c r="Z1002" s="199">
        <v>2.9090433450675579E-2</v>
      </c>
      <c r="AA1002" s="201">
        <v>2.9051232609145217E-2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46182</v>
      </c>
      <c r="Y1003" s="198">
        <f>_xll.qlInterestRateIndexValueDate(IborIndex,X1003,Trigger)</f>
        <v>46184</v>
      </c>
      <c r="Z1003" s="199">
        <v>2.9092073559341958E-2</v>
      </c>
      <c r="AA1003" s="201">
        <v>2.9053044033195974E-2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46189</v>
      </c>
      <c r="Y1004" s="198">
        <f>_xll.qlInterestRateIndexValueDate(IborIndex,X1004,Trigger)</f>
        <v>46191</v>
      </c>
      <c r="Z1004" s="199">
        <v>2.9093606627257074E-2</v>
      </c>
      <c r="AA1004" s="201">
        <v>2.9054748683776666E-2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46196</v>
      </c>
      <c r="Y1005" s="198">
        <f>_xll.qlInterestRateIndexValueDate(IborIndex,X1005,Trigger)</f>
        <v>46198</v>
      </c>
      <c r="Z1005" s="199">
        <v>2.9095032654373465E-2</v>
      </c>
      <c r="AA1005" s="201">
        <v>2.9056346560887292E-2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46203</v>
      </c>
      <c r="Y1006" s="198">
        <f>_xll.qlInterestRateIndexValueDate(IborIndex,X1006,Trigger)</f>
        <v>46205</v>
      </c>
      <c r="Z1006" s="199">
        <v>2.9096351640653662E-2</v>
      </c>
      <c r="AA1006" s="201">
        <v>2.9057837664527852E-2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46210</v>
      </c>
      <c r="Y1007" s="198">
        <f>_xll.qlInterestRateIndexValueDate(IborIndex,X1007,Trigger)</f>
        <v>46212</v>
      </c>
      <c r="Z1007" s="199">
        <v>2.9097563586060193E-2</v>
      </c>
      <c r="AA1007" s="201">
        <v>2.9059221994618412E-2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46217</v>
      </c>
      <c r="Y1008" s="198">
        <f>_xll.qlInterestRateIndexValueDate(IborIndex,X1008,Trigger)</f>
        <v>46219</v>
      </c>
      <c r="Z1008" s="199">
        <v>2.9098668490558088E-2</v>
      </c>
      <c r="AA1008" s="201">
        <v>2.9060499551238905E-2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46224</v>
      </c>
      <c r="Y1009" s="198">
        <f>_xll.qlInterestRateIndexValueDate(IborIndex,X1009,Trigger)</f>
        <v>46226</v>
      </c>
      <c r="Z1009" s="199">
        <v>2.9099666354114873E-2</v>
      </c>
      <c r="AA1009" s="201">
        <v>2.9061670334309397E-2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46231</v>
      </c>
      <c r="Y1010" s="198">
        <f>_xll.qlInterestRateIndexValueDate(IborIndex,X1010,Trigger)</f>
        <v>46233</v>
      </c>
      <c r="Z1010" s="199">
        <v>2.9096866807193172E-2</v>
      </c>
      <c r="AA1010" s="201">
        <v>2.9062734343909824E-2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46238</v>
      </c>
      <c r="Y1011" s="198">
        <f>_xll.qlInterestRateIndexValueDate(IborIndex,X1011,Trigger)</f>
        <v>46240</v>
      </c>
      <c r="Z1011" s="199">
        <v>2.9102562186189767E-2</v>
      </c>
      <c r="AA1011" s="201">
        <v>2.9063691580120121E-2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46245</v>
      </c>
      <c r="Y1012" s="198">
        <f>_xll.qlInterestRateIndexValueDate(IborIndex,X1012,Trigger)</f>
        <v>46247</v>
      </c>
      <c r="Z1012" s="199">
        <v>2.9102017698881266E-2</v>
      </c>
      <c r="AA1012" s="201">
        <v>2.9064542042700481E-2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46252</v>
      </c>
      <c r="Y1013" s="198">
        <f>_xll.qlInterestRateIndexValueDate(IborIndex,X1013,Trigger)</f>
        <v>46254</v>
      </c>
      <c r="Z1013" s="199">
        <v>2.9102587398426305E-2</v>
      </c>
      <c r="AA1013" s="201">
        <v>2.9065285731730839E-2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46259</v>
      </c>
      <c r="Y1014" s="198">
        <f>_xll.qlInterestRateIndexValueDate(IborIndex,X1014,Trigger)</f>
        <v>46261</v>
      </c>
      <c r="Z1014" s="199">
        <v>2.9103050056917823E-2</v>
      </c>
      <c r="AA1014" s="201">
        <v>2.9066004919080513E-2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46266</v>
      </c>
      <c r="Y1015" s="198">
        <f>_xll.qlInterestRateIndexValueDate(IborIndex,X1015,Trigger)</f>
        <v>46268</v>
      </c>
      <c r="Z1015" s="199">
        <v>2.9103405674345828E-2</v>
      </c>
      <c r="AA1015" s="201">
        <v>2.9066452789461295E-2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46273</v>
      </c>
      <c r="Y1016" s="198">
        <f>_xll.qlInterestRateIndexValueDate(IborIndex,X1016,Trigger)</f>
        <v>46275</v>
      </c>
      <c r="Z1016" s="199">
        <v>2.9104837433319861E-2</v>
      </c>
      <c r="AA1016" s="201">
        <v>2.906687615800152E-2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46280</v>
      </c>
      <c r="Y1017" s="198">
        <f>_xll.qlInterestRateIndexValueDate(IborIndex,X1017,Trigger)</f>
        <v>46282</v>
      </c>
      <c r="Z1017" s="199">
        <v>2.9103795785968833E-2</v>
      </c>
      <c r="AA1017" s="201">
        <v>2.906719275307168E-2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46287</v>
      </c>
      <c r="Y1018" s="198">
        <f>_xll.qlInterestRateIndexValueDate(IborIndex,X1018,Trigger)</f>
        <v>46289</v>
      </c>
      <c r="Z1018" s="199">
        <v>2.9103830280151344E-2</v>
      </c>
      <c r="AA1018" s="201">
        <v>2.9067402574671775E-2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46294</v>
      </c>
      <c r="Y1019" s="198">
        <f>_xll.qlInterestRateIndexValueDate(IborIndex,X1019,Trigger)</f>
        <v>46296</v>
      </c>
      <c r="Z1019" s="199">
        <v>2.9103757733250357E-2</v>
      </c>
      <c r="AA1019" s="201">
        <v>2.9067505622721868E-2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46301</v>
      </c>
      <c r="Y1020" s="198">
        <f>_xll.qlInterestRateIndexValueDate(IborIndex,X1020,Trigger)</f>
        <v>46303</v>
      </c>
      <c r="Z1020" s="199">
        <v>2.9103578145260878E-2</v>
      </c>
      <c r="AA1020" s="201">
        <v>2.9067501897301895E-2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46308</v>
      </c>
      <c r="Y1021" s="198">
        <f>_xll.qlInterestRateIndexValueDate(IborIndex,X1021,Trigger)</f>
        <v>46310</v>
      </c>
      <c r="Z1021" s="199">
        <v>2.9103291516195395E-2</v>
      </c>
      <c r="AA1021" s="201">
        <v>2.9067391398331921E-2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46315</v>
      </c>
      <c r="Y1022" s="198">
        <f>_xll.qlInterestRateIndexValueDate(IborIndex,X1022,Trigger)</f>
        <v>46317</v>
      </c>
      <c r="Z1022" s="199">
        <v>2.910289784605391E-2</v>
      </c>
      <c r="AA1022" s="201">
        <v>2.9067174125891881E-2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46322</v>
      </c>
      <c r="Y1023" s="198">
        <f>_xll.qlInterestRateIndexValueDate(IborIndex,X1023,Trigger)</f>
        <v>46324</v>
      </c>
      <c r="Z1023" s="199">
        <v>2.9102397134853908E-2</v>
      </c>
      <c r="AA1023" s="201">
        <v>2.9066850079981776E-2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46329</v>
      </c>
      <c r="Y1024" s="198">
        <f>_xll.qlInterestRateIndexValueDate(IborIndex,X1024,Trigger)</f>
        <v>46331</v>
      </c>
      <c r="Z1024" s="199">
        <v>2.9101789382607879E-2</v>
      </c>
      <c r="AA1024" s="201">
        <v>2.9066419260441734E-2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46336</v>
      </c>
      <c r="Y1025" s="198">
        <f>_xll.qlInterestRateIndexValueDate(IborIndex,X1025,Trigger)</f>
        <v>46338</v>
      </c>
      <c r="Z1025" s="199">
        <v>2.9101074589335807E-2</v>
      </c>
      <c r="AA1025" s="201">
        <v>2.9065881667511562E-2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46343</v>
      </c>
      <c r="Y1026" s="198">
        <f>_xll.qlInterestRateIndexValueDate(IborIndex,X1026,Trigger)</f>
        <v>46345</v>
      </c>
      <c r="Z1026" s="199">
        <v>2.9100252755050182E-2</v>
      </c>
      <c r="AA1026" s="201">
        <v>2.9065237301031388E-2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46350</v>
      </c>
      <c r="Y1027" s="198">
        <f>_xll.qlInterestRateIndexValueDate(IborIndex,X1027,Trigger)</f>
        <v>46353</v>
      </c>
      <c r="Z1027" s="199">
        <v>2.9099182445276872E-2</v>
      </c>
      <c r="AA1027" s="201">
        <v>2.9064370139089135E-2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46357</v>
      </c>
      <c r="Y1028" s="198">
        <f>_xll.qlInterestRateIndexValueDate(IborIndex,X1028,Trigger)</f>
        <v>46359</v>
      </c>
      <c r="Z1028" s="199">
        <v>2.909828796355568E-2</v>
      </c>
      <c r="AA1028" s="201">
        <v>2.9063628247580908E-2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46364</v>
      </c>
      <c r="Y1029" s="198">
        <f>_xll.qlInterestRateIndexValueDate(IborIndex,X1029,Trigger)</f>
        <v>46366</v>
      </c>
      <c r="Z1029" s="199">
        <v>2.9097145006399261E-2</v>
      </c>
      <c r="AA1029" s="201">
        <v>2.9062663560610602E-2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46371</v>
      </c>
      <c r="Y1030" s="198">
        <f>_xll.qlInterestRateIndexValueDate(IborIndex,X1030,Trigger)</f>
        <v>46373</v>
      </c>
      <c r="Z1030" s="199">
        <v>2.90969705148965E-2</v>
      </c>
      <c r="AA1030" s="201">
        <v>2.9061592100090294E-2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46378</v>
      </c>
      <c r="Y1031" s="198">
        <f>_xll.qlInterestRateIndexValueDate(IborIndex,X1031,Trigger)</f>
        <v>46380</v>
      </c>
      <c r="Z1031" s="199">
        <v>2.9094537969430456E-2</v>
      </c>
      <c r="AA1031" s="201">
        <v>2.9060057616430157E-2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46385</v>
      </c>
      <c r="Y1032" s="198">
        <f>_xll.qlInterestRateIndexValueDate(IborIndex,X1032,Trigger)</f>
        <v>46387</v>
      </c>
      <c r="Z1032" s="199">
        <v>2.90898898318371E-2</v>
      </c>
      <c r="AA1032" s="201">
        <v>2.9058936569894556E-2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46392</v>
      </c>
      <c r="Y1033" s="198">
        <f>_xll.qlInterestRateIndexValueDate(IborIndex,X1033,Trigger)</f>
        <v>46394</v>
      </c>
      <c r="Z1033" s="199">
        <v>2.9091502769174327E-2</v>
      </c>
      <c r="AA1033" s="201">
        <v>2.9057737077629042E-2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46399</v>
      </c>
      <c r="Y1034" s="198">
        <f>_xll.qlInterestRateIndexValueDate(IborIndex,X1034,Trigger)</f>
        <v>46401</v>
      </c>
      <c r="Z1034" s="199">
        <v>2.9090869038973208E-2</v>
      </c>
      <c r="AA1034" s="201">
        <v>2.9056238523148537E-2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46406</v>
      </c>
      <c r="Y1035" s="198">
        <f>_xll.qlInterestRateIndexValueDate(IborIndex,X1035,Trigger)</f>
        <v>46408</v>
      </c>
      <c r="Z1035" s="199">
        <v>2.9088039405980592E-2</v>
      </c>
      <c r="AA1035" s="201">
        <v>2.9054633195197965E-2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46413</v>
      </c>
      <c r="Y1036" s="198">
        <f>_xll.qlInterestRateIndexValueDate(IborIndex,X1036,Trigger)</f>
        <v>46415</v>
      </c>
      <c r="Z1036" s="199">
        <v>2.9083056509272755E-2</v>
      </c>
      <c r="AA1036" s="201">
        <v>2.9052921093697393E-2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46420</v>
      </c>
      <c r="Y1037" s="198">
        <f>_xll.qlInterestRateIndexValueDate(IborIndex,X1037,Trigger)</f>
        <v>46422</v>
      </c>
      <c r="Z1037" s="199">
        <v>2.908005685047042E-2</v>
      </c>
      <c r="AA1037" s="201">
        <v>2.9051102218726754E-2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46427</v>
      </c>
      <c r="Y1038" s="198">
        <f>_xll.qlInterestRateIndexValueDate(IborIndex,X1038,Trigger)</f>
        <v>46429</v>
      </c>
      <c r="Z1038" s="199">
        <v>2.9077981779583872E-2</v>
      </c>
      <c r="AA1038" s="201">
        <v>2.904917657028605E-2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46434</v>
      </c>
      <c r="Y1039" s="198">
        <f>_xll.qlInterestRateIndexValueDate(IborIndex,X1039,Trigger)</f>
        <v>46436</v>
      </c>
      <c r="Z1039" s="199">
        <v>2.9075799702704686E-2</v>
      </c>
      <c r="AA1039" s="201">
        <v>2.9047144148375281E-2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46441</v>
      </c>
      <c r="Y1040" s="198">
        <f>_xll.qlInterestRateIndexValueDate(IborIndex,X1040,Trigger)</f>
        <v>46443</v>
      </c>
      <c r="Z1040" s="199">
        <v>2.9073510619881393E-2</v>
      </c>
      <c r="AA1040" s="201">
        <v>2.904500495291451E-2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46448</v>
      </c>
      <c r="Y1041" s="198">
        <f>_xll.qlInterestRateIndexValueDate(IborIndex,X1041,Trigger)</f>
        <v>46450</v>
      </c>
      <c r="Z1041" s="199">
        <v>2.9075080342930437E-2</v>
      </c>
      <c r="AA1041" s="201">
        <v>2.9042758983983674E-2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46455</v>
      </c>
      <c r="Y1042" s="198">
        <f>_xll.qlInterestRateIndexValueDate(IborIndex,X1042,Trigger)</f>
        <v>46457</v>
      </c>
      <c r="Z1042" s="199">
        <v>2.9072545857763699E-2</v>
      </c>
      <c r="AA1042" s="201">
        <v>2.9040406241582772E-2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46462</v>
      </c>
      <c r="Y1043" s="198">
        <f>_xll.qlInterestRateIndexValueDate(IborIndex,X1043,Trigger)</f>
        <v>46464</v>
      </c>
      <c r="Z1043" s="199">
        <v>2.9069904332400254E-2</v>
      </c>
      <c r="AA1043" s="201">
        <v>2.9037946725631869E-2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46469</v>
      </c>
      <c r="Y1044" s="198">
        <f>_xll.qlInterestRateIndexValueDate(IborIndex,X1044,Trigger)</f>
        <v>46471</v>
      </c>
      <c r="Z1044" s="199">
        <v>2.9067155766915043E-2</v>
      </c>
      <c r="AA1044" s="201">
        <v>2.9034627599298091E-2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46476</v>
      </c>
      <c r="Y1045" s="198">
        <f>_xll.qlInterestRateIndexValueDate(IborIndex,X1045,Trigger)</f>
        <v>46478</v>
      </c>
      <c r="Z1045" s="199">
        <v>2.9065258423524237E-2</v>
      </c>
      <c r="AA1045" s="201">
        <v>2.9032707373479738E-2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46483</v>
      </c>
      <c r="Y1046" s="198">
        <f>_xll.qlInterestRateIndexValueDate(IborIndex,X1046,Trigger)</f>
        <v>46485</v>
      </c>
      <c r="Z1046" s="199">
        <v>2.9061337515901564E-2</v>
      </c>
      <c r="AA1046" s="201">
        <v>2.9029927537118638E-2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46490</v>
      </c>
      <c r="Y1047" s="198">
        <f>_xll.qlInterestRateIndexValueDate(IborIndex,X1047,Trigger)</f>
        <v>46492</v>
      </c>
      <c r="Z1047" s="199">
        <v>2.9058267830535667E-2</v>
      </c>
      <c r="AA1047" s="201">
        <v>2.9027040927367409E-2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46497</v>
      </c>
      <c r="Y1048" s="198">
        <f>_xll.qlInterestRateIndexValueDate(IborIndex,X1048,Trigger)</f>
        <v>46499</v>
      </c>
      <c r="Z1048" s="199">
        <v>2.9055091105380237E-2</v>
      </c>
      <c r="AA1048" s="201">
        <v>2.9024047544066178E-2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46504</v>
      </c>
      <c r="Y1049" s="198">
        <f>_xll.qlInterestRateIndexValueDate(IborIndex,X1049,Trigger)</f>
        <v>46506</v>
      </c>
      <c r="Z1049" s="199">
        <v>2.9049023104441879E-2</v>
      </c>
      <c r="AA1049" s="201">
        <v>2.9020495791654E-2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46511</v>
      </c>
      <c r="Y1050" s="198">
        <f>_xll.qlInterestRateIndexValueDate(IborIndex,X1050,Trigger)</f>
        <v>46513</v>
      </c>
      <c r="Z1050" s="199">
        <v>2.9048431445901357E-2</v>
      </c>
      <c r="AA1050" s="201">
        <v>2.9017740457133456E-2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46518</v>
      </c>
      <c r="Y1051" s="198">
        <f>_xll.qlInterestRateIndexValueDate(IborIndex,X1051,Trigger)</f>
        <v>46520</v>
      </c>
      <c r="Z1051" s="199">
        <v>2.9044991944107978E-2</v>
      </c>
      <c r="AA1051" s="201">
        <v>2.9014426753501965E-2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46525</v>
      </c>
      <c r="Y1052" s="198">
        <f>_xll.qlInterestRateIndexValueDate(IborIndex,X1052,Trigger)</f>
        <v>46527</v>
      </c>
      <c r="Z1052" s="199">
        <v>2.9041519922193004E-2</v>
      </c>
      <c r="AA1052" s="201">
        <v>2.9011006276320472E-2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46532</v>
      </c>
      <c r="Y1053" s="198">
        <f>_xll.qlInterestRateIndexValueDate(IborIndex,X1053,Trigger)</f>
        <v>46534</v>
      </c>
      <c r="Z1053" s="199">
        <v>2.9038046064611411E-2</v>
      </c>
      <c r="AA1053" s="201">
        <v>2.9006995448010997E-2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46539</v>
      </c>
      <c r="Y1054" s="198">
        <f>_xll.qlInterestRateIndexValueDate(IborIndex,X1054,Trigger)</f>
        <v>46541</v>
      </c>
      <c r="Z1054" s="199">
        <v>2.9035524490613248E-2</v>
      </c>
      <c r="AA1054" s="201">
        <v>2.9004002532655448E-2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46546</v>
      </c>
      <c r="Y1055" s="198">
        <f>_xll.qlInterestRateIndexValueDate(IborIndex,X1055,Trigger)</f>
        <v>46548</v>
      </c>
      <c r="Z1055" s="199">
        <v>2.9031182823176238E-2</v>
      </c>
      <c r="AA1055" s="201">
        <v>2.9000541578731998E-2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46553</v>
      </c>
      <c r="Y1056" s="198">
        <f>_xll.qlInterestRateIndexValueDate(IborIndex,X1056,Trigger)</f>
        <v>46555</v>
      </c>
      <c r="Z1056" s="199">
        <v>2.9027801043282619E-2</v>
      </c>
      <c r="AA1056" s="201">
        <v>2.89971137731726E-2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46560</v>
      </c>
      <c r="Y1057" s="198">
        <f>_xll.qlInterestRateIndexValueDate(IborIndex,X1057,Trigger)</f>
        <v>46562</v>
      </c>
      <c r="Z1057" s="199">
        <v>2.9024452495528541E-2</v>
      </c>
      <c r="AA1057" s="201">
        <v>2.8993719115817385E-2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46567</v>
      </c>
      <c r="Y1058" s="198">
        <f>_xll.qlInterestRateIndexValueDate(IborIndex,X1058,Trigger)</f>
        <v>46569</v>
      </c>
      <c r="Z1058" s="199">
        <v>2.9021137179891521E-2</v>
      </c>
      <c r="AA1058" s="201">
        <v>2.8990357606906159E-2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46574</v>
      </c>
      <c r="Y1059" s="198">
        <f>_xll.qlInterestRateIndexValueDate(IborIndex,X1059,Trigger)</f>
        <v>46576</v>
      </c>
      <c r="Z1059" s="199">
        <v>2.9017855096334089E-2</v>
      </c>
      <c r="AA1059" s="201">
        <v>2.8987029246199114E-2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46581</v>
      </c>
      <c r="Y1060" s="198">
        <f>_xll.qlInterestRateIndexValueDate(IborIndex,X1060,Trigger)</f>
        <v>46583</v>
      </c>
      <c r="Z1060" s="199">
        <v>2.9014606244833763E-2</v>
      </c>
      <c r="AA1060" s="201">
        <v>2.8983734033856123E-2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46588</v>
      </c>
      <c r="Y1061" s="198">
        <f>_xll.qlInterestRateIndexValueDate(IborIndex,X1061,Trigger)</f>
        <v>46590</v>
      </c>
      <c r="Z1061" s="199">
        <v>2.9011390625363065E-2</v>
      </c>
      <c r="AA1061" s="201">
        <v>2.898047196979725E-2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46595</v>
      </c>
      <c r="Y1062" s="198">
        <f>_xll.qlInterestRateIndexValueDate(IborIndex,X1062,Trigger)</f>
        <v>46597</v>
      </c>
      <c r="Z1062" s="199">
        <v>2.9009151759811631E-2</v>
      </c>
      <c r="AA1062" s="201">
        <v>2.8977243054022495E-2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46602</v>
      </c>
      <c r="Y1063" s="198">
        <f>_xll.qlInterestRateIndexValueDate(IborIndex,X1063,Trigger)</f>
        <v>46604</v>
      </c>
      <c r="Z1063" s="199">
        <v>2.9006004724788752E-2</v>
      </c>
      <c r="AA1063" s="201">
        <v>2.8974047286691729E-2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46609</v>
      </c>
      <c r="Y1064" s="198">
        <f>_xll.qlInterestRateIndexValueDate(IborIndex,X1064,Trigger)</f>
        <v>46611</v>
      </c>
      <c r="Z1064" s="199">
        <v>2.9001943158818988E-2</v>
      </c>
      <c r="AA1064" s="201">
        <v>2.8970884667485208E-2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46616</v>
      </c>
      <c r="Y1065" s="198">
        <f>_xll.qlInterestRateIndexValueDate(IborIndex,X1065,Trigger)</f>
        <v>46618</v>
      </c>
      <c r="Z1065" s="199">
        <v>2.8998860467172038E-2</v>
      </c>
      <c r="AA1065" s="201">
        <v>2.8967755196722678E-2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46623</v>
      </c>
      <c r="Y1066" s="198">
        <f>_xll.qlInterestRateIndexValueDate(IborIndex,X1066,Trigger)</f>
        <v>46625</v>
      </c>
      <c r="Z1066" s="199">
        <v>2.8995811007412331E-2</v>
      </c>
      <c r="AA1066" s="201">
        <v>2.8964219248468481E-2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46630</v>
      </c>
      <c r="Y1067" s="198">
        <f>_xll.qlInterestRateIndexValueDate(IborIndex,X1067,Trigger)</f>
        <v>46632</v>
      </c>
      <c r="Z1067" s="199">
        <v>2.8992794779512387E-2</v>
      </c>
      <c r="AA1067" s="201">
        <v>2.8961595700049969E-2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46637</v>
      </c>
      <c r="Y1068" s="198">
        <f>_xll.qlInterestRateIndexValueDate(IborIndex,X1068,Trigger)</f>
        <v>46639</v>
      </c>
      <c r="Z1068" s="199">
        <v>2.8990768068723423E-2</v>
      </c>
      <c r="AA1068" s="201">
        <v>2.8958565674219727E-2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46644</v>
      </c>
      <c r="Y1069" s="198">
        <f>_xll.qlInterestRateIndexValueDate(IborIndex,X1069,Trigger)</f>
        <v>46646</v>
      </c>
      <c r="Z1069" s="199">
        <v>2.8986862019189374E-2</v>
      </c>
      <c r="AA1069" s="201">
        <v>2.8955568796673603E-2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46651</v>
      </c>
      <c r="Y1070" s="198">
        <f>_xll.qlInterestRateIndexValueDate(IborIndex,X1070,Trigger)</f>
        <v>46653</v>
      </c>
      <c r="Z1070" s="199">
        <v>2.8983945486711349E-2</v>
      </c>
      <c r="AA1070" s="201">
        <v>2.8952605067411596E-2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46658</v>
      </c>
      <c r="Y1071" s="198">
        <f>_xll.qlInterestRateIndexValueDate(IborIndex,X1071,Trigger)</f>
        <v>46660</v>
      </c>
      <c r="Z1071" s="199">
        <v>2.8978175611209828E-2</v>
      </c>
      <c r="AA1071" s="201">
        <v>2.8949674486433707E-2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46665</v>
      </c>
      <c r="Y1072" s="198">
        <f>_xll.qlInterestRateIndexValueDate(IborIndex,X1072,Trigger)</f>
        <v>46667</v>
      </c>
      <c r="Z1072" s="199">
        <v>2.8978212116997359E-2</v>
      </c>
      <c r="AA1072" s="201">
        <v>2.8946777053819872E-2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46672</v>
      </c>
      <c r="Y1073" s="198">
        <f>_xll.qlInterestRateIndexValueDate(IborIndex,X1073,Trigger)</f>
        <v>46674</v>
      </c>
      <c r="Z1073" s="199">
        <v>2.8975395279713934E-2</v>
      </c>
      <c r="AA1073" s="201">
        <v>2.8943912769410218E-2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46679</v>
      </c>
      <c r="Y1074" s="198">
        <f>_xll.qlInterestRateIndexValueDate(IborIndex,X1074,Trigger)</f>
        <v>46681</v>
      </c>
      <c r="Z1074" s="199">
        <v>2.8972611674107918E-2</v>
      </c>
      <c r="AA1074" s="201">
        <v>2.8941081633364618E-2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46686</v>
      </c>
      <c r="Y1075" s="198">
        <f>_xll.qlInterestRateIndexValueDate(IborIndex,X1075,Trigger)</f>
        <v>46688</v>
      </c>
      <c r="Z1075" s="199">
        <v>2.8969861300159327E-2</v>
      </c>
      <c r="AA1075" s="201">
        <v>2.8938283645603136E-2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46693</v>
      </c>
      <c r="Y1076" s="198">
        <f>_xll.qlInterestRateIndexValueDate(IborIndex,X1076,Trigger)</f>
        <v>46695</v>
      </c>
      <c r="Z1076" s="199">
        <v>2.8967144157838187E-2</v>
      </c>
      <c r="AA1076" s="201">
        <v>2.8935518806205707E-2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46700</v>
      </c>
      <c r="Y1077" s="198">
        <f>_xll.qlInterestRateIndexValueDate(IborIndex,X1077,Trigger)</f>
        <v>46703</v>
      </c>
      <c r="Z1077" s="199">
        <v>2.8963103881544501E-2</v>
      </c>
      <c r="AA1077" s="201">
        <v>2.8932399579488788E-2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46707</v>
      </c>
      <c r="Y1078" s="198">
        <f>_xll.qlInterestRateIndexValueDate(IborIndex,X1078,Trigger)</f>
        <v>46709</v>
      </c>
      <c r="Z1078" s="199">
        <v>2.8961809567995822E-2</v>
      </c>
      <c r="AA1078" s="201">
        <v>2.8930088572263202E-2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46714</v>
      </c>
      <c r="Y1079" s="198">
        <f>_xll.qlInterestRateIndexValueDate(IborIndex,X1079,Trigger)</f>
        <v>46717</v>
      </c>
      <c r="Z1079" s="199">
        <v>2.8959801158068291E-2</v>
      </c>
      <c r="AA1079" s="201">
        <v>2.8927045112938643E-2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46721</v>
      </c>
      <c r="Y1080" s="198">
        <f>_xll.qlInterestRateIndexValueDate(IborIndex,X1080,Trigger)</f>
        <v>46723</v>
      </c>
      <c r="Z1080" s="199">
        <v>2.8957590007295506E-2</v>
      </c>
      <c r="AA1080" s="201">
        <v>2.8924790931537103E-2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46728</v>
      </c>
      <c r="Y1081" s="198">
        <f>_xll.qlInterestRateIndexValueDate(IborIndex,X1081,Trigger)</f>
        <v>46730</v>
      </c>
      <c r="Z1081" s="199">
        <v>2.8954056919879845E-2</v>
      </c>
      <c r="AA1081" s="201">
        <v>2.8922191833480326E-2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46735</v>
      </c>
      <c r="Y1082" s="198">
        <f>_xll.qlInterestRateIndexValueDate(IborIndex,X1082,Trigger)</f>
        <v>46737</v>
      </c>
      <c r="Z1082" s="199">
        <v>2.8952525610330685E-2</v>
      </c>
      <c r="AA1082" s="201">
        <v>2.8919625883867539E-2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46742</v>
      </c>
      <c r="Y1083" s="198">
        <f>_xll.qlInterestRateIndexValueDate(IborIndex,X1083,Trigger)</f>
        <v>46744</v>
      </c>
      <c r="Z1083" s="199">
        <v>2.8949054645295291E-2</v>
      </c>
      <c r="AA1083" s="201">
        <v>2.8916375513414749E-2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46750</v>
      </c>
      <c r="Y1084" s="198">
        <f>_xll.qlInterestRateIndexValueDate(IborIndex,X1084,Trigger)</f>
        <v>46756</v>
      </c>
      <c r="Z1084" s="199">
        <v>2.8943880688960952E-2</v>
      </c>
      <c r="AA1084" s="201">
        <v>2.8913532297032418E-2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46757</v>
      </c>
      <c r="Y1085" s="198">
        <f>_xll.qlInterestRateIndexValueDate(IborIndex,X1085,Trigger)</f>
        <v>46759</v>
      </c>
      <c r="Z1085" s="199">
        <v>2.8942849547339833E-2</v>
      </c>
      <c r="AA1085" s="201">
        <v>2.8911777272906392E-2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46764</v>
      </c>
      <c r="Y1086" s="198">
        <f>_xll.qlInterestRateIndexValueDate(IborIndex,X1086,Trigger)</f>
        <v>46766</v>
      </c>
      <c r="Z1086" s="199">
        <v>2.8940467285019519E-2</v>
      </c>
      <c r="AA1086" s="201">
        <v>2.8909348651842137E-2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46771</v>
      </c>
      <c r="Y1087" s="198">
        <f>_xll.qlInterestRateIndexValueDate(IborIndex,X1087,Trigger)</f>
        <v>46773</v>
      </c>
      <c r="Z1087" s="199">
        <v>2.8939115643818458E-2</v>
      </c>
      <c r="AA1087" s="201">
        <v>2.8906953179141937E-2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46778</v>
      </c>
      <c r="Y1088" s="198">
        <f>_xll.qlInterestRateIndexValueDate(IborIndex,X1088,Trigger)</f>
        <v>46780</v>
      </c>
      <c r="Z1088" s="199">
        <v>2.8935802446449901E-2</v>
      </c>
      <c r="AA1088" s="201">
        <v>2.8904590854725853E-2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46785</v>
      </c>
      <c r="Y1089" s="198">
        <f>_xll.qlInterestRateIndexValueDate(IborIndex,X1089,Trigger)</f>
        <v>46787</v>
      </c>
      <c r="Z1089" s="199">
        <v>2.8933519870164497E-2</v>
      </c>
      <c r="AA1089" s="201">
        <v>2.8902261678593888E-2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46792</v>
      </c>
      <c r="Y1090" s="198">
        <f>_xll.qlInterestRateIndexValueDate(IborIndex,X1090,Trigger)</f>
        <v>46794</v>
      </c>
      <c r="Z1090" s="199">
        <v>2.8931270522514423E-2</v>
      </c>
      <c r="AA1090" s="201">
        <v>2.889996565074604E-2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46799</v>
      </c>
      <c r="Y1091" s="198">
        <f>_xll.qlInterestRateIndexValueDate(IborIndex,X1091,Trigger)</f>
        <v>46801</v>
      </c>
      <c r="Z1091" s="199">
        <v>2.8929054403484204E-2</v>
      </c>
      <c r="AA1091" s="201">
        <v>2.8897702771262246E-2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46806</v>
      </c>
      <c r="Y1092" s="198">
        <f>_xll.qlInterestRateIndexValueDate(IborIndex,X1092,Trigger)</f>
        <v>46808</v>
      </c>
      <c r="Z1092" s="199">
        <v>2.8926871513058366E-2</v>
      </c>
      <c r="AA1092" s="201">
        <v>2.8895473040062569E-2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46813</v>
      </c>
      <c r="Y1093" s="198">
        <f>_xll.qlInterestRateIndexValueDate(IborIndex,X1093,Trigger)</f>
        <v>46815</v>
      </c>
      <c r="Z1093" s="199">
        <v>2.8924721851208549E-2</v>
      </c>
      <c r="AA1093" s="201">
        <v>2.8893276457067074E-2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46820</v>
      </c>
      <c r="Y1094" s="198">
        <f>_xll.qlInterestRateIndexValueDate(IborIndex,X1094,Trigger)</f>
        <v>46822</v>
      </c>
      <c r="Z1094" s="199">
        <v>2.8922605417927016E-2</v>
      </c>
      <c r="AA1094" s="201">
        <v>2.8891113022355697E-2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46827</v>
      </c>
      <c r="Y1095" s="198">
        <f>_xll.qlInterestRateIndexValueDate(IborIndex,X1095,Trigger)</f>
        <v>46829</v>
      </c>
      <c r="Z1095" s="199">
        <v>2.8921537182609314E-2</v>
      </c>
      <c r="AA1095" s="201">
        <v>2.8888982736008373E-2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46834</v>
      </c>
      <c r="Y1096" s="198">
        <f>_xll.qlInterestRateIndexValueDate(IborIndex,X1096,Trigger)</f>
        <v>46836</v>
      </c>
      <c r="Z1096" s="199">
        <v>2.8918472236978552E-2</v>
      </c>
      <c r="AA1096" s="201">
        <v>2.8886885597865231E-2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46841</v>
      </c>
      <c r="Y1097" s="198">
        <f>_xll.qlInterestRateIndexValueDate(IborIndex,X1097,Trigger)</f>
        <v>46843</v>
      </c>
      <c r="Z1097" s="199">
        <v>2.8913398910553414E-2</v>
      </c>
      <c r="AA1097" s="201">
        <v>2.8884821608086142E-2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46848</v>
      </c>
      <c r="Y1098" s="198">
        <f>_xll.qlInterestRateIndexValueDate(IborIndex,X1098,Trigger)</f>
        <v>46850</v>
      </c>
      <c r="Z1098" s="199">
        <v>2.8914471970065997E-2</v>
      </c>
      <c r="AA1098" s="201">
        <v>2.8882790766591171E-2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46855</v>
      </c>
      <c r="Y1099" s="198">
        <f>_xll.qlInterestRateIndexValueDate(IborIndex,X1099,Trigger)</f>
        <v>46861</v>
      </c>
      <c r="Z1099" s="199">
        <v>2.8910397322456483E-2</v>
      </c>
      <c r="AA1099" s="201">
        <v>2.888022839227844E-2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46862</v>
      </c>
      <c r="Y1100" s="198">
        <f>_xll.qlInterestRateIndexValueDate(IborIndex,X1100,Trigger)</f>
        <v>46864</v>
      </c>
      <c r="Z1100" s="199">
        <v>2.8910604617060416E-2</v>
      </c>
      <c r="AA1100" s="201">
        <v>2.8878828528373646E-2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46869</v>
      </c>
      <c r="Y1101" s="198">
        <f>_xll.qlInterestRateIndexValueDate(IborIndex,X1101,Trigger)</f>
        <v>46871</v>
      </c>
      <c r="Z1101" s="199">
        <v>2.8910777579455947E-2</v>
      </c>
      <c r="AA1101" s="201">
        <v>2.8876623923874689E-2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46876</v>
      </c>
      <c r="Y1102" s="198">
        <f>_xll.qlInterestRateIndexValueDate(IborIndex,X1102,Trigger)</f>
        <v>46878</v>
      </c>
      <c r="Z1102" s="199">
        <v>2.890687017782257E-2</v>
      </c>
      <c r="AA1102" s="201">
        <v>2.8874998883372527E-2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46883</v>
      </c>
      <c r="Y1103" s="198">
        <f>_xll.qlInterestRateIndexValueDate(IborIndex,X1103,Trigger)</f>
        <v>46885</v>
      </c>
      <c r="Z1103" s="199">
        <v>2.890505280082787E-2</v>
      </c>
      <c r="AA1103" s="201">
        <v>2.8873133783218208E-2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46890</v>
      </c>
      <c r="Y1104" s="198">
        <f>_xll.qlInterestRateIndexValueDate(IborIndex,X1104,Trigger)</f>
        <v>46892</v>
      </c>
      <c r="Z1104" s="199">
        <v>2.8903268652226109E-2</v>
      </c>
      <c r="AA1104" s="201">
        <v>2.8871301831427942E-2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46897</v>
      </c>
      <c r="Y1105" s="198">
        <f>_xll.qlInterestRateIndexValueDate(IborIndex,X1105,Trigger)</f>
        <v>46899</v>
      </c>
      <c r="Z1105" s="199">
        <v>2.8901517732006974E-2</v>
      </c>
      <c r="AA1105" s="201">
        <v>2.8869248761953514E-2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46904</v>
      </c>
      <c r="Y1106" s="198">
        <f>_xll.qlInterestRateIndexValueDate(IborIndex,X1106,Trigger)</f>
        <v>46906</v>
      </c>
      <c r="Z1106" s="199">
        <v>2.8899800040149835E-2</v>
      </c>
      <c r="AA1106" s="201">
        <v>2.8867737372699764E-2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46911</v>
      </c>
      <c r="Y1107" s="198">
        <f>_xll.qlInterestRateIndexValueDate(IborIndex,X1107,Trigger)</f>
        <v>46913</v>
      </c>
      <c r="Z1107" s="199">
        <v>2.8898115576641802E-2</v>
      </c>
      <c r="AA1107" s="201">
        <v>2.8866004865681916E-2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46918</v>
      </c>
      <c r="Y1108" s="198">
        <f>_xll.qlInterestRateIndexValueDate(IborIndex,X1108,Trigger)</f>
        <v>46920</v>
      </c>
      <c r="Z1108" s="199">
        <v>2.8896464341472559E-2</v>
      </c>
      <c r="AA1108" s="201">
        <v>2.8864305507028121E-2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46925</v>
      </c>
      <c r="Y1109" s="198">
        <f>_xll.qlInterestRateIndexValueDate(IborIndex,X1109,Trigger)</f>
        <v>46927</v>
      </c>
      <c r="Z1109" s="199">
        <v>2.8894846334621478E-2</v>
      </c>
      <c r="AA1109" s="201">
        <v>2.8862639296658443E-2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46932</v>
      </c>
      <c r="Y1110" s="198">
        <f>_xll.qlInterestRateIndexValueDate(IborIndex,X1110,Trigger)</f>
        <v>46934</v>
      </c>
      <c r="Z1110" s="199">
        <v>2.8893261556078246E-2</v>
      </c>
      <c r="AA1110" s="201">
        <v>2.8861006234492947E-2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46939</v>
      </c>
      <c r="Y1111" s="198">
        <f>_xll.qlInterestRateIndexValueDate(IborIndex,X1111,Trigger)</f>
        <v>46941</v>
      </c>
      <c r="Z1111" s="199">
        <v>2.8891710005827385E-2</v>
      </c>
      <c r="AA1111" s="201">
        <v>2.8859406320611569E-2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46946</v>
      </c>
      <c r="Y1112" s="198">
        <f>_xll.qlInterestRateIndexValueDate(IborIndex,X1112,Trigger)</f>
        <v>46948</v>
      </c>
      <c r="Z1112" s="199">
        <v>2.8890191683861168E-2</v>
      </c>
      <c r="AA1112" s="201">
        <v>2.8857839555094245E-2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46953</v>
      </c>
      <c r="Y1113" s="198">
        <f>_xll.qlInterestRateIndexValueDate(IborIndex,X1113,Trigger)</f>
        <v>46955</v>
      </c>
      <c r="Z1113" s="199">
        <v>2.8888706590161538E-2</v>
      </c>
      <c r="AA1113" s="201">
        <v>2.8856305937781102E-2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46960</v>
      </c>
      <c r="Y1114" s="198">
        <f>_xll.qlInterestRateIndexValueDate(IborIndex,X1114,Trigger)</f>
        <v>46962</v>
      </c>
      <c r="Z1114" s="199">
        <v>2.888831212562365E-2</v>
      </c>
      <c r="AA1114" s="201">
        <v>2.8854805468752076E-2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46967</v>
      </c>
      <c r="Y1115" s="198">
        <f>_xll.qlInterestRateIndexValueDate(IborIndex,X1115,Trigger)</f>
        <v>46969</v>
      </c>
      <c r="Z1115" s="199">
        <v>2.8886895748360675E-2</v>
      </c>
      <c r="AA1115" s="201">
        <v>2.8853338148007168E-2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46974</v>
      </c>
      <c r="Y1116" s="198">
        <f>_xll.qlInterestRateIndexValueDate(IborIndex,X1116,Trigger)</f>
        <v>46976</v>
      </c>
      <c r="Z1116" s="199">
        <v>2.8884450678538419E-2</v>
      </c>
      <c r="AA1116" s="201">
        <v>2.8851903975546378E-2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46981</v>
      </c>
      <c r="Y1117" s="198">
        <f>_xll.qlInterestRateIndexValueDate(IborIndex,X1117,Trigger)</f>
        <v>46983</v>
      </c>
      <c r="Z1117" s="199">
        <v>2.8883098497786537E-2</v>
      </c>
      <c r="AA1117" s="201">
        <v>2.8850502951369705E-2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46988</v>
      </c>
      <c r="Y1118" s="198">
        <f>_xll.qlInterestRateIndexValueDate(IborIndex,X1118,Trigger)</f>
        <v>46990</v>
      </c>
      <c r="Z1118" s="199">
        <v>2.8881779545239357E-2</v>
      </c>
      <c r="AA1118" s="201">
        <v>2.8848942370665043E-2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46995</v>
      </c>
      <c r="Y1119" s="198">
        <f>_xll.qlInterestRateIndexValueDate(IborIndex,X1119,Trigger)</f>
        <v>46997</v>
      </c>
      <c r="Z1119" s="199">
        <v>2.8880493820886564E-2</v>
      </c>
      <c r="AA1119" s="201">
        <v>2.8847800347868713E-2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47002</v>
      </c>
      <c r="Y1120" s="198">
        <f>_xll.qlInterestRateIndexValueDate(IborIndex,X1120,Trigger)</f>
        <v>47004</v>
      </c>
      <c r="Z1120" s="199">
        <v>2.888031232527899E-2</v>
      </c>
      <c r="AA1120" s="201">
        <v>2.8846498768624329E-2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47009</v>
      </c>
      <c r="Y1121" s="198">
        <f>_xll.qlInterestRateIndexValueDate(IborIndex,X1121,Trigger)</f>
        <v>47011</v>
      </c>
      <c r="Z1121" s="199">
        <v>2.8878022056725475E-2</v>
      </c>
      <c r="AA1121" s="201">
        <v>2.8845230337424255E-2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47016</v>
      </c>
      <c r="Y1122" s="198">
        <f>_xll.qlInterestRateIndexValueDate(IborIndex,X1122,Trigger)</f>
        <v>47018</v>
      </c>
      <c r="Z1122" s="199">
        <v>2.8876836016893965E-2</v>
      </c>
      <c r="AA1122" s="201">
        <v>2.8843995054748106E-2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47023</v>
      </c>
      <c r="Y1123" s="198">
        <f>_xll.qlInterestRateIndexValueDate(IborIndex,X1123,Trigger)</f>
        <v>47025</v>
      </c>
      <c r="Z1123" s="199">
        <v>2.8876761041594368E-2</v>
      </c>
      <c r="AA1123" s="201">
        <v>2.8842792920196203E-2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47030</v>
      </c>
      <c r="Y1124" s="198">
        <f>_xll.qlInterestRateIndexValueDate(IborIndex,X1124,Trigger)</f>
        <v>47032</v>
      </c>
      <c r="Z1124" s="199">
        <v>2.8874563621682611E-2</v>
      </c>
      <c r="AA1124" s="201">
        <v>2.8841623933928418E-2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47037</v>
      </c>
      <c r="Y1125" s="198">
        <f>_xll.qlInterestRateIndexValueDate(IborIndex,X1125,Trigger)</f>
        <v>47039</v>
      </c>
      <c r="Z1125" s="199">
        <v>2.8873477266284715E-2</v>
      </c>
      <c r="AA1125" s="201">
        <v>2.8840488096024686E-2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47044</v>
      </c>
      <c r="Y1126" s="198">
        <f>_xll.qlInterestRateIndexValueDate(IborIndex,X1126,Trigger)</f>
        <v>47046</v>
      </c>
      <c r="Z1126" s="199">
        <v>2.8872424139009006E-2</v>
      </c>
      <c r="AA1126" s="201">
        <v>2.8839385406245199E-2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47051</v>
      </c>
      <c r="Y1127" s="198">
        <f>_xll.qlInterestRateIndexValueDate(IborIndex,X1127,Trigger)</f>
        <v>47053</v>
      </c>
      <c r="Z1127" s="199">
        <v>2.887140423985033E-2</v>
      </c>
      <c r="AA1127" s="201">
        <v>2.8838315864829767E-2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47058</v>
      </c>
      <c r="Y1128" s="198">
        <f>_xll.qlInterestRateIndexValueDate(IborIndex,X1128,Trigger)</f>
        <v>47060</v>
      </c>
      <c r="Z1128" s="199">
        <v>2.8870417568795794E-2</v>
      </c>
      <c r="AA1128" s="201">
        <v>2.8837279471698452E-2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47065</v>
      </c>
      <c r="Y1129" s="198">
        <f>_xll.qlInterestRateIndexValueDate(IborIndex,X1129,Trigger)</f>
        <v>47070</v>
      </c>
      <c r="Z1129" s="199">
        <v>2.8867973391520252E-2</v>
      </c>
      <c r="AA1129" s="201">
        <v>2.8836135612131386E-2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47072</v>
      </c>
      <c r="Y1130" s="198">
        <f>_xll.qlInterestRateIndexValueDate(IborIndex,X1130,Trigger)</f>
        <v>47074</v>
      </c>
      <c r="Z1130" s="199">
        <v>2.886854391097593E-2</v>
      </c>
      <c r="AA1130" s="201">
        <v>2.8835306130208238E-2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47079</v>
      </c>
      <c r="Y1131" s="198">
        <f>_xll.qlInterestRateIndexValueDate(IborIndex,X1131,Trigger)</f>
        <v>47081</v>
      </c>
      <c r="Z1131" s="199">
        <v>2.8869849567293542E-2</v>
      </c>
      <c r="AA1131" s="201">
        <v>2.883436918184934E-2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47086</v>
      </c>
      <c r="Y1132" s="198">
        <f>_xll.qlInterestRateIndexValueDate(IborIndex,X1132,Trigger)</f>
        <v>47088</v>
      </c>
      <c r="Z1132" s="199">
        <v>2.8867901653193972E-2</v>
      </c>
      <c r="AA1132" s="201">
        <v>2.8833465381854495E-2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47093</v>
      </c>
      <c r="Y1133" s="198">
        <f>_xll.qlInterestRateIndexValueDate(IborIndex,X1133,Trigger)</f>
        <v>47095</v>
      </c>
      <c r="Z1133" s="199">
        <v>2.8865982634847968E-2</v>
      </c>
      <c r="AA1133" s="201">
        <v>2.8832594730063832E-2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47100</v>
      </c>
      <c r="Y1134" s="198">
        <f>_xll.qlInterestRateIndexValueDate(IborIndex,X1134,Trigger)</f>
        <v>47102</v>
      </c>
      <c r="Z1134" s="199">
        <v>2.8866298438453009E-2</v>
      </c>
      <c r="AA1134" s="201">
        <v>2.8831757226557286E-2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47107</v>
      </c>
      <c r="Y1135" s="198">
        <f>_xll.qlInterestRateIndexValueDate(IborIndex,X1135,Trigger)</f>
        <v>47109</v>
      </c>
      <c r="Z1135" s="199">
        <v>2.8864441257739439E-2</v>
      </c>
      <c r="AA1135" s="201">
        <v>2.8830729143978218E-2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47114</v>
      </c>
      <c r="Y1136" s="198">
        <f>_xll.qlInterestRateIndexValueDate(IborIndex,X1136,Trigger)</f>
        <v>47116</v>
      </c>
      <c r="Z1136" s="199">
        <v>2.886593616194346E-2</v>
      </c>
      <c r="AA1136" s="201">
        <v>2.8830074197960798E-2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47121</v>
      </c>
      <c r="Y1137" s="198">
        <f>_xll.qlInterestRateIndexValueDate(IborIndex,X1137,Trigger)</f>
        <v>47123</v>
      </c>
      <c r="Z1137" s="199">
        <v>2.8863032792820549E-2</v>
      </c>
      <c r="AA1137" s="201">
        <v>2.8829443605582483E-2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47128</v>
      </c>
      <c r="Y1138" s="198">
        <f>_xll.qlInterestRateIndexValueDate(IborIndex,X1138,Trigger)</f>
        <v>47130</v>
      </c>
      <c r="Z1138" s="199">
        <v>2.8862378402418037E-2</v>
      </c>
      <c r="AA1138" s="201">
        <v>2.8828738695212408E-2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47135</v>
      </c>
      <c r="Y1139" s="198">
        <f>_xll.qlInterestRateIndexValueDate(IborIndex,X1139,Trigger)</f>
        <v>47137</v>
      </c>
      <c r="Z1139" s="199">
        <v>2.8862871939011325E-2</v>
      </c>
      <c r="AA1139" s="201">
        <v>2.8828066933046514E-2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47142</v>
      </c>
      <c r="Y1140" s="198">
        <f>_xll.qlInterestRateIndexValueDate(IborIndex,X1140,Trigger)</f>
        <v>47144</v>
      </c>
      <c r="Z1140" s="199">
        <v>2.8861169305693362E-2</v>
      </c>
      <c r="AA1140" s="201">
        <v>2.8827428319164738E-2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47149</v>
      </c>
      <c r="Y1141" s="198">
        <f>_xll.qlInterestRateIndexValueDate(IborIndex,X1141,Trigger)</f>
        <v>47151</v>
      </c>
      <c r="Z1141" s="199">
        <v>2.8857258226272022E-2</v>
      </c>
      <c r="AA1141" s="201">
        <v>2.882682285356708E-2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47156</v>
      </c>
      <c r="Y1142" s="198">
        <f>_xll.qlInterestRateIndexValueDate(IborIndex,X1142,Trigger)</f>
        <v>47158</v>
      </c>
      <c r="Z1142" s="199">
        <v>2.8856729754625578E-2</v>
      </c>
      <c r="AA1142" s="201">
        <v>2.8826250536173603E-2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47163</v>
      </c>
      <c r="Y1143" s="198">
        <f>_xll.qlInterestRateIndexValueDate(IborIndex,X1143,Trigger)</f>
        <v>47165</v>
      </c>
      <c r="Z1143" s="199">
        <v>2.8856234503003009E-2</v>
      </c>
      <c r="AA1143" s="201">
        <v>2.882571136714418E-2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47170</v>
      </c>
      <c r="Y1144" s="198">
        <f>_xll.qlInterestRateIndexValueDate(IborIndex,X1144,Trigger)</f>
        <v>47172</v>
      </c>
      <c r="Z1144" s="199">
        <v>2.8855772471410024E-2</v>
      </c>
      <c r="AA1144" s="201">
        <v>2.8825205346398874E-2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47177</v>
      </c>
      <c r="Y1145" s="198">
        <f>_xll.qlInterestRateIndexValueDate(IborIndex,X1145,Trigger)</f>
        <v>47179</v>
      </c>
      <c r="Z1145" s="199">
        <v>2.8859856752273538E-2</v>
      </c>
      <c r="AA1145" s="201">
        <v>2.882473247385775E-2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47184</v>
      </c>
      <c r="Y1146" s="198">
        <f>_xll.qlInterestRateIndexValueDate(IborIndex,X1146,Trigger)</f>
        <v>47186</v>
      </c>
      <c r="Z1146" s="199">
        <v>2.8858339487837191E-2</v>
      </c>
      <c r="AA1146" s="201">
        <v>2.8824292749520808E-2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47191</v>
      </c>
      <c r="Y1147" s="198">
        <f>_xll.qlInterestRateIndexValueDate(IborIndex,X1147,Trigger)</f>
        <v>47193</v>
      </c>
      <c r="Z1147" s="199">
        <v>2.8857984149531314E-2</v>
      </c>
      <c r="AA1147" s="201">
        <v>2.8823886173547919E-2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47198</v>
      </c>
      <c r="Y1148" s="198">
        <f>_xll.qlInterestRateIndexValueDate(IborIndex,X1148,Trigger)</f>
        <v>47200</v>
      </c>
      <c r="Z1148" s="199">
        <v>2.8857662039216119E-2</v>
      </c>
      <c r="AA1148" s="201">
        <v>2.8823512745779212E-2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47205</v>
      </c>
      <c r="Y1149" s="198">
        <f>_xll.qlInterestRateIndexValueDate(IborIndex,X1149,Trigger)</f>
        <v>47211</v>
      </c>
      <c r="Z1149" s="199">
        <v>2.885608385662497E-2</v>
      </c>
      <c r="AA1149" s="201">
        <v>2.8823081332154388E-2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47212</v>
      </c>
      <c r="Y1150" s="198">
        <f>_xll.qlInterestRateIndexValueDate(IborIndex,X1150,Trigger)</f>
        <v>47214</v>
      </c>
      <c r="Z1150" s="199">
        <v>2.8858257939828602E-2</v>
      </c>
      <c r="AA1150" s="201">
        <v>2.8822865335174086E-2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47219</v>
      </c>
      <c r="Y1151" s="198">
        <f>_xll.qlInterestRateIndexValueDate(IborIndex,X1151,Trigger)</f>
        <v>47221</v>
      </c>
      <c r="Z1151" s="199">
        <v>2.8856895076199152E-2</v>
      </c>
      <c r="AA1151" s="201">
        <v>2.8822591352257732E-2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47226</v>
      </c>
      <c r="Y1152" s="198">
        <f>_xll.qlInterestRateIndexValueDate(IborIndex,X1152,Trigger)</f>
        <v>47228</v>
      </c>
      <c r="Z1152" s="199">
        <v>2.8856705877826055E-2</v>
      </c>
      <c r="AA1152" s="201">
        <v>2.8822350517545559E-2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47233</v>
      </c>
      <c r="Y1153" s="198">
        <f>_xll.qlInterestRateIndexValueDate(IborIndex,X1153,Trigger)</f>
        <v>47235</v>
      </c>
      <c r="Z1153" s="199">
        <v>2.8857697420120454E-2</v>
      </c>
      <c r="AA1153" s="201">
        <v>2.8822142831277375E-2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47240</v>
      </c>
      <c r="Y1154" s="198">
        <f>_xll.qlInterestRateIndexValueDate(IborIndex,X1154,Trigger)</f>
        <v>47242</v>
      </c>
      <c r="Z1154" s="199">
        <v>2.885642716502354E-2</v>
      </c>
      <c r="AA1154" s="201">
        <v>2.882194606515398E-2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47247</v>
      </c>
      <c r="Y1155" s="198">
        <f>_xll.qlInterestRateIndexValueDate(IborIndex,X1155,Trigger)</f>
        <v>47249</v>
      </c>
      <c r="Z1155" s="199">
        <v>2.8856337650588964E-2</v>
      </c>
      <c r="AA1155" s="201">
        <v>2.8821826903273617E-2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47254</v>
      </c>
      <c r="Y1156" s="198">
        <f>_xll.qlInterestRateIndexValueDate(IborIndex,X1156,Trigger)</f>
        <v>47256</v>
      </c>
      <c r="Z1156" s="199">
        <v>2.8856281364134758E-2</v>
      </c>
      <c r="AA1156" s="201">
        <v>2.8821718661777851E-2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47261</v>
      </c>
      <c r="Y1157" s="198">
        <f>_xll.qlInterestRateIndexValueDate(IborIndex,X1157,Trigger)</f>
        <v>47263</v>
      </c>
      <c r="Z1157" s="199">
        <v>2.8856258305658338E-2</v>
      </c>
      <c r="AA1157" s="201">
        <v>2.8821635546742996E-2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47268</v>
      </c>
      <c r="Y1158" s="198">
        <f>_xll.qlInterestRateIndexValueDate(IborIndex,X1158,Trigger)</f>
        <v>47270</v>
      </c>
      <c r="Z1158" s="199">
        <v>2.885626847515713E-2</v>
      </c>
      <c r="AA1158" s="201">
        <v>2.8821601623318926E-2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47275</v>
      </c>
      <c r="Y1159" s="198">
        <f>_xll.qlInterestRateIndexValueDate(IborIndex,X1159,Trigger)</f>
        <v>47277</v>
      </c>
      <c r="Z1159" s="199">
        <v>2.8856311872631133E-2</v>
      </c>
      <c r="AA1159" s="201">
        <v>2.8821592826595577E-2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47282</v>
      </c>
      <c r="Y1160" s="198">
        <f>_xll.qlInterestRateIndexValueDate(IborIndex,X1160,Trigger)</f>
        <v>47284</v>
      </c>
      <c r="Z1160" s="199">
        <v>2.88563884980855E-2</v>
      </c>
      <c r="AA1160" s="201">
        <v>2.8821617178076409E-2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47289</v>
      </c>
      <c r="Y1161" s="198">
        <f>_xll.qlInterestRateIndexValueDate(IborIndex,X1161,Trigger)</f>
        <v>47291</v>
      </c>
      <c r="Z1161" s="199">
        <v>2.885649835151766E-2</v>
      </c>
      <c r="AA1161" s="201">
        <v>2.8821674677841358E-2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47296</v>
      </c>
      <c r="Y1162" s="198">
        <f>_xll.qlInterestRateIndexValueDate(IborIndex,X1162,Trigger)</f>
        <v>47298</v>
      </c>
      <c r="Z1162" s="199">
        <v>2.8857810315493504E-2</v>
      </c>
      <c r="AA1162" s="201">
        <v>2.8821765325970361E-2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47303</v>
      </c>
      <c r="Y1163" s="198">
        <f>_xll.qlInterestRateIndexValueDate(IborIndex,X1163,Trigger)</f>
        <v>47305</v>
      </c>
      <c r="Z1163" s="199">
        <v>2.8856817742320497E-2</v>
      </c>
      <c r="AA1163" s="201">
        <v>2.882188912222361E-2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47310</v>
      </c>
      <c r="Y1164" s="198">
        <f>_xll.qlInterestRateIndexValueDate(IborIndex,X1164,Trigger)</f>
        <v>47312</v>
      </c>
      <c r="Z1164" s="199">
        <v>2.8857027279693755E-2</v>
      </c>
      <c r="AA1164" s="201">
        <v>2.8822046066840912E-2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47317</v>
      </c>
      <c r="Y1165" s="198">
        <f>_xll.qlInterestRateIndexValueDate(IborIndex,X1165,Trigger)</f>
        <v>47319</v>
      </c>
      <c r="Z1165" s="199">
        <v>2.8857270045049961E-2</v>
      </c>
      <c r="AA1165" s="201">
        <v>2.8822236159662395E-2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47324</v>
      </c>
      <c r="Y1166" s="198">
        <f>_xll.qlInterestRateIndexValueDate(IborIndex,X1166,Trigger)</f>
        <v>47326</v>
      </c>
      <c r="Z1166" s="199">
        <v>2.8858724487853815E-2</v>
      </c>
      <c r="AA1166" s="201">
        <v>2.8822459400767997E-2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47331</v>
      </c>
      <c r="Y1167" s="198">
        <f>_xll.qlInterestRateIndexValueDate(IborIndex,X1167,Trigger)</f>
        <v>47333</v>
      </c>
      <c r="Z1167" s="199">
        <v>2.8859036107558855E-2</v>
      </c>
      <c r="AA1167" s="201">
        <v>2.8822715790157716E-2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47338</v>
      </c>
      <c r="Y1168" s="198">
        <f>_xll.qlInterestRateIndexValueDate(IborIndex,X1168,Trigger)</f>
        <v>47340</v>
      </c>
      <c r="Z1168" s="199">
        <v>2.8858197709042036E-2</v>
      </c>
      <c r="AA1168" s="201">
        <v>2.8823005327831552E-2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47345</v>
      </c>
      <c r="Y1169" s="198">
        <f>_xll.qlInterestRateIndexValueDate(IborIndex,X1169,Trigger)</f>
        <v>47347</v>
      </c>
      <c r="Z1169" s="199">
        <v>2.8858573386355807E-2</v>
      </c>
      <c r="AA1169" s="201">
        <v>2.8823328013789506E-2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47352</v>
      </c>
      <c r="Y1170" s="198">
        <f>_xll.qlInterestRateIndexValueDate(IborIndex,X1170,Trigger)</f>
        <v>47354</v>
      </c>
      <c r="Z1170" s="199">
        <v>2.8858982291668001E-2</v>
      </c>
      <c r="AA1170" s="201">
        <v>2.8823737387444481E-2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47359</v>
      </c>
      <c r="Y1171" s="198">
        <f>_xll.qlInterestRateIndexValueDate(IborIndex,X1171,Trigger)</f>
        <v>47361</v>
      </c>
      <c r="Z1171" s="199">
        <v>2.8855854780546673E-2</v>
      </c>
      <c r="AA1171" s="201">
        <v>2.8824072830397895E-2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47366</v>
      </c>
      <c r="Y1172" s="198">
        <f>_xll.qlInterestRateIndexValueDate(IborIndex,X1172,Trigger)</f>
        <v>47368</v>
      </c>
      <c r="Z1172" s="199">
        <v>2.8861092665924959E-2</v>
      </c>
      <c r="AA1172" s="201">
        <v>2.8824494961128266E-2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47373</v>
      </c>
      <c r="Y1173" s="198">
        <f>_xll.qlInterestRateIndexValueDate(IborIndex,X1173,Trigger)</f>
        <v>47375</v>
      </c>
      <c r="Z1173" s="199">
        <v>2.8860408375620861E-2</v>
      </c>
      <c r="AA1173" s="201">
        <v>2.8824950240222691E-2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47380</v>
      </c>
      <c r="Y1174" s="198">
        <f>_xll.qlInterestRateIndexValueDate(IborIndex,X1174,Trigger)</f>
        <v>47382</v>
      </c>
      <c r="Z1174" s="199">
        <v>2.8860950192957664E-2</v>
      </c>
      <c r="AA1174" s="201">
        <v>2.8825438667441361E-2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47387</v>
      </c>
      <c r="Y1175" s="198">
        <f>_xll.qlInterestRateIndexValueDate(IborIndex,X1175,Trigger)</f>
        <v>47389</v>
      </c>
      <c r="Z1175" s="199">
        <v>2.8863925794466123E-2</v>
      </c>
      <c r="AA1175" s="201">
        <v>2.8825960242944149E-2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47394</v>
      </c>
      <c r="Y1176" s="198">
        <f>_xll.qlInterestRateIndexValueDate(IborIndex,X1176,Trigger)</f>
        <v>47396</v>
      </c>
      <c r="Z1176" s="199">
        <v>2.8862133511688409E-2</v>
      </c>
      <c r="AA1176" s="201">
        <v>2.882651496681099E-2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47401</v>
      </c>
      <c r="Y1177" s="198">
        <f>_xll.qlInterestRateIndexValueDate(IborIndex,X1177,Trigger)</f>
        <v>47403</v>
      </c>
      <c r="Z1177" s="199">
        <v>2.8863979991053945E-2</v>
      </c>
      <c r="AA1177" s="201">
        <v>2.8827102838882013E-2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47408</v>
      </c>
      <c r="Y1178" s="198">
        <f>_xll.qlInterestRateIndexValueDate(IborIndex,X1178,Trigger)</f>
        <v>47410</v>
      </c>
      <c r="Z1178" s="199">
        <v>2.8863449742526279E-2</v>
      </c>
      <c r="AA1178" s="201">
        <v>2.8827723859237153E-2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47415</v>
      </c>
      <c r="Y1179" s="198">
        <f>_xll.qlInterestRateIndexValueDate(IborIndex,X1179,Trigger)</f>
        <v>47417</v>
      </c>
      <c r="Z1179" s="199">
        <v>2.8864157700002148E-2</v>
      </c>
      <c r="AA1179" s="201">
        <v>2.8828378027876411E-2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47422</v>
      </c>
      <c r="Y1180" s="198">
        <f>_xll.qlInterestRateIndexValueDate(IborIndex,X1180,Trigger)</f>
        <v>47424</v>
      </c>
      <c r="Z1180" s="199">
        <v>2.8864898885522849E-2</v>
      </c>
      <c r="AA1180" s="201">
        <v>2.8829065344799787E-2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47429</v>
      </c>
      <c r="Y1181" s="198">
        <f>_xll.qlInterestRateIndexValueDate(IborIndex,X1181,Trigger)</f>
        <v>47431</v>
      </c>
      <c r="Z1181" s="199">
        <v>2.8865673299093536E-2</v>
      </c>
      <c r="AA1181" s="201">
        <v>2.8829785809927344E-2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47436</v>
      </c>
      <c r="Y1182" s="198">
        <f>_xll.qlInterestRateIndexValueDate(IborIndex,X1182,Trigger)</f>
        <v>47438</v>
      </c>
      <c r="Z1182" s="199">
        <v>2.8866480940721952E-2</v>
      </c>
      <c r="AA1182" s="201">
        <v>2.8830539423418955E-2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47443</v>
      </c>
      <c r="Y1183" s="198">
        <f>_xll.qlInterestRateIndexValueDate(IborIndex,X1183,Trigger)</f>
        <v>47445</v>
      </c>
      <c r="Z1183" s="199">
        <v>2.8867321810413248E-2</v>
      </c>
      <c r="AA1183" s="201">
        <v>2.8831326185034811E-2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47450</v>
      </c>
      <c r="Y1184" s="198">
        <f>_xll.qlInterestRateIndexValueDate(IborIndex,X1184,Trigger)</f>
        <v>47452</v>
      </c>
      <c r="Z1184" s="199">
        <v>2.8868195908177741E-2</v>
      </c>
      <c r="AA1184" s="201">
        <v>2.8832146095094657E-2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47457</v>
      </c>
      <c r="Y1185" s="198">
        <f>_xll.qlInterestRateIndexValueDate(IborIndex,X1185,Trigger)</f>
        <v>47459</v>
      </c>
      <c r="Z1185" s="199">
        <v>2.8869103234023162E-2</v>
      </c>
      <c r="AA1185" s="201">
        <v>2.8832999153278749E-2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47464</v>
      </c>
      <c r="Y1186" s="198">
        <f>_xll.qlInterestRateIndexValueDate(IborIndex,X1186,Trigger)</f>
        <v>47466</v>
      </c>
      <c r="Z1186" s="199">
        <v>2.8870043787954675E-2</v>
      </c>
      <c r="AA1186" s="201">
        <v>2.883388535990683E-2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47471</v>
      </c>
      <c r="Y1187" s="198">
        <f>_xll.qlInterestRateIndexValueDate(IborIndex,X1187,Trigger)</f>
        <v>47473</v>
      </c>
      <c r="Z1187" s="199">
        <v>2.887224694432089E-2</v>
      </c>
      <c r="AA1187" s="201">
        <v>2.8835073475912409E-2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47479</v>
      </c>
      <c r="Y1188" s="198">
        <f>_xll.qlInterestRateIndexValueDate(IborIndex,X1188,Trigger)</f>
        <v>47483</v>
      </c>
      <c r="Z1188" s="199">
        <v>2.8872466327751829E-2</v>
      </c>
      <c r="AA1188" s="201">
        <v>2.8836035449932851E-2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47486</v>
      </c>
      <c r="Y1189" s="198">
        <f>_xll.qlInterestRateIndexValueDate(IborIndex,X1189,Trigger)</f>
        <v>47490</v>
      </c>
      <c r="Z1189" s="199">
        <v>2.8873520806612187E-2</v>
      </c>
      <c r="AA1189" s="201">
        <v>2.8836886382457294E-2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47493</v>
      </c>
      <c r="Y1190" s="198">
        <f>_xll.qlInterestRateIndexValueDate(IborIndex,X1190,Trigger)</f>
        <v>47497</v>
      </c>
      <c r="Z1190" s="199">
        <v>2.8874608513599891E-2</v>
      </c>
      <c r="AA1190" s="201">
        <v>2.8837909917474036E-2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47500</v>
      </c>
      <c r="Y1191" s="198">
        <f>_xll.qlInterestRateIndexValueDate(IborIndex,X1191,Trigger)</f>
        <v>47505</v>
      </c>
      <c r="Z1191" s="199">
        <v>2.8875892294815419E-2</v>
      </c>
      <c r="AA1191" s="201">
        <v>2.8839120261539009E-2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47507</v>
      </c>
      <c r="Y1192" s="198">
        <f>_xll.qlInterestRateIndexValueDate(IborIndex,X1192,Trigger)</f>
        <v>47511</v>
      </c>
      <c r="Z1192" s="199">
        <v>2.8876883611988282E-2</v>
      </c>
      <c r="AA1192" s="201">
        <v>2.8840056432519745E-2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47514</v>
      </c>
      <c r="Y1193" s="198">
        <f>_xll.qlInterestRateIndexValueDate(IborIndex,X1193,Trigger)</f>
        <v>47518</v>
      </c>
      <c r="Z1193" s="199">
        <v>2.8874337219426036E-2</v>
      </c>
      <c r="AA1193" s="201">
        <v>2.884117941238884E-2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47521</v>
      </c>
      <c r="Y1194" s="198">
        <f>_xll.qlInterestRateIndexValueDate(IborIndex,X1194,Trigger)</f>
        <v>47525</v>
      </c>
      <c r="Z1194" s="199">
        <v>2.887555042705468E-2</v>
      </c>
      <c r="AA1194" s="201">
        <v>2.8842335540542052E-2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47528</v>
      </c>
      <c r="Y1195" s="198">
        <f>_xll.qlInterestRateIndexValueDate(IborIndex,X1195,Trigger)</f>
        <v>47533</v>
      </c>
      <c r="Z1195" s="199">
        <v>2.8876977627820821E-2</v>
      </c>
      <c r="AA1195" s="201">
        <v>2.8843697419711489E-2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47535</v>
      </c>
      <c r="Y1196" s="198">
        <f>_xll.qlInterestRateIndexValueDate(IborIndex,X1196,Trigger)</f>
        <v>47539</v>
      </c>
      <c r="Z1196" s="199">
        <v>2.8878076502837517E-2</v>
      </c>
      <c r="AA1196" s="201">
        <v>2.8844747241780766E-2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47542</v>
      </c>
      <c r="Y1197" s="198">
        <f>_xll.qlInterestRateIndexValueDate(IborIndex,X1197,Trigger)</f>
        <v>47546</v>
      </c>
      <c r="Z1197" s="199">
        <v>2.888315285083505E-2</v>
      </c>
      <c r="AA1197" s="201">
        <v>2.8846002814706395E-2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47549</v>
      </c>
      <c r="Y1198" s="198">
        <f>_xll.qlInterestRateIndexValueDate(IborIndex,X1198,Trigger)</f>
        <v>47553</v>
      </c>
      <c r="Z1198" s="199">
        <v>2.8884506383181897E-2</v>
      </c>
      <c r="AA1198" s="201">
        <v>2.8847291535996078E-2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47556</v>
      </c>
      <c r="Y1199" s="198">
        <f>_xll.qlInterestRateIndexValueDate(IborIndex,X1199,Trigger)</f>
        <v>47560</v>
      </c>
      <c r="Z1199" s="199">
        <v>2.8885893143746344E-2</v>
      </c>
      <c r="AA1199" s="201">
        <v>2.8848613405569878E-2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47563</v>
      </c>
      <c r="Y1200" s="198">
        <f>_xll.qlInterestRateIndexValueDate(IborIndex,X1200,Trigger)</f>
        <v>47567</v>
      </c>
      <c r="Z1200" s="199">
        <v>2.8887313132541281E-2</v>
      </c>
      <c r="AA1200" s="201">
        <v>2.8849968423427796E-2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47570</v>
      </c>
      <c r="Y1201" s="198">
        <f>_xll.qlInterestRateIndexValueDate(IborIndex,X1201,Trigger)</f>
        <v>47574</v>
      </c>
      <c r="Z1201" s="199">
        <v>2.8887501610042499E-2</v>
      </c>
      <c r="AA1201" s="201">
        <v>2.8851356589569832E-2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47577</v>
      </c>
      <c r="Y1202" s="198">
        <f>_xll.qlInterestRateIndexValueDate(IborIndex,X1202,Trigger)</f>
        <v>47581</v>
      </c>
      <c r="Z1202" s="199">
        <v>2.8888985562944391E-2</v>
      </c>
      <c r="AA1202" s="201">
        <v>2.8852777903916049E-2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47584</v>
      </c>
      <c r="Y1203" s="198">
        <f>_xll.qlInterestRateIndexValueDate(IborIndex,X1203,Trigger)</f>
        <v>47588</v>
      </c>
      <c r="Z1203" s="199">
        <v>2.8890502741449886E-2</v>
      </c>
      <c r="AA1203" s="201">
        <v>2.885423236662632E-2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47591</v>
      </c>
      <c r="Y1204" s="198">
        <f>_xll.qlInterestRateIndexValueDate(IborIndex,X1204,Trigger)</f>
        <v>47597</v>
      </c>
      <c r="Z1204" s="199">
        <v>2.889250222083195E-2</v>
      </c>
      <c r="AA1204" s="201">
        <v>2.8858680987484675E-2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47598</v>
      </c>
      <c r="Y1205" s="198">
        <f>_xll.qlInterestRateIndexValueDate(IborIndex,X1205,Trigger)</f>
        <v>47602</v>
      </c>
      <c r="Z1205" s="199">
        <v>2.8893636768093423E-2</v>
      </c>
      <c r="AA1205" s="201">
        <v>2.8857240736739342E-2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47605</v>
      </c>
      <c r="Y1206" s="198">
        <f>_xll.qlInterestRateIndexValueDate(IborIndex,X1206,Trigger)</f>
        <v>47610</v>
      </c>
      <c r="Z1206" s="199">
        <v>2.8896757932461499E-2</v>
      </c>
      <c r="AA1206" s="201">
        <v>2.8859019337046377E-2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47612</v>
      </c>
      <c r="Y1207" s="198">
        <f>_xll.qlInterestRateIndexValueDate(IborIndex,X1207,Trigger)</f>
        <v>47616</v>
      </c>
      <c r="Z1207" s="199">
        <v>2.889815487257863E-2</v>
      </c>
      <c r="AA1207" s="201">
        <v>2.8860381700068771E-2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47619</v>
      </c>
      <c r="Y1208" s="198">
        <f>_xll.qlInterestRateIndexValueDate(IborIndex,X1208,Trigger)</f>
        <v>47623</v>
      </c>
      <c r="Z1208" s="199">
        <v>2.8899784385637312E-2</v>
      </c>
      <c r="AA1208" s="201">
        <v>2.8862001904119694E-2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47626</v>
      </c>
      <c r="Y1209" s="198">
        <f>_xll.qlInterestRateIndexValueDate(IborIndex,X1209,Trigger)</f>
        <v>47631</v>
      </c>
      <c r="Z1209" s="199">
        <v>2.8901628776929908E-2</v>
      </c>
      <c r="AA1209" s="201">
        <v>2.8863890056793906E-2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47633</v>
      </c>
      <c r="Y1210" s="198">
        <f>_xll.qlInterestRateIndexValueDate(IborIndex,X1210,Trigger)</f>
        <v>47637</v>
      </c>
      <c r="Z1210" s="199">
        <v>2.8901718578727476E-2</v>
      </c>
      <c r="AA1210" s="201">
        <v>2.8865294943321018E-2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47640</v>
      </c>
      <c r="Y1211" s="198">
        <f>_xll.qlInterestRateIndexValueDate(IborIndex,X1211,Trigger)</f>
        <v>47644</v>
      </c>
      <c r="Z1211" s="199">
        <v>2.8903279057726827E-2</v>
      </c>
      <c r="AA1211" s="201">
        <v>2.8866905863438319E-2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47647</v>
      </c>
      <c r="Y1212" s="198">
        <f>_xll.qlInterestRateIndexValueDate(IborIndex,X1212,Trigger)</f>
        <v>47651</v>
      </c>
      <c r="Z1212" s="199">
        <v>2.890480918960403E-2</v>
      </c>
      <c r="AA1212" s="201">
        <v>2.886848650673457E-2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47654</v>
      </c>
      <c r="Y1213" s="198">
        <f>_xll.qlInterestRateIndexValueDate(IborIndex,X1213,Trigger)</f>
        <v>47658</v>
      </c>
      <c r="Z1213" s="199">
        <v>2.8906308974343098E-2</v>
      </c>
      <c r="AA1213" s="201">
        <v>2.8870036873289706E-2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47661</v>
      </c>
      <c r="Y1214" s="198">
        <f>_xll.qlInterestRateIndexValueDate(IborIndex,X1214,Trigger)</f>
        <v>47665</v>
      </c>
      <c r="Z1214" s="199">
        <v>2.8909040383133511E-2</v>
      </c>
      <c r="AA1214" s="201">
        <v>2.8871556962943856E-2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47668</v>
      </c>
      <c r="Y1215" s="198">
        <f>_xll.qlInterestRateIndexValueDate(IborIndex,X1215,Trigger)</f>
        <v>47672</v>
      </c>
      <c r="Z1215" s="199">
        <v>2.8910477421165311E-2</v>
      </c>
      <c r="AA1215" s="201">
        <v>2.8873046775776956E-2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47675</v>
      </c>
      <c r="Y1216" s="198">
        <f>_xll.qlInterestRateIndexValueDate(IborIndex,X1216,Trigger)</f>
        <v>47679</v>
      </c>
      <c r="Z1216" s="199">
        <v>2.8911884109600723E-2</v>
      </c>
      <c r="AA1216" s="201">
        <v>2.8874506311709069E-2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47682</v>
      </c>
      <c r="Y1217" s="198">
        <f>_xll.qlInterestRateIndexValueDate(IborIndex,X1217,Trigger)</f>
        <v>47686</v>
      </c>
      <c r="Z1217" s="199">
        <v>2.8913260448421699E-2</v>
      </c>
      <c r="AA1217" s="201">
        <v>2.8875935570980005E-2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47689</v>
      </c>
      <c r="Y1218" s="198">
        <f>_xll.qlInterestRateIndexValueDate(IborIndex,X1218,Trigger)</f>
        <v>47693</v>
      </c>
      <c r="Z1218" s="199">
        <v>2.8914606437623086E-2</v>
      </c>
      <c r="AA1218" s="201">
        <v>2.8877334553349954E-2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47696</v>
      </c>
      <c r="Y1219" s="198">
        <f>_xll.qlInterestRateIndexValueDate(IborIndex,X1219,Trigger)</f>
        <v>47700</v>
      </c>
      <c r="Z1219" s="199">
        <v>2.8915922077191986E-2</v>
      </c>
      <c r="AA1219" s="201">
        <v>2.8878703258898852E-2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47703</v>
      </c>
      <c r="Y1220" s="198">
        <f>_xll.qlInterestRateIndexValueDate(IborIndex,X1220,Trigger)</f>
        <v>47707</v>
      </c>
      <c r="Z1220" s="199">
        <v>2.891720736711809E-2</v>
      </c>
      <c r="AA1220" s="201">
        <v>2.8880041687626701E-2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47710</v>
      </c>
      <c r="Y1221" s="198">
        <f>_xll.qlInterestRateIndexValueDate(IborIndex,X1221,Trigger)</f>
        <v>47714</v>
      </c>
      <c r="Z1221" s="199">
        <v>2.8918462307396236E-2</v>
      </c>
      <c r="AA1221" s="201">
        <v>2.8881349839533499E-2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47717</v>
      </c>
      <c r="Y1222" s="198">
        <f>_xll.qlInterestRateIndexValueDate(IborIndex,X1222,Trigger)</f>
        <v>47722</v>
      </c>
      <c r="Z1222" s="199">
        <v>2.8919859362002431E-2</v>
      </c>
      <c r="AA1222" s="201">
        <v>2.8882807796568599E-2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47724</v>
      </c>
      <c r="Y1223" s="198">
        <f>_xll.qlInterestRateIndexValueDate(IborIndex,X1223,Trigger)</f>
        <v>47729</v>
      </c>
      <c r="Z1223" s="199">
        <v>2.8919806151353811E-2</v>
      </c>
      <c r="AA1223" s="201">
        <v>2.8884051069493211E-2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47731</v>
      </c>
      <c r="Y1224" s="198">
        <f>_xll.qlInterestRateIndexValueDate(IborIndex,X1224,Trigger)</f>
        <v>47735</v>
      </c>
      <c r="Z1224" s="199">
        <v>2.8920803692392916E-2</v>
      </c>
      <c r="AA1224" s="201">
        <v>2.8885092634167719E-2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47738</v>
      </c>
      <c r="Y1225" s="198">
        <f>_xll.qlInterestRateIndexValueDate(IborIndex,X1225,Trigger)</f>
        <v>47742</v>
      </c>
      <c r="Z1225" s="199">
        <v>2.8921939310674993E-2</v>
      </c>
      <c r="AA1225" s="201">
        <v>2.888627967871038E-2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47745</v>
      </c>
      <c r="Y1226" s="198">
        <f>_xll.qlInterestRateIndexValueDate(IborIndex,X1226,Trigger)</f>
        <v>47749</v>
      </c>
      <c r="Z1226" s="199">
        <v>2.8923044581688373E-2</v>
      </c>
      <c r="AA1226" s="201">
        <v>2.8887436446511927E-2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47752</v>
      </c>
      <c r="Y1227" s="198">
        <f>_xll.qlInterestRateIndexValueDate(IborIndex,X1227,Trigger)</f>
        <v>47756</v>
      </c>
      <c r="Z1227" s="199">
        <v>2.8925354605828863E-2</v>
      </c>
      <c r="AA1227" s="201">
        <v>2.8888562937412487E-2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47759</v>
      </c>
      <c r="Y1228" s="198">
        <f>_xll.qlInterestRateIndexValueDate(IborIndex,X1228,Trigger)</f>
        <v>47763</v>
      </c>
      <c r="Z1228" s="199">
        <v>2.8926397098277358E-2</v>
      </c>
      <c r="AA1228" s="201">
        <v>2.8889659151491998E-2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47766</v>
      </c>
      <c r="Y1229" s="198">
        <f>_xll.qlInterestRateIndexValueDate(IborIndex,X1229,Trigger)</f>
        <v>47771</v>
      </c>
      <c r="Z1229" s="199">
        <v>2.8927551355297645E-2</v>
      </c>
      <c r="AA1229" s="201">
        <v>2.889087489387876E-2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47773</v>
      </c>
      <c r="Y1230" s="198">
        <f>_xll.qlInterestRateIndexValueDate(IborIndex,X1230,Trigger)</f>
        <v>47777</v>
      </c>
      <c r="Z1230" s="199">
        <v>2.8928391034003565E-2</v>
      </c>
      <c r="AA1230" s="201">
        <v>2.8891760749107931E-2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47780</v>
      </c>
      <c r="Y1231" s="198">
        <f>_xll.qlInterestRateIndexValueDate(IborIndex,X1231,Trigger)</f>
        <v>47784</v>
      </c>
      <c r="Z1231" s="199">
        <v>2.8930569093198744E-2</v>
      </c>
      <c r="AA1231" s="201">
        <v>2.889276613272429E-2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47787</v>
      </c>
      <c r="Y1232" s="198">
        <f>_xll.qlInterestRateIndexValueDate(IborIndex,X1232,Trigger)</f>
        <v>47791</v>
      </c>
      <c r="Z1232" s="199">
        <v>2.8929038914739635E-2</v>
      </c>
      <c r="AA1232" s="201">
        <v>2.8893741239439663E-2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47794</v>
      </c>
      <c r="Y1233" s="198">
        <f>_xll.qlInterestRateIndexValueDate(IborIndex,X1233,Trigger)</f>
        <v>47799</v>
      </c>
      <c r="Z1233" s="199">
        <v>2.893005682590033E-2</v>
      </c>
      <c r="AA1233" s="201">
        <v>2.889481857358156E-2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47801</v>
      </c>
      <c r="Y1234" s="198">
        <f>_xll.qlInterestRateIndexValueDate(IborIndex,X1234,Trigger)</f>
        <v>47805</v>
      </c>
      <c r="Z1234" s="199">
        <v>2.8930794247277625E-2</v>
      </c>
      <c r="AA1234" s="201">
        <v>2.8895600622487194E-2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47808</v>
      </c>
      <c r="Y1235" s="198">
        <f>_xll.qlInterestRateIndexValueDate(IborIndex,X1235,Trigger)</f>
        <v>47812</v>
      </c>
      <c r="Z1235" s="199">
        <v>2.8934062977750419E-2</v>
      </c>
      <c r="AA1235" s="201">
        <v>2.8896484898739416E-2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47815</v>
      </c>
      <c r="Y1236" s="198">
        <f>_xll.qlInterestRateIndexValueDate(IborIndex,X1236,Trigger)</f>
        <v>47819</v>
      </c>
      <c r="Z1236" s="199">
        <v>2.8933644447199636E-2</v>
      </c>
      <c r="AA1236" s="201">
        <v>2.8897338898170588E-2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47822</v>
      </c>
      <c r="Y1237" s="198">
        <f>_xll.qlInterestRateIndexValueDate(IborIndex,X1237,Trigger)</f>
        <v>47826</v>
      </c>
      <c r="Z1237" s="199">
        <v>2.8934413791872768E-2</v>
      </c>
      <c r="AA1237" s="201">
        <v>2.889816262078071E-2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47829</v>
      </c>
      <c r="Y1238" s="198">
        <f>_xll.qlInterestRateIndexValueDate(IborIndex,X1238,Trigger)</f>
        <v>47833</v>
      </c>
      <c r="Z1238" s="199">
        <v>2.8935152786756121E-2</v>
      </c>
      <c r="AA1238" s="201">
        <v>2.8898956066489845E-2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47836</v>
      </c>
      <c r="Y1239" s="198">
        <f>_xll.qlInterestRateIndexValueDate(IborIndex,X1239,Trigger)</f>
        <v>47840</v>
      </c>
      <c r="Z1239" s="199">
        <v>2.8935861431849692E-2</v>
      </c>
      <c r="AA1239" s="201">
        <v>2.8902356929227935E-2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47844</v>
      </c>
      <c r="Y1240" s="198">
        <f>_xll.qlInterestRateIndexValueDate(IborIndex,X1240,Trigger)</f>
        <v>47848</v>
      </c>
      <c r="Z1240" s="199">
        <v>2.8936634148940005E-2</v>
      </c>
      <c r="AA1240" s="201">
        <v>2.8903076961128704E-2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47851</v>
      </c>
      <c r="Y1241" s="198">
        <f>_xll.qlInterestRateIndexValueDate(IborIndex,X1241,Trigger)</f>
        <v>47855</v>
      </c>
      <c r="Z1241" s="199">
        <v>2.8937277758748034E-2</v>
      </c>
      <c r="AA1241" s="201">
        <v>2.8901252644777387E-2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47858</v>
      </c>
      <c r="Y1242" s="198">
        <f>_xll.qlInterestRateIndexValueDate(IborIndex,X1242,Trigger)</f>
        <v>47862</v>
      </c>
      <c r="Z1242" s="199">
        <v>2.893789101874308E-2</v>
      </c>
      <c r="AA1242" s="201">
        <v>2.8901920658022107E-2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47865</v>
      </c>
      <c r="Y1243" s="198">
        <f>_xll.qlInterestRateIndexValueDate(IborIndex,X1243,Trigger)</f>
        <v>47869</v>
      </c>
      <c r="Z1243" s="199">
        <v>2.8938473928927715E-2</v>
      </c>
      <c r="AA1243" s="201">
        <v>2.890255839436584E-2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47872</v>
      </c>
      <c r="Y1244" s="198">
        <f>_xll.qlInterestRateIndexValueDate(IborIndex,X1244,Trigger)</f>
        <v>47876</v>
      </c>
      <c r="Z1244" s="199">
        <v>2.8939026489291631E-2</v>
      </c>
      <c r="AA1244" s="201">
        <v>2.8903165853808588E-2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47879</v>
      </c>
      <c r="Y1245" s="198">
        <f>_xll.qlInterestRateIndexValueDate(IborIndex,X1245,Trigger)</f>
        <v>47883</v>
      </c>
      <c r="Z1245" s="199">
        <v>2.8935957547965772E-2</v>
      </c>
      <c r="AA1245" s="201">
        <v>2.8903743036510221E-2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47886</v>
      </c>
      <c r="Y1246" s="198">
        <f>_xll.qlInterestRateIndexValueDate(IborIndex,X1246,Trigger)</f>
        <v>47890</v>
      </c>
      <c r="Z1246" s="199">
        <v>2.8936455792194504E-2</v>
      </c>
      <c r="AA1246" s="201">
        <v>2.8904289942310868E-2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47893</v>
      </c>
      <c r="Y1247" s="198">
        <f>_xll.qlInterestRateIndexValueDate(IborIndex,X1247,Trigger)</f>
        <v>47897</v>
      </c>
      <c r="Z1247" s="199">
        <v>2.8936923693897602E-2</v>
      </c>
      <c r="AA1247" s="201">
        <v>2.8904806571290464E-2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47900</v>
      </c>
      <c r="Y1248" s="198">
        <f>_xll.qlInterestRateIndexValueDate(IborIndex,X1248,Trigger)</f>
        <v>47904</v>
      </c>
      <c r="Z1248" s="199">
        <v>2.8937361253080773E-2</v>
      </c>
      <c r="AA1248" s="201">
        <v>2.8905292923449011E-2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47907</v>
      </c>
      <c r="Y1249" s="198">
        <f>_xll.qlInterestRateIndexValueDate(IborIndex,X1249,Trigger)</f>
        <v>47911</v>
      </c>
      <c r="Z1249" s="199">
        <v>2.894133404370499E-2</v>
      </c>
      <c r="AA1249" s="201">
        <v>2.8905748998786507E-2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47914</v>
      </c>
      <c r="Y1250" s="198">
        <f>_xll.qlInterestRateIndexValueDate(IborIndex,X1250,Trigger)</f>
        <v>47918</v>
      </c>
      <c r="Z1250" s="199">
        <v>2.8946448087457149E-2</v>
      </c>
      <c r="AA1250" s="201">
        <v>2.8906174797302953E-2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47921</v>
      </c>
      <c r="Y1251" s="198">
        <f>_xll.qlInterestRateIndexValueDate(IborIndex,X1251,Trigger)</f>
        <v>47925</v>
      </c>
      <c r="Z1251" s="199">
        <v>2.8942044616611311E-2</v>
      </c>
      <c r="AA1251" s="201">
        <v>2.8906570318918412E-2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47928</v>
      </c>
      <c r="Y1252" s="198">
        <f>_xll.qlInterestRateIndexValueDate(IborIndex,X1252,Trigger)</f>
        <v>47932</v>
      </c>
      <c r="Z1252" s="199">
        <v>2.8942354378290843E-2</v>
      </c>
      <c r="AA1252" s="201">
        <v>2.8906935563792757E-2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47935</v>
      </c>
      <c r="Y1253" s="198">
        <f>_xll.qlInterestRateIndexValueDate(IborIndex,X1253,Trigger)</f>
        <v>47939</v>
      </c>
      <c r="Z1253" s="199">
        <v>2.8941453971804698E-2</v>
      </c>
      <c r="AA1253" s="201">
        <v>2.8907270531766116E-2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47942</v>
      </c>
      <c r="Y1254" s="198">
        <f>_xll.qlInterestRateIndexValueDate(IborIndex,X1254,Trigger)</f>
        <v>47946</v>
      </c>
      <c r="Z1254" s="199">
        <v>2.8941705181460442E-2</v>
      </c>
      <c r="AA1254" s="201">
        <v>2.8912298985691365E-2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47953</v>
      </c>
      <c r="Y1255" s="198">
        <f>_xll.qlInterestRateIndexValueDate(IborIndex,X1255,Trigger)</f>
        <v>47955</v>
      </c>
      <c r="Z1255" s="199">
        <v>2.8944333242499065E-2</v>
      </c>
      <c r="AA1255" s="201">
        <v>2.8907992851729958E-2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47960</v>
      </c>
      <c r="Y1256" s="198">
        <f>_xll.qlInterestRateIndexValueDate(IborIndex,X1256,Trigger)</f>
        <v>47962</v>
      </c>
      <c r="Z1256" s="199">
        <v>2.8945683247111637E-2</v>
      </c>
      <c r="AA1256" s="201">
        <v>2.890821968811963E-2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47967</v>
      </c>
      <c r="Y1257" s="198">
        <f>_xll.qlInterestRateIndexValueDate(IborIndex,X1257,Trigger)</f>
        <v>47969</v>
      </c>
      <c r="Z1257" s="199">
        <v>2.8944657964803111E-2</v>
      </c>
      <c r="AA1257" s="201">
        <v>2.8908441856083655E-2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47974</v>
      </c>
      <c r="Y1258" s="198">
        <f>_xll.qlInterestRateIndexValueDate(IborIndex,X1258,Trigger)</f>
        <v>47976</v>
      </c>
      <c r="Z1258" s="199">
        <v>2.8944774797516615E-2</v>
      </c>
      <c r="AA1258" s="201">
        <v>2.8908582530435822E-2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47981</v>
      </c>
      <c r="Y1259" s="198">
        <f>_xll.qlInterestRateIndexValueDate(IborIndex,X1259,Trigger)</f>
        <v>47983</v>
      </c>
      <c r="Z1259" s="199">
        <v>2.8944861277931944E-2</v>
      </c>
      <c r="AA1259" s="201">
        <v>2.8908718536442279E-2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47988</v>
      </c>
      <c r="Y1260" s="198">
        <f>_xll.qlInterestRateIndexValueDate(IborIndex,X1260,Trigger)</f>
        <v>47990</v>
      </c>
      <c r="Z1260" s="199">
        <v>2.8944917406051596E-2</v>
      </c>
      <c r="AA1260" s="201">
        <v>2.8908836898002832E-2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47995</v>
      </c>
      <c r="Y1261" s="198">
        <f>_xll.qlInterestRateIndexValueDate(IborIndex,X1261,Trigger)</f>
        <v>47997</v>
      </c>
      <c r="Z1261" s="199">
        <v>2.8944943181873073E-2</v>
      </c>
      <c r="AA1261" s="201">
        <v>2.8908899717752234E-2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48002</v>
      </c>
      <c r="Y1262" s="198">
        <f>_xll.qlInterestRateIndexValueDate(IborIndex,X1262,Trigger)</f>
        <v>48004</v>
      </c>
      <c r="Z1262" s="199">
        <v>2.8944938605396375E-2</v>
      </c>
      <c r="AA1262" s="201">
        <v>2.8908944893135669E-2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48009</v>
      </c>
      <c r="Y1263" s="198">
        <f>_xll.qlInterestRateIndexValueDate(IborIndex,X1263,Trigger)</f>
        <v>48011</v>
      </c>
      <c r="Z1263" s="199">
        <v>2.8944903676626499E-2</v>
      </c>
      <c r="AA1263" s="201">
        <v>2.8908959791777988E-2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48016</v>
      </c>
      <c r="Y1264" s="198">
        <f>_xll.qlInterestRateIndexValueDate(IborIndex,X1264,Trigger)</f>
        <v>48018</v>
      </c>
      <c r="Z1264" s="199">
        <v>2.8944838395558448E-2</v>
      </c>
      <c r="AA1264" s="201">
        <v>2.8908944413519322E-2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48023</v>
      </c>
      <c r="Y1265" s="198">
        <f>_xll.qlInterestRateIndexValueDate(IborIndex,X1265,Trigger)</f>
        <v>48025</v>
      </c>
      <c r="Z1265" s="199">
        <v>2.894474276219472E-2</v>
      </c>
      <c r="AA1265" s="201">
        <v>2.8908898758439605E-2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48030</v>
      </c>
      <c r="Y1266" s="198">
        <f>_xll.qlInterestRateIndexValueDate(IborIndex,X1266,Trigger)</f>
        <v>48032</v>
      </c>
      <c r="Z1266" s="199">
        <v>2.8944616776535315E-2</v>
      </c>
      <c r="AA1266" s="201">
        <v>2.8908822826458902E-2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48037</v>
      </c>
      <c r="Y1267" s="198">
        <f>_xll.qlInterestRateIndexValueDate(IborIndex,X1267,Trigger)</f>
        <v>48039</v>
      </c>
      <c r="Z1267" s="199">
        <v>2.8944460438585229E-2</v>
      </c>
      <c r="AA1267" s="201">
        <v>2.8908716617737085E-2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48044</v>
      </c>
      <c r="Y1268" s="198">
        <f>_xll.qlInterestRateIndexValueDate(IborIndex,X1268,Trigger)</f>
        <v>48046</v>
      </c>
      <c r="Z1268" s="199">
        <v>2.8944273748336968E-2</v>
      </c>
      <c r="AA1268" s="201">
        <v>2.8908580132194217E-2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48051</v>
      </c>
      <c r="Y1269" s="198">
        <f>_xll.qlInterestRateIndexValueDate(IborIndex,X1269,Trigger)</f>
        <v>48053</v>
      </c>
      <c r="Z1269" s="199">
        <v>2.8945200950111723E-2</v>
      </c>
      <c r="AA1269" s="201">
        <v>2.8908413369750363E-2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48058</v>
      </c>
      <c r="Y1270" s="198">
        <f>_xll.qlInterestRateIndexValueDate(IborIndex,X1270,Trigger)</f>
        <v>48060</v>
      </c>
      <c r="Z1270" s="199">
        <v>2.894038225733718E-2</v>
      </c>
      <c r="AA1270" s="201">
        <v>2.8908216330485459E-2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48065</v>
      </c>
      <c r="Y1271" s="198">
        <f>_xll.qlInterestRateIndexValueDate(IborIndex,X1271,Trigger)</f>
        <v>48067</v>
      </c>
      <c r="Z1271" s="199">
        <v>2.8943531563855596E-2</v>
      </c>
      <c r="AA1271" s="201">
        <v>2.8907989014399504E-2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48072</v>
      </c>
      <c r="Y1272" s="198">
        <f>_xll.qlInterestRateIndexValueDate(IborIndex,X1272,Trigger)</f>
        <v>48074</v>
      </c>
      <c r="Z1272" s="199">
        <v>2.8943223464457102E-2</v>
      </c>
      <c r="AA1272" s="201">
        <v>2.8907731421412564E-2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48079</v>
      </c>
      <c r="Y1273" s="198">
        <f>_xll.qlInterestRateIndexValueDate(IborIndex,X1273,Trigger)</f>
        <v>48081</v>
      </c>
      <c r="Z1273" s="199">
        <v>2.8942885012770425E-2</v>
      </c>
      <c r="AA1273" s="201">
        <v>2.8907399955837576E-2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48086</v>
      </c>
      <c r="Y1274" s="198">
        <f>_xll.qlInterestRateIndexValueDate(IborIndex,X1274,Trigger)</f>
        <v>48088</v>
      </c>
      <c r="Z1274" s="199">
        <v>2.8942516208808056E-2</v>
      </c>
      <c r="AA1274" s="201">
        <v>2.8907125405055467E-2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48093</v>
      </c>
      <c r="Y1275" s="198">
        <f>_xll.qlInterestRateIndexValueDate(IborIndex,X1275,Trigger)</f>
        <v>48095</v>
      </c>
      <c r="Z1275" s="199">
        <v>2.8942117052564997E-2</v>
      </c>
      <c r="AA1275" s="201">
        <v>2.8906776981605375E-2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48100</v>
      </c>
      <c r="Y1276" s="198">
        <f>_xll.qlInterestRateIndexValueDate(IborIndex,X1276,Trigger)</f>
        <v>48102</v>
      </c>
      <c r="Z1276" s="199">
        <v>2.8942816420769256E-2</v>
      </c>
      <c r="AA1276" s="201">
        <v>2.8906398281334234E-2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48107</v>
      </c>
      <c r="Y1277" s="198">
        <f>_xll.qlInterestRateIndexValueDate(IborIndex,X1277,Trigger)</f>
        <v>48109</v>
      </c>
      <c r="Z1277" s="199">
        <v>2.8941227683264292E-2</v>
      </c>
      <c r="AA1277" s="201">
        <v>2.8905989304242041E-2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48114</v>
      </c>
      <c r="Y1278" s="198">
        <f>_xll.qlInterestRateIndexValueDate(IborIndex,X1278,Trigger)</f>
        <v>48116</v>
      </c>
      <c r="Z1278" s="199">
        <v>2.8940737470211642E-2</v>
      </c>
      <c r="AA1278" s="201">
        <v>2.8905550050328799E-2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48121</v>
      </c>
      <c r="Y1279" s="198">
        <f>_xll.qlInterestRateIndexValueDate(IborIndex,X1279,Trigger)</f>
        <v>48123</v>
      </c>
      <c r="Z1279" s="199">
        <v>2.8940216904895788E-2</v>
      </c>
      <c r="AA1279" s="201">
        <v>2.890508051951457E-2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48128</v>
      </c>
      <c r="Y1280" s="198">
        <f>_xll.qlInterestRateIndexValueDate(IborIndex,X1280,Trigger)</f>
        <v>48130</v>
      </c>
      <c r="Z1280" s="199">
        <v>2.8939665987321728E-2</v>
      </c>
      <c r="AA1280" s="201">
        <v>2.8904580711879291E-2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48135</v>
      </c>
      <c r="Y1281" s="198">
        <f>_xll.qlInterestRateIndexValueDate(IborIndex,X1281,Trigger)</f>
        <v>48137</v>
      </c>
      <c r="Z1281" s="199">
        <v>2.8939084717494457E-2</v>
      </c>
      <c r="AA1281" s="201">
        <v>2.8904050627422961E-2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48142</v>
      </c>
      <c r="Y1282" s="198">
        <f>_xll.qlInterestRateIndexValueDate(IborIndex,X1282,Trigger)</f>
        <v>48144</v>
      </c>
      <c r="Z1282" s="199">
        <v>2.8938473095411477E-2</v>
      </c>
      <c r="AA1282" s="201">
        <v>2.8903490266145582E-2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48149</v>
      </c>
      <c r="Y1283" s="198">
        <f>_xll.qlInterestRateIndexValueDate(IborIndex,X1283,Trigger)</f>
        <v>48151</v>
      </c>
      <c r="Z1283" s="199">
        <v>2.8934490039597253E-2</v>
      </c>
      <c r="AA1283" s="201">
        <v>2.8902899628047152E-2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48156</v>
      </c>
      <c r="Y1284" s="198">
        <f>_xll.qlInterestRateIndexValueDate(IborIndex,X1284,Trigger)</f>
        <v>48158</v>
      </c>
      <c r="Z1284" s="199">
        <v>2.893715879452835E-2</v>
      </c>
      <c r="AA1284" s="201">
        <v>2.8902278713047735E-2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48163</v>
      </c>
      <c r="Y1285" s="198">
        <f>_xll.qlInterestRateIndexValueDate(IborIndex,X1285,Trigger)</f>
        <v>48165</v>
      </c>
      <c r="Z1285" s="199">
        <v>2.8936456115730702E-2</v>
      </c>
      <c r="AA1285" s="201">
        <v>2.8901627521387141E-2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48170</v>
      </c>
      <c r="Y1286" s="198">
        <f>_xll.qlInterestRateIndexValueDate(IborIndex,X1286,Trigger)</f>
        <v>48172</v>
      </c>
      <c r="Z1286" s="199">
        <v>2.8935723084704823E-2</v>
      </c>
      <c r="AA1286" s="201">
        <v>2.8900946052665688E-2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48177</v>
      </c>
      <c r="Y1287" s="198">
        <f>_xll.qlInterestRateIndexValueDate(IborIndex,X1287,Trigger)</f>
        <v>48180</v>
      </c>
      <c r="Z1287" s="199">
        <v>2.893595233675535E-2</v>
      </c>
      <c r="AA1287" s="201">
        <v>2.8900130157714088E-2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48184</v>
      </c>
      <c r="Y1288" s="198">
        <f>_xll.qlInterestRateIndexValueDate(IborIndex,X1288,Trigger)</f>
        <v>48186</v>
      </c>
      <c r="Z1288" s="199">
        <v>2.8934165965995851E-2</v>
      </c>
      <c r="AA1288" s="201">
        <v>2.8899492284919504E-2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48191</v>
      </c>
      <c r="Y1289" s="198">
        <f>_xll.qlInterestRateIndexValueDate(IborIndex,X1289,Trigger)</f>
        <v>48193</v>
      </c>
      <c r="Z1289" s="199">
        <v>2.8933341878320251E-2</v>
      </c>
      <c r="AA1289" s="201">
        <v>2.8898719985894772E-2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48198</v>
      </c>
      <c r="Y1290" s="198">
        <f>_xll.qlInterestRateIndexValueDate(IborIndex,X1290,Trigger)</f>
        <v>48200</v>
      </c>
      <c r="Z1290" s="199">
        <v>2.8933585221899708E-2</v>
      </c>
      <c r="AA1290" s="201">
        <v>2.8897917409889118E-2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48205</v>
      </c>
      <c r="Y1291" s="198">
        <f>_xll.qlInterestRateIndexValueDate(IborIndex,X1291,Trigger)</f>
        <v>48211</v>
      </c>
      <c r="Z1291" s="199">
        <v>2.8929989004680638E-2</v>
      </c>
      <c r="AA1291" s="201">
        <v>2.8897939450298615E-2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48212</v>
      </c>
      <c r="Y1292" s="198">
        <f>_xll.qlInterestRateIndexValueDate(IborIndex,X1292,Trigger)</f>
        <v>48215</v>
      </c>
      <c r="Z1292" s="199">
        <v>2.8929461152010675E-2</v>
      </c>
      <c r="AA1292" s="201">
        <v>2.8896095651704812E-2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48219</v>
      </c>
      <c r="Y1293" s="198">
        <f>_xll.qlInterestRateIndexValueDate(IborIndex,X1293,Trigger)</f>
        <v>48221</v>
      </c>
      <c r="Z1293" s="199">
        <v>2.8929742005662784E-2</v>
      </c>
      <c r="AA1293" s="201">
        <v>2.889532802102579E-2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48226</v>
      </c>
      <c r="Y1294" s="198">
        <f>_xll.qlInterestRateIndexValueDate(IborIndex,X1294,Trigger)</f>
        <v>48228</v>
      </c>
      <c r="Z1294" s="199">
        <v>2.892985496907308E-2</v>
      </c>
      <c r="AA1294" s="201">
        <v>2.8894404337735935E-2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48233</v>
      </c>
      <c r="Y1295" s="198">
        <f>_xll.qlInterestRateIndexValueDate(IborIndex,X1295,Trigger)</f>
        <v>48235</v>
      </c>
      <c r="Z1295" s="199">
        <v>2.8927759956263177E-2</v>
      </c>
      <c r="AA1295" s="201">
        <v>2.889345037762503E-2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48240</v>
      </c>
      <c r="Y1296" s="198">
        <f>_xll.qlInterestRateIndexValueDate(IborIndex,X1296,Trigger)</f>
        <v>48242</v>
      </c>
      <c r="Z1296" s="199">
        <v>2.8923469528370903E-2</v>
      </c>
      <c r="AA1296" s="201">
        <v>2.889246614077301E-2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48247</v>
      </c>
      <c r="Y1297" s="198">
        <f>_xll.qlInterestRateIndexValueDate(IborIndex,X1297,Trigger)</f>
        <v>48249</v>
      </c>
      <c r="Z1297" s="199">
        <v>2.8922409382562523E-2</v>
      </c>
      <c r="AA1297" s="201">
        <v>2.8891451626940068E-2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48254</v>
      </c>
      <c r="Y1298" s="198">
        <f>_xll.qlInterestRateIndexValueDate(IborIndex,X1298,Trigger)</f>
        <v>48256</v>
      </c>
      <c r="Z1298" s="199">
        <v>2.8921318891910262E-2</v>
      </c>
      <c r="AA1298" s="201">
        <v>2.8890406836286076E-2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48261</v>
      </c>
      <c r="Y1299" s="198">
        <f>_xll.qlInterestRateIndexValueDate(IborIndex,X1299,Trigger)</f>
        <v>48263</v>
      </c>
      <c r="Z1299" s="199">
        <v>2.8920198056416876E-2</v>
      </c>
      <c r="AA1299" s="201">
        <v>2.8889331768890969E-2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48268</v>
      </c>
      <c r="Y1300" s="198">
        <f>_xll.qlInterestRateIndexValueDate(IborIndex,X1300,Trigger)</f>
        <v>48270</v>
      </c>
      <c r="Z1300" s="199">
        <v>2.8923348952048563E-2</v>
      </c>
      <c r="AA1300" s="201">
        <v>2.8888226424594876E-2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48275</v>
      </c>
      <c r="Y1301" s="198">
        <f>_xll.qlInterestRateIndexValueDate(IborIndex,X1301,Trigger)</f>
        <v>48277</v>
      </c>
      <c r="Z1301" s="199">
        <v>2.8921085356535259E-2</v>
      </c>
      <c r="AA1301" s="201">
        <v>2.8887090803477733E-2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48282</v>
      </c>
      <c r="Y1302" s="198">
        <f>_xll.qlInterestRateIndexValueDate(IborIndex,X1302,Trigger)</f>
        <v>48284</v>
      </c>
      <c r="Z1302" s="199">
        <v>2.8919866690826912E-2</v>
      </c>
      <c r="AA1302" s="201">
        <v>2.888592490553954E-2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48289</v>
      </c>
      <c r="Y1303" s="198">
        <f>_xll.qlInterestRateIndexValueDate(IborIndex,X1303,Trigger)</f>
        <v>48291</v>
      </c>
      <c r="Z1303" s="199">
        <v>2.8918617673022728E-2</v>
      </c>
      <c r="AA1303" s="201">
        <v>2.8884728730780296E-2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48296</v>
      </c>
      <c r="Y1304" s="198">
        <f>_xll.qlInterestRateIndexValueDate(IborIndex,X1304,Trigger)</f>
        <v>48298</v>
      </c>
      <c r="Z1304" s="199">
        <v>2.8917338303137696E-2</v>
      </c>
      <c r="AA1304" s="201">
        <v>2.8883146303391172E-2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48303</v>
      </c>
      <c r="Y1305" s="198">
        <f>_xll.qlInterestRateIndexValueDate(IborIndex,X1305,Trigger)</f>
        <v>48305</v>
      </c>
      <c r="Z1305" s="199">
        <v>2.8917092521140671E-2</v>
      </c>
      <c r="AA1305" s="201">
        <v>2.8882245550798658E-2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48310</v>
      </c>
      <c r="Y1306" s="198">
        <f>_xll.qlInterestRateIndexValueDate(IborIndex,X1306,Trigger)</f>
        <v>48312</v>
      </c>
      <c r="Z1306" s="199">
        <v>2.8914688507155062E-2</v>
      </c>
      <c r="AA1306" s="201">
        <v>2.8880958545496327E-2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48317</v>
      </c>
      <c r="Y1307" s="198">
        <f>_xll.qlInterestRateIndexValueDate(IborIndex,X1307,Trigger)</f>
        <v>48319</v>
      </c>
      <c r="Z1307" s="199">
        <v>2.8913318081074946E-2</v>
      </c>
      <c r="AA1307" s="201">
        <v>2.8879641263532818E-2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48324</v>
      </c>
      <c r="Y1308" s="198">
        <f>_xll.qlInterestRateIndexValueDate(IborIndex,X1308,Trigger)</f>
        <v>48326</v>
      </c>
      <c r="Z1308" s="199">
        <v>2.8911917302958945E-2</v>
      </c>
      <c r="AA1308" s="201">
        <v>2.8878293704588387E-2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48331</v>
      </c>
      <c r="Y1309" s="198">
        <f>_xll.qlInterestRateIndexValueDate(IborIndex,X1309,Trigger)</f>
        <v>48333</v>
      </c>
      <c r="Z1309" s="199">
        <v>2.8907320737285854E-2</v>
      </c>
      <c r="AA1309" s="201">
        <v>2.8876716563610572E-2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48338</v>
      </c>
      <c r="Y1310" s="198">
        <f>_xll.qlInterestRateIndexValueDate(IborIndex,X1310,Trigger)</f>
        <v>48340</v>
      </c>
      <c r="Z1310" s="199">
        <v>2.8909024690644269E-2</v>
      </c>
      <c r="AA1310" s="201">
        <v>2.8875507756236374E-2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48345</v>
      </c>
      <c r="Y1311" s="198">
        <f>_xll.qlInterestRateIndexValueDate(IborIndex,X1311,Trigger)</f>
        <v>48347</v>
      </c>
      <c r="Z1311" s="199">
        <v>2.8907532856470575E-2</v>
      </c>
      <c r="AA1311" s="201">
        <v>2.8874069366908728E-2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48352</v>
      </c>
      <c r="Y1312" s="198">
        <f>_xll.qlInterestRateIndexValueDate(IborIndex,X1312,Trigger)</f>
        <v>48354</v>
      </c>
      <c r="Z1312" s="199">
        <v>2.8906010670300963E-2</v>
      </c>
      <c r="AA1312" s="201">
        <v>2.8872600700680096E-2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48359</v>
      </c>
      <c r="Y1313" s="198">
        <f>_xll.qlInterestRateIndexValueDate(IborIndex,X1313,Trigger)</f>
        <v>48361</v>
      </c>
      <c r="Z1313" s="199">
        <v>2.8904458132150423E-2</v>
      </c>
      <c r="AA1313" s="201">
        <v>2.8870885151297543E-2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48366</v>
      </c>
      <c r="Y1314" s="198">
        <f>_xll.qlInterestRateIndexValueDate(IborIndex,X1314,Trigger)</f>
        <v>48368</v>
      </c>
      <c r="Z1314" s="199">
        <v>2.8903918613469255E-2</v>
      </c>
      <c r="AA1314" s="201">
        <v>2.8869572537839616E-2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48373</v>
      </c>
      <c r="Y1315" s="198">
        <f>_xll.qlInterestRateIndexValueDate(IborIndex,X1315,Trigger)</f>
        <v>48375</v>
      </c>
      <c r="Z1315" s="199">
        <v>2.8901261999949024E-2</v>
      </c>
      <c r="AA1315" s="201">
        <v>2.8868013041067897E-2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48380</v>
      </c>
      <c r="Y1316" s="198">
        <f>_xll.qlInterestRateIndexValueDate(IborIndex,X1316,Trigger)</f>
        <v>48382</v>
      </c>
      <c r="Z1316" s="199">
        <v>2.8899618405925642E-2</v>
      </c>
      <c r="AA1316" s="201">
        <v>2.8866423267555064E-2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48387</v>
      </c>
      <c r="Y1317" s="198">
        <f>_xll.qlInterestRateIndexValueDate(IborIndex,X1317,Trigger)</f>
        <v>48389</v>
      </c>
      <c r="Z1317" s="199">
        <v>2.889794445997379E-2</v>
      </c>
      <c r="AA1317" s="201">
        <v>2.886480321722118E-2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48394</v>
      </c>
      <c r="Y1318" s="198">
        <f>_xll.qlInterestRateIndexValueDate(IborIndex,X1318,Trigger)</f>
        <v>48396</v>
      </c>
      <c r="Z1318" s="199">
        <v>2.8896240162100961E-2</v>
      </c>
      <c r="AA1318" s="201">
        <v>2.8863152890066246E-2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48401</v>
      </c>
      <c r="Y1319" s="198">
        <f>_xll.qlInterestRateIndexValueDate(IborIndex,X1319,Trigger)</f>
        <v>48403</v>
      </c>
      <c r="Z1319" s="199">
        <v>2.8894505512324642E-2</v>
      </c>
      <c r="AA1319" s="201">
        <v>2.8861472286090262E-2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48408</v>
      </c>
      <c r="Y1320" s="198">
        <f>_xll.qlInterestRateIndexValueDate(IborIndex,X1320,Trigger)</f>
        <v>48410</v>
      </c>
      <c r="Z1320" s="199">
        <v>2.889274051065982E-2</v>
      </c>
      <c r="AA1320" s="201">
        <v>2.8859761405293227E-2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48415</v>
      </c>
      <c r="Y1321" s="198">
        <f>_xll.qlInterestRateIndexValueDate(IborIndex,X1321,Trigger)</f>
        <v>48417</v>
      </c>
      <c r="Z1321" s="199">
        <v>2.8890945157121484E-2</v>
      </c>
      <c r="AA1321" s="201">
        <v>2.8858020247595206E-2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48422</v>
      </c>
      <c r="Y1322" s="198">
        <f>_xll.qlInterestRateIndexValueDate(IborIndex,X1322,Trigger)</f>
        <v>48424</v>
      </c>
      <c r="Z1322" s="199">
        <v>2.8890144375072101E-2</v>
      </c>
      <c r="AA1322" s="201">
        <v>2.8856248813156071E-2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48429</v>
      </c>
      <c r="Y1323" s="198">
        <f>_xll.qlInterestRateIndexValueDate(IborIndex,X1323,Trigger)</f>
        <v>48431</v>
      </c>
      <c r="Z1323" s="199">
        <v>2.8888286000909667E-2</v>
      </c>
      <c r="AA1323" s="201">
        <v>2.8854447101975822E-2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48436</v>
      </c>
      <c r="Y1324" s="198">
        <f>_xll.qlInterestRateIndexValueDate(IborIndex,X1324,Trigger)</f>
        <v>48438</v>
      </c>
      <c r="Z1324" s="199">
        <v>2.8885376985392786E-2</v>
      </c>
      <c r="AA1324" s="201">
        <v>2.885261511381465E-2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48443</v>
      </c>
      <c r="Y1325" s="198">
        <f>_xll.qlInterestRateIndexValueDate(IborIndex,X1325,Trigger)</f>
        <v>48445</v>
      </c>
      <c r="Z1325" s="199">
        <v>2.8883460224497781E-2</v>
      </c>
      <c r="AA1325" s="201">
        <v>2.8850752848912364E-2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48450</v>
      </c>
      <c r="Y1326" s="198">
        <f>_xll.qlInterestRateIndexValueDate(IborIndex,X1326,Trigger)</f>
        <v>48452</v>
      </c>
      <c r="Z1326" s="199">
        <v>2.8881513111801704E-2</v>
      </c>
      <c r="AA1326" s="201">
        <v>2.8848587472474208E-2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48457</v>
      </c>
      <c r="Y1327" s="198">
        <f>_xll.qlInterestRateIndexValueDate(IborIndex,X1327,Trigger)</f>
        <v>48459</v>
      </c>
      <c r="Z1327" s="199">
        <v>2.8879535647322041E-2</v>
      </c>
      <c r="AA1327" s="201">
        <v>2.8846937488564706E-2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48464</v>
      </c>
      <c r="Y1328" s="198">
        <f>_xll.qlInterestRateIndexValueDate(IborIndex,X1328,Trigger)</f>
        <v>48466</v>
      </c>
      <c r="Z1328" s="199">
        <v>2.8878538816620877E-2</v>
      </c>
      <c r="AA1328" s="201">
        <v>2.8844984393199269E-2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48471</v>
      </c>
      <c r="Y1329" s="198">
        <f>_xll.qlInterestRateIndexValueDate(IborIndex,X1329,Trigger)</f>
        <v>48473</v>
      </c>
      <c r="Z1329" s="199">
        <v>2.8875489663071907E-2</v>
      </c>
      <c r="AA1329" s="201">
        <v>2.8843001021012782E-2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48478</v>
      </c>
      <c r="Y1330" s="198">
        <f>_xll.qlInterestRateIndexValueDate(IborIndex,X1330,Trigger)</f>
        <v>48480</v>
      </c>
      <c r="Z1330" s="199">
        <v>2.8873421143333911E-2</v>
      </c>
      <c r="AA1330" s="201">
        <v>2.8840987372005245E-2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48485</v>
      </c>
      <c r="Y1331" s="198">
        <f>_xll.qlInterestRateIndexValueDate(IborIndex,X1331,Trigger)</f>
        <v>48487</v>
      </c>
      <c r="Z1331" s="199">
        <v>2.886830930523971E-2</v>
      </c>
      <c r="AA1331" s="201">
        <v>2.8838943446096721E-2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48492</v>
      </c>
      <c r="Y1332" s="198">
        <f>_xll.qlInterestRateIndexValueDate(IborIndex,X1332,Trigger)</f>
        <v>48494</v>
      </c>
      <c r="Z1332" s="199">
        <v>2.8869193048719488E-2</v>
      </c>
      <c r="AA1332" s="201">
        <v>2.8836869243527019E-2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48499</v>
      </c>
      <c r="Y1333" s="198">
        <f>_xll.qlInterestRateIndexValueDate(IborIndex,X1333,Trigger)</f>
        <v>48501</v>
      </c>
      <c r="Z1333" s="199">
        <v>2.8867033473873038E-2</v>
      </c>
      <c r="AA1333" s="201">
        <v>2.8834764763976395E-2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48506</v>
      </c>
      <c r="Y1334" s="198">
        <f>_xll.qlInterestRateIndexValueDate(IborIndex,X1334,Trigger)</f>
        <v>48508</v>
      </c>
      <c r="Z1334" s="199">
        <v>2.8864843547360408E-2</v>
      </c>
      <c r="AA1334" s="201">
        <v>2.8832630007764593E-2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48513</v>
      </c>
      <c r="Y1335" s="198">
        <f>_xll.qlInterestRateIndexValueDate(IborIndex,X1335,Trigger)</f>
        <v>48515</v>
      </c>
      <c r="Z1335" s="199">
        <v>2.8862623269196586E-2</v>
      </c>
      <c r="AA1335" s="201">
        <v>2.8830464974571868E-2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48520</v>
      </c>
      <c r="Y1336" s="198">
        <f>_xll.qlInterestRateIndexValueDate(IborIndex,X1336,Trigger)</f>
        <v>48522</v>
      </c>
      <c r="Z1336" s="199">
        <v>2.8860372639401555E-2</v>
      </c>
      <c r="AA1336" s="201">
        <v>2.8828269664717965E-2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48527</v>
      </c>
      <c r="Y1337" s="198">
        <f>_xll.qlInterestRateIndexValueDate(IborIndex,X1337,Trigger)</f>
        <v>48530</v>
      </c>
      <c r="Z1337" s="199">
        <v>2.8856773574904966E-2</v>
      </c>
      <c r="AA1337" s="201">
        <v>2.8825723665386604E-2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48534</v>
      </c>
      <c r="Y1338" s="198">
        <f>_xll.qlInterestRateIndexValueDate(IborIndex,X1338,Trigger)</f>
        <v>48536</v>
      </c>
      <c r="Z1338" s="199">
        <v>2.8855780324982816E-2</v>
      </c>
      <c r="AA1338" s="201">
        <v>2.8823788214387136E-2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48541</v>
      </c>
      <c r="Y1339" s="198">
        <f>_xll.qlInterestRateIndexValueDate(IborIndex,X1339,Trigger)</f>
        <v>48544</v>
      </c>
      <c r="Z1339" s="199">
        <v>2.8854086506444207E-2</v>
      </c>
      <c r="AA1339" s="201">
        <v>2.8821173011053247E-2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48548</v>
      </c>
      <c r="Y1340" s="198">
        <f>_xll.qlInterestRateIndexValueDate(IborIndex,X1340,Trigger)</f>
        <v>48550</v>
      </c>
      <c r="Z1340" s="199">
        <v>2.8852049453050362E-2</v>
      </c>
      <c r="AA1340" s="201">
        <v>2.8819185656772106E-2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48555</v>
      </c>
      <c r="Y1341" s="198">
        <f>_xll.qlInterestRateIndexValueDate(IborIndex,X1341,Trigger)</f>
        <v>48557</v>
      </c>
      <c r="Z1341" s="199">
        <v>2.8848664216582776E-2</v>
      </c>
      <c r="AA1341" s="201">
        <v>2.8816838962892888E-2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48562</v>
      </c>
      <c r="Y1342" s="198">
        <f>_xll.qlInterestRateIndexValueDate(IborIndex,X1342,Trigger)</f>
        <v>48564</v>
      </c>
      <c r="Z1342" s="199">
        <v>2.8847209602912732E-2</v>
      </c>
      <c r="AA1342" s="201">
        <v>2.8814461992112683E-2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48569</v>
      </c>
      <c r="Y1343" s="198">
        <f>_xll.qlInterestRateIndexValueDate(IborIndex,X1343,Trigger)</f>
        <v>48571</v>
      </c>
      <c r="Z1343" s="199">
        <v>2.8843768386683788E-2</v>
      </c>
      <c r="AA1343" s="201">
        <v>2.8811361398330959E-2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48577</v>
      </c>
      <c r="Y1344" s="198">
        <f>_xll.qlInterestRateIndexValueDate(IborIndex,X1344,Trigger)</f>
        <v>48583</v>
      </c>
      <c r="Z1344" s="199">
        <v>2.8838503457798023E-2</v>
      </c>
      <c r="AA1344" s="201">
        <v>2.8808563298259315E-2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48584</v>
      </c>
      <c r="Y1345" s="198">
        <f>_xll.qlInterestRateIndexValueDate(IborIndex,X1345,Trigger)</f>
        <v>48586</v>
      </c>
      <c r="Z1345" s="199">
        <v>2.883741727322606E-2</v>
      </c>
      <c r="AA1345" s="201">
        <v>2.880679440410816E-2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48591</v>
      </c>
      <c r="Y1346" s="198">
        <f>_xll.qlInterestRateIndexValueDate(IborIndex,X1346,Trigger)</f>
        <v>48593</v>
      </c>
      <c r="Z1346" s="199">
        <v>2.8834861164685744E-2</v>
      </c>
      <c r="AA1346" s="201">
        <v>2.8804292000863541E-2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48598</v>
      </c>
      <c r="Y1347" s="198">
        <f>_xll.qlInterestRateIndexValueDate(IborIndex,X1347,Trigger)</f>
        <v>48600</v>
      </c>
      <c r="Z1347" s="199">
        <v>2.8833240817837114E-2</v>
      </c>
      <c r="AA1347" s="201">
        <v>2.8801759320717935E-2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48605</v>
      </c>
      <c r="Y1348" s="198">
        <f>_xll.qlInterestRateIndexValueDate(IborIndex,X1348,Trigger)</f>
        <v>48607</v>
      </c>
      <c r="Z1348" s="199">
        <v>2.8829657900608079E-2</v>
      </c>
      <c r="AA1348" s="201">
        <v>2.8799196363831214E-2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48612</v>
      </c>
      <c r="Y1349" s="198">
        <f>_xll.qlInterestRateIndexValueDate(IborIndex,X1349,Trigger)</f>
        <v>48614</v>
      </c>
      <c r="Z1349" s="199">
        <v>2.8824125630288071E-2</v>
      </c>
      <c r="AA1349" s="201">
        <v>2.8796603130043508E-2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48619</v>
      </c>
      <c r="Y1350" s="198">
        <f>_xll.qlInterestRateIndexValueDate(IborIndex,X1350,Trigger)</f>
        <v>48621</v>
      </c>
      <c r="Z1350" s="199">
        <v>2.8821455269938082E-2</v>
      </c>
      <c r="AA1350" s="201">
        <v>2.8793979619594623E-2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48626</v>
      </c>
      <c r="Y1351" s="198">
        <f>_xll.qlInterestRateIndexValueDate(IborIndex,X1351,Trigger)</f>
        <v>48628</v>
      </c>
      <c r="Z1351" s="199">
        <v>2.8818754567873243E-2</v>
      </c>
      <c r="AA1351" s="201">
        <v>2.8791325832164816E-2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48633</v>
      </c>
      <c r="Y1352" s="198">
        <f>_xll.qlInterestRateIndexValueDate(IborIndex,X1352,Trigger)</f>
        <v>48635</v>
      </c>
      <c r="Z1352" s="199">
        <v>2.8816023524119241E-2</v>
      </c>
      <c r="AA1352" s="201">
        <v>2.878864176807383E-2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48640</v>
      </c>
      <c r="Y1353" s="198">
        <f>_xll.qlInterestRateIndexValueDate(IborIndex,X1353,Trigger)</f>
        <v>48642</v>
      </c>
      <c r="Z1353" s="199">
        <v>2.8816118633847445E-2</v>
      </c>
      <c r="AA1353" s="201">
        <v>2.8785927427001923E-2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48647</v>
      </c>
      <c r="Y1354" s="198">
        <f>_xll.qlInterestRateIndexValueDate(IborIndex,X1354,Trigger)</f>
        <v>48649</v>
      </c>
      <c r="Z1354" s="199">
        <v>2.8813319733824727E-2</v>
      </c>
      <c r="AA1354" s="201">
        <v>2.8783182809348773E-2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48654</v>
      </c>
      <c r="Y1355" s="198">
        <f>_xll.qlInterestRateIndexValueDate(IborIndex,X1355,Trigger)</f>
        <v>48656</v>
      </c>
      <c r="Z1355" s="199">
        <v>2.8811437510115334E-2</v>
      </c>
      <c r="AA1355" s="201">
        <v>2.8780407914794637E-2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48661</v>
      </c>
      <c r="Y1356" s="198">
        <f>_xll.qlInterestRateIndexValueDate(IborIndex,X1356,Trigger)</f>
        <v>48663</v>
      </c>
      <c r="Z1356" s="199">
        <v>2.8807630887282502E-2</v>
      </c>
      <c r="AA1356" s="201">
        <v>2.877760274341945E-2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48668</v>
      </c>
      <c r="Y1357" s="198">
        <f>_xll.qlInterestRateIndexValueDate(IborIndex,X1357,Trigger)</f>
        <v>48670</v>
      </c>
      <c r="Z1357" s="199">
        <v>2.8805683170547991E-2</v>
      </c>
      <c r="AA1357" s="201">
        <v>2.8774767295223214E-2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48675</v>
      </c>
      <c r="Y1358" s="198">
        <f>_xll.qlInterestRateIndexValueDate(IborIndex,X1358,Trigger)</f>
        <v>48677</v>
      </c>
      <c r="Z1358" s="199">
        <v>2.8801820645562491E-2</v>
      </c>
      <c r="AA1358" s="201">
        <v>2.8771901570285863E-2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48682</v>
      </c>
      <c r="Y1359" s="198">
        <f>_xll.qlInterestRateIndexValueDate(IborIndex,X1359,Trigger)</f>
        <v>48688</v>
      </c>
      <c r="Z1359" s="199">
        <v>2.8796234063783288E-2</v>
      </c>
      <c r="AA1359" s="201">
        <v>2.876817257837061E-2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48689</v>
      </c>
      <c r="Y1360" s="198">
        <f>_xll.qlInterestRateIndexValueDate(IborIndex,X1360,Trigger)</f>
        <v>48691</v>
      </c>
      <c r="Z1360" s="199">
        <v>2.8795889008847782E-2</v>
      </c>
      <c r="AA1360" s="201">
        <v>2.876607928994801E-2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48696</v>
      </c>
      <c r="Y1361" s="198">
        <f>_xll.qlInterestRateIndexValueDate(IborIndex,X1361,Trigger)</f>
        <v>48698</v>
      </c>
      <c r="Z1361" s="199">
        <v>2.8793810277521759E-2</v>
      </c>
      <c r="AA1361" s="201">
        <v>2.8762697897901646E-2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48703</v>
      </c>
      <c r="Y1362" s="198">
        <f>_xll.qlInterestRateIndexValueDate(IborIndex,X1362,Trigger)</f>
        <v>48705</v>
      </c>
      <c r="Z1362" s="199">
        <v>2.8789835977316294E-2</v>
      </c>
      <c r="AA1362" s="201">
        <v>2.8760135902325956E-2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48710</v>
      </c>
      <c r="Y1363" s="198">
        <f>_xll.qlInterestRateIndexValueDate(IborIndex,X1363,Trigger)</f>
        <v>48712</v>
      </c>
      <c r="Z1363" s="199">
        <v>2.878676393855872E-2</v>
      </c>
      <c r="AA1363" s="201">
        <v>2.8757118793443226E-2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48717</v>
      </c>
      <c r="Y1364" s="198">
        <f>_xll.qlInterestRateIndexValueDate(IborIndex,X1364,Trigger)</f>
        <v>48719</v>
      </c>
      <c r="Z1364" s="199">
        <v>2.8783661551166576E-2</v>
      </c>
      <c r="AA1364" s="201">
        <v>2.8754071407659509E-2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48724</v>
      </c>
      <c r="Y1365" s="198">
        <f>_xll.qlInterestRateIndexValueDate(IborIndex,X1365,Trigger)</f>
        <v>48726</v>
      </c>
      <c r="Z1365" s="199">
        <v>2.8780528815168221E-2</v>
      </c>
      <c r="AA1365" s="201">
        <v>2.875055160736828E-2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48731</v>
      </c>
      <c r="Y1366" s="198">
        <f>_xll.qlInterestRateIndexValueDate(IborIndex,X1366,Trigger)</f>
        <v>48733</v>
      </c>
      <c r="Z1366" s="199">
        <v>2.8778286262213515E-2</v>
      </c>
      <c r="AA1366" s="201">
        <v>2.8747885805788798E-2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48738</v>
      </c>
      <c r="Y1367" s="198">
        <f>_xll.qlInterestRateIndexValueDate(IborIndex,X1367,Trigger)</f>
        <v>48740</v>
      </c>
      <c r="Z1367" s="199">
        <v>2.8774172297443137E-2</v>
      </c>
      <c r="AA1367" s="201">
        <v>2.874474758954193E-2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48745</v>
      </c>
      <c r="Y1368" s="198">
        <f>_xll.qlInterestRateIndexValueDate(IborIndex,X1368,Trigger)</f>
        <v>48747</v>
      </c>
      <c r="Z1368" s="199">
        <v>2.8770948515770556E-2</v>
      </c>
      <c r="AA1368" s="201">
        <v>2.8741579096633885E-2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48752</v>
      </c>
      <c r="Y1369" s="198">
        <f>_xll.qlInterestRateIndexValueDate(IborIndex,X1369,Trigger)</f>
        <v>48754</v>
      </c>
      <c r="Z1369" s="199">
        <v>2.8767694385589754E-2</v>
      </c>
      <c r="AA1369" s="201">
        <v>2.8738380326824853E-2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48759</v>
      </c>
      <c r="Y1370" s="198">
        <f>_xll.qlInterestRateIndexValueDate(IborIndex,X1370,Trigger)</f>
        <v>48761</v>
      </c>
      <c r="Z1370" s="199">
        <v>2.8764409906926514E-2</v>
      </c>
      <c r="AA1370" s="201">
        <v>2.8735151280354643E-2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48766</v>
      </c>
      <c r="Y1371" s="198">
        <f>_xll.qlInterestRateIndexValueDate(IborIndex,X1371,Trigger)</f>
        <v>48768</v>
      </c>
      <c r="Z1371" s="199">
        <v>2.8761095079804046E-2</v>
      </c>
      <c r="AA1371" s="201">
        <v>2.8731891956983446E-2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48773</v>
      </c>
      <c r="Y1372" s="198">
        <f>_xll.qlInterestRateIndexValueDate(IborIndex,X1372,Trigger)</f>
        <v>48775</v>
      </c>
      <c r="Z1372" s="199">
        <v>2.8757749904250712E-2</v>
      </c>
      <c r="AA1372" s="201">
        <v>2.8728602356871136E-2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48780</v>
      </c>
      <c r="Y1373" s="198">
        <f>_xll.qlInterestRateIndexValueDate(IborIndex,X1373,Trigger)</f>
        <v>48782</v>
      </c>
      <c r="Z1373" s="199">
        <v>2.8754374380292297E-2</v>
      </c>
      <c r="AA1373" s="201">
        <v>2.8725282480017711E-2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48787</v>
      </c>
      <c r="Y1374" s="198">
        <f>_xll.qlInterestRateIndexValueDate(IborIndex,X1374,Trigger)</f>
        <v>48789</v>
      </c>
      <c r="Z1374" s="199">
        <v>2.875277048655776E-2</v>
      </c>
      <c r="AA1374" s="201">
        <v>2.87219323262633E-2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48794</v>
      </c>
      <c r="Y1375" s="198">
        <f>_xll.qlInterestRateIndexValueDate(IborIndex,X1375,Trigger)</f>
        <v>48796</v>
      </c>
      <c r="Z1375" s="199">
        <v>2.8748430926942015E-2</v>
      </c>
      <c r="AA1375" s="201">
        <v>2.871855189584771E-2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48801</v>
      </c>
      <c r="Y1376" s="198">
        <f>_xll.qlInterestRateIndexValueDate(IborIndex,X1376,Trigger)</f>
        <v>48803</v>
      </c>
      <c r="Z1376" s="199">
        <v>2.8744065718259913E-2</v>
      </c>
      <c r="AA1376" s="201">
        <v>2.8715141188531135E-2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48808</v>
      </c>
      <c r="Y1377" s="198">
        <f>_xll.qlInterestRateIndexValueDate(IborIndex,X1377,Trigger)</f>
        <v>48810</v>
      </c>
      <c r="Z1377" s="199">
        <v>2.8740568800949353E-2</v>
      </c>
      <c r="AA1377" s="201">
        <v>2.8711700204473445E-2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48815</v>
      </c>
      <c r="Y1378" s="198">
        <f>_xll.qlInterestRateIndexValueDate(IborIndex,X1378,Trigger)</f>
        <v>48817</v>
      </c>
      <c r="Z1378" s="199">
        <v>2.8737041535370381E-2</v>
      </c>
      <c r="AA1378" s="201">
        <v>2.8707730577606227E-2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48822</v>
      </c>
      <c r="Y1379" s="198">
        <f>_xll.qlInterestRateIndexValueDate(IborIndex,X1379,Trigger)</f>
        <v>48824</v>
      </c>
      <c r="Z1379" s="199">
        <v>2.8733483921546201E-2</v>
      </c>
      <c r="AA1379" s="201">
        <v>2.870472740597485E-2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48829</v>
      </c>
      <c r="Y1380" s="198">
        <f>_xll.qlInterestRateIndexValueDate(IborIndex,X1380,Trigger)</f>
        <v>48831</v>
      </c>
      <c r="Z1380" s="199">
        <v>2.8730782353446893E-2</v>
      </c>
      <c r="AA1380" s="201">
        <v>2.8701195591533946E-2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48836</v>
      </c>
      <c r="Y1381" s="198">
        <f>_xll.qlInterestRateIndexValueDate(IborIndex,X1381,Trigger)</f>
        <v>48838</v>
      </c>
      <c r="Z1381" s="199">
        <v>2.8726277649283413E-2</v>
      </c>
      <c r="AA1381" s="201">
        <v>2.8697633500351927E-2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48843</v>
      </c>
      <c r="Y1382" s="198">
        <f>_xll.qlInterestRateIndexValueDate(IborIndex,X1382,Trigger)</f>
        <v>48845</v>
      </c>
      <c r="Z1382" s="199">
        <v>2.8722628990901534E-2</v>
      </c>
      <c r="AA1382" s="201">
        <v>2.8694041132428794E-2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48850</v>
      </c>
      <c r="Y1383" s="198">
        <f>_xll.qlInterestRateIndexValueDate(IborIndex,X1383,Trigger)</f>
        <v>48852</v>
      </c>
      <c r="Z1383" s="199">
        <v>2.8718949984387909E-2</v>
      </c>
      <c r="AA1383" s="201">
        <v>2.8690418487604674E-2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48857</v>
      </c>
      <c r="Y1384" s="198">
        <f>_xll.qlInterestRateIndexValueDate(IborIndex,X1384,Trigger)</f>
        <v>48859</v>
      </c>
      <c r="Z1384" s="199">
        <v>2.8715240629773472E-2</v>
      </c>
      <c r="AA1384" s="201">
        <v>2.8686765566119377E-2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48864</v>
      </c>
      <c r="Y1385" s="198">
        <f>_xll.qlInterestRateIndexValueDate(IborIndex,X1385,Trigger)</f>
        <v>48866</v>
      </c>
      <c r="Z1385" s="199">
        <v>2.8711500927086596E-2</v>
      </c>
      <c r="AA1385" s="201">
        <v>2.8683082367733093E-2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48871</v>
      </c>
      <c r="Y1386" s="198">
        <f>_xll.qlInterestRateIndexValueDate(IborIndex,X1386,Trigger)</f>
        <v>48873</v>
      </c>
      <c r="Z1386" s="199">
        <v>2.870773087635306E-2</v>
      </c>
      <c r="AA1386" s="201">
        <v>2.8679368892765567E-2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48878</v>
      </c>
      <c r="Y1387" s="198">
        <f>_xll.qlInterestRateIndexValueDate(IborIndex,X1387,Trigger)</f>
        <v>48880</v>
      </c>
      <c r="Z1387" s="199">
        <v>2.870393047761155E-2</v>
      </c>
      <c r="AA1387" s="201">
        <v>2.8675625140817118E-2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48885</v>
      </c>
      <c r="Y1388" s="198">
        <f>_xll.qlInterestRateIndexValueDate(IborIndex,X1388,Trigger)</f>
        <v>48887</v>
      </c>
      <c r="Z1388" s="199">
        <v>2.8700099730882691E-2</v>
      </c>
      <c r="AA1388" s="201">
        <v>2.8671851112127555E-2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48892</v>
      </c>
      <c r="Y1389" s="198">
        <f>_xll.qlInterestRateIndexValueDate(IborIndex,X1389,Trigger)</f>
        <v>48897</v>
      </c>
      <c r="Z1389" s="199">
        <v>2.8693711260746824E-2</v>
      </c>
      <c r="AA1389" s="201">
        <v>2.8667500862926687E-2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48899</v>
      </c>
      <c r="Y1390" s="198">
        <f>_xll.qlInterestRateIndexValueDate(IborIndex,X1390,Trigger)</f>
        <v>48901</v>
      </c>
      <c r="Z1390" s="199">
        <v>2.8692347193594432E-2</v>
      </c>
      <c r="AA1390" s="201">
        <v>2.8664212224445151E-2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48906</v>
      </c>
      <c r="Y1391" s="198">
        <f>_xll.qlInterestRateIndexValueDate(IborIndex,X1391,Trigger)</f>
        <v>48908</v>
      </c>
      <c r="Z1391" s="199">
        <v>2.8690143700127055E-2</v>
      </c>
      <c r="AA1391" s="201">
        <v>2.8660347365532246E-2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48913</v>
      </c>
      <c r="Y1392" s="198">
        <f>_xll.qlInterestRateIndexValueDate(IborIndex,X1392,Trigger)</f>
        <v>48915</v>
      </c>
      <c r="Z1392" s="199">
        <v>2.8685330026279876E-2</v>
      </c>
      <c r="AA1392" s="201">
        <v>2.865645222979829E-2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48920</v>
      </c>
      <c r="Y1393" s="198">
        <f>_xll.qlInterestRateIndexValueDate(IborIndex,X1393,Trigger)</f>
        <v>48922</v>
      </c>
      <c r="Z1393" s="199">
        <v>2.8680490778542102E-2</v>
      </c>
      <c r="AA1393" s="201">
        <v>2.8652526817323221E-2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48927</v>
      </c>
      <c r="Y1394" s="198">
        <f>_xll.qlInterestRateIndexValueDate(IborIndex,X1394,Trigger)</f>
        <v>48929</v>
      </c>
      <c r="Z1394" s="199">
        <v>2.8677329734146106E-2</v>
      </c>
      <c r="AA1394" s="201">
        <v>2.8648571127947164E-2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48934</v>
      </c>
      <c r="Y1395" s="198">
        <f>_xll.qlInterestRateIndexValueDate(IborIndex,X1395,Trigger)</f>
        <v>48936</v>
      </c>
      <c r="Z1395" s="199">
        <v>2.8672434762785682E-2</v>
      </c>
      <c r="AA1395" s="201">
        <v>2.8643440753421956E-2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48941</v>
      </c>
      <c r="Y1396" s="198">
        <f>_xll.qlInterestRateIndexValueDate(IborIndex,X1396,Trigger)</f>
        <v>48943</v>
      </c>
      <c r="Z1396" s="199">
        <v>2.8669208041462724E-2</v>
      </c>
      <c r="AA1396" s="201">
        <v>2.863999269854034E-2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48948</v>
      </c>
      <c r="Y1397" s="198">
        <f>_xll.qlInterestRateIndexValueDate(IborIndex,X1397,Trigger)</f>
        <v>48950</v>
      </c>
      <c r="Z1397" s="199">
        <v>2.8664257356077777E-2</v>
      </c>
      <c r="AA1397" s="201">
        <v>2.8636522399532183E-2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48955</v>
      </c>
      <c r="Y1398" s="198">
        <f>_xll.qlInterestRateIndexValueDate(IborIndex,X1398,Trigger)</f>
        <v>48957</v>
      </c>
      <c r="Z1398" s="199">
        <v>2.866012313119792E-2</v>
      </c>
      <c r="AA1398" s="201">
        <v>2.8632445603111734E-2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48962</v>
      </c>
      <c r="Y1399" s="198">
        <f>_xll.qlInterestRateIndexValueDate(IborIndex,X1399,Trigger)</f>
        <v>48964</v>
      </c>
      <c r="Z1399" s="199">
        <v>2.8656797876994156E-2</v>
      </c>
      <c r="AA1399" s="201">
        <v>2.862833852995017E-2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48969</v>
      </c>
      <c r="Y1400" s="198">
        <f>_xll.qlInterestRateIndexValueDate(IborIndex,X1400,Trigger)</f>
        <v>48971</v>
      </c>
      <c r="Z1400" s="199">
        <v>2.8651763638546272E-2</v>
      </c>
      <c r="AA1400" s="201">
        <v>2.8624201180047493E-2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48976</v>
      </c>
      <c r="Y1401" s="198">
        <f>_xll.qlInterestRateIndexValueDate(IborIndex,X1401,Trigger)</f>
        <v>48978</v>
      </c>
      <c r="Z1401" s="199">
        <v>2.8645034264305202E-2</v>
      </c>
      <c r="AA1401" s="201">
        <v>2.8620033553483637E-2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48983</v>
      </c>
      <c r="Y1402" s="198">
        <f>_xll.qlInterestRateIndexValueDate(IborIndex,X1402,Trigger)</f>
        <v>48985</v>
      </c>
      <c r="Z1402" s="199">
        <v>2.8640786165072818E-2</v>
      </c>
      <c r="AA1402" s="201">
        <v>2.8615835650018795E-2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48990</v>
      </c>
      <c r="Y1403" s="198">
        <f>_xll.qlInterestRateIndexValueDate(IborIndex,X1403,Trigger)</f>
        <v>48992</v>
      </c>
      <c r="Z1403" s="199">
        <v>2.863650772540741E-2</v>
      </c>
      <c r="AA1403" s="201">
        <v>2.8611607469892775E-2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48997</v>
      </c>
      <c r="Y1404" s="198">
        <f>_xll.qlInterestRateIndexValueDate(IborIndex,X1404,Trigger)</f>
        <v>48999</v>
      </c>
      <c r="Z1404" s="199">
        <v>2.8632198945337528E-2</v>
      </c>
      <c r="AA1404" s="201">
        <v>2.8607349012945704E-2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49004</v>
      </c>
      <c r="Y1405" s="198">
        <f>_xll.qlInterestRateIndexValueDate(IborIndex,X1405,Trigger)</f>
        <v>49006</v>
      </c>
      <c r="Z1405" s="199">
        <v>2.8630333824924577E-2</v>
      </c>
      <c r="AA1405" s="201">
        <v>2.8603060279177583E-2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49011</v>
      </c>
      <c r="Y1406" s="198">
        <f>_xll.qlInterestRateIndexValueDate(IborIndex,X1406,Trigger)</f>
        <v>49013</v>
      </c>
      <c r="Z1406" s="199">
        <v>2.8626778579191603E-2</v>
      </c>
      <c r="AA1406" s="201">
        <v>2.8598741268828221E-2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49018</v>
      </c>
      <c r="Y1407" s="198">
        <f>_xll.qlInterestRateIndexValueDate(IborIndex,X1407,Trigger)</f>
        <v>49020</v>
      </c>
      <c r="Z1407" s="199">
        <v>2.8621549467378694E-2</v>
      </c>
      <c r="AA1407" s="201">
        <v>2.8594391981577871E-2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49025</v>
      </c>
      <c r="Y1408" s="198">
        <f>_xll.qlInterestRateIndexValueDate(IborIndex,X1408,Trigger)</f>
        <v>49027</v>
      </c>
      <c r="Z1408" s="199">
        <v>2.8617111767581385E-2</v>
      </c>
      <c r="AA1408" s="201">
        <v>2.8590012417506472E-2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49032</v>
      </c>
      <c r="Y1409" s="198">
        <f>_xll.qlInterestRateIndexValueDate(IborIndex,X1409,Trigger)</f>
        <v>49034</v>
      </c>
      <c r="Z1409" s="199">
        <v>2.8610199940011554E-2</v>
      </c>
      <c r="AA1409" s="201">
        <v>2.8585602576773894E-2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49039</v>
      </c>
      <c r="Y1410" s="198">
        <f>_xll.qlInterestRateIndexValueDate(IborIndex,X1410,Trigger)</f>
        <v>49045</v>
      </c>
      <c r="Z1410" s="199">
        <v>2.8604750761782149E-2</v>
      </c>
      <c r="AA1410" s="201">
        <v>2.8579888293327471E-2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49046</v>
      </c>
      <c r="Y1411" s="198">
        <f>_xll.qlInterestRateIndexValueDate(IborIndex,X1411,Trigger)</f>
        <v>49048</v>
      </c>
      <c r="Z1411" s="199">
        <v>2.8603616584496814E-2</v>
      </c>
      <c r="AA1411" s="201">
        <v>2.8576692065165332E-2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49053</v>
      </c>
      <c r="Y1412" s="198">
        <f>_xll.qlInterestRateIndexValueDate(IborIndex,X1412,Trigger)</f>
        <v>49055</v>
      </c>
      <c r="Z1412" s="199">
        <v>2.8599057495689691E-2</v>
      </c>
      <c r="AA1412" s="201">
        <v>2.8572191394129476E-2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49060</v>
      </c>
      <c r="Y1413" s="198">
        <f>_xll.qlInterestRateIndexValueDate(IborIndex,X1413,Trigger)</f>
        <v>49062</v>
      </c>
      <c r="Z1413" s="199">
        <v>2.8596076030877885E-2</v>
      </c>
      <c r="AA1413" s="201">
        <v>2.8567010696498585E-2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49067</v>
      </c>
      <c r="Y1414" s="198">
        <f>_xll.qlInterestRateIndexValueDate(IborIndex,X1414,Trigger)</f>
        <v>49069</v>
      </c>
      <c r="Z1414" s="199">
        <v>2.8589848276619784E-2</v>
      </c>
      <c r="AA1414" s="201">
        <v>2.8563099221914356E-2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49074</v>
      </c>
      <c r="Y1415" s="198">
        <f>_xll.qlInterestRateIndexValueDate(IborIndex,X1415,Trigger)</f>
        <v>49076</v>
      </c>
      <c r="Z1415" s="199">
        <v>2.8585198146426617E-2</v>
      </c>
      <c r="AA1415" s="201">
        <v>2.8558507720655157E-2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49081</v>
      </c>
      <c r="Y1416" s="198">
        <f>_xll.qlInterestRateIndexValueDate(IborIndex,X1416,Trigger)</f>
        <v>49083</v>
      </c>
      <c r="Z1416" s="199">
        <v>2.858051766918213E-2</v>
      </c>
      <c r="AA1416" s="201">
        <v>2.8553885942654844E-2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49088</v>
      </c>
      <c r="Y1417" s="198">
        <f>_xll.qlInterestRateIndexValueDate(IborIndex,X1417,Trigger)</f>
        <v>49090</v>
      </c>
      <c r="Z1417" s="199">
        <v>2.8575806844919841E-2</v>
      </c>
      <c r="AA1417" s="201">
        <v>2.8548566837098832E-2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49095</v>
      </c>
      <c r="Y1418" s="198">
        <f>_xll.qlInterestRateIndexValueDate(IborIndex,X1418,Trigger)</f>
        <v>49097</v>
      </c>
      <c r="Z1418" s="199">
        <v>2.8571065673670692E-2</v>
      </c>
      <c r="AA1418" s="201">
        <v>2.8544551556430875E-2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49102</v>
      </c>
      <c r="Y1419" s="198">
        <f>_xll.qlInterestRateIndexValueDate(IborIndex,X1419,Trigger)</f>
        <v>49104</v>
      </c>
      <c r="Z1419" s="199">
        <v>2.8566294155481096E-2</v>
      </c>
      <c r="AA1419" s="201">
        <v>2.8539838948207219E-2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49109</v>
      </c>
      <c r="Y1420" s="198">
        <f>_xll.qlInterestRateIndexValueDate(IborIndex,X1420,Trigger)</f>
        <v>49111</v>
      </c>
      <c r="Z1420" s="199">
        <v>2.8561492290382001E-2</v>
      </c>
      <c r="AA1420" s="201">
        <v>2.8535096063242449E-2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49116</v>
      </c>
      <c r="Y1421" s="198">
        <f>_xll.qlInterestRateIndexValueDate(IborIndex,X1421,Trigger)</f>
        <v>49118</v>
      </c>
      <c r="Z1421" s="199">
        <v>2.8556660078412083E-2</v>
      </c>
      <c r="AA1421" s="201">
        <v>2.8530322901616501E-2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49123</v>
      </c>
      <c r="Y1422" s="198">
        <f>_xll.qlInterestRateIndexValueDate(IborIndex,X1422,Trigger)</f>
        <v>49125</v>
      </c>
      <c r="Z1422" s="199">
        <v>2.85517975196126E-2</v>
      </c>
      <c r="AA1422" s="201">
        <v>2.8525519463169502E-2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49130</v>
      </c>
      <c r="Y1423" s="198">
        <f>_xll.qlInterestRateIndexValueDate(IborIndex,X1423,Trigger)</f>
        <v>49132</v>
      </c>
      <c r="Z1423" s="199">
        <v>2.8546904614017075E-2</v>
      </c>
      <c r="AA1423" s="201">
        <v>2.8520685747981389E-2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49137</v>
      </c>
      <c r="Y1424" s="198">
        <f>_xll.qlInterestRateIndexValueDate(IborIndex,X1424,Trigger)</f>
        <v>49139</v>
      </c>
      <c r="Z1424" s="199">
        <v>2.854198136166676E-2</v>
      </c>
      <c r="AA1424" s="201">
        <v>2.8515821756052162E-2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49144</v>
      </c>
      <c r="Y1425" s="198">
        <f>_xll.qlInterestRateIndexValueDate(IborIndex,X1425,Trigger)</f>
        <v>49146</v>
      </c>
      <c r="Z1425" s="199">
        <v>2.8537027762597762E-2</v>
      </c>
      <c r="AA1425" s="201">
        <v>2.8510927487381821E-2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49151</v>
      </c>
      <c r="Y1426" s="198">
        <f>_xll.qlInterestRateIndexValueDate(IborIndex,X1426,Trigger)</f>
        <v>49153</v>
      </c>
      <c r="Z1426" s="199">
        <v>2.8532814773467863E-2</v>
      </c>
      <c r="AA1426" s="201">
        <v>2.8506002942050301E-2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49158</v>
      </c>
      <c r="Y1427" s="198">
        <f>_xll.qlInterestRateIndexValueDate(IborIndex,X1427,Trigger)</f>
        <v>49160</v>
      </c>
      <c r="Z1427" s="199">
        <v>2.8527797916395592E-2</v>
      </c>
      <c r="AA1427" s="201">
        <v>2.8501048119897732E-2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49165</v>
      </c>
      <c r="Y1428" s="198">
        <f>_xll.qlInterestRateIndexValueDate(IborIndex,X1428,Trigger)</f>
        <v>49167</v>
      </c>
      <c r="Z1428" s="199">
        <v>2.8521984885480901E-2</v>
      </c>
      <c r="AA1428" s="201">
        <v>2.8496063021004048E-2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49172</v>
      </c>
      <c r="Y1429" s="198">
        <f>_xll.qlInterestRateIndexValueDate(IborIndex,X1429,Trigger)</f>
        <v>49174</v>
      </c>
      <c r="Z1429" s="199">
        <v>2.8516909899931681E-2</v>
      </c>
      <c r="AA1429" s="201">
        <v>2.8491047645449186E-2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49179</v>
      </c>
      <c r="Y1430" s="198">
        <f>_xll.qlInterestRateIndexValueDate(IborIndex,X1430,Trigger)</f>
        <v>49181</v>
      </c>
      <c r="Z1430" s="199">
        <v>2.8511804567864903E-2</v>
      </c>
      <c r="AA1430" s="201">
        <v>2.848527871403661E-2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49186</v>
      </c>
      <c r="Y1431" s="198">
        <f>_xll.qlInterestRateIndexValueDate(IborIndex,X1431,Trigger)</f>
        <v>49188</v>
      </c>
      <c r="Z1431" s="199">
        <v>2.8506668889314087E-2</v>
      </c>
      <c r="AA1431" s="201">
        <v>2.8480926064116119E-2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49193</v>
      </c>
      <c r="Y1432" s="198">
        <f>_xll.qlInterestRateIndexValueDate(IborIndex,X1432,Trigger)</f>
        <v>49195</v>
      </c>
      <c r="Z1432" s="199">
        <v>2.8502258397915536E-2</v>
      </c>
      <c r="AA1432" s="201">
        <v>2.8475819858257978E-2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49200</v>
      </c>
      <c r="Y1433" s="198">
        <f>_xll.qlInterestRateIndexValueDate(IborIndex,X1433,Trigger)</f>
        <v>49202</v>
      </c>
      <c r="Z1433" s="199">
        <v>2.8496306492927961E-2</v>
      </c>
      <c r="AA1433" s="201">
        <v>2.8470683375898531E-2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49207</v>
      </c>
      <c r="Y1434" s="198">
        <f>_xll.qlInterestRateIndexValueDate(IborIndex,X1434,Trigger)</f>
        <v>49209</v>
      </c>
      <c r="Z1434" s="199">
        <v>2.849107977517774E-2</v>
      </c>
      <c r="AA1434" s="201">
        <v>2.8465516616558162E-2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49214</v>
      </c>
      <c r="Y1435" s="198">
        <f>_xll.qlInterestRateIndexValueDate(IborIndex,X1435,Trigger)</f>
        <v>49216</v>
      </c>
      <c r="Z1435" s="199">
        <v>2.8486570501818353E-2</v>
      </c>
      <c r="AA1435" s="201">
        <v>2.8460319580636551E-2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49221</v>
      </c>
      <c r="Y1436" s="198">
        <f>_xll.qlInterestRateIndexValueDate(IborIndex,X1436,Trigger)</f>
        <v>49223</v>
      </c>
      <c r="Z1436" s="199">
        <v>2.8480535300756383E-2</v>
      </c>
      <c r="AA1436" s="201">
        <v>2.8455092267893889E-2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49228</v>
      </c>
      <c r="Y1437" s="198">
        <f>_xll.qlInterestRateIndexValueDate(IborIndex,X1437,Trigger)</f>
        <v>49230</v>
      </c>
      <c r="Z1437" s="199">
        <v>2.8475217544172919E-2</v>
      </c>
      <c r="AA1437" s="201">
        <v>2.8449834678569985E-2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49235</v>
      </c>
      <c r="Y1438" s="198">
        <f>_xll.qlInterestRateIndexValueDate(IborIndex,X1438,Trigger)</f>
        <v>49237</v>
      </c>
      <c r="Z1438" s="199">
        <v>2.8469869441386485E-2</v>
      </c>
      <c r="AA1438" s="201">
        <v>2.8444546812425031E-2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49242</v>
      </c>
      <c r="Y1439" s="198">
        <f>_xll.qlInterestRateIndexValueDate(IborIndex,X1439,Trigger)</f>
        <v>49244</v>
      </c>
      <c r="Z1439" s="199">
        <v>2.8464490992453809E-2</v>
      </c>
      <c r="AA1439" s="201">
        <v>2.8439228669618899E-2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49249</v>
      </c>
      <c r="Y1440" s="198">
        <f>_xll.qlInterestRateIndexValueDate(IborIndex,X1440,Trigger)</f>
        <v>49251</v>
      </c>
      <c r="Z1440" s="199">
        <v>2.845908219741099E-2</v>
      </c>
      <c r="AA1440" s="201">
        <v>2.8433880250071653E-2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49256</v>
      </c>
      <c r="Y1441" s="198">
        <f>_xll.qlInterestRateIndexValueDate(IborIndex,X1441,Trigger)</f>
        <v>49261</v>
      </c>
      <c r="Z1441" s="199">
        <v>2.8450571368380473E-2</v>
      </c>
      <c r="AA1441" s="201">
        <v>2.8427730697124787E-2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49263</v>
      </c>
      <c r="Y1442" s="198">
        <f>_xll.qlInterestRateIndexValueDate(IborIndex,X1442,Trigger)</f>
        <v>49265</v>
      </c>
      <c r="Z1442" s="199">
        <v>2.8448173569149648E-2</v>
      </c>
      <c r="AA1442" s="201">
        <v>2.8423092580833753E-2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49270</v>
      </c>
      <c r="Y1443" s="198">
        <f>_xll.qlInterestRateIndexValueDate(IborIndex,X1443,Trigger)</f>
        <v>49272</v>
      </c>
      <c r="Z1443" s="199">
        <v>2.8444127608437147E-2</v>
      </c>
      <c r="AA1443" s="201">
        <v>2.8417653331223036E-2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49277</v>
      </c>
      <c r="Y1444" s="198">
        <f>_xll.qlInterestRateIndexValueDate(IborIndex,X1444,Trigger)</f>
        <v>49279</v>
      </c>
      <c r="Z1444" s="199">
        <v>2.8437867993991728E-2</v>
      </c>
      <c r="AA1444" s="201">
        <v>2.8412183804791269E-2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49284</v>
      </c>
      <c r="Y1445" s="198">
        <f>_xll.qlInterestRateIndexValueDate(IborIndex,X1445,Trigger)</f>
        <v>49286</v>
      </c>
      <c r="Z1445" s="199">
        <v>2.8431583031999112E-2</v>
      </c>
      <c r="AA1445" s="201">
        <v>2.8406684001698324E-2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49291</v>
      </c>
      <c r="Y1446" s="198">
        <f>_xll.qlInterestRateIndexValueDate(IborIndex,X1446,Trigger)</f>
        <v>49293</v>
      </c>
      <c r="Z1446" s="199">
        <v>2.8426711383101599E-2</v>
      </c>
      <c r="AA1446" s="201">
        <v>2.8401153921864264E-2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49298</v>
      </c>
      <c r="Y1447" s="198">
        <f>_xll.qlInterestRateIndexValueDate(IborIndex,X1447,Trigger)</f>
        <v>49300</v>
      </c>
      <c r="Z1447" s="199">
        <v>2.8420370944552249E-2</v>
      </c>
      <c r="AA1447" s="201">
        <v>2.8393999331024489E-2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49305</v>
      </c>
      <c r="Y1448" s="198">
        <f>_xll.qlInterestRateIndexValueDate(IborIndex,X1448,Trigger)</f>
        <v>49307</v>
      </c>
      <c r="Z1448" s="199">
        <v>2.8416147165705882E-2</v>
      </c>
      <c r="AA1448" s="201">
        <v>2.8389201798573183E-2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49312</v>
      </c>
      <c r="Y1449" s="198">
        <f>_xll.qlInterestRateIndexValueDate(IborIndex,X1449,Trigger)</f>
        <v>49314</v>
      </c>
      <c r="Z1449" s="199">
        <v>2.8409037474044361E-2</v>
      </c>
      <c r="AA1449" s="201">
        <v>2.8384382022155208E-2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49319</v>
      </c>
      <c r="Y1450" s="198">
        <f>_xll.qlInterestRateIndexValueDate(IborIndex,X1450,Trigger)</f>
        <v>49321</v>
      </c>
      <c r="Z1450" s="199">
        <v>2.8403325220249225E-2</v>
      </c>
      <c r="AA1450" s="201">
        <v>2.8378730835516564E-2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49326</v>
      </c>
      <c r="Y1451" s="198">
        <f>_xll.qlInterestRateIndexValueDate(IborIndex,X1451,Trigger)</f>
        <v>49328</v>
      </c>
      <c r="Z1451" s="199">
        <v>2.8398288764700241E-2</v>
      </c>
      <c r="AA1451" s="201">
        <v>2.8373049372136805E-2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49333</v>
      </c>
      <c r="Y1452" s="198">
        <f>_xll.qlInterestRateIndexValueDate(IborIndex,X1452,Trigger)</f>
        <v>49335</v>
      </c>
      <c r="Z1452" s="199">
        <v>2.8391809675811213E-2</v>
      </c>
      <c r="AA1452" s="201">
        <v>2.8367337632095868E-2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49340</v>
      </c>
      <c r="Y1453" s="198">
        <f>_xll.qlInterestRateIndexValueDate(IborIndex,X1453,Trigger)</f>
        <v>49342</v>
      </c>
      <c r="Z1453" s="199">
        <v>2.8383902415141105E-2</v>
      </c>
      <c r="AA1453" s="201">
        <v>2.8361595615393753E-2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49347</v>
      </c>
      <c r="Y1454" s="198">
        <f>_xll.qlInterestRateIndexValueDate(IborIndex,X1454,Trigger)</f>
        <v>49349</v>
      </c>
      <c r="Z1454" s="199">
        <v>2.8378076658169986E-2</v>
      </c>
      <c r="AA1454" s="201">
        <v>2.8355823321870588E-2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49354</v>
      </c>
      <c r="Y1455" s="198">
        <f>_xll.qlInterestRateIndexValueDate(IborIndex,X1455,Trigger)</f>
        <v>49356</v>
      </c>
      <c r="Z1455" s="199">
        <v>2.8372220562627209E-2</v>
      </c>
      <c r="AA1455" s="201">
        <v>2.8350020751846117E-2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49361</v>
      </c>
      <c r="Y1456" s="198">
        <f>_xll.qlInterestRateIndexValueDate(IborIndex,X1456,Trigger)</f>
        <v>49363</v>
      </c>
      <c r="Z1456" s="199">
        <v>2.8369107449218722E-2</v>
      </c>
      <c r="AA1456" s="201">
        <v>2.8344187904920659E-2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49368</v>
      </c>
      <c r="Y1457" s="198">
        <f>_xll.qlInterestRateIndexValueDate(IborIndex,X1457,Trigger)</f>
        <v>49370</v>
      </c>
      <c r="Z1457" s="199">
        <v>2.8362489768506596E-2</v>
      </c>
      <c r="AA1457" s="201">
        <v>2.8338324781334023E-2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49375</v>
      </c>
      <c r="Y1458" s="198">
        <f>_xll.qlInterestRateIndexValueDate(IborIndex,X1458,Trigger)</f>
        <v>49377</v>
      </c>
      <c r="Z1458" s="199">
        <v>2.8356534750920454E-2</v>
      </c>
      <c r="AA1458" s="201">
        <v>2.8332431381246082E-2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49382</v>
      </c>
      <c r="Y1459" s="198">
        <f>_xll.qlInterestRateIndexValueDate(IborIndex,X1459,Trigger)</f>
        <v>49384</v>
      </c>
      <c r="Z1459" s="199">
        <v>2.8350549388064788E-2</v>
      </c>
      <c r="AA1459" s="201">
        <v>2.8326507704337089E-2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49389</v>
      </c>
      <c r="Y1460" s="198">
        <f>_xll.qlInterestRateIndexValueDate(IborIndex,X1460,Trigger)</f>
        <v>49395</v>
      </c>
      <c r="Z1460" s="199">
        <v>2.8341082508157697E-2</v>
      </c>
      <c r="AA1460" s="201">
        <v>2.8318847060138097E-2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49396</v>
      </c>
      <c r="Y1461" s="198">
        <f>_xll.qlInterestRateIndexValueDate(IborIndex,X1461,Trigger)</f>
        <v>49398</v>
      </c>
      <c r="Z1461" s="199">
        <v>2.8338487626748596E-2</v>
      </c>
      <c r="AA1461" s="201">
        <v>2.8314569520375699E-2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49403</v>
      </c>
      <c r="Y1462" s="198">
        <f>_xll.qlInterestRateIndexValueDate(IborIndex,X1462,Trigger)</f>
        <v>49405</v>
      </c>
      <c r="Z1462" s="199">
        <v>2.8333088398796447E-2</v>
      </c>
      <c r="AA1462" s="201">
        <v>2.8308555013483172E-2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49410</v>
      </c>
      <c r="Y1463" s="198">
        <f>_xll.qlInterestRateIndexValueDate(IborIndex,X1463,Trigger)</f>
        <v>49412</v>
      </c>
      <c r="Z1463" s="199">
        <v>2.8326304484926759E-2</v>
      </c>
      <c r="AA1463" s="201">
        <v>2.8302510229849531E-2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49417</v>
      </c>
      <c r="Y1464" s="198">
        <f>_xll.qlInterestRateIndexValueDate(IborIndex,X1464,Trigger)</f>
        <v>49419</v>
      </c>
      <c r="Z1464" s="199">
        <v>2.8320167396445481E-2</v>
      </c>
      <c r="AA1464" s="201">
        <v>2.8296435169474776E-2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49424</v>
      </c>
      <c r="Y1465" s="198">
        <f>_xll.qlInterestRateIndexValueDate(IborIndex,X1465,Trigger)</f>
        <v>49426</v>
      </c>
      <c r="Z1465" s="199">
        <v>2.8314669183605867E-2</v>
      </c>
      <c r="AA1465" s="201">
        <v>2.8290329832438843E-2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49431</v>
      </c>
      <c r="Y1466" s="198">
        <f>_xll.qlInterestRateIndexValueDate(IborIndex,X1466,Trigger)</f>
        <v>49433</v>
      </c>
      <c r="Z1466" s="199">
        <v>2.8307803276660704E-2</v>
      </c>
      <c r="AA1466" s="201">
        <v>2.8283315230979156E-2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49438</v>
      </c>
      <c r="Y1467" s="198">
        <f>_xll.qlInterestRateIndexValueDate(IborIndex,X1467,Trigger)</f>
        <v>49440</v>
      </c>
      <c r="Z1467" s="199">
        <v>2.8301585169145365E-2</v>
      </c>
      <c r="AA1467" s="201">
        <v>2.8278028328383442E-2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49445</v>
      </c>
      <c r="Y1468" s="198">
        <f>_xll.qlInterestRateIndexValueDate(IborIndex,X1468,Trigger)</f>
        <v>49447</v>
      </c>
      <c r="Z1468" s="199">
        <v>2.8295356040484738E-2</v>
      </c>
      <c r="AA1468" s="201">
        <v>2.8271832161363974E-2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49452</v>
      </c>
      <c r="Y1469" s="198">
        <f>_xll.qlInterestRateIndexValueDate(IborIndex,X1469,Trigger)</f>
        <v>49454</v>
      </c>
      <c r="Z1469" s="199">
        <v>2.8289126295759495E-2</v>
      </c>
      <c r="AA1469" s="201">
        <v>2.8264714848624806E-2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49459</v>
      </c>
      <c r="Y1470" s="198">
        <f>_xll.qlInterestRateIndexValueDate(IborIndex,X1470,Trigger)</f>
        <v>49461</v>
      </c>
      <c r="Z1470" s="199">
        <v>2.8282906203522092E-2</v>
      </c>
      <c r="AA1470" s="201">
        <v>2.8259375422843291E-2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49466</v>
      </c>
      <c r="Y1471" s="198">
        <f>_xll.qlInterestRateIndexValueDate(IborIndex,X1471,Trigger)</f>
        <v>49468</v>
      </c>
      <c r="Z1471" s="199">
        <v>2.8276701522430593E-2</v>
      </c>
      <c r="AA1471" s="201">
        <v>2.8253160666293908E-2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49473</v>
      </c>
      <c r="Y1472" s="198">
        <f>_xll.qlInterestRateIndexValueDate(IborIndex,X1472,Trigger)</f>
        <v>49475</v>
      </c>
      <c r="Z1472" s="199">
        <v>2.8270512576037805E-2</v>
      </c>
      <c r="AA1472" s="201">
        <v>2.8246961604230236E-2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49480</v>
      </c>
      <c r="Y1473" s="198">
        <f>_xll.qlInterestRateIndexValueDate(IborIndex,X1473,Trigger)</f>
        <v>49482</v>
      </c>
      <c r="Z1473" s="199">
        <v>2.8264339364323088E-2</v>
      </c>
      <c r="AA1473" s="201">
        <v>2.8240778236652275E-2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49487</v>
      </c>
      <c r="Y1474" s="198">
        <f>_xll.qlInterestRateIndexValueDate(IborIndex,X1474,Trigger)</f>
        <v>49489</v>
      </c>
      <c r="Z1474" s="199">
        <v>2.8258851670706631E-2</v>
      </c>
      <c r="AA1474" s="201">
        <v>2.8234610563560025E-2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49494</v>
      </c>
      <c r="Y1475" s="198">
        <f>_xll.qlInterestRateIndexValueDate(IborIndex,X1475,Trigger)</f>
        <v>49496</v>
      </c>
      <c r="Z1475" s="199">
        <v>2.8252040144814434E-2</v>
      </c>
      <c r="AA1475" s="201">
        <v>2.8228458585113358E-2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49501</v>
      </c>
      <c r="Y1476" s="198">
        <f>_xll.qlInterestRateIndexValueDate(IborIndex,X1476,Trigger)</f>
        <v>49503</v>
      </c>
      <c r="Z1476" s="199">
        <v>2.8245914136974078E-2</v>
      </c>
      <c r="AA1476" s="201">
        <v>2.8222322301152403E-2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49508</v>
      </c>
      <c r="Y1477" s="198">
        <f>_xll.qlInterestRateIndexValueDate(IborIndex,X1477,Trigger)</f>
        <v>49510</v>
      </c>
      <c r="Z1477" s="199">
        <v>2.8239803863708654E-2</v>
      </c>
      <c r="AA1477" s="201">
        <v>2.8216201711677158E-2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49515</v>
      </c>
      <c r="Y1478" s="198">
        <f>_xll.qlInterestRateIndexValueDate(IborIndex,X1478,Trigger)</f>
        <v>49517</v>
      </c>
      <c r="Z1478" s="199">
        <v>2.8234381686532695E-2</v>
      </c>
      <c r="AA1478" s="201">
        <v>2.821009681676756E-2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49522</v>
      </c>
      <c r="Y1479" s="198">
        <f>_xll.qlInterestRateIndexValueDate(IborIndex,X1479,Trigger)</f>
        <v>49524</v>
      </c>
      <c r="Z1479" s="199">
        <v>2.822830353019945E-2</v>
      </c>
      <c r="AA1479" s="201">
        <v>2.8204007616343674E-2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49529</v>
      </c>
      <c r="Y1480" s="198">
        <f>_xll.qlInterestRateIndexValueDate(IborIndex,X1480,Trigger)</f>
        <v>49531</v>
      </c>
      <c r="Z1480" s="199">
        <v>2.8221567451117022E-2</v>
      </c>
      <c r="AA1480" s="201">
        <v>2.819793411056537E-2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49536</v>
      </c>
      <c r="Y1481" s="198">
        <f>_xll.qlInterestRateIndexValueDate(IborIndex,X1481,Trigger)</f>
        <v>49538</v>
      </c>
      <c r="Z1481" s="199">
        <v>2.8215520115908947E-2</v>
      </c>
      <c r="AA1481" s="201">
        <v>2.8191876299112906E-2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49543</v>
      </c>
      <c r="Y1482" s="198">
        <f>_xll.qlInterestRateIndexValueDate(IborIndex,X1482,Trigger)</f>
        <v>49545</v>
      </c>
      <c r="Z1482" s="199">
        <v>2.820948851515203E-2</v>
      </c>
      <c r="AA1482" s="201">
        <v>2.8184972303897382E-2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49550</v>
      </c>
      <c r="Y1483" s="198">
        <f>_xll.qlInterestRateIndexValueDate(IborIndex,X1483,Trigger)</f>
        <v>49552</v>
      </c>
      <c r="Z1483" s="199">
        <v>2.820144639189115E-2</v>
      </c>
      <c r="AA1483" s="201">
        <v>2.8179807759904918E-2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49557</v>
      </c>
      <c r="Y1484" s="198">
        <f>_xll.qlInterestRateIndexValueDate(IborIndex,X1484,Trigger)</f>
        <v>49559</v>
      </c>
      <c r="Z1484" s="199">
        <v>2.8198148785550659E-2</v>
      </c>
      <c r="AA1484" s="201">
        <v>2.8173797032149395E-2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49564</v>
      </c>
      <c r="Y1485" s="198">
        <f>_xll.qlInterestRateIndexValueDate(IborIndex,X1485,Trigger)</f>
        <v>49566</v>
      </c>
      <c r="Z1485" s="199">
        <v>2.8191488119348445E-2</v>
      </c>
      <c r="AA1485" s="201">
        <v>2.8167801998879582E-2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49571</v>
      </c>
      <c r="Y1486" s="198">
        <f>_xll.qlInterestRateIndexValueDate(IborIndex,X1486,Trigger)</f>
        <v>49573</v>
      </c>
      <c r="Z1486" s="199">
        <v>2.818551945615121E-2</v>
      </c>
      <c r="AA1486" s="201">
        <v>2.8161822660095481E-2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49578</v>
      </c>
      <c r="Y1487" s="198">
        <f>_xll.qlInterestRateIndexValueDate(IborIndex,X1487,Trigger)</f>
        <v>49580</v>
      </c>
      <c r="Z1487" s="199">
        <v>2.8180923105849007E-2</v>
      </c>
      <c r="AA1487" s="201">
        <v>2.8155859015877027E-2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49585</v>
      </c>
      <c r="Y1488" s="198">
        <f>_xll.qlInterestRateIndexValueDate(IborIndex,X1488,Trigger)</f>
        <v>49587</v>
      </c>
      <c r="Z1488" s="199">
        <v>2.8173629332731171E-2</v>
      </c>
      <c r="AA1488" s="201">
        <v>2.8149911066064348E-2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49592</v>
      </c>
      <c r="Y1489" s="198">
        <f>_xll.qlInterestRateIndexValueDate(IborIndex,X1489,Trigger)</f>
        <v>49594</v>
      </c>
      <c r="Z1489" s="199">
        <v>2.816838743359279E-2</v>
      </c>
      <c r="AA1489" s="201">
        <v>2.8143978810897252E-2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49599</v>
      </c>
      <c r="Y1490" s="198">
        <f>_xll.qlInterestRateIndexValueDate(IborIndex,X1490,Trigger)</f>
        <v>49601</v>
      </c>
      <c r="Z1490" s="199">
        <v>2.8161802146442771E-2</v>
      </c>
      <c r="AA1490" s="201">
        <v>2.8138062250135931E-2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49606</v>
      </c>
      <c r="Y1491" s="198">
        <f>_xll.qlInterestRateIndexValueDate(IborIndex,X1491,Trigger)</f>
        <v>49608</v>
      </c>
      <c r="Z1491" s="199">
        <v>2.8155912154660723E-2</v>
      </c>
      <c r="AA1491" s="201">
        <v>2.8132161383940257E-2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49613</v>
      </c>
      <c r="Y1492" s="198">
        <f>_xll.qlInterestRateIndexValueDate(IborIndex,X1492,Trigger)</f>
        <v>49615</v>
      </c>
      <c r="Z1492" s="199">
        <v>2.8150037897092608E-2</v>
      </c>
      <c r="AA1492" s="201">
        <v>2.8126276212310231E-2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49620</v>
      </c>
      <c r="Y1493" s="198">
        <f>_xll.qlInterestRateIndexValueDate(IborIndex,X1493,Trigger)</f>
        <v>49622</v>
      </c>
      <c r="Z1493" s="199">
        <v>2.8144179373707483E-2</v>
      </c>
      <c r="AA1493" s="201">
        <v>2.8120406735085979E-2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49627</v>
      </c>
      <c r="Y1494" s="198">
        <f>_xll.qlInterestRateIndexValueDate(IborIndex,X1494,Trigger)</f>
        <v>49629</v>
      </c>
      <c r="Z1494" s="199">
        <v>2.8138336584487295E-2</v>
      </c>
      <c r="AA1494" s="201">
        <v>2.8114552952427374E-2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49634</v>
      </c>
      <c r="Y1495" s="198">
        <f>_xll.qlInterestRateIndexValueDate(IborIndex,X1495,Trigger)</f>
        <v>49636</v>
      </c>
      <c r="Z1495" s="199">
        <v>2.8132509529406262E-2</v>
      </c>
      <c r="AA1495" s="201">
        <v>2.8108714864334416E-2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49641</v>
      </c>
      <c r="Y1496" s="198">
        <f>_xll.qlInterestRateIndexValueDate(IborIndex,X1496,Trigger)</f>
        <v>49643</v>
      </c>
      <c r="Z1496" s="199">
        <v>2.8126698208441173E-2</v>
      </c>
      <c r="AA1496" s="201">
        <v>2.8102892470647234E-2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49648</v>
      </c>
      <c r="Y1497" s="198">
        <f>_xll.qlInterestRateIndexValueDate(IborIndex,X1497,Trigger)</f>
        <v>49650</v>
      </c>
      <c r="Z1497" s="199">
        <v>2.8120902621568824E-2</v>
      </c>
      <c r="AA1497" s="201">
        <v>2.8097085771525698E-2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49655</v>
      </c>
      <c r="Y1498" s="198">
        <f>_xll.qlInterestRateIndexValueDate(IborIndex,X1498,Trigger)</f>
        <v>49657</v>
      </c>
      <c r="Z1498" s="199">
        <v>2.8115122768760846E-2</v>
      </c>
      <c r="AA1498" s="201">
        <v>2.809129476696981E-2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49662</v>
      </c>
      <c r="Y1499" s="198">
        <f>_xll.qlInterestRateIndexValueDate(IborIndex,X1499,Trigger)</f>
        <v>49664</v>
      </c>
      <c r="Z1499" s="199">
        <v>2.8110044895359731E-2</v>
      </c>
      <c r="AA1499" s="201">
        <v>2.808387225092801E-2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49670</v>
      </c>
      <c r="Y1500" s="198">
        <f>_xll.qlInterestRateIndexValueDate(IborIndex,X1500,Trigger)</f>
        <v>49674</v>
      </c>
      <c r="Z1500" s="199">
        <v>2.8101151488336661E-2</v>
      </c>
      <c r="AA1500" s="201">
        <v>2.8078117119436641E-2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49677</v>
      </c>
      <c r="Y1501" s="198">
        <f>_xll.qlInterestRateIndexValueDate(IborIndex,X1501,Trigger)</f>
        <v>49681</v>
      </c>
      <c r="Z1501" s="199">
        <v>2.8095425580730537E-2</v>
      </c>
      <c r="AA1501" s="201">
        <v>2.8073196641091869E-2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49684</v>
      </c>
      <c r="Y1502" s="198">
        <f>_xll.qlInterestRateIndexValueDate(IborIndex,X1502,Trigger)</f>
        <v>49688</v>
      </c>
      <c r="Z1502" s="199">
        <v>2.8089715407093381E-2</v>
      </c>
      <c r="AA1502" s="201">
        <v>2.8067470656525373E-2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49691</v>
      </c>
      <c r="Y1503" s="198">
        <f>_xll.qlInterestRateIndexValueDate(IborIndex,X1503,Trigger)</f>
        <v>49696</v>
      </c>
      <c r="Z1503" s="199">
        <v>2.8083208760411288E-2</v>
      </c>
      <c r="AA1503" s="201">
        <v>2.8060945892036671E-2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49698</v>
      </c>
      <c r="Y1504" s="198">
        <f>_xll.qlInterestRateIndexValueDate(IborIndex,X1504,Trigger)</f>
        <v>49702</v>
      </c>
      <c r="Z1504" s="199">
        <v>2.8078342261617668E-2</v>
      </c>
      <c r="AA1504" s="201">
        <v>2.8056065771009386E-2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49705</v>
      </c>
      <c r="Y1505" s="198">
        <f>_xll.qlInterestRateIndexValueDate(IborIndex,X1505,Trigger)</f>
        <v>49709</v>
      </c>
      <c r="Z1505" s="199">
        <v>2.8071298368890371E-2</v>
      </c>
      <c r="AA1505" s="201">
        <v>2.8050386870139832E-2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49712</v>
      </c>
      <c r="Y1506" s="198">
        <f>_xll.qlInterestRateIndexValueDate(IborIndex,X1506,Trigger)</f>
        <v>49716</v>
      </c>
      <c r="Z1506" s="199">
        <v>2.8065649763083827E-2</v>
      </c>
      <c r="AA1506" s="201">
        <v>2.804472366351618E-2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49719</v>
      </c>
      <c r="Y1507" s="198">
        <f>_xll.qlInterestRateIndexValueDate(IborIndex,X1507,Trigger)</f>
        <v>49724</v>
      </c>
      <c r="Z1507" s="199">
        <v>2.8059213476314068E-2</v>
      </c>
      <c r="AA1507" s="201">
        <v>2.8038270645316388E-2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49726</v>
      </c>
      <c r="Y1508" s="198">
        <f>_xll.qlInterestRateIndexValueDate(IborIndex,X1508,Trigger)</f>
        <v>49730</v>
      </c>
      <c r="Z1508" s="199">
        <v>2.8054399745126617E-2</v>
      </c>
      <c r="AA1508" s="201">
        <v>2.8033444333965818E-2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49733</v>
      </c>
      <c r="Y1509" s="198">
        <f>_xll.qlInterestRateIndexValueDate(IborIndex,X1509,Trigger)</f>
        <v>49737</v>
      </c>
      <c r="Z1509" s="199">
        <v>2.8050184740709218E-2</v>
      </c>
      <c r="AA1509" s="201">
        <v>2.8027828211039107E-2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49740</v>
      </c>
      <c r="Y1510" s="198">
        <f>_xll.qlInterestRateIndexValueDate(IborIndex,X1510,Trigger)</f>
        <v>49744</v>
      </c>
      <c r="Z1510" s="199">
        <v>2.8044600437965125E-2</v>
      </c>
      <c r="AA1510" s="201">
        <v>2.8022227782518172E-2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49747</v>
      </c>
      <c r="Y1511" s="198">
        <f>_xll.qlInterestRateIndexValueDate(IborIndex,X1511,Trigger)</f>
        <v>49751</v>
      </c>
      <c r="Z1511" s="199">
        <v>2.8039031868978558E-2</v>
      </c>
      <c r="AA1511" s="201">
        <v>2.8016643048403012E-2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49754</v>
      </c>
      <c r="Y1512" s="198">
        <f>_xll.qlInterestRateIndexValueDate(IborIndex,X1512,Trigger)</f>
        <v>49758</v>
      </c>
      <c r="Z1512" s="199">
        <v>2.8033479033731459E-2</v>
      </c>
      <c r="AA1512" s="201">
        <v>2.8011074008933434E-2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49761</v>
      </c>
      <c r="Y1513" s="198">
        <f>_xll.qlInterestRateIndexValueDate(IborIndex,X1513,Trigger)</f>
        <v>49765</v>
      </c>
      <c r="Z1513" s="199">
        <v>2.8027245912773502E-2</v>
      </c>
      <c r="AA1513" s="201">
        <v>2.8005520663949568E-2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49768</v>
      </c>
      <c r="Y1514" s="198">
        <f>_xll.qlInterestRateIndexValueDate(IborIndex,X1514,Trigger)</f>
        <v>49772</v>
      </c>
      <c r="Z1514" s="199">
        <v>2.802172385048074E-2</v>
      </c>
      <c r="AA1514" s="201">
        <v>2.7999983013371477E-2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49775</v>
      </c>
      <c r="Y1515" s="198">
        <f>_xll.qlInterestRateIndexValueDate(IborIndex,X1515,Trigger)</f>
        <v>49781</v>
      </c>
      <c r="Z1515" s="199">
        <v>2.8014647173044693E-2</v>
      </c>
      <c r="AA1515" s="201">
        <v>2.7994276021345854E-2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49782</v>
      </c>
      <c r="Y1516" s="198">
        <f>_xll.qlInterestRateIndexValueDate(IborIndex,X1516,Trigger)</f>
        <v>49786</v>
      </c>
      <c r="Z1516" s="199">
        <v>2.8010726922965468E-2</v>
      </c>
      <c r="AA1516" s="201">
        <v>2.7988954795912235E-2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49789</v>
      </c>
      <c r="Y1517" s="198">
        <f>_xll.qlInterestRateIndexValueDate(IborIndex,X1517,Trigger)</f>
        <v>49793</v>
      </c>
      <c r="Z1517" s="199">
        <v>2.800525205769766E-2</v>
      </c>
      <c r="AA1517" s="201">
        <v>2.7983464228711341E-2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49796</v>
      </c>
      <c r="Y1518" s="198">
        <f>_xll.qlInterestRateIndexValueDate(IborIndex,X1518,Trigger)</f>
        <v>49801</v>
      </c>
      <c r="Z1518" s="199">
        <v>2.7999713937642036E-2</v>
      </c>
      <c r="AA1518" s="201">
        <v>2.7977208512766083E-2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49803</v>
      </c>
      <c r="Y1519" s="198">
        <f>_xll.qlInterestRateIndexValueDate(IborIndex,X1519,Trigger)</f>
        <v>49807</v>
      </c>
      <c r="Z1519" s="199">
        <v>2.7995049729729236E-2</v>
      </c>
      <c r="AA1519" s="201">
        <v>2.7972530178166366E-2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49810</v>
      </c>
      <c r="Y1520" s="198">
        <f>_xll.qlInterestRateIndexValueDate(IborIndex,X1520,Trigger)</f>
        <v>49814</v>
      </c>
      <c r="Z1520" s="199">
        <v>2.7989622763572773E-2</v>
      </c>
      <c r="AA1520" s="201">
        <v>2.7967086694502541E-2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49817</v>
      </c>
      <c r="Y1521" s="198">
        <f>_xll.qlInterestRateIndexValueDate(IborIndex,X1521,Trigger)</f>
        <v>49822</v>
      </c>
      <c r="Z1521" s="199">
        <v>2.7983439782083393E-2</v>
      </c>
      <c r="AA1521" s="201">
        <v>2.7960884788233997E-2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49824</v>
      </c>
      <c r="Y1522" s="198">
        <f>_xll.qlInterestRateIndexValueDate(IborIndex,X1522,Trigger)</f>
        <v>49828</v>
      </c>
      <c r="Z1522" s="199">
        <v>2.797811371542025E-2</v>
      </c>
      <c r="AA1522" s="201">
        <v>2.7956246811031704E-2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49831</v>
      </c>
      <c r="Y1523" s="198">
        <f>_xll.qlInterestRateIndexValueDate(IborIndex,X1523,Trigger)</f>
        <v>49835</v>
      </c>
      <c r="Z1523" s="199">
        <v>2.7972733243626813E-2</v>
      </c>
      <c r="AA1523" s="201">
        <v>2.7950850410825012E-2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49838</v>
      </c>
      <c r="Y1524" s="198">
        <f>_xll.qlInterestRateIndexValueDate(IborIndex,X1524,Trigger)</f>
        <v>49842</v>
      </c>
      <c r="Z1524" s="199">
        <v>2.7967368504003609E-2</v>
      </c>
      <c r="AA1524" s="201">
        <v>2.7945469705263903E-2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49845</v>
      </c>
      <c r="Y1525" s="198">
        <f>_xll.qlInterestRateIndexValueDate(IborIndex,X1525,Trigger)</f>
        <v>49849</v>
      </c>
      <c r="Z1525" s="199">
        <v>2.7962019496531987E-2</v>
      </c>
      <c r="AA1525" s="201">
        <v>2.7940104694028634E-2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49852</v>
      </c>
      <c r="Y1526" s="198">
        <f>_xll.qlInterestRateIndexValueDate(IborIndex,X1526,Trigger)</f>
        <v>49856</v>
      </c>
      <c r="Z1526" s="199">
        <v>2.7957391370106319E-2</v>
      </c>
      <c r="AA1526" s="201">
        <v>2.7934755377438947E-2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49859</v>
      </c>
      <c r="Y1527" s="198">
        <f>_xll.qlInterestRateIndexValueDate(IborIndex,X1527,Trigger)</f>
        <v>49863</v>
      </c>
      <c r="Z1527" s="199">
        <v>2.7952074538238642E-2</v>
      </c>
      <c r="AA1527" s="201">
        <v>2.7929421755255035E-2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49866</v>
      </c>
      <c r="Y1528" s="198">
        <f>_xll.qlInterestRateIndexValueDate(IborIndex,X1528,Trigger)</f>
        <v>49870</v>
      </c>
      <c r="Z1528" s="199">
        <v>2.7946773439759747E-2</v>
      </c>
      <c r="AA1528" s="201">
        <v>2.792410382763677E-2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49873</v>
      </c>
      <c r="Y1529" s="198">
        <f>_xll.qlInterestRateIndexValueDate(IborIndex,X1529,Trigger)</f>
        <v>49877</v>
      </c>
      <c r="Z1529" s="199">
        <v>2.7941488074643858E-2</v>
      </c>
      <c r="AA1529" s="201">
        <v>2.7918801594504217E-2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49880</v>
      </c>
      <c r="Y1530" s="198">
        <f>_xll.qlInterestRateIndexValueDate(IborIndex,X1530,Trigger)</f>
        <v>49884</v>
      </c>
      <c r="Z1530" s="199">
        <v>2.7936218442865177E-2</v>
      </c>
      <c r="AA1530" s="201">
        <v>2.7913515055857374E-2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49887</v>
      </c>
      <c r="Y1531" s="198">
        <f>_xll.qlInterestRateIndexValueDate(IborIndex,X1531,Trigger)</f>
        <v>49891</v>
      </c>
      <c r="Z1531" s="199">
        <v>2.793096454440824E-2</v>
      </c>
      <c r="AA1531" s="201">
        <v>2.790824421153637E-2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49894</v>
      </c>
      <c r="Y1532" s="198">
        <f>_xll.qlInterestRateIndexValueDate(IborIndex,X1532,Trigger)</f>
        <v>49898</v>
      </c>
      <c r="Z1532" s="199">
        <v>2.7925726379249838E-2</v>
      </c>
      <c r="AA1532" s="201">
        <v>2.790298906186095E-2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49901</v>
      </c>
      <c r="Y1533" s="198">
        <f>_xll.qlInterestRateIndexValueDate(IborIndex,X1533,Trigger)</f>
        <v>49905</v>
      </c>
      <c r="Z1533" s="199">
        <v>2.7920503947369342E-2</v>
      </c>
      <c r="AA1533" s="201">
        <v>2.7897749606591304E-2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49908</v>
      </c>
      <c r="Y1534" s="198">
        <f>_xll.qlInterestRateIndexValueDate(IborIndex,X1534,Trigger)</f>
        <v>49913</v>
      </c>
      <c r="Z1534" s="199">
        <v>2.7914554719002626E-2</v>
      </c>
      <c r="AA1534" s="201">
        <v>2.7891780875561878E-2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49915</v>
      </c>
      <c r="Y1535" s="198">
        <f>_xll.qlInterestRateIndexValueDate(IborIndex,X1535,Trigger)</f>
        <v>49920</v>
      </c>
      <c r="Z1535" s="199">
        <v>2.7908654300136782E-2</v>
      </c>
      <c r="AA1535" s="201">
        <v>2.7886575051310203E-2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49922</v>
      </c>
      <c r="Y1536" s="198">
        <f>_xll.qlInterestRateIndexValueDate(IborIndex,X1536,Trigger)</f>
        <v>49926</v>
      </c>
      <c r="Z1536" s="199">
        <v>2.790421873029203E-2</v>
      </c>
      <c r="AA1536" s="201">
        <v>2.7882125407696634E-2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49929</v>
      </c>
      <c r="Y1537" s="198">
        <f>_xll.qlInterestRateIndexValueDate(IborIndex,X1537,Trigger)</f>
        <v>49933</v>
      </c>
      <c r="Z1537" s="199">
        <v>2.789905850700336E-2</v>
      </c>
      <c r="AA1537" s="201">
        <v>2.7876948730449769E-2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49936</v>
      </c>
      <c r="Y1538" s="198">
        <f>_xll.qlInterestRateIndexValueDate(IborIndex,X1538,Trigger)</f>
        <v>49940</v>
      </c>
      <c r="Z1538" s="199">
        <v>2.789391401559449E-2</v>
      </c>
      <c r="AA1538" s="201">
        <v>2.7871787747608678E-2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49943</v>
      </c>
      <c r="Y1539" s="198">
        <f>_xll.qlInterestRateIndexValueDate(IborIndex,X1539,Trigger)</f>
        <v>49947</v>
      </c>
      <c r="Z1539" s="199">
        <v>2.7888785256049431E-2</v>
      </c>
      <c r="AA1539" s="201">
        <v>2.7866642459333235E-2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49950</v>
      </c>
      <c r="Y1540" s="198">
        <f>_xll.qlInterestRateIndexValueDate(IborIndex,X1540,Trigger)</f>
        <v>49954</v>
      </c>
      <c r="Z1540" s="199">
        <v>2.7884387454197714E-2</v>
      </c>
      <c r="AA1540" s="201">
        <v>2.7861512865383631E-2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49957</v>
      </c>
      <c r="Y1541" s="198">
        <f>_xll.qlInterestRateIndexValueDate(IborIndex,X1541,Trigger)</f>
        <v>49962</v>
      </c>
      <c r="Z1541" s="199">
        <v>2.787856409119558E-2</v>
      </c>
      <c r="AA1541" s="201">
        <v>2.7855669690000084E-2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49964</v>
      </c>
      <c r="Y1542" s="198">
        <f>_xll.qlInterestRateIndexValueDate(IborIndex,X1542,Trigger)</f>
        <v>49968</v>
      </c>
      <c r="Z1542" s="199">
        <v>2.7874210054443793E-2</v>
      </c>
      <c r="AA1542" s="201">
        <v>2.7851300761021491E-2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49971</v>
      </c>
      <c r="Y1543" s="198">
        <f>_xll.qlInterestRateIndexValueDate(IborIndex,X1543,Trigger)</f>
        <v>49975</v>
      </c>
      <c r="Z1543" s="199">
        <v>2.7869862479146523E-2</v>
      </c>
      <c r="AA1543" s="201">
        <v>2.7846218250608956E-2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49978</v>
      </c>
      <c r="Y1544" s="198">
        <f>_xll.qlInterestRateIndexValueDate(IborIndex,X1544,Trigger)</f>
        <v>49982</v>
      </c>
      <c r="Z1544" s="199">
        <v>2.7863377435553893E-2</v>
      </c>
      <c r="AA1544" s="201">
        <v>2.7841151434602196E-2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49985</v>
      </c>
      <c r="Y1545" s="198">
        <f>_xll.qlInterestRateIndexValueDate(IborIndex,X1545,Trigger)</f>
        <v>49989</v>
      </c>
      <c r="Z1545" s="199">
        <v>2.7858343066757385E-2</v>
      </c>
      <c r="AA1545" s="201">
        <v>2.7836100313081147E-2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49992</v>
      </c>
      <c r="Y1546" s="198">
        <f>_xll.qlInterestRateIndexValueDate(IborIndex,X1546,Trigger)</f>
        <v>49996</v>
      </c>
      <c r="Z1546" s="199">
        <v>2.7853324429686133E-2</v>
      </c>
      <c r="AA1546" s="201">
        <v>2.7831064886045809E-2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49999</v>
      </c>
      <c r="Y1547" s="198">
        <f>_xll.qlInterestRateIndexValueDate(IborIndex,X1547,Trigger)</f>
        <v>50003</v>
      </c>
      <c r="Z1547" s="199">
        <v>2.784832152431882E-2</v>
      </c>
      <c r="AA1547" s="201">
        <v>2.7826045153576118E-2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50006</v>
      </c>
      <c r="Y1548" s="198">
        <f>_xll.qlInterestRateIndexValueDate(IborIndex,X1548,Trigger)</f>
        <v>50010</v>
      </c>
      <c r="Z1548" s="199">
        <v>2.7844776653367376E-2</v>
      </c>
      <c r="AA1548" s="201">
        <v>2.7821041115432266E-2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50013</v>
      </c>
      <c r="Y1549" s="198">
        <f>_xll.qlInterestRateIndexValueDate(IborIndex,X1549,Trigger)</f>
        <v>50017</v>
      </c>
      <c r="Z1549" s="199">
        <v>2.7839084745903311E-2</v>
      </c>
      <c r="AA1549" s="201">
        <v>2.7816052771854061E-2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50020</v>
      </c>
      <c r="Y1550" s="198">
        <f>_xll.qlInterestRateIndexValueDate(IborIndex,X1550,Trigger)</f>
        <v>50024</v>
      </c>
      <c r="Z1550" s="199">
        <v>2.783412977655236E-2</v>
      </c>
      <c r="AA1550" s="201">
        <v>2.7811080122681631E-2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50027</v>
      </c>
      <c r="Y1551" s="198">
        <f>_xll.qlInterestRateIndexValueDate(IborIndex,X1551,Trigger)</f>
        <v>50031</v>
      </c>
      <c r="Z1551" s="199">
        <v>2.7829190540102838E-2</v>
      </c>
      <c r="AA1551" s="201">
        <v>2.7809005440511569E-2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50038</v>
      </c>
      <c r="Y1552" s="198">
        <f>_xll.qlInterestRateIndexValueDate(IborIndex,X1552,Trigger)</f>
        <v>50040</v>
      </c>
      <c r="Z1552" s="199">
        <v>2.7822138934052276E-2</v>
      </c>
      <c r="AA1552" s="201">
        <v>2.7797662045152549E-2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50045</v>
      </c>
      <c r="Y1553" s="198">
        <f>_xll.qlInterestRateIndexValueDate(IborIndex,X1553,Trigger)</f>
        <v>50047</v>
      </c>
      <c r="Z1553" s="199">
        <v>2.7819410304954093E-2</v>
      </c>
      <c r="AA1553" s="201">
        <v>2.7796296226174633E-2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50052</v>
      </c>
      <c r="Y1554" s="198">
        <f>_xll.qlInterestRateIndexValueDate(IborIndex,X1554,Trigger)</f>
        <v>50054</v>
      </c>
      <c r="Z1554" s="199">
        <v>2.7815250350176721E-2</v>
      </c>
      <c r="AA1554" s="201">
        <v>2.7791392324036934E-2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50059</v>
      </c>
      <c r="Y1555" s="198">
        <f>_xll.qlInterestRateIndexValueDate(IborIndex,X1555,Trigger)</f>
        <v>50061</v>
      </c>
      <c r="Z1555" s="199">
        <v>2.7809653941787037E-2</v>
      </c>
      <c r="AA1555" s="201">
        <v>2.7786504118916255E-2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50066</v>
      </c>
      <c r="Y1556" s="198">
        <f>_xll.qlInterestRateIndexValueDate(IborIndex,X1556,Trigger)</f>
        <v>50068</v>
      </c>
      <c r="Z1556" s="199">
        <v>2.7802617240036298E-2</v>
      </c>
      <c r="AA1556" s="201">
        <v>2.7781631610865887E-2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50073</v>
      </c>
      <c r="Y1557" s="198">
        <f>_xll.qlInterestRateIndexValueDate(IborIndex,X1557,Trigger)</f>
        <v>50075</v>
      </c>
      <c r="Z1557" s="199">
        <v>2.7796320440744982E-2</v>
      </c>
      <c r="AA1557" s="201">
        <v>2.7776774799752602E-2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50080</v>
      </c>
      <c r="Y1558" s="198">
        <f>_xll.qlInterestRateIndexValueDate(IborIndex,X1558,Trigger)</f>
        <v>50082</v>
      </c>
      <c r="Z1558" s="199">
        <v>2.7791493574752364E-2</v>
      </c>
      <c r="AA1558" s="201">
        <v>2.7771933685736272E-2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50087</v>
      </c>
      <c r="Y1559" s="198">
        <f>_xll.qlInterestRateIndexValueDate(IborIndex,X1559,Trigger)</f>
        <v>50089</v>
      </c>
      <c r="Z1559" s="199">
        <v>2.7786682437675063E-2</v>
      </c>
      <c r="AA1559" s="201">
        <v>2.7767108268683671E-2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50094</v>
      </c>
      <c r="Y1560" s="198">
        <f>_xll.qlInterestRateIndexValueDate(IborIndex,X1560,Trigger)</f>
        <v>50096</v>
      </c>
      <c r="Z1560" s="199">
        <v>2.7781887029493087E-2</v>
      </c>
      <c r="AA1560" s="201">
        <v>2.7762298548674735E-2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50101</v>
      </c>
      <c r="Y1561" s="198">
        <f>_xll.qlInterestRateIndexValueDate(IborIndex,X1561,Trigger)</f>
        <v>50103</v>
      </c>
      <c r="Z1561" s="199">
        <v>2.7781493859237744E-2</v>
      </c>
      <c r="AA1561" s="201">
        <v>2.7757504525682819E-2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50108</v>
      </c>
      <c r="Y1562" s="198">
        <f>_xll.qlInterestRateIndexValueDate(IborIndex,X1562,Trigger)</f>
        <v>50110</v>
      </c>
      <c r="Z1562" s="199">
        <v>2.7776002333339343E-2</v>
      </c>
      <c r="AA1562" s="201">
        <v>2.7752726199681277E-2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50115</v>
      </c>
      <c r="Y1563" s="198">
        <f>_xll.qlInterestRateIndexValueDate(IborIndex,X1563,Trigger)</f>
        <v>50117</v>
      </c>
      <c r="Z1563" s="199">
        <v>2.7771257901718437E-2</v>
      </c>
      <c r="AA1563" s="201">
        <v>2.77479635707234E-2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50122</v>
      </c>
      <c r="Y1564" s="198">
        <f>_xll.qlInterestRateIndexValueDate(IborIndex,X1564,Trigger)</f>
        <v>50124</v>
      </c>
      <c r="Z1564" s="199">
        <v>2.7766529205282806E-2</v>
      </c>
      <c r="AA1564" s="201">
        <v>2.7743216638702606E-2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50129</v>
      </c>
      <c r="Y1565" s="198">
        <f>_xll.qlInterestRateIndexValueDate(IborIndex,X1565,Trigger)</f>
        <v>50131</v>
      </c>
      <c r="Z1565" s="199">
        <v>2.7759613719632981E-2</v>
      </c>
      <c r="AA1565" s="201">
        <v>2.7734325728481224E-2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50137</v>
      </c>
      <c r="Y1566" s="198">
        <f>_xll.qlInterestRateIndexValueDate(IborIndex,X1566,Trigger)</f>
        <v>50139</v>
      </c>
      <c r="Z1566" s="199">
        <v>2.7755714113911478E-2</v>
      </c>
      <c r="AA1566" s="201">
        <v>2.7730289265956998E-2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50144</v>
      </c>
      <c r="Y1567" s="198">
        <f>_xll.qlInterestRateIndexValueDate(IborIndex,X1567,Trigger)</f>
        <v>50146</v>
      </c>
      <c r="Z1567" s="199">
        <v>2.7751034107231787E-2</v>
      </c>
      <c r="AA1567" s="201">
        <v>2.7725594632954653E-2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50151</v>
      </c>
      <c r="Y1568" s="198">
        <f>_xll.qlInterestRateIndexValueDate(IborIndex,X1568,Trigger)</f>
        <v>50153</v>
      </c>
      <c r="Z1568" s="199">
        <v>2.7747106518999264E-2</v>
      </c>
      <c r="AA1568" s="201">
        <v>2.7720915694517956E-2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50158</v>
      </c>
      <c r="Y1569" s="198">
        <f>_xll.qlInterestRateIndexValueDate(IborIndex,X1569,Trigger)</f>
        <v>50160</v>
      </c>
      <c r="Z1569" s="199">
        <v>2.7739509608780036E-2</v>
      </c>
      <c r="AA1569" s="201">
        <v>2.7715587554029142E-2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50165</v>
      </c>
      <c r="Y1570" s="198">
        <f>_xll.qlInterestRateIndexValueDate(IborIndex,X1570,Trigger)</f>
        <v>50167</v>
      </c>
      <c r="Z1570" s="199">
        <v>2.7737088490133177E-2</v>
      </c>
      <c r="AA1570" s="201">
        <v>2.7711604901021758E-2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50172</v>
      </c>
      <c r="Y1571" s="198">
        <f>_xll.qlInterestRateIndexValueDate(IborIndex,X1571,Trigger)</f>
        <v>50174</v>
      </c>
      <c r="Z1571" s="199">
        <v>2.7732471418680515E-2</v>
      </c>
      <c r="AA1571" s="201">
        <v>2.7706973045962258E-2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50179</v>
      </c>
      <c r="Y1572" s="198">
        <f>_xll.qlInterestRateIndexValueDate(IborIndex,X1572,Trigger)</f>
        <v>50181</v>
      </c>
      <c r="Z1572" s="199">
        <v>2.7727870080987149E-2</v>
      </c>
      <c r="AA1572" s="201">
        <v>2.7701698714990286E-2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50186</v>
      </c>
      <c r="Y1573" s="198">
        <f>_xll.qlInterestRateIndexValueDate(IborIndex,X1573,Trigger)</f>
        <v>50188</v>
      </c>
      <c r="Z1573" s="199">
        <v>2.7723284477033094E-2</v>
      </c>
      <c r="AA1573" s="201">
        <v>2.7697756419140518E-2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50193</v>
      </c>
      <c r="Y1574" s="198">
        <f>_xll.qlInterestRateIndexValueDate(IborIndex,X1574,Trigger)</f>
        <v>50195</v>
      </c>
      <c r="Z1574" s="199">
        <v>2.7718714606803363E-2</v>
      </c>
      <c r="AA1574" s="201">
        <v>2.7693171647458215E-2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50200</v>
      </c>
      <c r="Y1575" s="198">
        <f>_xll.qlInterestRateIndexValueDate(IborIndex,X1575,Trigger)</f>
        <v>50202</v>
      </c>
      <c r="Z1575" s="199">
        <v>2.7714160470272975E-2</v>
      </c>
      <c r="AA1575" s="201">
        <v>2.7688602570261622E-2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50207</v>
      </c>
      <c r="Y1576" s="198">
        <f>_xll.qlInterestRateIndexValueDate(IborIndex,X1576,Trigger)</f>
        <v>50209</v>
      </c>
      <c r="Z1576" s="199">
        <v>2.7709622067424444E-2</v>
      </c>
      <c r="AA1576" s="201">
        <v>2.7684049187470805E-2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50214</v>
      </c>
      <c r="Y1577" s="198">
        <f>_xll.qlInterestRateIndexValueDate(IborIndex,X1577,Trigger)</f>
        <v>50216</v>
      </c>
      <c r="Z1577" s="199">
        <v>2.7705099398237787E-2</v>
      </c>
      <c r="AA1577" s="201">
        <v>2.7679511499165699E-2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50221</v>
      </c>
      <c r="Y1578" s="198">
        <f>_xll.qlInterestRateIndexValueDate(IborIndex,X1578,Trigger)</f>
        <v>50223</v>
      </c>
      <c r="Z1578" s="199">
        <v>2.7700592462695517E-2</v>
      </c>
      <c r="AA1578" s="201">
        <v>2.7674989505186431E-2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50228</v>
      </c>
      <c r="Y1579" s="198">
        <f>_xll.qlInterestRateIndexValueDate(IborIndex,X1579,Trigger)</f>
        <v>50230</v>
      </c>
      <c r="Z1579" s="199">
        <v>2.7696101260780148E-2</v>
      </c>
      <c r="AA1579" s="201">
        <v>2.7670483205772811E-2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50235</v>
      </c>
      <c r="Y1580" s="198">
        <f>_xll.qlInterestRateIndexValueDate(IborIndex,X1580,Trigger)</f>
        <v>50237</v>
      </c>
      <c r="Z1580" s="199">
        <v>2.7691625792469199E-2</v>
      </c>
      <c r="AA1580" s="201">
        <v>2.7665992600844902E-2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50242</v>
      </c>
      <c r="Y1581" s="198">
        <f>_xll.qlInterestRateIndexValueDate(IborIndex,X1581,Trigger)</f>
        <v>50244</v>
      </c>
      <c r="Z1581" s="199">
        <v>2.7687166057750179E-2</v>
      </c>
      <c r="AA1581" s="201">
        <v>2.7661517690242832E-2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50249</v>
      </c>
      <c r="Y1582" s="198">
        <f>_xll.qlInterestRateIndexValueDate(IborIndex,X1582,Trigger)</f>
        <v>50251</v>
      </c>
      <c r="Z1582" s="199">
        <v>2.7680480157770058E-2</v>
      </c>
      <c r="AA1582" s="201">
        <v>2.7657058474206409E-2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50256</v>
      </c>
      <c r="Y1583" s="198">
        <f>_xll.qlInterestRateIndexValueDate(IborIndex,X1583,Trigger)</f>
        <v>50258</v>
      </c>
      <c r="Z1583" s="199">
        <v>2.7679042098305701E-2</v>
      </c>
      <c r="AA1583" s="201">
        <v>2.765261495257576E-2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50263</v>
      </c>
      <c r="Y1584" s="198">
        <f>_xll.qlInterestRateIndexValueDate(IborIndex,X1584,Trigger)</f>
        <v>50265</v>
      </c>
      <c r="Z1584" s="199">
        <v>2.7673881254929866E-2</v>
      </c>
      <c r="AA1584" s="201">
        <v>2.7648187125430823E-2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50270</v>
      </c>
      <c r="Y1585" s="198">
        <f>_xll.qlInterestRateIndexValueDate(IborIndex,X1585,Trigger)</f>
        <v>50272</v>
      </c>
      <c r="Z1585" s="199">
        <v>2.7669484454371229E-2</v>
      </c>
      <c r="AA1585" s="201">
        <v>2.7643774992611725E-2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50277</v>
      </c>
      <c r="Y1586" s="198">
        <f>_xll.qlInterestRateIndexValueDate(IborIndex,X1586,Trigger)</f>
        <v>50279</v>
      </c>
      <c r="Z1586" s="199">
        <v>2.7665103387309598E-2</v>
      </c>
      <c r="AA1586" s="201">
        <v>2.7638751772931514E-2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50284</v>
      </c>
      <c r="Y1587" s="198">
        <f>_xll.qlInterestRateIndexValueDate(IborIndex,X1587,Trigger)</f>
        <v>50286</v>
      </c>
      <c r="Z1587" s="199">
        <v>2.7660738053727485E-2</v>
      </c>
      <c r="AA1587" s="201">
        <v>2.7634997810590534E-2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50291</v>
      </c>
      <c r="Y1588" s="198">
        <f>_xll.qlInterestRateIndexValueDate(IborIndex,X1588,Trigger)</f>
        <v>50293</v>
      </c>
      <c r="Z1588" s="199">
        <v>2.7657140700957879E-2</v>
      </c>
      <c r="AA1588" s="201">
        <v>2.7630632761148632E-2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50298</v>
      </c>
      <c r="Y1589" s="198">
        <f>_xll.qlInterestRateIndexValueDate(IborIndex,X1589,Trigger)</f>
        <v>50300</v>
      </c>
      <c r="Z1589" s="199">
        <v>2.7652054586916885E-2</v>
      </c>
      <c r="AA1589" s="201">
        <v>2.7626283406192442E-2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50305</v>
      </c>
      <c r="Y1590" s="198">
        <f>_xll.qlInterestRateIndexValueDate(IborIndex,X1590,Trigger)</f>
        <v>50307</v>
      </c>
      <c r="Z1590" s="199">
        <v>2.7647736453655924E-2</v>
      </c>
      <c r="AA1590" s="201">
        <v>2.7621949745721963E-2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50312</v>
      </c>
      <c r="Y1591" s="198">
        <f>_xll.qlInterestRateIndexValueDate(IborIndex,X1591,Trigger)</f>
        <v>50314</v>
      </c>
      <c r="Z1591" s="199">
        <v>2.7643434053797045E-2</v>
      </c>
      <c r="AA1591" s="201">
        <v>2.7617631779657259E-2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50319</v>
      </c>
      <c r="Y1592" s="198">
        <f>_xll.qlInterestRateIndexValueDate(IborIndex,X1592,Trigger)</f>
        <v>50321</v>
      </c>
      <c r="Z1592" s="199">
        <v>2.7639147387325258E-2</v>
      </c>
      <c r="AA1592" s="201">
        <v>2.7613329508078266E-2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50326</v>
      </c>
      <c r="Y1593" s="198">
        <f>_xll.qlInterestRateIndexValueDate(IborIndex,X1593,Trigger)</f>
        <v>50328</v>
      </c>
      <c r="Z1593" s="199">
        <v>2.7634876454225576E-2</v>
      </c>
      <c r="AA1593" s="201">
        <v>2.7609042930905048E-2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50333</v>
      </c>
      <c r="Y1594" s="198">
        <f>_xll.qlInterestRateIndexValueDate(IborIndex,X1594,Trigger)</f>
        <v>50335</v>
      </c>
      <c r="Z1594" s="199">
        <v>2.7630621254470522E-2</v>
      </c>
      <c r="AA1594" s="201">
        <v>2.7604772048217541E-2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50340</v>
      </c>
      <c r="Y1595" s="198">
        <f>_xll.qlInterestRateIndexValueDate(IborIndex,X1595,Trigger)</f>
        <v>50342</v>
      </c>
      <c r="Z1595" s="199">
        <v>2.7626381788050103E-2</v>
      </c>
      <c r="AA1595" s="201">
        <v>2.7600516860015745E-2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50347</v>
      </c>
      <c r="Y1596" s="198">
        <f>_xll.qlInterestRateIndexValueDate(IborIndex,X1596,Trigger)</f>
        <v>50349</v>
      </c>
      <c r="Z1596" s="199">
        <v>2.7622158054944335E-2</v>
      </c>
      <c r="AA1596" s="201">
        <v>2.7596277366139788E-2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50354</v>
      </c>
      <c r="Y1597" s="198">
        <f>_xll.qlInterestRateIndexValueDate(IborIndex,X1597,Trigger)</f>
        <v>50356</v>
      </c>
      <c r="Z1597" s="199">
        <v>2.7617950055133234E-2</v>
      </c>
      <c r="AA1597" s="201">
        <v>2.7592053566749541E-2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50361</v>
      </c>
      <c r="Y1598" s="198">
        <f>_xll.qlInterestRateIndexValueDate(IborIndex,X1598,Trigger)</f>
        <v>50363</v>
      </c>
      <c r="Z1598" s="199">
        <v>2.7613757788606808E-2</v>
      </c>
      <c r="AA1598" s="201">
        <v>2.7587845461845006E-2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50368</v>
      </c>
      <c r="Y1599" s="198">
        <f>_xll.qlInterestRateIndexValueDate(IborIndex,X1599,Trigger)</f>
        <v>50371</v>
      </c>
      <c r="Z1599" s="199">
        <v>2.7608985892076388E-2</v>
      </c>
      <c r="AA1599" s="201">
        <v>2.7583055416684488E-2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50375</v>
      </c>
      <c r="Y1600" s="198">
        <f>_xll.qlInterestRateIndexValueDate(IborIndex,X1600,Trigger)</f>
        <v>50377</v>
      </c>
      <c r="Z1600" s="199">
        <v>2.7605420455318053E-2</v>
      </c>
      <c r="AA1600" s="201">
        <v>2.7579476335173325E-2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50382</v>
      </c>
      <c r="Y1601" s="198">
        <f>_xll.qlInterestRateIndexValueDate(IborIndex,X1601,Trigger)</f>
        <v>50384</v>
      </c>
      <c r="Z1601" s="199">
        <v>2.7601275388520752E-2</v>
      </c>
      <c r="AA1601" s="201">
        <v>2.7575315313645987E-2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50389</v>
      </c>
      <c r="Y1602" s="198">
        <f>_xll.qlInterestRateIndexValueDate(IborIndex,X1602,Trigger)</f>
        <v>50391</v>
      </c>
      <c r="Z1602" s="199">
        <v>2.7597909495933531E-2</v>
      </c>
      <c r="AA1602" s="201">
        <v>2.7571169986364552E-2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50396</v>
      </c>
      <c r="Y1603" s="198">
        <f>_xll.qlInterestRateIndexValueDate(IborIndex,X1603,Trigger)</f>
        <v>50398</v>
      </c>
      <c r="Z1603" s="199">
        <v>2.7593032454542865E-2</v>
      </c>
      <c r="AA1603" s="201">
        <v>2.7565863341241226E-2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50403</v>
      </c>
      <c r="Y1604" s="198">
        <f>_xll.qlInterestRateIndexValueDate(IborIndex,X1604,Trigger)</f>
        <v>50405</v>
      </c>
      <c r="Z1604" s="199">
        <v>2.7586640104916252E-2</v>
      </c>
      <c r="AA1604" s="201">
        <v>2.7562339991149543E-2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50410</v>
      </c>
      <c r="Y1605" s="198">
        <f>_xll.qlInterestRateIndexValueDate(IborIndex,X1605,Trigger)</f>
        <v>50412</v>
      </c>
      <c r="Z1605" s="199">
        <v>2.7584852453266528E-2</v>
      </c>
      <c r="AA1605" s="201">
        <v>2.7558828171514449E-2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50417</v>
      </c>
      <c r="Y1606" s="198">
        <f>_xll.qlInterestRateIndexValueDate(IborIndex,X1606,Trigger)</f>
        <v>50419</v>
      </c>
      <c r="Z1606" s="199">
        <v>2.7581552736609571E-2</v>
      </c>
      <c r="AA1606" s="201">
        <v>2.7554745622095922E-2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50424</v>
      </c>
      <c r="Y1607" s="198">
        <f>_xll.qlInterestRateIndexValueDate(IborIndex,X1607,Trigger)</f>
        <v>50426</v>
      </c>
      <c r="Z1607" s="199">
        <v>2.7576735384554352E-2</v>
      </c>
      <c r="AA1607" s="201">
        <v>2.7550678767163106E-2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50431</v>
      </c>
      <c r="Y1608" s="198">
        <f>_xll.qlInterestRateIndexValueDate(IborIndex,X1608,Trigger)</f>
        <v>50433</v>
      </c>
      <c r="Z1608" s="199">
        <v>2.7570396211394937E-2</v>
      </c>
      <c r="AA1608" s="201">
        <v>2.7546627606556129E-2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50438</v>
      </c>
      <c r="Y1609" s="198">
        <f>_xll.qlInterestRateIndexValueDate(IborIndex,X1609,Trigger)</f>
        <v>50440</v>
      </c>
      <c r="Z1609" s="199">
        <v>2.7565605899941517E-2</v>
      </c>
      <c r="AA1609" s="201">
        <v>2.7542592140434863E-2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50445</v>
      </c>
      <c r="Y1610" s="198">
        <f>_xll.qlInterestRateIndexValueDate(IborIndex,X1610,Trigger)</f>
        <v>50447</v>
      </c>
      <c r="Z1610" s="199">
        <v>2.756159916224275E-2</v>
      </c>
      <c r="AA1610" s="201">
        <v>2.7538572368799308E-2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50452</v>
      </c>
      <c r="Y1611" s="198">
        <f>_xll.qlInterestRateIndexValueDate(IborIndex,X1611,Trigger)</f>
        <v>50454</v>
      </c>
      <c r="Z1611" s="199">
        <v>2.7557608152617111E-2</v>
      </c>
      <c r="AA1611" s="201">
        <v>2.7534568291489592E-2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50459</v>
      </c>
      <c r="Y1612" s="198">
        <f>_xll.qlInterestRateIndexValueDate(IborIndex,X1612,Trigger)</f>
        <v>50461</v>
      </c>
      <c r="Z1612" s="199">
        <v>2.7553632871047475E-2</v>
      </c>
      <c r="AA1612" s="201">
        <v>2.7530579908665587E-2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50466</v>
      </c>
      <c r="Y1613" s="198">
        <f>_xll.qlInterestRateIndexValueDate(IborIndex,X1613,Trigger)</f>
        <v>50468</v>
      </c>
      <c r="Z1613" s="199">
        <v>2.7552761772448864E-2</v>
      </c>
      <c r="AA1613" s="201">
        <v>2.7526607220327293E-2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50473</v>
      </c>
      <c r="Y1614" s="198">
        <f>_xll.qlInterestRateIndexValueDate(IborIndex,X1614,Trigger)</f>
        <v>50475</v>
      </c>
      <c r="Z1614" s="199">
        <v>2.7548821236049181E-2</v>
      </c>
      <c r="AA1614" s="201">
        <v>2.7522650226394774E-2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50480</v>
      </c>
      <c r="Y1615" s="198">
        <f>_xll.qlInterestRateIndexValueDate(IborIndex,X1615,Trigger)</f>
        <v>50482</v>
      </c>
      <c r="Z1615" s="199">
        <v>2.7544896432644406E-2</v>
      </c>
      <c r="AA1615" s="201">
        <v>2.751870892686803E-2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50487</v>
      </c>
      <c r="Y1616" s="198">
        <f>_xll.qlInterestRateIndexValueDate(IborIndex,X1616,Trigger)</f>
        <v>50489</v>
      </c>
      <c r="Z1616" s="199">
        <v>2.7541762241947963E-2</v>
      </c>
      <c r="AA1616" s="201">
        <v>2.7514783321747061E-2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50494</v>
      </c>
      <c r="Y1617" s="198">
        <f>_xll.qlInterestRateIndexValueDate(IborIndex,X1617,Trigger)</f>
        <v>50496</v>
      </c>
      <c r="Z1617" s="199">
        <v>2.7537869730863595E-2</v>
      </c>
      <c r="AA1617" s="201">
        <v>2.7510873411111803E-2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50501</v>
      </c>
      <c r="Y1618" s="198">
        <f>_xll.qlInterestRateIndexValueDate(IborIndex,X1618,Trigger)</f>
        <v>50503</v>
      </c>
      <c r="Z1618" s="199">
        <v>2.7533216420202178E-2</v>
      </c>
      <c r="AA1618" s="201">
        <v>2.7506979194962256E-2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50508</v>
      </c>
      <c r="Y1619" s="198">
        <f>_xll.qlInterestRateIndexValueDate(IborIndex,X1619,Trigger)</f>
        <v>50510</v>
      </c>
      <c r="Z1619" s="199">
        <v>2.7529354548592178E-2</v>
      </c>
      <c r="AA1619" s="201">
        <v>2.7503100673058611E-2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50515</v>
      </c>
      <c r="Y1620" s="198">
        <f>_xll.qlInterestRateIndexValueDate(IborIndex,X1620,Trigger)</f>
        <v>50517</v>
      </c>
      <c r="Z1620" s="199">
        <v>2.7525508409892152E-2</v>
      </c>
      <c r="AA1620" s="201">
        <v>2.7498137063455275E-2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50522</v>
      </c>
      <c r="Y1621" s="198">
        <f>_xll.qlInterestRateIndexValueDate(IborIndex,X1621,Trigger)</f>
        <v>50524</v>
      </c>
      <c r="Z1621" s="199">
        <v>2.7519341645479325E-2</v>
      </c>
      <c r="AA1621" s="201">
        <v>2.7494842403550379E-2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50529</v>
      </c>
      <c r="Y1622" s="198">
        <f>_xll.qlInterestRateIndexValueDate(IborIndex,X1622,Trigger)</f>
        <v>50531</v>
      </c>
      <c r="Z1622" s="199">
        <v>2.7517863331152081E-2</v>
      </c>
      <c r="AA1622" s="201">
        <v>2.7491559274421817E-2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50536</v>
      </c>
      <c r="Y1623" s="198">
        <f>_xll.qlInterestRateIndexValueDate(IborIndex,X1623,Trigger)</f>
        <v>50538</v>
      </c>
      <c r="Z1623" s="199">
        <v>2.751406439108206E-2</v>
      </c>
      <c r="AA1623" s="201">
        <v>2.7487743530221209E-2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50543</v>
      </c>
      <c r="Y1624" s="198">
        <f>_xll.qlInterestRateIndexValueDate(IborIndex,X1624,Trigger)</f>
        <v>50545</v>
      </c>
      <c r="Z1624" s="199">
        <v>2.7510281183854568E-2</v>
      </c>
      <c r="AA1624" s="201">
        <v>2.7483943480586248E-2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50550</v>
      </c>
      <c r="Y1625" s="198">
        <f>_xll.qlInterestRateIndexValueDate(IborIndex,X1625,Trigger)</f>
        <v>50552</v>
      </c>
      <c r="Z1625" s="199">
        <v>2.7506513709459612E-2</v>
      </c>
      <c r="AA1625" s="201">
        <v>2.7479619784385179E-2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50557</v>
      </c>
      <c r="Y1626" s="198">
        <f>_xll.qlInterestRateIndexValueDate(IborIndex,X1626,Trigger)</f>
        <v>50559</v>
      </c>
      <c r="Z1626" s="199">
        <v>2.7503545167400553E-2</v>
      </c>
      <c r="AA1626" s="201">
        <v>2.7476390464613587E-2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50564</v>
      </c>
      <c r="Y1627" s="198">
        <f>_xll.qlInterestRateIndexValueDate(IborIndex,X1627,Trigger)</f>
        <v>50566</v>
      </c>
      <c r="Z1627" s="199">
        <v>2.7499025959089873E-2</v>
      </c>
      <c r="AA1627" s="201">
        <v>2.7472637498195951E-2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50571</v>
      </c>
      <c r="Y1628" s="198">
        <f>_xll.qlInterestRateIndexValueDate(IborIndex,X1628,Trigger)</f>
        <v>50573</v>
      </c>
      <c r="Z1628" s="199">
        <v>2.7495305683082616E-2</v>
      </c>
      <c r="AA1628" s="201">
        <v>2.7468900226343962E-2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50578</v>
      </c>
      <c r="Y1629" s="198">
        <f>_xll.qlInterestRateIndexValueDate(IborIndex,X1629,Trigger)</f>
        <v>50580</v>
      </c>
      <c r="Z1629" s="199">
        <v>2.7491601139845445E-2</v>
      </c>
      <c r="AA1629" s="201">
        <v>2.7465178648817812E-2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50585</v>
      </c>
      <c r="Y1630" s="198">
        <f>_xll.qlInterestRateIndexValueDate(IborIndex,X1630,Trigger)</f>
        <v>50587</v>
      </c>
      <c r="Z1630" s="199">
        <v>2.7487912329358377E-2</v>
      </c>
      <c r="AA1630" s="201">
        <v>2.7461472765777373E-2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50592</v>
      </c>
      <c r="Y1631" s="198">
        <f>_xll.qlInterestRateIndexValueDate(IborIndex,X1631,Trigger)</f>
        <v>50594</v>
      </c>
      <c r="Z1631" s="199">
        <v>2.7484239251606424E-2</v>
      </c>
      <c r="AA1631" s="201">
        <v>2.7457782577062773E-2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50599</v>
      </c>
      <c r="Y1632" s="198">
        <f>_xll.qlInterestRateIndexValueDate(IborIndex,X1632,Trigger)</f>
        <v>50601</v>
      </c>
      <c r="Z1632" s="199">
        <v>2.7480581906574597E-2</v>
      </c>
      <c r="AA1632" s="201">
        <v>2.7454108082833883E-2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50606</v>
      </c>
      <c r="Y1633" s="198">
        <f>_xll.qlInterestRateIndexValueDate(IborIndex,X1633,Trigger)</f>
        <v>50608</v>
      </c>
      <c r="Z1633" s="199">
        <v>2.7476940294247909E-2</v>
      </c>
      <c r="AA1633" s="201">
        <v>2.7450449283090705E-2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50613</v>
      </c>
      <c r="Y1634" s="198">
        <f>_xll.qlInterestRateIndexValueDate(IborIndex,X1634,Trigger)</f>
        <v>50615</v>
      </c>
      <c r="Z1634" s="199">
        <v>2.7474104359148658E-2</v>
      </c>
      <c r="AA1634" s="201">
        <v>2.7446806177673366E-2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50620</v>
      </c>
      <c r="Y1635" s="198">
        <f>_xll.qlInterestRateIndexValueDate(IborIndex,X1635,Trigger)</f>
        <v>50622</v>
      </c>
      <c r="Z1635" s="199">
        <v>2.7470495060870223E-2</v>
      </c>
      <c r="AA1635" s="201">
        <v>2.7443178766741738E-2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50627</v>
      </c>
      <c r="Y1636" s="198">
        <f>_xll.qlInterestRateIndexValueDate(IborIndex,X1636,Trigger)</f>
        <v>50629</v>
      </c>
      <c r="Z1636" s="199">
        <v>2.7466109853343801E-2</v>
      </c>
      <c r="AA1636" s="201">
        <v>2.7439567050135949E-2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50634</v>
      </c>
      <c r="Y1637" s="198">
        <f>_xll.qlInterestRateIndexValueDate(IborIndex,X1637,Trigger)</f>
        <v>50636</v>
      </c>
      <c r="Z1637" s="199">
        <v>2.7462531171682791E-2</v>
      </c>
      <c r="AA1637" s="201">
        <v>2.7435971027935935E-2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50641</v>
      </c>
      <c r="Y1638" s="198">
        <f>_xll.qlInterestRateIndexValueDate(IborIndex,X1638,Trigger)</f>
        <v>50643</v>
      </c>
      <c r="Z1638" s="199">
        <v>2.7458968222654478E-2</v>
      </c>
      <c r="AA1638" s="201">
        <v>2.7431880506094686E-2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50648</v>
      </c>
      <c r="Y1639" s="198">
        <f>_xll.qlInterestRateIndexValueDate(IborIndex,X1639,Trigger)</f>
        <v>50650</v>
      </c>
      <c r="Z1639" s="199">
        <v>2.7455421006233882E-2</v>
      </c>
      <c r="AA1639" s="201">
        <v>2.7428826067072976E-2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50655</v>
      </c>
      <c r="Y1640" s="198">
        <f>_xll.qlInterestRateIndexValueDate(IborIndex,X1640,Trigger)</f>
        <v>50657</v>
      </c>
      <c r="Z1640" s="199">
        <v>2.7452684577568706E-2</v>
      </c>
      <c r="AA1640" s="201">
        <v>2.7425277128250158E-2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50662</v>
      </c>
      <c r="Y1641" s="198">
        <f>_xll.qlInterestRateIndexValueDate(IborIndex,X1641,Trigger)</f>
        <v>50664</v>
      </c>
      <c r="Z1641" s="199">
        <v>2.7448373771185863E-2</v>
      </c>
      <c r="AA1641" s="201">
        <v>2.742174388375318E-2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50669</v>
      </c>
      <c r="Y1642" s="198">
        <f>_xll.qlInterestRateIndexValueDate(IborIndex,X1642,Trigger)</f>
        <v>50671</v>
      </c>
      <c r="Z1642" s="199">
        <v>2.7444873752520971E-2</v>
      </c>
      <c r="AA1642" s="201">
        <v>2.7418226333741913E-2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50676</v>
      </c>
      <c r="Y1643" s="198">
        <f>_xll.qlInterestRateIndexValueDate(IborIndex,X1643,Trigger)</f>
        <v>50678</v>
      </c>
      <c r="Z1643" s="199">
        <v>2.7438997319415414E-2</v>
      </c>
      <c r="AA1643" s="201">
        <v>2.7414724478056485E-2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50683</v>
      </c>
      <c r="Y1644" s="198">
        <f>_xll.qlInterestRateIndexValueDate(IborIndex,X1644,Trigger)</f>
        <v>50685</v>
      </c>
      <c r="Z1644" s="199">
        <v>2.7437920912849467E-2</v>
      </c>
      <c r="AA1644" s="201">
        <v>2.7411238316936704E-2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50690</v>
      </c>
      <c r="Y1645" s="198">
        <f>_xll.qlInterestRateIndexValueDate(IborIndex,X1645,Trigger)</f>
        <v>50692</v>
      </c>
      <c r="Z1645" s="199">
        <v>2.7434468091807884E-2</v>
      </c>
      <c r="AA1645" s="201">
        <v>2.7407767850222697E-2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50697</v>
      </c>
      <c r="Y1646" s="198">
        <f>_xll.qlInterestRateIndexValueDate(IborIndex,X1646,Trigger)</f>
        <v>50699</v>
      </c>
      <c r="Z1646" s="199">
        <v>2.7431031003281592E-2</v>
      </c>
      <c r="AA1646" s="201">
        <v>2.740431307783453E-2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50704</v>
      </c>
      <c r="Y1647" s="198">
        <f>_xll.qlInterestRateIndexValueDate(IborIndex,X1647,Trigger)</f>
        <v>50706</v>
      </c>
      <c r="Z1647" s="199">
        <v>2.7427609647248108E-2</v>
      </c>
      <c r="AA1647" s="201">
        <v>2.7400873999932074E-2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50711</v>
      </c>
      <c r="Y1648" s="198">
        <f>_xll.qlInterestRateIndexValueDate(IborIndex,X1648,Trigger)</f>
        <v>50713</v>
      </c>
      <c r="Z1648" s="199">
        <v>2.7424204023699938E-2</v>
      </c>
      <c r="AA1648" s="201">
        <v>2.7397450616435393E-2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50718</v>
      </c>
      <c r="Y1649" s="198">
        <f>_xll.qlInterestRateIndexValueDate(IborIndex,X1649,Trigger)</f>
        <v>50721</v>
      </c>
      <c r="Z1649" s="199">
        <v>2.7419528342119154E-2</v>
      </c>
      <c r="AA1649" s="201">
        <v>2.7393557395729573E-2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50725</v>
      </c>
      <c r="Y1650" s="198">
        <f>_xll.qlInterestRateIndexValueDate(IborIndex,X1650,Trigger)</f>
        <v>50727</v>
      </c>
      <c r="Z1650" s="199">
        <v>2.7417439973994595E-2</v>
      </c>
      <c r="AA1650" s="201">
        <v>2.7390650932579419E-2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50732</v>
      </c>
      <c r="Y1651" s="198">
        <f>_xll.qlInterestRateIndexValueDate(IborIndex,X1651,Trigger)</f>
        <v>50735</v>
      </c>
      <c r="Z1651" s="199">
        <v>2.7414407720764575E-2</v>
      </c>
      <c r="AA1651" s="201">
        <v>2.7386793584938118E-2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50739</v>
      </c>
      <c r="Y1652" s="198">
        <f>_xll.qlInterestRateIndexValueDate(IborIndex,X1652,Trigger)</f>
        <v>50741</v>
      </c>
      <c r="Z1652" s="199">
        <v>2.7411544263341886E-2</v>
      </c>
      <c r="AA1652" s="201">
        <v>2.7383914026426481E-2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50746</v>
      </c>
      <c r="Y1653" s="198">
        <f>_xll.qlInterestRateIndexValueDate(IborIndex,X1653,Trigger)</f>
        <v>50748</v>
      </c>
      <c r="Z1653" s="199">
        <v>2.7407411892701738E-2</v>
      </c>
      <c r="AA1653" s="201">
        <v>2.7380569115118547E-2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50753</v>
      </c>
      <c r="Y1654" s="198">
        <f>_xll.qlInterestRateIndexValueDate(IborIndex,X1654,Trigger)</f>
        <v>50755</v>
      </c>
      <c r="Z1654" s="199">
        <v>2.7404907815926034E-2</v>
      </c>
      <c r="AA1654" s="201">
        <v>2.737723989797658E-2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50760</v>
      </c>
      <c r="Y1655" s="198">
        <f>_xll.qlInterestRateIndexValueDate(IborIndex,X1655,Trigger)</f>
        <v>50762</v>
      </c>
      <c r="Z1655" s="199">
        <v>2.7400805167190068E-2</v>
      </c>
      <c r="AA1655" s="201">
        <v>2.7372982537352541E-2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50768</v>
      </c>
      <c r="Y1656" s="198">
        <f>_xll.qlInterestRateIndexValueDate(IborIndex,X1656,Trigger)</f>
        <v>50774</v>
      </c>
      <c r="Z1656" s="199">
        <v>2.7394382945528418E-2</v>
      </c>
      <c r="AA1656" s="201">
        <v>2.7369219996753458E-2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50775</v>
      </c>
      <c r="Y1657" s="198">
        <f>_xll.qlInterestRateIndexValueDate(IborIndex,X1657,Trigger)</f>
        <v>50777</v>
      </c>
      <c r="Z1657" s="199">
        <v>2.7392986588890358E-2</v>
      </c>
      <c r="AA1657" s="201">
        <v>2.7366878818462226E-2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50782</v>
      </c>
      <c r="Y1658" s="198">
        <f>_xll.qlInterestRateIndexValueDate(IborIndex,X1658,Trigger)</f>
        <v>50784</v>
      </c>
      <c r="Z1658" s="199">
        <v>2.7389739659904034E-2</v>
      </c>
      <c r="AA1658" s="201">
        <v>2.7363614621149779E-2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50789</v>
      </c>
      <c r="Y1659" s="198">
        <f>_xll.qlInterestRateIndexValueDate(IborIndex,X1659,Trigger)</f>
        <v>50791</v>
      </c>
      <c r="Z1659" s="199">
        <v>2.7387319993474879E-2</v>
      </c>
      <c r="AA1659" s="201">
        <v>2.7360366118323043E-2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50796</v>
      </c>
      <c r="Y1660" s="198">
        <f>_xll.qlInterestRateIndexValueDate(IborIndex,X1660,Trigger)</f>
        <v>50798</v>
      </c>
      <c r="Z1660" s="199">
        <v>2.7383292995233559E-2</v>
      </c>
      <c r="AA1660" s="201">
        <v>2.735713330974221E-2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50803</v>
      </c>
      <c r="Y1661" s="198">
        <f>_xll.qlInterestRateIndexValueDate(IborIndex,X1661,Trigger)</f>
        <v>50805</v>
      </c>
      <c r="Z1661" s="199">
        <v>2.7377654136106093E-2</v>
      </c>
      <c r="AA1661" s="201">
        <v>2.7353916195647088E-2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50810</v>
      </c>
      <c r="Y1662" s="198">
        <f>_xll.qlInterestRateIndexValueDate(IborIndex,X1662,Trigger)</f>
        <v>50812</v>
      </c>
      <c r="Z1662" s="199">
        <v>2.7374467486810224E-2</v>
      </c>
      <c r="AA1662" s="201">
        <v>2.7350714775957741E-2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50817</v>
      </c>
      <c r="Y1663" s="198">
        <f>_xll.qlInterestRateIndexValueDate(IborIndex,X1663,Trigger)</f>
        <v>50819</v>
      </c>
      <c r="Z1663" s="199">
        <v>2.7371296564905175E-2</v>
      </c>
      <c r="AA1663" s="201">
        <v>2.7347529050754105E-2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50824</v>
      </c>
      <c r="Y1664" s="198">
        <f>_xll.qlInterestRateIndexValueDate(IborIndex,X1664,Trigger)</f>
        <v>50826</v>
      </c>
      <c r="Z1664" s="199">
        <v>2.7368141370370962E-2</v>
      </c>
      <c r="AA1664" s="201">
        <v>2.7344359019956244E-2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50831</v>
      </c>
      <c r="Y1665" s="198">
        <f>_xll.qlInterestRateIndexValueDate(IborIndex,X1665,Trigger)</f>
        <v>50833</v>
      </c>
      <c r="Z1665" s="199">
        <v>2.7367451627199443E-2</v>
      </c>
      <c r="AA1665" s="201">
        <v>2.7341204683564158E-2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50838</v>
      </c>
      <c r="Y1666" s="198">
        <f>_xll.qlInterestRateIndexValueDate(IborIndex,X1666,Trigger)</f>
        <v>50840</v>
      </c>
      <c r="Z1666" s="199">
        <v>2.7365148259715921E-2</v>
      </c>
      <c r="AA1666" s="201">
        <v>2.733806604149791E-2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50845</v>
      </c>
      <c r="Y1667" s="198">
        <f>_xll.qlInterestRateIndexValueDate(IborIndex,X1667,Trigger)</f>
        <v>50847</v>
      </c>
      <c r="Z1667" s="199">
        <v>2.7361225197169811E-2</v>
      </c>
      <c r="AA1667" s="201">
        <v>2.7334943093837438E-2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50852</v>
      </c>
      <c r="Y1668" s="198">
        <f>_xll.qlInterestRateIndexValueDate(IborIndex,X1668,Trigger)</f>
        <v>50854</v>
      </c>
      <c r="Z1668" s="199">
        <v>2.73581355786475E-2</v>
      </c>
      <c r="AA1668" s="201">
        <v>2.7331835840582741E-2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50859</v>
      </c>
      <c r="Y1669" s="198">
        <f>_xll.qlInterestRateIndexValueDate(IborIndex,X1669,Trigger)</f>
        <v>50861</v>
      </c>
      <c r="Z1669" s="199">
        <v>2.735588207169154E-2</v>
      </c>
      <c r="AA1669" s="201">
        <v>2.7328744281813755E-2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50866</v>
      </c>
      <c r="Y1670" s="198">
        <f>_xll.qlInterestRateIndexValueDate(IborIndex,X1670,Trigger)</f>
        <v>50872</v>
      </c>
      <c r="Z1670" s="199">
        <v>2.7349441423774046E-2</v>
      </c>
      <c r="AA1670" s="201">
        <v>2.7324792481646654E-2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50873</v>
      </c>
      <c r="Y1671" s="198">
        <f>_xll.qlInterestRateIndexValueDate(IborIndex,X1671,Trigger)</f>
        <v>50875</v>
      </c>
      <c r="Z1671" s="199">
        <v>2.734896110888296E-2</v>
      </c>
      <c r="AA1671" s="201">
        <v>2.7322608247493108E-2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50880</v>
      </c>
      <c r="Y1672" s="198">
        <f>_xll.qlInterestRateIndexValueDate(IborIndex,X1672,Trigger)</f>
        <v>50882</v>
      </c>
      <c r="Z1672" s="199">
        <v>2.7345934414189376E-2</v>
      </c>
      <c r="AA1672" s="201">
        <v>2.731956377186151E-2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50887</v>
      </c>
      <c r="Y1673" s="198">
        <f>_xll.qlInterestRateIndexValueDate(IborIndex,X1673,Trigger)</f>
        <v>50889</v>
      </c>
      <c r="Z1673" s="199">
        <v>2.7343747404832697E-2</v>
      </c>
      <c r="AA1673" s="201">
        <v>2.7316103588841401E-2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50894</v>
      </c>
      <c r="Y1674" s="198">
        <f>_xll.qlInterestRateIndexValueDate(IborIndex,X1674,Trigger)</f>
        <v>50896</v>
      </c>
      <c r="Z1674" s="199">
        <v>2.7339928217570607E-2</v>
      </c>
      <c r="AA1674" s="201">
        <v>2.7313521903975513E-2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50901</v>
      </c>
      <c r="Y1675" s="198">
        <f>_xll.qlInterestRateIndexValueDate(IborIndex,X1675,Trigger)</f>
        <v>50903</v>
      </c>
      <c r="Z1675" s="199">
        <v>2.733694871561964E-2</v>
      </c>
      <c r="AA1675" s="201">
        <v>2.7310524511561241E-2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50908</v>
      </c>
      <c r="Y1676" s="198">
        <f>_xll.qlInterestRateIndexValueDate(IborIndex,X1676,Trigger)</f>
        <v>50910</v>
      </c>
      <c r="Z1676" s="199">
        <v>2.7333984944556231E-2</v>
      </c>
      <c r="AA1676" s="201">
        <v>2.7307542813712615E-2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50915</v>
      </c>
      <c r="Y1677" s="198">
        <f>_xll.qlInterestRateIndexValueDate(IborIndex,X1677,Trigger)</f>
        <v>50917</v>
      </c>
      <c r="Z1677" s="199">
        <v>2.7331036904375227E-2</v>
      </c>
      <c r="AA1677" s="201">
        <v>2.7304154376421863E-2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50922</v>
      </c>
      <c r="Y1678" s="198">
        <f>_xll.qlInterestRateIndexValueDate(IborIndex,X1678,Trigger)</f>
        <v>50924</v>
      </c>
      <c r="Z1678" s="199">
        <v>2.7328933044129533E-2</v>
      </c>
      <c r="AA1678" s="201">
        <v>2.7301626500992882E-2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50929</v>
      </c>
      <c r="Y1679" s="198">
        <f>_xll.qlInterestRateIndexValueDate(IborIndex,X1679,Trigger)</f>
        <v>50931</v>
      </c>
      <c r="Z1679" s="199">
        <v>2.732518801660112E-2</v>
      </c>
      <c r="AA1679" s="201">
        <v>2.7298691886201709E-2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50936</v>
      </c>
      <c r="Y1680" s="198">
        <f>_xll.qlInterestRateIndexValueDate(IborIndex,X1680,Trigger)</f>
        <v>50938</v>
      </c>
      <c r="Z1680" s="199">
        <v>2.7322287168982232E-2</v>
      </c>
      <c r="AA1680" s="201">
        <v>2.7295772965816312E-2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50943</v>
      </c>
      <c r="Y1681" s="198">
        <f>_xll.qlInterestRateIndexValueDate(IborIndex,X1681,Trigger)</f>
        <v>50945</v>
      </c>
      <c r="Z1681" s="199">
        <v>2.7319402052191598E-2</v>
      </c>
      <c r="AA1681" s="201">
        <v>2.7292869739916625E-2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50950</v>
      </c>
      <c r="Y1682" s="198">
        <f>_xll.qlInterestRateIndexValueDate(IborIndex,X1682,Trigger)</f>
        <v>50952</v>
      </c>
      <c r="Z1682" s="199">
        <v>2.7316532666224056E-2</v>
      </c>
      <c r="AA1682" s="201">
        <v>2.7289982208342778E-2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50957</v>
      </c>
      <c r="Y1683" s="198">
        <f>_xll.qlInterestRateIndexValueDate(IborIndex,X1683,Trigger)</f>
        <v>50959</v>
      </c>
      <c r="Z1683" s="199">
        <v>2.7313679011064143E-2</v>
      </c>
      <c r="AA1683" s="201">
        <v>2.7287110371334578E-2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50964</v>
      </c>
      <c r="Y1684" s="198">
        <f>_xll.qlInterestRateIndexValueDate(IborIndex,X1684,Trigger)</f>
        <v>50966</v>
      </c>
      <c r="Z1684" s="199">
        <v>2.7310841086698959E-2</v>
      </c>
      <c r="AA1684" s="201">
        <v>2.7284254228492344E-2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50971</v>
      </c>
      <c r="Y1685" s="198">
        <f>_xll.qlInterestRateIndexValueDate(IborIndex,X1685,Trigger)</f>
        <v>50973</v>
      </c>
      <c r="Z1685" s="199">
        <v>2.730801889311819E-2</v>
      </c>
      <c r="AA1685" s="201">
        <v>2.7281413780215757E-2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50978</v>
      </c>
      <c r="Y1686" s="198">
        <f>_xll.qlInterestRateIndexValueDate(IborIndex,X1686,Trigger)</f>
        <v>50980</v>
      </c>
      <c r="Z1686" s="199">
        <v>2.730688396689309E-2</v>
      </c>
      <c r="AA1686" s="201">
        <v>2.727858902626501E-2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50985</v>
      </c>
      <c r="Y1687" s="198">
        <f>_xll.qlInterestRateIndexValueDate(IborIndex,X1687,Trigger)</f>
        <v>50987</v>
      </c>
      <c r="Z1687" s="199">
        <v>2.7303258314277379E-2</v>
      </c>
      <c r="AA1687" s="201">
        <v>2.7275779966720037E-2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50992</v>
      </c>
      <c r="Y1688" s="198">
        <f>_xll.qlInterestRateIndexValueDate(IborIndex,X1688,Trigger)</f>
        <v>50994</v>
      </c>
      <c r="Z1688" s="199">
        <v>2.7299646696966356E-2</v>
      </c>
      <c r="AA1688" s="201">
        <v>2.727298660158084E-2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50999</v>
      </c>
      <c r="Y1689" s="198">
        <f>_xll.qlInterestRateIndexValueDate(IborIndex,X1689,Trigger)</f>
        <v>51001</v>
      </c>
      <c r="Z1689" s="199">
        <v>2.7296887426412376E-2</v>
      </c>
      <c r="AA1689" s="201">
        <v>2.7270208930847417E-2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51006</v>
      </c>
      <c r="Y1690" s="198">
        <f>_xll.qlInterestRateIndexValueDate(IborIndex,X1690,Trigger)</f>
        <v>51008</v>
      </c>
      <c r="Z1690" s="199">
        <v>2.7294143886583508E-2</v>
      </c>
      <c r="AA1690" s="201">
        <v>2.7267053667676677E-2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51013</v>
      </c>
      <c r="Y1691" s="198">
        <f>_xll.qlInterestRateIndexValueDate(IborIndex,X1691,Trigger)</f>
        <v>51015</v>
      </c>
      <c r="Z1691" s="199">
        <v>2.7291416077469436E-2</v>
      </c>
      <c r="AA1691" s="201">
        <v>2.7264700672597897E-2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51020</v>
      </c>
      <c r="Y1692" s="198">
        <f>_xll.qlInterestRateIndexValueDate(IborIndex,X1692,Trigger)</f>
        <v>51022</v>
      </c>
      <c r="Z1692" s="199">
        <v>2.7289545194714993E-2</v>
      </c>
      <c r="AA1692" s="201">
        <v>2.7261970085081799E-2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51027</v>
      </c>
      <c r="Y1693" s="198">
        <f>_xll.qlInterestRateIndexValueDate(IborIndex,X1693,Trigger)</f>
        <v>51029</v>
      </c>
      <c r="Z1693" s="199">
        <v>2.7286007651349576E-2</v>
      </c>
      <c r="AA1693" s="201">
        <v>2.7259255191971477E-2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51034</v>
      </c>
      <c r="Y1694" s="198">
        <f>_xll.qlInterestRateIndexValueDate(IborIndex,X1694,Trigger)</f>
        <v>51036</v>
      </c>
      <c r="Z1694" s="199">
        <v>2.7283327034323158E-2</v>
      </c>
      <c r="AA1694" s="201">
        <v>2.7256555993266929E-2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51041</v>
      </c>
      <c r="Y1695" s="198">
        <f>_xll.qlInterestRateIndexValueDate(IborIndex,X1695,Trigger)</f>
        <v>51043</v>
      </c>
      <c r="Z1695" s="199">
        <v>2.7280662147967705E-2</v>
      </c>
      <c r="AA1695" s="201">
        <v>2.725387248888822E-2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51048</v>
      </c>
      <c r="Y1696" s="198">
        <f>_xll.qlInterestRateIndexValueDate(IborIndex,X1696,Trigger)</f>
        <v>51050</v>
      </c>
      <c r="Z1696" s="199">
        <v>2.7278012992278049E-2</v>
      </c>
      <c r="AA1696" s="201">
        <v>2.7251204678995222E-2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51055</v>
      </c>
      <c r="Y1697" s="198">
        <f>_xll.qlInterestRateIndexValueDate(IborIndex,X1697,Trigger)</f>
        <v>51057</v>
      </c>
      <c r="Z1697" s="199">
        <v>2.7275379567233568E-2</v>
      </c>
      <c r="AA1697" s="201">
        <v>2.7248552563428063E-2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51062</v>
      </c>
      <c r="Y1698" s="198">
        <f>_xll.qlInterestRateIndexValueDate(IborIndex,X1698,Trigger)</f>
        <v>51064</v>
      </c>
      <c r="Z1698" s="199">
        <v>2.7272761872831681E-2</v>
      </c>
      <c r="AA1698" s="201">
        <v>2.7245916142186744E-2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51069</v>
      </c>
      <c r="Y1699" s="198">
        <f>_xll.qlInterestRateIndexValueDate(IborIndex,X1699,Trigger)</f>
        <v>51071</v>
      </c>
      <c r="Z1699" s="199">
        <v>2.7270159909059496E-2</v>
      </c>
      <c r="AA1699" s="201">
        <v>2.7243295415511071E-2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51076</v>
      </c>
      <c r="Y1700" s="198">
        <f>_xll.qlInterestRateIndexValueDate(IborIndex,X1700,Trigger)</f>
        <v>51078</v>
      </c>
      <c r="Z1700" s="199">
        <v>2.726757367590928E-2</v>
      </c>
      <c r="AA1700" s="201">
        <v>2.7240690383241173E-2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51083</v>
      </c>
      <c r="Y1701" s="198">
        <f>_xll.qlInterestRateIndexValueDate(IborIndex,X1701,Trigger)</f>
        <v>51088</v>
      </c>
      <c r="Z1701" s="199">
        <v>2.7263056562613741E-2</v>
      </c>
      <c r="AA1701" s="201">
        <v>2.7237732420966054E-2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51090</v>
      </c>
      <c r="Y1702" s="198">
        <f>_xll.qlInterestRateIndexValueDate(IborIndex,X1702,Trigger)</f>
        <v>51092</v>
      </c>
      <c r="Z1702" s="199">
        <v>2.7262448401425752E-2</v>
      </c>
      <c r="AA1702" s="201">
        <v>2.7235527401678894E-2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51097</v>
      </c>
      <c r="Y1703" s="198">
        <f>_xll.qlInterestRateIndexValueDate(IborIndex,X1703,Trigger)</f>
        <v>51099</v>
      </c>
      <c r="Z1703" s="199">
        <v>2.7261612246532705E-2</v>
      </c>
      <c r="AA1703" s="201">
        <v>2.7232969452626321E-2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51104</v>
      </c>
      <c r="Y1704" s="198">
        <f>_xll.qlInterestRateIndexValueDate(IborIndex,X1704,Trigger)</f>
        <v>51106</v>
      </c>
      <c r="Z1704" s="199">
        <v>2.7258238359465781E-2</v>
      </c>
      <c r="AA1704" s="201">
        <v>2.7230427197739715E-2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51111</v>
      </c>
      <c r="Y1705" s="198">
        <f>_xll.qlInterestRateIndexValueDate(IborIndex,X1705,Trigger)</f>
        <v>51113</v>
      </c>
      <c r="Z1705" s="199">
        <v>2.7254878469077693E-2</v>
      </c>
      <c r="AA1705" s="201">
        <v>2.722790063733882E-2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51118</v>
      </c>
      <c r="Y1706" s="198">
        <f>_xll.qlInterestRateIndexValueDate(IborIndex,X1706,Trigger)</f>
        <v>51120</v>
      </c>
      <c r="Z1706" s="199">
        <v>2.725324079892788E-2</v>
      </c>
      <c r="AA1706" s="201">
        <v>2.72253897713437E-2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51125</v>
      </c>
      <c r="Y1707" s="198">
        <f>_xll.qlInterestRateIndexValueDate(IborIndex,X1707,Trigger)</f>
        <v>51127</v>
      </c>
      <c r="Z1707" s="199">
        <v>2.7249910500321318E-2</v>
      </c>
      <c r="AA1707" s="201">
        <v>2.7222184576274344E-2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51132</v>
      </c>
      <c r="Y1708" s="198">
        <f>_xll.qlInterestRateIndexValueDate(IborIndex,X1708,Trigger)</f>
        <v>51134</v>
      </c>
      <c r="Z1708" s="199">
        <v>2.7248306165408576E-2</v>
      </c>
      <c r="AA1708" s="201">
        <v>2.7220062192805372E-2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51139</v>
      </c>
      <c r="Y1709" s="198">
        <f>_xll.qlInterestRateIndexValueDate(IborIndex,X1709,Trigger)</f>
        <v>51141</v>
      </c>
      <c r="Z1709" s="199">
        <v>2.7245005453715013E-2</v>
      </c>
      <c r="AA1709" s="201">
        <v>2.721795133979299E-2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51146</v>
      </c>
      <c r="Y1710" s="198">
        <f>_xll.qlInterestRateIndexValueDate(IborIndex,X1710,Trigger)</f>
        <v>51148</v>
      </c>
      <c r="Z1710" s="199">
        <v>2.7242576526193964E-2</v>
      </c>
      <c r="AA1710" s="201">
        <v>2.7215503251420969E-2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51153</v>
      </c>
      <c r="Y1711" s="198">
        <f>_xll.qlInterestRateIndexValueDate(IborIndex,X1711,Trigger)</f>
        <v>51155</v>
      </c>
      <c r="Z1711" s="199">
        <v>2.724102220309027E-2</v>
      </c>
      <c r="AA1711" s="201">
        <v>2.7213070857374788E-2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51160</v>
      </c>
      <c r="Y1712" s="198">
        <f>_xll.qlInterestRateIndexValueDate(IborIndex,X1712,Trigger)</f>
        <v>51162</v>
      </c>
      <c r="Z1712" s="199">
        <v>2.723776586265934E-2</v>
      </c>
      <c r="AA1712" s="201">
        <v>2.7210654157814318E-2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51167</v>
      </c>
      <c r="Y1713" s="198">
        <f>_xll.qlInterestRateIndexValueDate(IborIndex,X1713,Trigger)</f>
        <v>51169</v>
      </c>
      <c r="Z1713" s="199">
        <v>2.7235384126632872E-2</v>
      </c>
      <c r="AA1713" s="201">
        <v>2.7208253152499751E-2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51174</v>
      </c>
      <c r="Y1714" s="198">
        <f>_xll.qlInterestRateIndexValueDate(IborIndex,X1714,Trigger)</f>
        <v>51176</v>
      </c>
      <c r="Z1714" s="199">
        <v>2.7233018121081393E-2</v>
      </c>
      <c r="AA1714" s="201">
        <v>2.720586784175083E-2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51181</v>
      </c>
      <c r="Y1715" s="198">
        <f>_xll.qlInterestRateIndexValueDate(IborIndex,X1715,Trigger)</f>
        <v>51183</v>
      </c>
      <c r="Z1715" s="199">
        <v>2.7230667846002324E-2</v>
      </c>
      <c r="AA1715" s="201">
        <v>2.7203498225247813E-2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51188</v>
      </c>
      <c r="Y1716" s="198">
        <f>_xll.qlInterestRateIndexValueDate(IborIndex,X1716,Trigger)</f>
        <v>51190</v>
      </c>
      <c r="Z1716" s="199">
        <v>2.7228333301377611E-2</v>
      </c>
      <c r="AA1716" s="201">
        <v>2.7201144303230507E-2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51195</v>
      </c>
      <c r="Y1717" s="198">
        <f>_xll.qlInterestRateIndexValueDate(IborIndex,X1717,Trigger)</f>
        <v>51197</v>
      </c>
      <c r="Z1717" s="199">
        <v>2.7226879034151774E-2</v>
      </c>
      <c r="AA1717" s="201">
        <v>2.7198806075539039E-2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51202</v>
      </c>
      <c r="Y1718" s="198">
        <f>_xll.qlInterestRateIndexValueDate(IborIndex,X1718,Trigger)</f>
        <v>51204</v>
      </c>
      <c r="Z1718" s="199">
        <v>2.7223711403475789E-2</v>
      </c>
      <c r="AA1718" s="201">
        <v>2.7196483542333283E-2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51209</v>
      </c>
      <c r="Y1719" s="198">
        <f>_xll.qlInterestRateIndexValueDate(IborIndex,X1719,Trigger)</f>
        <v>51211</v>
      </c>
      <c r="Z1719" s="199">
        <v>2.7221424050175472E-2</v>
      </c>
      <c r="AA1719" s="201">
        <v>2.7194176703373429E-2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51216</v>
      </c>
      <c r="Y1720" s="198">
        <f>_xll.qlInterestRateIndexValueDate(IborIndex,X1720,Trigger)</f>
        <v>51218</v>
      </c>
      <c r="Z1720" s="199">
        <v>2.7219152427295994E-2</v>
      </c>
      <c r="AA1720" s="201">
        <v>2.7191885558899287E-2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51223</v>
      </c>
      <c r="Y1721" s="198">
        <f>_xll.qlInterestRateIndexValueDate(IborIndex,X1721,Trigger)</f>
        <v>51229</v>
      </c>
      <c r="Z1721" s="199">
        <v>2.7214745752474734E-2</v>
      </c>
      <c r="AA1721" s="201">
        <v>2.7188962862814137E-2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51230</v>
      </c>
      <c r="Y1722" s="198">
        <f>_xll.qlInterestRateIndexValueDate(IborIndex,X1722,Trigger)</f>
        <v>51232</v>
      </c>
      <c r="Z1722" s="199">
        <v>2.7215525680314712E-2</v>
      </c>
      <c r="AA1722" s="201">
        <v>2.7187350353168327E-2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51237</v>
      </c>
      <c r="Y1723" s="198">
        <f>_xll.qlInterestRateIndexValueDate(IborIndex,X1723,Trigger)</f>
        <v>51239</v>
      </c>
      <c r="Z1723" s="199">
        <v>2.7212431941100065E-2</v>
      </c>
      <c r="AA1723" s="201">
        <v>2.7185106291831573E-2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51244</v>
      </c>
      <c r="Y1724" s="198">
        <f>_xll.qlInterestRateIndexValueDate(IborIndex,X1724,Trigger)</f>
        <v>51246</v>
      </c>
      <c r="Z1724" s="199">
        <v>2.7210223239816259E-2</v>
      </c>
      <c r="AA1724" s="201">
        <v>2.7182877924900595E-2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51251</v>
      </c>
      <c r="Y1725" s="198">
        <f>_xll.qlInterestRateIndexValueDate(IborIndex,X1725,Trigger)</f>
        <v>51253</v>
      </c>
      <c r="Z1725" s="199">
        <v>2.7208902447227734E-2</v>
      </c>
      <c r="AA1725" s="201">
        <v>2.7180665252215519E-2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51258</v>
      </c>
      <c r="Y1726" s="198">
        <f>_xll.qlInterestRateIndexValueDate(IborIndex,X1726,Trigger)</f>
        <v>51260</v>
      </c>
      <c r="Z1726" s="199">
        <v>2.720585282130401E-2</v>
      </c>
      <c r="AA1726" s="201">
        <v>2.7178155701248485E-2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51265</v>
      </c>
      <c r="Y1727" s="198">
        <f>_xll.qlInterestRateIndexValueDate(IborIndex,X1727,Trigger)</f>
        <v>51267</v>
      </c>
      <c r="Z1727" s="199">
        <v>2.7203689412022614E-2</v>
      </c>
      <c r="AA1727" s="201">
        <v>2.7176286990382437E-2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51272</v>
      </c>
      <c r="Y1728" s="198">
        <f>_xll.qlInterestRateIndexValueDate(IborIndex,X1728,Trigger)</f>
        <v>51274</v>
      </c>
      <c r="Z1728" s="199">
        <v>2.7201538069104608E-2</v>
      </c>
      <c r="AA1728" s="201">
        <v>2.7174121400994622E-2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51279</v>
      </c>
      <c r="Y1729" s="198">
        <f>_xll.qlInterestRateIndexValueDate(IborIndex,X1729,Trigger)</f>
        <v>51281</v>
      </c>
      <c r="Z1729" s="199">
        <v>2.7199396819622367E-2</v>
      </c>
      <c r="AA1729" s="201">
        <v>2.7171665451630744E-2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51286</v>
      </c>
      <c r="Y1730" s="198">
        <f>_xll.qlInterestRateIndexValueDate(IborIndex,X1730,Trigger)</f>
        <v>51288</v>
      </c>
      <c r="Z1730" s="199">
        <v>2.7197263716542391E-2</v>
      </c>
      <c r="AA1730" s="201">
        <v>2.7169832294324792E-2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51293</v>
      </c>
      <c r="Y1731" s="198">
        <f>_xll.qlInterestRateIndexValueDate(IborIndex,X1731,Trigger)</f>
        <v>51295</v>
      </c>
      <c r="Z1731" s="199">
        <v>2.7195137667945863E-2</v>
      </c>
      <c r="AA1731" s="201">
        <v>2.7167700089272273E-2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51300</v>
      </c>
      <c r="Y1732" s="198">
        <f>_xll.qlInterestRateIndexValueDate(IborIndex,X1732,Trigger)</f>
        <v>51302</v>
      </c>
      <c r="Z1732" s="199">
        <v>2.7193018612475413E-2</v>
      </c>
      <c r="AA1732" s="201">
        <v>2.7165574861118813E-2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51307</v>
      </c>
      <c r="Y1733" s="198">
        <f>_xll.qlInterestRateIndexValueDate(IborIndex,X1733,Trigger)</f>
        <v>51309</v>
      </c>
      <c r="Z1733" s="199">
        <v>2.7190906550131039E-2</v>
      </c>
      <c r="AA1733" s="201">
        <v>2.7163456609944348E-2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51314</v>
      </c>
      <c r="Y1734" s="198">
        <f>_xll.qlInterestRateIndexValueDate(IborIndex,X1734,Trigger)</f>
        <v>51316</v>
      </c>
      <c r="Z1734" s="199">
        <v>2.7189677684823221E-2</v>
      </c>
      <c r="AA1734" s="201">
        <v>2.716134533566894E-2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51321</v>
      </c>
      <c r="Y1735" s="198">
        <f>_xll.qlInterestRateIndexValueDate(IborIndex,X1735,Trigger)</f>
        <v>51323</v>
      </c>
      <c r="Z1735" s="199">
        <v>2.7186703404794746E-2</v>
      </c>
      <c r="AA1735" s="201">
        <v>2.7159241038452464E-2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51328</v>
      </c>
      <c r="Y1736" s="198">
        <f>_xll.qlInterestRateIndexValueDate(IborIndex,X1736,Trigger)</f>
        <v>51330</v>
      </c>
      <c r="Z1736" s="199">
        <v>2.7184612321795087E-2</v>
      </c>
      <c r="AA1736" s="201">
        <v>2.715714371805511E-2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51335</v>
      </c>
      <c r="Y1737" s="198">
        <f>_xll.qlInterestRateIndexValueDate(IborIndex,X1737,Trigger)</f>
        <v>51337</v>
      </c>
      <c r="Z1737" s="199">
        <v>2.7182528231903456E-2</v>
      </c>
      <c r="AA1737" s="201">
        <v>2.7155053374636751E-2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51342</v>
      </c>
      <c r="Y1738" s="198">
        <f>_xll.qlInterestRateIndexValueDate(IborIndex,X1738,Trigger)</f>
        <v>51344</v>
      </c>
      <c r="Z1738" s="199">
        <v>2.7181328707371333E-2</v>
      </c>
      <c r="AA1738" s="201">
        <v>2.7152970008037514E-2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51349</v>
      </c>
      <c r="Y1739" s="198">
        <f>_xll.qlInterestRateIndexValueDate(IborIndex,X1739,Trigger)</f>
        <v>51351</v>
      </c>
      <c r="Z1739" s="199">
        <v>2.7179258947118146E-2</v>
      </c>
      <c r="AA1739" s="201">
        <v>2.7150893618577143E-2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51356</v>
      </c>
      <c r="Y1740" s="198">
        <f>_xll.qlInterestRateIndexValueDate(IborIndex,X1740,Trigger)</f>
        <v>51358</v>
      </c>
      <c r="Z1740" s="199">
        <v>2.7176317920838054E-2</v>
      </c>
      <c r="AA1740" s="201">
        <v>2.7148824205935895E-2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51363</v>
      </c>
      <c r="Y1741" s="198">
        <f>_xll.qlInterestRateIndexValueDate(IborIndex,X1741,Trigger)</f>
        <v>51365</v>
      </c>
      <c r="Z1741" s="199">
        <v>2.7174261803342436E-2</v>
      </c>
      <c r="AA1741" s="201">
        <v>2.7146761770273642E-2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51370</v>
      </c>
      <c r="Y1742" s="198">
        <f>_xll.qlInterestRateIndexValueDate(IborIndex,X1742,Trigger)</f>
        <v>51372</v>
      </c>
      <c r="Z1742" s="199">
        <v>2.7172212678934216E-2</v>
      </c>
      <c r="AA1742" s="201">
        <v>2.7144413244180043E-2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51377</v>
      </c>
      <c r="Y1743" s="198">
        <f>_xll.qlInterestRateIndexValueDate(IborIndex,X1743,Trigger)</f>
        <v>51379</v>
      </c>
      <c r="Z1743" s="199">
        <v>2.7167533126166075E-2</v>
      </c>
      <c r="AA1743" s="201">
        <v>2.7142657829806183E-2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51384</v>
      </c>
      <c r="Y1744" s="198">
        <f>_xll.qlInterestRateIndexValueDate(IborIndex,X1744,Trigger)</f>
        <v>51386</v>
      </c>
      <c r="Z1744" s="199">
        <v>2.7169015050307332E-2</v>
      </c>
      <c r="AA1744" s="201">
        <v>2.7140616325000977E-2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51391</v>
      </c>
      <c r="Y1745" s="198">
        <f>_xll.qlInterestRateIndexValueDate(IborIndex,X1745,Trigger)</f>
        <v>51393</v>
      </c>
      <c r="Z1745" s="199">
        <v>2.7166107264210749E-2</v>
      </c>
      <c r="AA1745" s="201">
        <v>2.713858179709483E-2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51398</v>
      </c>
      <c r="Y1746" s="198">
        <f>_xll.qlInterestRateIndexValueDate(IborIndex,X1746,Trigger)</f>
        <v>51400</v>
      </c>
      <c r="Z1746" s="199">
        <v>2.7164086112121184E-2</v>
      </c>
      <c r="AA1746" s="201">
        <v>2.7136554246167677E-2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51405</v>
      </c>
      <c r="Y1747" s="198">
        <f>_xll.qlInterestRateIndexValueDate(IborIndex,X1747,Trigger)</f>
        <v>51407</v>
      </c>
      <c r="Z1747" s="199">
        <v>2.7163833395633059E-2</v>
      </c>
      <c r="AA1747" s="201">
        <v>2.7134533672139582E-2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51412</v>
      </c>
      <c r="Y1748" s="198">
        <f>_xll.qlInterestRateIndexValueDate(IborIndex,X1748,Trigger)</f>
        <v>51414</v>
      </c>
      <c r="Z1748" s="199">
        <v>2.716006478715784E-2</v>
      </c>
      <c r="AA1748" s="201">
        <v>2.7132520075090483E-2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51419</v>
      </c>
      <c r="Y1749" s="198">
        <f>_xll.qlInterestRateIndexValueDate(IborIndex,X1749,Trigger)</f>
        <v>51421</v>
      </c>
      <c r="Z1749" s="199">
        <v>2.7158945993908667E-2</v>
      </c>
      <c r="AA1749" s="201">
        <v>2.7130513454860505E-2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51426</v>
      </c>
      <c r="Y1750" s="198">
        <f>_xll.qlInterestRateIndexValueDate(IborIndex,X1750,Trigger)</f>
        <v>51428</v>
      </c>
      <c r="Z1750" s="199">
        <v>2.7156071434446108E-2</v>
      </c>
      <c r="AA1750" s="201">
        <v>2.7128513811769395E-2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51433</v>
      </c>
      <c r="Y1751" s="198">
        <f>_xll.qlInterestRateIndexValueDate(IborIndex,X1751,Trigger)</f>
        <v>51435</v>
      </c>
      <c r="Z1751" s="199">
        <v>2.7154085247682664E-2</v>
      </c>
      <c r="AA1751" s="201">
        <v>2.712652114541747E-2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51440</v>
      </c>
      <c r="Y1752" s="198">
        <f>_xll.qlInterestRateIndexValueDate(IborIndex,X1752,Trigger)</f>
        <v>51442</v>
      </c>
      <c r="Z1752" s="199">
        <v>2.7152106053962781E-2</v>
      </c>
      <c r="AA1752" s="201">
        <v>2.7124535456124477E-2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51447</v>
      </c>
      <c r="Y1753" s="198">
        <f>_xll.qlInterestRateIndexValueDate(IborIndex,X1753,Trigger)</f>
        <v>51449</v>
      </c>
      <c r="Z1753" s="199">
        <v>2.7150133853299355E-2</v>
      </c>
      <c r="AA1753" s="201">
        <v>2.7122556743810478E-2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51454</v>
      </c>
      <c r="Y1754" s="198">
        <f>_xll.qlInterestRateIndexValueDate(IborIndex,X1754,Trigger)</f>
        <v>51456</v>
      </c>
      <c r="Z1754" s="199">
        <v>2.7148168645679493E-2</v>
      </c>
      <c r="AA1754" s="201">
        <v>2.7120585008315601E-2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51461</v>
      </c>
      <c r="Y1755" s="198">
        <f>_xll.qlInterestRateIndexValueDate(IborIndex,X1755,Trigger)</f>
        <v>51463</v>
      </c>
      <c r="Z1755" s="199">
        <v>2.7146210431100617E-2</v>
      </c>
      <c r="AA1755" s="201">
        <v>2.7118620249799719E-2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51468</v>
      </c>
      <c r="Y1756" s="198">
        <f>_xll.qlInterestRateIndexValueDate(IborIndex,X1756,Trigger)</f>
        <v>51470</v>
      </c>
      <c r="Z1756" s="199">
        <v>2.7144259209562725E-2</v>
      </c>
      <c r="AA1756" s="201">
        <v>2.7116662468262831E-2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51475</v>
      </c>
      <c r="Y1757" s="198">
        <f>_xll.qlInterestRateIndexValueDate(IborIndex,X1757,Trigger)</f>
        <v>51477</v>
      </c>
      <c r="Z1757" s="199">
        <v>2.7142314981058083E-2</v>
      </c>
      <c r="AA1757" s="201">
        <v>2.7114711663625002E-2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51482</v>
      </c>
      <c r="Y1758" s="198">
        <f>_xll.qlInterestRateIndexValueDate(IborIndex,X1758,Trigger)</f>
        <v>51484</v>
      </c>
      <c r="Z1758" s="199">
        <v>2.7140377745586686E-2</v>
      </c>
      <c r="AA1758" s="201">
        <v>2.7112767835886231E-2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51489</v>
      </c>
      <c r="Y1759" s="198">
        <f>_xll.qlInterestRateIndexValueDate(IborIndex,X1759,Trigger)</f>
        <v>51491</v>
      </c>
      <c r="Z1759" s="199">
        <v>2.7139332400501759E-2</v>
      </c>
      <c r="AA1759" s="201">
        <v>2.7110278880684291E-2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51497</v>
      </c>
      <c r="Y1760" s="198">
        <f>_xll.qlInterestRateIndexValueDate(IborIndex,X1760,Trigger)</f>
        <v>51501</v>
      </c>
      <c r="Z1760" s="199">
        <v>2.7135702144694424E-2</v>
      </c>
      <c r="AA1760" s="201">
        <v>2.7108351000428854E-2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51504</v>
      </c>
      <c r="Y1761" s="198">
        <f>_xll.qlInterestRateIndexValueDate(IborIndex,X1761,Trigger)</f>
        <v>51508</v>
      </c>
      <c r="Z1761" s="199">
        <v>2.7133788885303507E-2</v>
      </c>
      <c r="AA1761" s="201">
        <v>2.7106704084545186E-2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51511</v>
      </c>
      <c r="Y1762" s="198">
        <f>_xll.qlInterestRateIndexValueDate(IborIndex,X1762,Trigger)</f>
        <v>51515</v>
      </c>
      <c r="Z1762" s="199">
        <v>2.713188261892779E-2</v>
      </c>
      <c r="AA1762" s="201">
        <v>2.7104789161285225E-2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51518</v>
      </c>
      <c r="Y1763" s="198">
        <f>_xll.qlInterestRateIndexValueDate(IborIndex,X1763,Trigger)</f>
        <v>51523</v>
      </c>
      <c r="Z1763" s="199">
        <v>2.7129712591657654E-2</v>
      </c>
      <c r="AA1763" s="201">
        <v>2.7102609220817087E-2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51525</v>
      </c>
      <c r="Y1764" s="198">
        <f>_xll.qlInterestRateIndexValueDate(IborIndex,X1764,Trigger)</f>
        <v>51529</v>
      </c>
      <c r="Z1764" s="199">
        <v>2.7128091065216794E-2</v>
      </c>
      <c r="AA1764" s="201">
        <v>2.7100980245702289E-2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51532</v>
      </c>
      <c r="Y1765" s="198">
        <f>_xll.qlInterestRateIndexValueDate(IborIndex,X1765,Trigger)</f>
        <v>51536</v>
      </c>
      <c r="Z1765" s="199">
        <v>2.7123544688396617E-2</v>
      </c>
      <c r="AA1765" s="201">
        <v>2.709908625321944E-2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51539</v>
      </c>
      <c r="Y1766" s="198">
        <f>_xll.qlInterestRateIndexValueDate(IborIndex,X1766,Trigger)</f>
        <v>51543</v>
      </c>
      <c r="Z1766" s="199">
        <v>2.7121665319930051E-2</v>
      </c>
      <c r="AA1766" s="201">
        <v>2.7097199237795522E-2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51546</v>
      </c>
      <c r="Y1767" s="198">
        <f>_xll.qlInterestRateIndexValueDate(IborIndex,X1767,Trigger)</f>
        <v>51551</v>
      </c>
      <c r="Z1767" s="199">
        <v>2.7119526031143933E-2</v>
      </c>
      <c r="AA1767" s="201">
        <v>2.7095051191814434E-2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51553</v>
      </c>
      <c r="Y1768" s="198">
        <f>_xll.qlInterestRateIndexValueDate(IborIndex,X1768,Trigger)</f>
        <v>51557</v>
      </c>
      <c r="Z1768" s="199">
        <v>2.7117927557176458E-2</v>
      </c>
      <c r="AA1768" s="201">
        <v>2.7093446137564925E-2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51560</v>
      </c>
      <c r="Y1769" s="198">
        <f>_xll.qlInterestRateIndexValueDate(IborIndex,X1769,Trigger)</f>
        <v>51564</v>
      </c>
      <c r="Z1769" s="199">
        <v>2.7118734558486107E-2</v>
      </c>
      <c r="AA1769" s="201">
        <v>2.7091580052998054E-2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51567</v>
      </c>
      <c r="Y1770" s="198">
        <f>_xll.qlInterestRateIndexValueDate(IborIndex,X1770,Trigger)</f>
        <v>51571</v>
      </c>
      <c r="Z1770" s="199">
        <v>2.7116884236121103E-2</v>
      </c>
      <c r="AA1770" s="201">
        <v>2.708972094517037E-2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51574</v>
      </c>
      <c r="Y1771" s="198">
        <f>_xll.qlInterestRateIndexValueDate(IborIndex,X1771,Trigger)</f>
        <v>51578</v>
      </c>
      <c r="Z1771" s="199">
        <v>2.7115040906742934E-2</v>
      </c>
      <c r="AA1771" s="201">
        <v>2.7087868814401617E-2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51581</v>
      </c>
      <c r="Y1772" s="198">
        <f>_xll.qlInterestRateIndexValueDate(IborIndex,X1772,Trigger)</f>
        <v>51585</v>
      </c>
      <c r="Z1772" s="199">
        <v>2.711320457034902E-2</v>
      </c>
      <c r="AA1772" s="201">
        <v>2.7086023660611858E-2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51588</v>
      </c>
      <c r="Y1773" s="198">
        <f>_xll.qlInterestRateIndexValueDate(IborIndex,X1773,Trigger)</f>
        <v>51592</v>
      </c>
      <c r="Z1773" s="199">
        <v>2.7110485238628357E-2</v>
      </c>
      <c r="AA1773" s="201">
        <v>2.7084185483721157E-2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51595</v>
      </c>
      <c r="Y1774" s="198">
        <f>_xll.qlInterestRateIndexValueDate(IborIndex,X1774,Trigger)</f>
        <v>51599</v>
      </c>
      <c r="Z1774" s="199">
        <v>2.7108662525799687E-2</v>
      </c>
      <c r="AA1774" s="201">
        <v>2.7082354283649579E-2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51602</v>
      </c>
      <c r="Y1775" s="198">
        <f>_xll.qlInterestRateIndexValueDate(IborIndex,X1775,Trigger)</f>
        <v>51606</v>
      </c>
      <c r="Z1775" s="199">
        <v>2.7106846805406981E-2</v>
      </c>
      <c r="AA1775" s="201">
        <v>2.7080530060636931E-2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51609</v>
      </c>
      <c r="Y1776" s="198">
        <f>_xll.qlInterestRateIndexValueDate(IborIndex,X1776,Trigger)</f>
        <v>51615</v>
      </c>
      <c r="Z1776" s="199">
        <v>2.7104522582355628E-2</v>
      </c>
      <c r="AA1776" s="201">
        <v>2.7079972936370211E-2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51616</v>
      </c>
      <c r="Y1777" s="198">
        <f>_xll.qlInterestRateIndexValueDate(IborIndex,X1777,Trigger)</f>
        <v>51620</v>
      </c>
      <c r="Z1777" s="199">
        <v>2.7103236341924131E-2</v>
      </c>
      <c r="AA1777" s="201">
        <v>2.7076902545388748E-2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51623</v>
      </c>
      <c r="Y1778" s="198">
        <f>_xll.qlInterestRateIndexValueDate(IborIndex,X1778,Trigger)</f>
        <v>51628</v>
      </c>
      <c r="Z1778" s="199">
        <v>2.7102077635476181E-2</v>
      </c>
      <c r="AA1778" s="201">
        <v>2.7074842209566796E-2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51630</v>
      </c>
      <c r="Y1779" s="198">
        <f>_xll.qlInterestRateIndexValueDate(IborIndex,X1779,Trigger)</f>
        <v>51634</v>
      </c>
      <c r="Z1779" s="199">
        <v>2.710054601880527E-2</v>
      </c>
      <c r="AA1779" s="201">
        <v>2.7073302937816734E-2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51637</v>
      </c>
      <c r="Y1780" s="198">
        <f>_xll.qlInterestRateIndexValueDate(IborIndex,X1780,Trigger)</f>
        <v>51641</v>
      </c>
      <c r="Z1780" s="199">
        <v>2.7098765626151319E-2</v>
      </c>
      <c r="AA1780" s="201">
        <v>2.7071513599459252E-2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51644</v>
      </c>
      <c r="Y1781" s="198">
        <f>_xll.qlInterestRateIndexValueDate(IborIndex,X1781,Trigger)</f>
        <v>51649</v>
      </c>
      <c r="Z1781" s="199">
        <v>2.7096739454489899E-2</v>
      </c>
      <c r="AA1781" s="201">
        <v>2.7069477184502588E-2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51651</v>
      </c>
      <c r="Y1782" s="198">
        <f>_xll.qlInterestRateIndexValueDate(IborIndex,X1782,Trigger)</f>
        <v>51655</v>
      </c>
      <c r="Z1782" s="199">
        <v>2.7094332550649192E-2</v>
      </c>
      <c r="AA1782" s="201">
        <v>2.7067955853521397E-2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51658</v>
      </c>
      <c r="Y1783" s="198">
        <f>_xll.qlInterestRateIndexValueDate(IborIndex,X1783,Trigger)</f>
        <v>51662</v>
      </c>
      <c r="Z1783" s="199">
        <v>2.7092572769645606E-2</v>
      </c>
      <c r="AA1783" s="201">
        <v>2.7066187446020962E-2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51665</v>
      </c>
      <c r="Y1784" s="198">
        <f>_xll.qlInterestRateIndexValueDate(IborIndex,X1784,Trigger)</f>
        <v>51669</v>
      </c>
      <c r="Z1784" s="199">
        <v>2.7090819981051339E-2</v>
      </c>
      <c r="AA1784" s="201">
        <v>2.7064426015339649E-2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51672</v>
      </c>
      <c r="Y1785" s="198">
        <f>_xll.qlInterestRateIndexValueDate(IborIndex,X1785,Trigger)</f>
        <v>51676</v>
      </c>
      <c r="Z1785" s="199">
        <v>2.7089074184861062E-2</v>
      </c>
      <c r="AA1785" s="201">
        <v>2.7062671561717266E-2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51679</v>
      </c>
      <c r="Y1786" s="198">
        <f>_xll.qlInterestRateIndexValueDate(IborIndex,X1786,Trigger)</f>
        <v>51683</v>
      </c>
      <c r="Z1786" s="199">
        <v>2.7088230122136316E-2</v>
      </c>
      <c r="AA1786" s="201">
        <v>2.7060924084914006E-2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51686</v>
      </c>
      <c r="Y1787" s="198">
        <f>_xll.qlInterestRateIndexValueDate(IborIndex,X1787,Trigger)</f>
        <v>51690</v>
      </c>
      <c r="Z1787" s="199">
        <v>2.7086498680088514E-2</v>
      </c>
      <c r="AA1787" s="201">
        <v>2.7059183585089741E-2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51693</v>
      </c>
      <c r="Y1788" s="198">
        <f>_xll.qlInterestRateIndexValueDate(IborIndex,X1788,Trigger)</f>
        <v>51697</v>
      </c>
      <c r="Z1788" s="199">
        <v>2.7084774230973399E-2</v>
      </c>
      <c r="AA1788" s="201">
        <v>2.7057450062164534E-2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51700</v>
      </c>
      <c r="Y1789" s="198">
        <f>_xll.qlInterestRateIndexValueDate(IborIndex,X1789,Trigger)</f>
        <v>51704</v>
      </c>
      <c r="Z1789" s="199">
        <v>2.708305677478581E-2</v>
      </c>
      <c r="AA1789" s="201">
        <v>2.7055723516378194E-2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51707</v>
      </c>
      <c r="Y1790" s="198">
        <f>_xll.qlInterestRateIndexValueDate(IborIndex,X1790,Trigger)</f>
        <v>51711</v>
      </c>
      <c r="Z1790" s="199">
        <v>2.7081346311518012E-2</v>
      </c>
      <c r="AA1790" s="201">
        <v>2.7054003947251104E-2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51714</v>
      </c>
      <c r="Y1791" s="198">
        <f>_xll.qlInterestRateIndexValueDate(IborIndex,X1791,Trigger)</f>
        <v>51718</v>
      </c>
      <c r="Z1791" s="199">
        <v>2.7079642841175162E-2</v>
      </c>
      <c r="AA1791" s="201">
        <v>2.7052291355182945E-2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51721</v>
      </c>
      <c r="Y1792" s="198">
        <f>_xll.qlInterestRateIndexValueDate(IborIndex,X1792,Trigger)</f>
        <v>51725</v>
      </c>
      <c r="Z1792" s="199">
        <v>2.7077946363754685E-2</v>
      </c>
      <c r="AA1792" s="201">
        <v>2.7050585740173716E-2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51728</v>
      </c>
      <c r="Y1793" s="198">
        <f>_xll.qlInterestRateIndexValueDate(IborIndex,X1793,Trigger)</f>
        <v>51732</v>
      </c>
      <c r="Z1793" s="199">
        <v>2.707625687924884E-2</v>
      </c>
      <c r="AA1793" s="201">
        <v>2.704888710198361E-2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51735</v>
      </c>
      <c r="Y1794" s="198">
        <f>_xll.qlInterestRateIndexValueDate(IborIndex,X1794,Trigger)</f>
        <v>51740</v>
      </c>
      <c r="Z1794" s="199">
        <v>2.7074334602560046E-2</v>
      </c>
      <c r="AA1794" s="201">
        <v>2.7046954344269736E-2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51742</v>
      </c>
      <c r="Y1795" s="198">
        <f>_xll.qlInterestRateIndexValueDate(IborIndex,X1795,Trigger)</f>
        <v>51747</v>
      </c>
      <c r="Z1795" s="199">
        <v>2.7071761965171248E-2</v>
      </c>
      <c r="AA1795" s="201">
        <v>2.7045270656680387E-2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51749</v>
      </c>
      <c r="Y1796" s="198">
        <f>_xll.qlInterestRateIndexValueDate(IborIndex,X1796,Trigger)</f>
        <v>51753</v>
      </c>
      <c r="Z1796" s="199">
        <v>2.7070331924781144E-2</v>
      </c>
      <c r="AA1796" s="201">
        <v>2.7043833048887578E-2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51756</v>
      </c>
      <c r="Y1797" s="198">
        <f>_xll.qlInterestRateIndexValueDate(IborIndex,X1797,Trigger)</f>
        <v>51760</v>
      </c>
      <c r="Z1797" s="199">
        <v>2.7068670037238896E-2</v>
      </c>
      <c r="AA1797" s="201">
        <v>2.7042162318533514E-2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51763</v>
      </c>
      <c r="Y1798" s="198">
        <f>_xll.qlInterestRateIndexValueDate(IborIndex,X1798,Trigger)</f>
        <v>51767</v>
      </c>
      <c r="Z1798" s="199">
        <v>2.7067015142068662E-2</v>
      </c>
      <c r="AA1798" s="201">
        <v>2.70404985648387E-2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51770</v>
      </c>
      <c r="Y1799" s="198">
        <f>_xll.qlInterestRateIndexValueDate(IborIndex,X1799,Trigger)</f>
        <v>51774</v>
      </c>
      <c r="Z1799" s="199">
        <v>2.7066266823266384E-2</v>
      </c>
      <c r="AA1799" s="201">
        <v>2.7038841788282753E-2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51777</v>
      </c>
      <c r="Y1800" s="198">
        <f>_xll.qlInterestRateIndexValueDate(IborIndex,X1800,Trigger)</f>
        <v>51781</v>
      </c>
      <c r="Z1800" s="199">
        <v>2.7064626289085625E-2</v>
      </c>
      <c r="AA1800" s="201">
        <v>2.7037191988625864E-2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51784</v>
      </c>
      <c r="Y1801" s="198">
        <f>_xll.qlInterestRateIndexValueDate(IborIndex,X1801,Trigger)</f>
        <v>51789</v>
      </c>
      <c r="Z1801" s="199">
        <v>2.7062759955600448E-2</v>
      </c>
      <c r="AA1801" s="201">
        <v>2.7035315046584074E-2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51791</v>
      </c>
      <c r="Y1802" s="198">
        <f>_xll.qlInterestRateIndexValueDate(IborIndex,X1802,Trigger)</f>
        <v>51795</v>
      </c>
      <c r="Z1802" s="199">
        <v>2.7061366199393228E-2</v>
      </c>
      <c r="AA1802" s="201">
        <v>2.7033913320169134E-2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51798</v>
      </c>
      <c r="Y1803" s="198">
        <f>_xll.qlInterestRateIndexValueDate(IborIndex,X1803,Trigger)</f>
        <v>51802</v>
      </c>
      <c r="Z1803" s="199">
        <v>2.7060647817297723E-2</v>
      </c>
      <c r="AA1803" s="201">
        <v>2.7032284451289357E-2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51805</v>
      </c>
      <c r="Y1804" s="198">
        <f>_xll.qlInterestRateIndexValueDate(IborIndex,X1804,Trigger)</f>
        <v>51809</v>
      </c>
      <c r="Z1804" s="199">
        <v>2.7057232610598447E-2</v>
      </c>
      <c r="AA1804" s="201">
        <v>2.7030662559388574E-2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51812</v>
      </c>
      <c r="Y1805" s="198">
        <f>_xll.qlInterestRateIndexValueDate(IborIndex,X1805,Trigger)</f>
        <v>51817</v>
      </c>
      <c r="Z1805" s="199">
        <v>2.7055397811480475E-2</v>
      </c>
      <c r="AA1805" s="201">
        <v>2.70288175117539E-2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51819</v>
      </c>
      <c r="Y1806" s="198">
        <f>_xll.qlInterestRateIndexValueDate(IborIndex,X1806,Trigger)</f>
        <v>51823</v>
      </c>
      <c r="Z1806" s="199">
        <v>2.7054027705587735E-2</v>
      </c>
      <c r="AA1806" s="201">
        <v>2.7027439706284184E-2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51826</v>
      </c>
      <c r="Y1807" s="198">
        <f>_xll.qlInterestRateIndexValueDate(IborIndex,X1807,Trigger)</f>
        <v>51830</v>
      </c>
      <c r="Z1807" s="199">
        <v>2.7054241041070681E-2</v>
      </c>
      <c r="AA1807" s="201">
        <v>2.7025838745160513E-2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51833</v>
      </c>
      <c r="Y1808" s="198">
        <f>_xll.qlInterestRateIndexValueDate(IborIndex,X1808,Trigger)</f>
        <v>51837</v>
      </c>
      <c r="Z1808" s="199">
        <v>2.7051753759485955E-2</v>
      </c>
      <c r="AA1808" s="201">
        <v>2.7024244761015837E-2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51840</v>
      </c>
      <c r="Y1809" s="198">
        <f>_xll.qlInterestRateIndexValueDate(IborIndex,X1809,Trigger)</f>
        <v>51844</v>
      </c>
      <c r="Z1809" s="199">
        <v>2.7050176161227475E-2</v>
      </c>
      <c r="AA1809" s="201">
        <v>2.7022657753690282E-2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51847</v>
      </c>
      <c r="Y1810" s="198">
        <f>_xll.qlInterestRateIndexValueDate(IborIndex,X1810,Trigger)</f>
        <v>51851</v>
      </c>
      <c r="Z1810" s="199">
        <v>2.7048605555832057E-2</v>
      </c>
      <c r="AA1810" s="201">
        <v>2.7021077723343723E-2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51854</v>
      </c>
      <c r="Y1811" s="198">
        <f>_xll.qlInterestRateIndexValueDate(IborIndex,X1811,Trigger)</f>
        <v>51858</v>
      </c>
      <c r="Z1811" s="199">
        <v>2.70470419432997E-2</v>
      </c>
      <c r="AA1811" s="201">
        <v>2.7020860564146432E-2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51862</v>
      </c>
      <c r="Y1812" s="198">
        <f>_xll.qlInterestRateIndexValueDate(IborIndex,X1812,Trigger)</f>
        <v>51866</v>
      </c>
      <c r="Z1812" s="199">
        <v>2.7045263520234116E-2</v>
      </c>
      <c r="AA1812" s="201">
        <v>2.7019297243180418E-2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51869</v>
      </c>
      <c r="Y1813" s="198">
        <f>_xll.qlInterestRateIndexValueDate(IborIndex,X1813,Trigger)</f>
        <v>51873</v>
      </c>
      <c r="Z1813" s="199">
        <v>2.7043714892399113E-2</v>
      </c>
      <c r="AA1813" s="201">
        <v>2.7016157335006952E-2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51876</v>
      </c>
      <c r="Y1814" s="198">
        <f>_xll.qlInterestRateIndexValueDate(IborIndex,X1814,Trigger)</f>
        <v>51880</v>
      </c>
      <c r="Z1814" s="199">
        <v>2.7042173257416861E-2</v>
      </c>
      <c r="AA1814" s="201">
        <v>2.7014606209219139E-2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51883</v>
      </c>
      <c r="Y1815" s="198">
        <f>_xll.qlInterestRateIndexValueDate(IborIndex,X1815,Trigger)</f>
        <v>51887</v>
      </c>
      <c r="Z1815" s="199">
        <v>2.704063861528478E-2</v>
      </c>
      <c r="AA1815" s="201">
        <v>2.7013062060250448E-2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51890</v>
      </c>
      <c r="Y1816" s="198">
        <f>_xll.qlInterestRateIndexValueDate(IborIndex,X1816,Trigger)</f>
        <v>51894</v>
      </c>
      <c r="Z1816" s="199">
        <v>2.7039110966005444E-2</v>
      </c>
      <c r="AA1816" s="201">
        <v>2.7011524888260752E-2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51897</v>
      </c>
      <c r="Y1817" s="198">
        <f>_xll.qlInterestRateIndexValueDate(IborIndex,X1817,Trigger)</f>
        <v>51901</v>
      </c>
      <c r="Z1817" s="199">
        <v>2.7034871076220744E-2</v>
      </c>
      <c r="AA1817" s="201">
        <v>2.7009994693090178E-2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51904</v>
      </c>
      <c r="Y1818" s="198">
        <f>_xll.qlInterestRateIndexValueDate(IborIndex,X1818,Trigger)</f>
        <v>51908</v>
      </c>
      <c r="Z1818" s="199">
        <v>2.7033356255106483E-2</v>
      </c>
      <c r="AA1818" s="201">
        <v>2.7008471474978535E-2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51911</v>
      </c>
      <c r="Y1819" s="198">
        <f>_xll.qlInterestRateIndexValueDate(IborIndex,X1819,Trigger)</f>
        <v>51915</v>
      </c>
      <c r="Z1819" s="199">
        <v>2.7031848425239806E-2</v>
      </c>
      <c r="AA1819" s="201">
        <v>2.7006955233686014E-2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51918</v>
      </c>
      <c r="Y1820" s="198">
        <f>_xll.qlInterestRateIndexValueDate(IborIndex,X1820,Trigger)</f>
        <v>51922</v>
      </c>
      <c r="Z1820" s="199">
        <v>2.7030347586620707E-2</v>
      </c>
      <c r="AA1820" s="201">
        <v>2.7005445969452424E-2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51925</v>
      </c>
      <c r="Y1821" s="198">
        <f>_xll.qlInterestRateIndexValueDate(IborIndex,X1821,Trigger)</f>
        <v>51929</v>
      </c>
      <c r="Z1821" s="199">
        <v>2.7035210596293373E-2</v>
      </c>
      <c r="AA1821" s="201">
        <v>2.7003943682037956E-2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51932</v>
      </c>
      <c r="Y1822" s="198">
        <f>_xll.qlInterestRateIndexValueDate(IborIndex,X1822,Trigger)</f>
        <v>51936</v>
      </c>
      <c r="Z1822" s="199">
        <v>2.7030091919976722E-2</v>
      </c>
      <c r="AA1822" s="201">
        <v>2.7002448371682419E-2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51939</v>
      </c>
      <c r="Y1823" s="198">
        <f>_xll.qlInterestRateIndexValueDate(IborIndex,X1823,Trigger)</f>
        <v>51943</v>
      </c>
      <c r="Z1823" s="199">
        <v>2.7028613220558328E-2</v>
      </c>
      <c r="AA1823" s="201">
        <v>2.7000960038146005E-2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51946</v>
      </c>
      <c r="Y1824" s="198">
        <f>_xll.qlInterestRateIndexValueDate(IborIndex,X1824,Trigger)</f>
        <v>51950</v>
      </c>
      <c r="Z1824" s="199">
        <v>2.7027141513966894E-2</v>
      </c>
      <c r="AA1824" s="201">
        <v>2.6999478681588585E-2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51953</v>
      </c>
      <c r="Y1825" s="198">
        <f>_xll.qlInterestRateIndexValueDate(IborIndex,X1825,Trigger)</f>
        <v>51957</v>
      </c>
      <c r="Z1825" s="199">
        <v>2.7024767204869349E-2</v>
      </c>
      <c r="AA1825" s="201">
        <v>2.7001634053549495E-2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51964</v>
      </c>
      <c r="Y1826" s="198">
        <f>_xll.qlInterestRateIndexValueDate(IborIndex,X1826,Trigger)</f>
        <v>51966</v>
      </c>
      <c r="Z1826" s="199">
        <v>2.702471405173712E-2</v>
      </c>
      <c r="AA1826" s="201">
        <v>2.6995701515888371E-2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51971</v>
      </c>
      <c r="Y1827" s="198">
        <f>_xll.qlInterestRateIndexValueDate(IborIndex,X1827,Trigger)</f>
        <v>51973</v>
      </c>
      <c r="Z1827" s="199">
        <v>2.7023265712458611E-2</v>
      </c>
      <c r="AA1827" s="201">
        <v>2.6994245076918943E-2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51978</v>
      </c>
      <c r="Y1828" s="198">
        <f>_xll.qlInterestRateIndexValueDate(IborIndex,X1828,Trigger)</f>
        <v>51980</v>
      </c>
      <c r="Z1828" s="199">
        <v>2.7022735411524387E-2</v>
      </c>
      <c r="AA1828" s="201">
        <v>2.6992795614928511E-2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51985</v>
      </c>
      <c r="Y1829" s="198">
        <f>_xll.qlInterestRateIndexValueDate(IborIndex,X1829,Trigger)</f>
        <v>51987</v>
      </c>
      <c r="Z1829" s="199">
        <v>2.7020390013929307E-2</v>
      </c>
      <c r="AA1829" s="201">
        <v>2.6991147630059942E-2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51992</v>
      </c>
      <c r="Y1830" s="198">
        <f>_xll.qlInterestRateIndexValueDate(IborIndex,X1830,Trigger)</f>
        <v>51994</v>
      </c>
      <c r="Z1830" s="199">
        <v>2.7018962654678513E-2</v>
      </c>
      <c r="AA1830" s="201">
        <v>2.6989917621644821E-2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51999</v>
      </c>
      <c r="Y1831" s="198">
        <f>_xll.qlInterestRateIndexValueDate(IborIndex,X1831,Trigger)</f>
        <v>52001</v>
      </c>
      <c r="Z1831" s="199">
        <v>2.701754228876363E-2</v>
      </c>
      <c r="AA1831" s="201">
        <v>2.6988489090511436E-2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52006</v>
      </c>
      <c r="Y1832" s="198">
        <f>_xll.qlInterestRateIndexValueDate(IborIndex,X1832,Trigger)</f>
        <v>52008</v>
      </c>
      <c r="Z1832" s="199">
        <v>2.7016128916182158E-2</v>
      </c>
      <c r="AA1832" s="201">
        <v>2.6986865026588092E-2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52013</v>
      </c>
      <c r="Y1833" s="198">
        <f>_xll.qlInterestRateIndexValueDate(IborIndex,X1833,Trigger)</f>
        <v>52015</v>
      </c>
      <c r="Z1833" s="199">
        <v>2.7014722536934099E-2</v>
      </c>
      <c r="AA1833" s="201">
        <v>2.6985652958781969E-2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52020</v>
      </c>
      <c r="Y1834" s="198">
        <f>_xll.qlInterestRateIndexValueDate(IborIndex,X1834,Trigger)</f>
        <v>52022</v>
      </c>
      <c r="Z1834" s="199">
        <v>2.7013323151016955E-2</v>
      </c>
      <c r="AA1834" s="201">
        <v>2.698424535834576E-2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52027</v>
      </c>
      <c r="Y1835" s="198">
        <f>_xll.qlInterestRateIndexValueDate(IborIndex,X1835,Trigger)</f>
        <v>52029</v>
      </c>
      <c r="Z1835" s="199">
        <v>2.7011930758425728E-2</v>
      </c>
      <c r="AA1835" s="201">
        <v>2.6982844734808609E-2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52034</v>
      </c>
      <c r="Y1836" s="198">
        <f>_xll.qlInterestRateIndexValueDate(IborIndex,X1836,Trigger)</f>
        <v>52036</v>
      </c>
      <c r="Z1836" s="199">
        <v>2.7010545359160421E-2</v>
      </c>
      <c r="AA1836" s="201">
        <v>2.6981451088330388E-2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52041</v>
      </c>
      <c r="Y1837" s="198">
        <f>_xll.qlInterestRateIndexValueDate(IborIndex,X1837,Trigger)</f>
        <v>52043</v>
      </c>
      <c r="Z1837" s="199">
        <v>2.7009166953213537E-2</v>
      </c>
      <c r="AA1837" s="201">
        <v>2.698006441867129E-2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52048</v>
      </c>
      <c r="Y1838" s="198">
        <f>_xll.qlInterestRateIndexValueDate(IborIndex,X1838,Trigger)</f>
        <v>52050</v>
      </c>
      <c r="Z1838" s="199">
        <v>2.7007795540587576E-2</v>
      </c>
      <c r="AA1838" s="201">
        <v>2.6978684725991187E-2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52055</v>
      </c>
      <c r="Y1839" s="198">
        <f>_xll.qlInterestRateIndexValueDate(IborIndex,X1839,Trigger)</f>
        <v>52057</v>
      </c>
      <c r="Z1839" s="199">
        <v>2.7006431121277541E-2</v>
      </c>
      <c r="AA1839" s="201">
        <v>2.6977312010130206E-2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52062</v>
      </c>
      <c r="Y1840" s="198">
        <f>_xll.qlInterestRateIndexValueDate(IborIndex,X1840,Trigger)</f>
        <v>52064</v>
      </c>
      <c r="Z1840" s="199">
        <v>2.7005073695283432E-2</v>
      </c>
      <c r="AA1840" s="201">
        <v>2.6975946271328155E-2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52069</v>
      </c>
      <c r="Y1841" s="198">
        <f>_xll.qlInterestRateIndexValueDate(IborIndex,X1841,Trigger)</f>
        <v>52071</v>
      </c>
      <c r="Z1841" s="199">
        <v>2.7004639445252273E-2</v>
      </c>
      <c r="AA1841" s="201">
        <v>2.6974587509425163E-2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52076</v>
      </c>
      <c r="Y1842" s="198">
        <f>_xll.qlInterestRateIndexValueDate(IborIndex,X1842,Trigger)</f>
        <v>52078</v>
      </c>
      <c r="Z1842" s="199">
        <v>2.6999630581529484E-2</v>
      </c>
      <c r="AA1842" s="201">
        <v>2.697323572442123E-2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52083</v>
      </c>
      <c r="Y1843" s="198">
        <f>_xll.qlInterestRateIndexValueDate(IborIndex,X1843,Trigger)</f>
        <v>52085</v>
      </c>
      <c r="Z1843" s="199">
        <v>2.7001043377159195E-2</v>
      </c>
      <c r="AA1843" s="201">
        <v>2.6971890916396291E-2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52090</v>
      </c>
      <c r="Y1844" s="198">
        <f>_xll.qlInterestRateIndexValueDate(IborIndex,X1844,Trigger)</f>
        <v>52092</v>
      </c>
      <c r="Z1844" s="199">
        <v>2.6999713924396318E-2</v>
      </c>
      <c r="AA1844" s="201">
        <v>2.697055308527041E-2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52097</v>
      </c>
      <c r="Y1845" s="198">
        <f>_xll.qlInterestRateIndexValueDate(IborIndex,X1845,Trigger)</f>
        <v>52099</v>
      </c>
      <c r="Z1845" s="199">
        <v>2.6998391464934379E-2</v>
      </c>
      <c r="AA1845" s="201">
        <v>2.6969032678509919E-2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52104</v>
      </c>
      <c r="Y1846" s="198">
        <f>_xll.qlInterestRateIndexValueDate(IborIndex,X1846,Trigger)</f>
        <v>52106</v>
      </c>
      <c r="Z1846" s="199">
        <v>2.6997075998770881E-2</v>
      </c>
      <c r="AA1846" s="201">
        <v>2.6967898353715825E-2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52111</v>
      </c>
      <c r="Y1847" s="198">
        <f>_xll.qlInterestRateIndexValueDate(IborIndex,X1847,Trigger)</f>
        <v>52113</v>
      </c>
      <c r="Z1847" s="199">
        <v>2.6995767525905823E-2</v>
      </c>
      <c r="AA1847" s="201">
        <v>2.6966581453446992E-2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52118</v>
      </c>
      <c r="Y1848" s="198">
        <f>_xll.qlInterestRateIndexValueDate(IborIndex,X1848,Trigger)</f>
        <v>52120</v>
      </c>
      <c r="Z1848" s="199">
        <v>2.6995385032435596E-2</v>
      </c>
      <c r="AA1848" s="201">
        <v>2.6965271529997281E-2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52125</v>
      </c>
      <c r="Y1849" s="198">
        <f>_xll.qlInterestRateIndexValueDate(IborIndex,X1849,Trigger)</f>
        <v>52127</v>
      </c>
      <c r="Z1849" s="199">
        <v>2.6993171560053542E-2</v>
      </c>
      <c r="AA1849" s="201">
        <v>2.6963968583526565E-2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52132</v>
      </c>
      <c r="Y1850" s="198">
        <f>_xll.qlInterestRateIndexValueDate(IborIndex,X1850,Trigger)</f>
        <v>52134</v>
      </c>
      <c r="Z1850" s="199">
        <v>2.699188406706382E-2</v>
      </c>
      <c r="AA1850" s="201">
        <v>2.6962672613954908E-2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52139</v>
      </c>
      <c r="Y1851" s="198">
        <f>_xll.qlInterestRateIndexValueDate(IborIndex,X1851,Trigger)</f>
        <v>52141</v>
      </c>
      <c r="Z1851" s="199">
        <v>2.699060356736005E-2</v>
      </c>
      <c r="AA1851" s="201">
        <v>2.6961383621362245E-2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52146</v>
      </c>
      <c r="Y1852" s="198">
        <f>_xll.qlInterestRateIndexValueDate(IborIndex,X1852,Trigger)</f>
        <v>52148</v>
      </c>
      <c r="Z1852" s="199">
        <v>2.6989330060942229E-2</v>
      </c>
      <c r="AA1852" s="201">
        <v>2.696010160566864E-2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52153</v>
      </c>
      <c r="Y1853" s="198">
        <f>_xll.qlInterestRateIndexValueDate(IborIndex,X1853,Trigger)</f>
        <v>52155</v>
      </c>
      <c r="Z1853" s="199">
        <v>2.6988063547805363E-2</v>
      </c>
      <c r="AA1853" s="201">
        <v>2.6958826566954031E-2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52160</v>
      </c>
      <c r="Y1854" s="198">
        <f>_xll.qlInterestRateIndexValueDate(IborIndex,X1854,Trigger)</f>
        <v>52162</v>
      </c>
      <c r="Z1854" s="199">
        <v>2.6986804027946953E-2</v>
      </c>
      <c r="AA1854" s="201">
        <v>2.6957558505138479E-2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52167</v>
      </c>
      <c r="Y1855" s="198">
        <f>_xll.qlInterestRateIndexValueDate(IborIndex,X1855,Trigger)</f>
        <v>52169</v>
      </c>
      <c r="Z1855" s="199">
        <v>2.6982786563346475E-2</v>
      </c>
      <c r="AA1855" s="201">
        <v>2.6956297420221986E-2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52174</v>
      </c>
      <c r="Y1856" s="198">
        <f>_xll.qlInterestRateIndexValueDate(IborIndex,X1856,Trigger)</f>
        <v>52176</v>
      </c>
      <c r="Z1856" s="199">
        <v>2.6984305968065503E-2</v>
      </c>
      <c r="AA1856" s="201">
        <v>2.6955043312284488E-2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52181</v>
      </c>
      <c r="Y1857" s="198">
        <f>_xll.qlInterestRateIndexValueDate(IborIndex,X1857,Trigger)</f>
        <v>52183</v>
      </c>
      <c r="Z1857" s="199">
        <v>2.6983067428037466E-2</v>
      </c>
      <c r="AA1857" s="201">
        <v>2.6953796181166112E-2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52188</v>
      </c>
      <c r="Y1858" s="198">
        <f>_xll.qlInterestRateIndexValueDate(IborIndex,X1858,Trigger)</f>
        <v>52190</v>
      </c>
      <c r="Z1858" s="199">
        <v>2.6981835881277894E-2</v>
      </c>
      <c r="AA1858" s="201">
        <v>2.6952556027106667E-2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52195</v>
      </c>
      <c r="Y1859" s="198">
        <f>_xll.qlInterestRateIndexValueDate(IborIndex,X1859,Trigger)</f>
        <v>52198</v>
      </c>
      <c r="Z1859" s="199">
        <v>2.6981360464579461E-2</v>
      </c>
      <c r="AA1859" s="201">
        <v>2.6951147251210728E-2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52202</v>
      </c>
      <c r="Y1860" s="198">
        <f>_xll.qlInterestRateIndexValueDate(IborIndex,X1860,Trigger)</f>
        <v>52204</v>
      </c>
      <c r="Z1860" s="199">
        <v>2.6979393767559146E-2</v>
      </c>
      <c r="AA1860" s="201">
        <v>2.6950096649605015E-2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52209</v>
      </c>
      <c r="Y1861" s="198">
        <f>_xll.qlInterestRateIndexValueDate(IborIndex,X1861,Trigger)</f>
        <v>52211</v>
      </c>
      <c r="Z1861" s="199">
        <v>2.6978183200597472E-2</v>
      </c>
      <c r="AA1861" s="201">
        <v>2.6948877426322682E-2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52216</v>
      </c>
      <c r="Y1862" s="198">
        <f>_xll.qlInterestRateIndexValueDate(IborIndex,X1862,Trigger)</f>
        <v>52218</v>
      </c>
      <c r="Z1862" s="199">
        <v>2.6977904297534782E-2</v>
      </c>
      <c r="AA1862" s="201">
        <v>2.6947665179939406E-2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52223</v>
      </c>
      <c r="Y1863" s="198">
        <f>_xll.qlInterestRateIndexValueDate(IborIndex,X1863,Trigger)</f>
        <v>52229</v>
      </c>
      <c r="Z1863" s="199">
        <v>2.697417719619661E-2</v>
      </c>
      <c r="AA1863" s="201">
        <v>2.6947039622093882E-2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52230</v>
      </c>
      <c r="Y1864" s="198">
        <f>_xll.qlInterestRateIndexValueDate(IborIndex,X1864,Trigger)</f>
        <v>52233</v>
      </c>
      <c r="Z1864" s="199">
        <v>2.6973498624633798E-2</v>
      </c>
      <c r="AA1864" s="201">
        <v>2.6945091002827937E-2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52237</v>
      </c>
      <c r="Y1865" s="198">
        <f>_xll.qlInterestRateIndexValueDate(IborIndex,X1865,Trigger)</f>
        <v>52239</v>
      </c>
      <c r="Z1865" s="199">
        <v>2.6973410865347991E-2</v>
      </c>
      <c r="AA1865" s="201">
        <v>2.6944070302343803E-2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52244</v>
      </c>
      <c r="Y1866" s="198">
        <f>_xll.qlInterestRateIndexValueDate(IborIndex,X1866,Trigger)</f>
        <v>52246</v>
      </c>
      <c r="Z1866" s="199">
        <v>2.6973161578449444E-2</v>
      </c>
      <c r="AA1866" s="201">
        <v>2.6942885963636698E-2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52251</v>
      </c>
      <c r="Y1867" s="198">
        <f>_xll.qlInterestRateIndexValueDate(IborIndex,X1867,Trigger)</f>
        <v>52253</v>
      </c>
      <c r="Z1867" s="199">
        <v>2.6971066657242859E-2</v>
      </c>
      <c r="AA1867" s="201">
        <v>2.6941708601908587E-2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52258</v>
      </c>
      <c r="Y1868" s="198">
        <f>_xll.qlInterestRateIndexValueDate(IborIndex,X1868,Trigger)</f>
        <v>52260</v>
      </c>
      <c r="Z1868" s="199">
        <v>2.6967124141170716E-2</v>
      </c>
      <c r="AA1868" s="201">
        <v>2.6940538216999599E-2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52265</v>
      </c>
      <c r="Y1869" s="198">
        <f>_xll.qlInterestRateIndexValueDate(IborIndex,X1869,Trigger)</f>
        <v>52267</v>
      </c>
      <c r="Z1869" s="199">
        <v>2.6965041072173027E-2</v>
      </c>
      <c r="AA1869" s="201">
        <v>2.6939374809069605E-2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52272</v>
      </c>
      <c r="Y1870" s="198">
        <f>_xll.qlInterestRateIndexValueDate(IborIndex,X1870,Trigger)</f>
        <v>52274</v>
      </c>
      <c r="Z1870" s="199">
        <v>2.696389179044039E-2</v>
      </c>
      <c r="AA1870" s="201">
        <v>2.6938218378198542E-2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52279</v>
      </c>
      <c r="Y1871" s="198">
        <f>_xll.qlInterestRateIndexValueDate(IborIndex,X1871,Trigger)</f>
        <v>52281</v>
      </c>
      <c r="Z1871" s="199">
        <v>2.6962749499838283E-2</v>
      </c>
      <c r="AA1871" s="201">
        <v>2.6937068924146601E-2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52286</v>
      </c>
      <c r="Y1872" s="198">
        <f>_xll.qlInterestRateIndexValueDate(IborIndex,X1872,Trigger)</f>
        <v>52288</v>
      </c>
      <c r="Z1872" s="199">
        <v>2.696161420037527E-2</v>
      </c>
      <c r="AA1872" s="201">
        <v>2.6935926446993719E-2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52293</v>
      </c>
      <c r="Y1873" s="198">
        <f>_xll.qlInterestRateIndexValueDate(IborIndex,X1873,Trigger)</f>
        <v>52295</v>
      </c>
      <c r="Z1873" s="199">
        <v>2.6964201870831039E-2</v>
      </c>
      <c r="AA1873" s="201">
        <v>2.6934790946819831E-2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52300</v>
      </c>
      <c r="Y1874" s="198">
        <f>_xll.qlInterestRateIndexValueDate(IborIndex,X1874,Trigger)</f>
        <v>52302</v>
      </c>
      <c r="Z1874" s="199">
        <v>2.6963082216102108E-2</v>
      </c>
      <c r="AA1874" s="201">
        <v>2.6933662423624938E-2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52307</v>
      </c>
      <c r="Y1875" s="198">
        <f>_xll.qlInterestRateIndexValueDate(IborIndex,X1875,Trigger)</f>
        <v>52309</v>
      </c>
      <c r="Z1875" s="199">
        <v>2.6961969554601672E-2</v>
      </c>
      <c r="AA1875" s="201">
        <v>2.6932540877249167E-2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52314</v>
      </c>
      <c r="Y1876" s="198">
        <f>_xll.qlInterestRateIndexValueDate(IborIndex,X1876,Trigger)</f>
        <v>52316</v>
      </c>
      <c r="Z1876" s="199">
        <v>2.6960863886334729E-2</v>
      </c>
      <c r="AA1876" s="201">
        <v>2.6931109140919673E-2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52321</v>
      </c>
      <c r="Y1877" s="198">
        <f>_xll.qlInterestRateIndexValueDate(IborIndex,X1877,Trigger)</f>
        <v>52323</v>
      </c>
      <c r="Z1877" s="199">
        <v>2.6960696087184776E-2</v>
      </c>
      <c r="AA1877" s="201">
        <v>2.6930318715434609E-2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52328</v>
      </c>
      <c r="Y1878" s="198">
        <f>_xll.qlInterestRateIndexValueDate(IborIndex,X1878,Trigger)</f>
        <v>52330</v>
      </c>
      <c r="Z1878" s="199">
        <v>2.6958673529486332E-2</v>
      </c>
      <c r="AA1878" s="201">
        <v>2.692921809983595E-2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52335</v>
      </c>
      <c r="Y1879" s="198">
        <f>_xll.qlInterestRateIndexValueDate(IborIndex,X1879,Trigger)</f>
        <v>52337</v>
      </c>
      <c r="Z1879" s="199">
        <v>2.695758884090238E-2</v>
      </c>
      <c r="AA1879" s="201">
        <v>2.6928124461216285E-2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52342</v>
      </c>
      <c r="Y1880" s="198">
        <f>_xll.qlInterestRateIndexValueDate(IborIndex,X1880,Trigger)</f>
        <v>52344</v>
      </c>
      <c r="Z1880" s="199">
        <v>2.6957443276695935E-2</v>
      </c>
      <c r="AA1880" s="201">
        <v>2.6927037799575615E-2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52349</v>
      </c>
      <c r="Y1881" s="198">
        <f>_xll.qlInterestRateIndexValueDate(IborIndex,X1881,Trigger)</f>
        <v>52351</v>
      </c>
      <c r="Z1881" s="199">
        <v>2.6952643310539561E-2</v>
      </c>
      <c r="AA1881" s="201">
        <v>2.6925804443678203E-2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52356</v>
      </c>
      <c r="Y1882" s="198">
        <f>_xll.qlInterestRateIndexValueDate(IborIndex,X1882,Trigger)</f>
        <v>52358</v>
      </c>
      <c r="Z1882" s="199">
        <v>2.6954376734479035E-2</v>
      </c>
      <c r="AA1882" s="201">
        <v>2.692488540699145E-2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52363</v>
      </c>
      <c r="Y1883" s="198">
        <f>_xll.qlInterestRateIndexValueDate(IborIndex,X1883,Trigger)</f>
        <v>52365</v>
      </c>
      <c r="Z1883" s="199">
        <v>2.6953320018774096E-2</v>
      </c>
      <c r="AA1883" s="201">
        <v>2.6923819676127891E-2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52370</v>
      </c>
      <c r="Y1884" s="198">
        <f>_xll.qlInterestRateIndexValueDate(IborIndex,X1884,Trigger)</f>
        <v>52372</v>
      </c>
      <c r="Z1884" s="199">
        <v>2.6952270296285163E-2</v>
      </c>
      <c r="AA1884" s="201">
        <v>2.6922610241015832E-2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52377</v>
      </c>
      <c r="Y1885" s="198">
        <f>_xll.qlInterestRateIndexValueDate(IborIndex,X1885,Trigger)</f>
        <v>52379</v>
      </c>
      <c r="Z1885" s="199">
        <v>2.6951227567009739E-2</v>
      </c>
      <c r="AA1885" s="201">
        <v>2.6921709145018013E-2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52384</v>
      </c>
      <c r="Y1886" s="198">
        <f>_xll.qlInterestRateIndexValueDate(IborIndex,X1886,Trigger)</f>
        <v>52386</v>
      </c>
      <c r="Z1886" s="199">
        <v>2.6950191830947823E-2</v>
      </c>
      <c r="AA1886" s="201">
        <v>2.692066434485163E-2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52391</v>
      </c>
      <c r="Y1887" s="198">
        <f>_xll.qlInterestRateIndexValueDate(IborIndex,X1887,Trigger)</f>
        <v>52393</v>
      </c>
      <c r="Z1887" s="199">
        <v>2.6949163088091921E-2</v>
      </c>
      <c r="AA1887" s="201">
        <v>2.6919626521744178E-2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52398</v>
      </c>
      <c r="Y1888" s="198">
        <f>_xll.qlInterestRateIndexValueDate(IborIndex,X1888,Trigger)</f>
        <v>52400</v>
      </c>
      <c r="Z1888" s="199">
        <v>2.6948141338444531E-2</v>
      </c>
      <c r="AA1888" s="201">
        <v>2.6918595675375911E-2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52405</v>
      </c>
      <c r="Y1889" s="198">
        <f>_xll.qlInterestRateIndexValueDate(IborIndex,X1889,Trigger)</f>
        <v>52407</v>
      </c>
      <c r="Z1889" s="199">
        <v>2.6947126582005654E-2</v>
      </c>
      <c r="AA1889" s="201">
        <v>2.6917571806066576E-2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52412</v>
      </c>
      <c r="Y1890" s="198">
        <f>_xll.qlInterestRateIndexValueDate(IborIndex,X1890,Trigger)</f>
        <v>52414</v>
      </c>
      <c r="Z1890" s="199">
        <v>2.6946118818767795E-2</v>
      </c>
      <c r="AA1890" s="201">
        <v>2.6916554913656299E-2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52419</v>
      </c>
      <c r="Y1891" s="198">
        <f>_xll.qlInterestRateIndexValueDate(IborIndex,X1891,Trigger)</f>
        <v>52421</v>
      </c>
      <c r="Z1891" s="199">
        <v>2.6945118048733452E-2</v>
      </c>
      <c r="AA1891" s="201">
        <v>2.6915544998225016E-2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52426</v>
      </c>
      <c r="Y1892" s="198">
        <f>_xll.qlInterestRateIndexValueDate(IborIndex,X1892,Trigger)</f>
        <v>52428</v>
      </c>
      <c r="Z1892" s="199">
        <v>2.6944124271897629E-2</v>
      </c>
      <c r="AA1892" s="201">
        <v>2.6914542059692792E-2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52433</v>
      </c>
      <c r="Y1893" s="198">
        <f>_xll.qlInterestRateIndexValueDate(IborIndex,X1893,Trigger)</f>
        <v>52435</v>
      </c>
      <c r="Z1893" s="199">
        <v>2.6943137488257829E-2</v>
      </c>
      <c r="AA1893" s="201">
        <v>2.691354609797969E-2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52440</v>
      </c>
      <c r="Y1894" s="198">
        <f>_xll.qlInterestRateIndexValueDate(IborIndex,X1894,Trigger)</f>
        <v>52442</v>
      </c>
      <c r="Z1894" s="199">
        <v>2.6939344067323904E-2</v>
      </c>
      <c r="AA1894" s="201">
        <v>2.6912557113325519E-2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52447</v>
      </c>
      <c r="Y1895" s="198">
        <f>_xll.qlInterestRateIndexValueDate(IborIndex,X1895,Trigger)</f>
        <v>52449</v>
      </c>
      <c r="Z1895" s="199">
        <v>2.6942123379049707E-2</v>
      </c>
      <c r="AA1895" s="201">
        <v>2.6911575105570407E-2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52454</v>
      </c>
      <c r="Y1896" s="198">
        <f>_xll.qlInterestRateIndexValueDate(IborIndex,X1896,Trigger)</f>
        <v>52456</v>
      </c>
      <c r="Z1896" s="199">
        <v>2.6940219096519558E-2</v>
      </c>
      <c r="AA1896" s="201">
        <v>2.6910600074634417E-2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52461</v>
      </c>
      <c r="Y1897" s="198">
        <f>_xll.qlInterestRateIndexValueDate(IborIndex,X1897,Trigger)</f>
        <v>52463</v>
      </c>
      <c r="Z1897" s="199">
        <v>2.6939260285656352E-2</v>
      </c>
      <c r="AA1897" s="201">
        <v>2.6909632020757357E-2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52468</v>
      </c>
      <c r="Y1898" s="198">
        <f>_xll.qlInterestRateIndexValueDate(IborIndex,X1898,Trigger)</f>
        <v>52470</v>
      </c>
      <c r="Z1898" s="199">
        <v>2.6938308467984173E-2</v>
      </c>
      <c r="AA1898" s="201">
        <v>2.6908534216589786E-2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52475</v>
      </c>
      <c r="Y1899" s="198">
        <f>_xll.qlInterestRateIndexValueDate(IborIndex,X1899,Trigger)</f>
        <v>52477</v>
      </c>
      <c r="Z1899" s="199">
        <v>2.6937363643495527E-2</v>
      </c>
      <c r="AA1899" s="201">
        <v>2.6907716843620477E-2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52482</v>
      </c>
      <c r="Y1900" s="198">
        <f>_xll.qlInterestRateIndexValueDate(IborIndex,X1900,Trigger)</f>
        <v>52484</v>
      </c>
      <c r="Z1900" s="199">
        <v>2.6937366432717109E-2</v>
      </c>
      <c r="AA1900" s="201">
        <v>2.6906769720520529E-2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52489</v>
      </c>
      <c r="Y1901" s="198">
        <f>_xll.qlInterestRateIndexValueDate(IborIndex,X1901,Trigger)</f>
        <v>52491</v>
      </c>
      <c r="Z1901" s="199">
        <v>2.693549497408132E-2</v>
      </c>
      <c r="AA1901" s="201">
        <v>2.690582957431964E-2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52496</v>
      </c>
      <c r="Y1902" s="198">
        <f>_xll.qlInterestRateIndexValueDate(IborIndex,X1902,Trigger)</f>
        <v>52498</v>
      </c>
      <c r="Z1902" s="199">
        <v>2.6934571129145768E-2</v>
      </c>
      <c r="AA1902" s="201">
        <v>2.6904896405017809E-2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52503</v>
      </c>
      <c r="Y1903" s="198">
        <f>_xll.qlInterestRateIndexValueDate(IborIndex,X1903,Trigger)</f>
        <v>52505</v>
      </c>
      <c r="Z1903" s="199">
        <v>2.693365427739125E-2</v>
      </c>
      <c r="AA1903" s="201">
        <v>2.6903970212694972E-2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52510</v>
      </c>
      <c r="Y1904" s="198">
        <f>_xll.qlInterestRateIndexValueDate(IborIndex,X1904,Trigger)</f>
        <v>52512</v>
      </c>
      <c r="Z1904" s="199">
        <v>2.6932744418817767E-2</v>
      </c>
      <c r="AA1904" s="201">
        <v>2.6903050997191258E-2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52517</v>
      </c>
      <c r="Y1905" s="198">
        <f>_xll.qlInterestRateIndexValueDate(IborIndex,X1905,Trigger)</f>
        <v>52519</v>
      </c>
      <c r="Z1905" s="199">
        <v>2.6931841553420321E-2</v>
      </c>
      <c r="AA1905" s="201">
        <v>2.6902138758666538E-2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52524</v>
      </c>
      <c r="Y1906" s="198">
        <f>_xll.qlInterestRateIndexValueDate(IborIndex,X1906,Trigger)</f>
        <v>52526</v>
      </c>
      <c r="Z1906" s="199">
        <v>2.6930945681196417E-2</v>
      </c>
      <c r="AA1906" s="201">
        <v>2.6901233497040877E-2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52531</v>
      </c>
      <c r="Y1907" s="198">
        <f>_xll.qlInterestRateIndexValueDate(IborIndex,X1907,Trigger)</f>
        <v>52533</v>
      </c>
      <c r="Z1907" s="199">
        <v>2.6930056802146052E-2</v>
      </c>
      <c r="AA1907" s="201">
        <v>2.6900335212394211E-2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52538</v>
      </c>
      <c r="Y1908" s="198">
        <f>_xll.qlInterestRateIndexValueDate(IborIndex,X1908,Trigger)</f>
        <v>52540</v>
      </c>
      <c r="Z1908" s="199">
        <v>2.6929174916271725E-2</v>
      </c>
      <c r="AA1908" s="201">
        <v>2.6899443904646603E-2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52545</v>
      </c>
      <c r="Y1909" s="198">
        <f>_xll.qlInterestRateIndexValueDate(IborIndex,X1909,Trigger)</f>
        <v>52547</v>
      </c>
      <c r="Z1909" s="199">
        <v>2.6928300023563445E-2</v>
      </c>
      <c r="AA1909" s="201">
        <v>2.6898559573877989E-2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52552</v>
      </c>
      <c r="Y1910" s="198">
        <f>_xll.qlInterestRateIndexValueDate(IborIndex,X1910,Trigger)</f>
        <v>52554</v>
      </c>
      <c r="Z1910" s="199">
        <v>2.6927432124026207E-2</v>
      </c>
      <c r="AA1910" s="201">
        <v>2.6897682219928498E-2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52559</v>
      </c>
      <c r="Y1911" s="198">
        <f>_xll.qlInterestRateIndexValueDate(IborIndex,X1911,Trigger)</f>
        <v>52562</v>
      </c>
      <c r="Z1911" s="199">
        <v>2.6926448801902481E-2</v>
      </c>
      <c r="AA1911" s="201">
        <v>2.6896688073003716E-2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52566</v>
      </c>
      <c r="Y1912" s="198">
        <f>_xll.qlInterestRateIndexValueDate(IborIndex,X1912,Trigger)</f>
        <v>52568</v>
      </c>
      <c r="Z1912" s="199">
        <v>2.6925717304452368E-2</v>
      </c>
      <c r="AA1912" s="201">
        <v>2.6895948443046436E-2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52573</v>
      </c>
      <c r="Y1913" s="198">
        <f>_xll.qlInterestRateIndexValueDate(IborIndex,X1913,Trigger)</f>
        <v>52575</v>
      </c>
      <c r="Z1913" s="199">
        <v>2.6924870384410771E-2</v>
      </c>
      <c r="AA1913" s="201">
        <v>2.6895092019874056E-2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52580</v>
      </c>
      <c r="Y1914" s="198">
        <f>_xll.qlInterestRateIndexValueDate(IborIndex,X1914,Trigger)</f>
        <v>52582</v>
      </c>
      <c r="Z1914" s="199">
        <v>2.6924977145574243E-2</v>
      </c>
      <c r="AA1914" s="201">
        <v>2.6894242573680671E-2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52587</v>
      </c>
      <c r="Y1915" s="198">
        <f>_xll.qlInterestRateIndexValueDate(IborIndex,X1915,Trigger)</f>
        <v>52589</v>
      </c>
      <c r="Z1915" s="199">
        <v>2.6923197523813225E-2</v>
      </c>
      <c r="AA1915" s="201">
        <v>2.6893160680465655E-2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52594</v>
      </c>
      <c r="Y1916" s="198">
        <f>_xll.qlInterestRateIndexValueDate(IborIndex,X1916,Trigger)</f>
        <v>52596</v>
      </c>
      <c r="Z1916" s="199">
        <v>2.6919529427257241E-2</v>
      </c>
      <c r="AA1916" s="201">
        <v>2.6892445825570377E-2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52601</v>
      </c>
      <c r="Y1917" s="198">
        <f>_xll.qlInterestRateIndexValueDate(IborIndex,X1917,Trigger)</f>
        <v>52603</v>
      </c>
      <c r="Z1917" s="199">
        <v>2.6921552635854884E-2</v>
      </c>
      <c r="AA1917" s="201">
        <v>2.6891736096734675E-2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52608</v>
      </c>
      <c r="Y1918" s="198">
        <f>_xll.qlInterestRateIndexValueDate(IborIndex,X1918,Trigger)</f>
        <v>52610</v>
      </c>
      <c r="Z1918" s="199">
        <v>2.6921689122108624E-2</v>
      </c>
      <c r="AA1918" s="201">
        <v>2.689091455821746E-2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52615</v>
      </c>
      <c r="Y1919" s="198">
        <f>_xll.qlInterestRateIndexValueDate(IborIndex,X1919,Trigger)</f>
        <v>52617</v>
      </c>
      <c r="Z1919" s="199">
        <v>2.691993572052076E-2</v>
      </c>
      <c r="AA1919" s="201">
        <v>2.689009999667924E-2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52622</v>
      </c>
      <c r="Y1920" s="198">
        <f>_xll.qlInterestRateIndexValueDate(IborIndex,X1920,Trigger)</f>
        <v>52624</v>
      </c>
      <c r="Z1920" s="199">
        <v>2.6919137752584033E-2</v>
      </c>
      <c r="AA1920" s="201">
        <v>2.6889292412040078E-2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52629</v>
      </c>
      <c r="Y1921" s="198">
        <f>_xll.qlInterestRateIndexValueDate(IborIndex,X1921,Trigger)</f>
        <v>52631</v>
      </c>
      <c r="Z1921" s="199">
        <v>2.6915498032555042E-2</v>
      </c>
      <c r="AA1921" s="201">
        <v>2.688849180437991E-2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52636</v>
      </c>
      <c r="Y1922" s="198">
        <f>_xll.qlInterestRateIndexValueDate(IborIndex,X1922,Trigger)</f>
        <v>52638</v>
      </c>
      <c r="Z1922" s="199">
        <v>2.6914712728352684E-2</v>
      </c>
      <c r="AA1922" s="201">
        <v>2.6887698173538865E-2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52643</v>
      </c>
      <c r="Y1923" s="198">
        <f>_xll.qlInterestRateIndexValueDate(IborIndex,X1923,Trigger)</f>
        <v>52645</v>
      </c>
      <c r="Z1923" s="199">
        <v>2.6913934415730058E-2</v>
      </c>
      <c r="AA1923" s="201">
        <v>2.6886911519756751E-2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52650</v>
      </c>
      <c r="Y1924" s="198">
        <f>_xll.qlInterestRateIndexValueDate(IborIndex,X1924,Trigger)</f>
        <v>52652</v>
      </c>
      <c r="Z1924" s="199">
        <v>2.6913163094684403E-2</v>
      </c>
      <c r="AA1924" s="201">
        <v>2.6886131842873695E-2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52657</v>
      </c>
      <c r="Y1925" s="198">
        <f>_xll.qlInterestRateIndexValueDate(IborIndex,X1925,Trigger)</f>
        <v>52659</v>
      </c>
      <c r="Z1925" s="199">
        <v>2.6915252810148782E-2</v>
      </c>
      <c r="AA1925" s="201">
        <v>2.6885359142809762E-2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52664</v>
      </c>
      <c r="Y1926" s="198">
        <f>_xll.qlInterestRateIndexValueDate(IborIndex,X1926,Trigger)</f>
        <v>52666</v>
      </c>
      <c r="Z1926" s="199">
        <v>2.691449680109842E-2</v>
      </c>
      <c r="AA1926" s="201">
        <v>2.6884593419644887E-2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52671</v>
      </c>
      <c r="Y1927" s="198">
        <f>_xll.qlInterestRateIndexValueDate(IborIndex,X1927,Trigger)</f>
        <v>52673</v>
      </c>
      <c r="Z1927" s="199">
        <v>2.6914700199368695E-2</v>
      </c>
      <c r="AA1927" s="201">
        <v>2.6883834673538942E-2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52678</v>
      </c>
      <c r="Y1928" s="198">
        <f>_xll.qlInterestRateIndexValueDate(IborIndex,X1928,Trigger)</f>
        <v>52680</v>
      </c>
      <c r="Z1928" s="199">
        <v>2.6913005762430886E-2</v>
      </c>
      <c r="AA1928" s="201">
        <v>2.6883082904332056E-2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52685</v>
      </c>
      <c r="Y1929" s="198">
        <f>_xll.qlInterestRateIndexValueDate(IborIndex,X1929,Trigger)</f>
        <v>52687</v>
      </c>
      <c r="Z1929" s="199">
        <v>2.6909411363050077E-2</v>
      </c>
      <c r="AA1929" s="201">
        <v>2.6882338112024229E-2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52692</v>
      </c>
      <c r="Y1930" s="198">
        <f>_xll.qlInterestRateIndexValueDate(IborIndex,X1930,Trigger)</f>
        <v>52694</v>
      </c>
      <c r="Z1930" s="199">
        <v>2.6911542696327617E-2</v>
      </c>
      <c r="AA1930" s="201">
        <v>2.6881600296695396E-2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52699</v>
      </c>
      <c r="Y1931" s="198">
        <f>_xll.qlInterestRateIndexValueDate(IborIndex,X1931,Trigger)</f>
        <v>52701</v>
      </c>
      <c r="Z1931" s="199">
        <v>2.691082165297759E-2</v>
      </c>
      <c r="AA1931" s="201">
        <v>2.6880661928752048E-2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52706</v>
      </c>
      <c r="Y1932" s="198">
        <f>_xll.qlInterestRateIndexValueDate(IborIndex,X1932,Trigger)</f>
        <v>52708</v>
      </c>
      <c r="Z1932" s="199">
        <v>2.6910107602768629E-2</v>
      </c>
      <c r="AA1932" s="201">
        <v>2.6880145596734906E-2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52713</v>
      </c>
      <c r="Y1933" s="198">
        <f>_xll.qlInterestRateIndexValueDate(IborIndex,X1933,Trigger)</f>
        <v>52715</v>
      </c>
      <c r="Z1933" s="199">
        <v>2.6910355632550873E-2</v>
      </c>
      <c r="AA1933" s="201">
        <v>2.6879326869488906E-2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52720</v>
      </c>
      <c r="Y1934" s="198">
        <f>_xll.qlInterestRateIndexValueDate(IborIndex,X1934,Trigger)</f>
        <v>52722</v>
      </c>
      <c r="Z1934" s="199">
        <v>2.6908700481751424E-2</v>
      </c>
      <c r="AA1934" s="201">
        <v>2.6878718804370649E-2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52727</v>
      </c>
      <c r="Y1935" s="198">
        <f>_xll.qlInterestRateIndexValueDate(IborIndex,X1935,Trigger)</f>
        <v>52729</v>
      </c>
      <c r="Z1935" s="199">
        <v>2.690800741094318E-2</v>
      </c>
      <c r="AA1935" s="201">
        <v>2.6878015873617045E-2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52734</v>
      </c>
      <c r="Y1936" s="198">
        <f>_xll.qlInterestRateIndexValueDate(IborIndex,X1936,Trigger)</f>
        <v>52736</v>
      </c>
      <c r="Z1936" s="199">
        <v>2.6907321333263512E-2</v>
      </c>
      <c r="AA1936" s="201">
        <v>2.6877319919842435E-2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52741</v>
      </c>
      <c r="Y1937" s="198">
        <f>_xll.qlInterestRateIndexValueDate(IborIndex,X1937,Trigger)</f>
        <v>52743</v>
      </c>
      <c r="Z1937" s="199">
        <v>2.6906642248714918E-2</v>
      </c>
      <c r="AA1937" s="201">
        <v>2.6876533087243359E-2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52748</v>
      </c>
      <c r="Y1938" s="198">
        <f>_xll.qlInterestRateIndexValueDate(IborIndex,X1938,Trigger)</f>
        <v>52750</v>
      </c>
      <c r="Z1938" s="199">
        <v>2.6906927485783202E-2</v>
      </c>
      <c r="AA1938" s="201">
        <v>2.6875948942910455E-2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52755</v>
      </c>
      <c r="Y1939" s="198">
        <f>_xll.qlInterestRateIndexValueDate(IborIndex,X1939,Trigger)</f>
        <v>52757</v>
      </c>
      <c r="Z1939" s="199">
        <v>2.6905305059003459E-2</v>
      </c>
      <c r="AA1939" s="201">
        <v>2.6875273919912956E-2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52762</v>
      </c>
      <c r="Y1940" s="198">
        <f>_xll.qlInterestRateIndexValueDate(IborIndex,X1940,Trigger)</f>
        <v>52764</v>
      </c>
      <c r="Z1940" s="199">
        <v>2.6904646953835598E-2</v>
      </c>
      <c r="AA1940" s="201">
        <v>2.6874605873734581E-2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52769</v>
      </c>
      <c r="Y1941" s="198">
        <f>_xll.qlInterestRateIndexValueDate(IborIndex,X1941,Trigger)</f>
        <v>52771</v>
      </c>
      <c r="Z1941" s="199">
        <v>2.6903995841793815E-2</v>
      </c>
      <c r="AA1941" s="201">
        <v>2.6873944804615135E-2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52776</v>
      </c>
      <c r="Y1942" s="198">
        <f>_xll.qlInterestRateIndexValueDate(IborIndex,X1942,Trigger)</f>
        <v>52778</v>
      </c>
      <c r="Z1942" s="199">
        <v>2.6900474873942742E-2</v>
      </c>
      <c r="AA1942" s="201">
        <v>2.6873290712234876E-2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52783</v>
      </c>
      <c r="Y1943" s="198">
        <f>_xll.qlInterestRateIndexValueDate(IborIndex,X1943,Trigger)</f>
        <v>52785</v>
      </c>
      <c r="Z1943" s="199">
        <v>2.690271459708099E-2</v>
      </c>
      <c r="AA1943" s="201">
        <v>2.6872643596913548E-2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52790</v>
      </c>
      <c r="Y1944" s="198">
        <f>_xll.qlInterestRateIndexValueDate(IborIndex,X1944,Trigger)</f>
        <v>52792</v>
      </c>
      <c r="Z1944" s="199">
        <v>2.6902084464404952E-2</v>
      </c>
      <c r="AA1944" s="201">
        <v>2.6872003458491278E-2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52797</v>
      </c>
      <c r="Y1945" s="198">
        <f>_xll.qlInterestRateIndexValueDate(IborIndex,X1945,Trigger)</f>
        <v>52799</v>
      </c>
      <c r="Z1945" s="199">
        <v>2.6901461324849996E-2</v>
      </c>
      <c r="AA1945" s="201">
        <v>2.6871370296968067E-2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52804</v>
      </c>
      <c r="Y1946" s="198">
        <f>_xll.qlInterestRateIndexValueDate(IborIndex,X1946,Trigger)</f>
        <v>52806</v>
      </c>
      <c r="Z1946" s="199">
        <v>2.6901806120715417E-2</v>
      </c>
      <c r="AA1946" s="201">
        <v>2.687074411242385E-2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52811</v>
      </c>
      <c r="Y1947" s="198">
        <f>_xll.qlInterestRateIndexValueDate(IborIndex,X1947,Trigger)</f>
        <v>52813</v>
      </c>
      <c r="Z1947" s="199">
        <v>2.6901197421476526E-2</v>
      </c>
      <c r="AA1947" s="201">
        <v>2.6870124904778692E-2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52818</v>
      </c>
      <c r="Y1948" s="198">
        <f>_xll.qlInterestRateIndexValueDate(IborIndex,X1948,Trigger)</f>
        <v>52820</v>
      </c>
      <c r="Z1948" s="199">
        <v>2.6899633864894135E-2</v>
      </c>
      <c r="AA1948" s="201">
        <v>2.6869512674032592E-2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52825</v>
      </c>
      <c r="Y1949" s="198">
        <f>_xll.qlInterestRateIndexValueDate(IborIndex,X1949,Trigger)</f>
        <v>52827</v>
      </c>
      <c r="Z1949" s="199">
        <v>2.6899038697808519E-2</v>
      </c>
      <c r="AA1949" s="201">
        <v>2.686890742018555E-2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52832</v>
      </c>
      <c r="Y1950" s="198">
        <f>_xll.qlInterestRateIndexValueDate(IborIndex,X1950,Trigger)</f>
        <v>52834</v>
      </c>
      <c r="Z1950" s="199">
        <v>2.6898450523836492E-2</v>
      </c>
      <c r="AA1950" s="201">
        <v>2.6868224244749328E-2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52839</v>
      </c>
      <c r="Y1951" s="198">
        <f>_xll.qlInterestRateIndexValueDate(IborIndex,X1951,Trigger)</f>
        <v>52841</v>
      </c>
      <c r="Z1951" s="199">
        <v>2.6897869342975556E-2</v>
      </c>
      <c r="AA1951" s="201">
        <v>2.6867717843348515E-2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52846</v>
      </c>
      <c r="Y1952" s="198">
        <f>_xll.qlInterestRateIndexValueDate(IborIndex,X1952,Trigger)</f>
        <v>52848</v>
      </c>
      <c r="Z1952" s="199">
        <v>2.6898258829856789E-2</v>
      </c>
      <c r="AA1952" s="201">
        <v>2.6867133520358522E-2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52853</v>
      </c>
      <c r="Y1953" s="198">
        <f>_xll.qlInterestRateIndexValueDate(IborIndex,X1953,Trigger)</f>
        <v>52855</v>
      </c>
      <c r="Z1953" s="199">
        <v>2.6896727960596944E-2</v>
      </c>
      <c r="AA1953" s="201">
        <v>2.686655617418765E-2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52860</v>
      </c>
      <c r="Y1954" s="198">
        <f>_xll.qlInterestRateIndexValueDate(IborIndex,X1954,Trigger)</f>
        <v>52862</v>
      </c>
      <c r="Z1954" s="199">
        <v>2.6896167759071776E-2</v>
      </c>
      <c r="AA1954" s="201">
        <v>2.6865985804995773E-2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52867</v>
      </c>
      <c r="Y1955" s="198">
        <f>_xll.qlInterestRateIndexValueDate(IborIndex,X1955,Trigger)</f>
        <v>52869</v>
      </c>
      <c r="Z1955" s="199">
        <v>2.68956145506552E-2</v>
      </c>
      <c r="AA1955" s="201">
        <v>2.6865422412702955E-2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52874</v>
      </c>
      <c r="Y1956" s="198">
        <f>_xll.qlInterestRateIndexValueDate(IborIndex,X1956,Trigger)</f>
        <v>52876</v>
      </c>
      <c r="Z1956" s="199">
        <v>2.6895068335344718E-2</v>
      </c>
      <c r="AA1956" s="201">
        <v>2.6864865997389131E-2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52881</v>
      </c>
      <c r="Y1957" s="198">
        <f>_xll.qlInterestRateIndexValueDate(IborIndex,X1957,Trigger)</f>
        <v>52883</v>
      </c>
      <c r="Z1957" s="199">
        <v>2.6894529113145327E-2</v>
      </c>
      <c r="AA1957" s="201">
        <v>2.6864316558974366E-2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52888</v>
      </c>
      <c r="Y1958" s="198">
        <f>_xll.qlInterestRateIndexValueDate(IborIndex,X1958,Trigger)</f>
        <v>52890</v>
      </c>
      <c r="Z1958" s="199">
        <v>2.6893996884049531E-2</v>
      </c>
      <c r="AA1958" s="201">
        <v>2.6863774097458659E-2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52895</v>
      </c>
      <c r="Y1959" s="198">
        <f>_xll.qlInterestRateIndexValueDate(IborIndex,X1959,Trigger)</f>
        <v>52897</v>
      </c>
      <c r="Z1959" s="199">
        <v>2.6893471648057332E-2</v>
      </c>
      <c r="AA1959" s="201">
        <v>2.6863238612921947E-2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52902</v>
      </c>
      <c r="Y1960" s="198">
        <f>_xll.qlInterestRateIndexValueDate(IborIndex,X1960,Trigger)</f>
        <v>52904</v>
      </c>
      <c r="Z1960" s="199">
        <v>2.6892953405171227E-2</v>
      </c>
      <c r="AA1960" s="201">
        <v>2.6862710105284293E-2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52909</v>
      </c>
      <c r="Y1961" s="198">
        <f>_xll.qlInterestRateIndexValueDate(IborIndex,X1961,Trigger)</f>
        <v>52911</v>
      </c>
      <c r="Z1961" s="199">
        <v>2.6892442155388718E-2</v>
      </c>
      <c r="AA1961" s="201">
        <v>2.6862188574545698E-2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52916</v>
      </c>
      <c r="Y1962" s="198">
        <f>_xll.qlInterestRateIndexValueDate(IborIndex,X1962,Trigger)</f>
        <v>52918</v>
      </c>
      <c r="Z1962" s="199">
        <v>2.689193789870481E-2</v>
      </c>
      <c r="AA1962" s="201">
        <v>2.6861674020786097E-2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52923</v>
      </c>
      <c r="Y1963" s="198">
        <f>_xll.qlInterestRateIndexValueDate(IborIndex,X1963,Trigger)</f>
        <v>52926</v>
      </c>
      <c r="Z1963" s="199">
        <v>2.6892338967193685E-2</v>
      </c>
      <c r="AA1963" s="201">
        <v>2.6861094502432792E-2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52930</v>
      </c>
      <c r="Y1964" s="198">
        <f>_xll.qlInterestRateIndexValueDate(IborIndex,X1964,Trigger)</f>
        <v>52932</v>
      </c>
      <c r="Z1964" s="199">
        <v>2.6891919560364418E-2</v>
      </c>
      <c r="AA1964" s="201">
        <v>2.6860665843884135E-2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52937</v>
      </c>
      <c r="Y1965" s="198">
        <f>_xll.qlInterestRateIndexValueDate(IborIndex,X1965,Trigger)</f>
        <v>52939</v>
      </c>
      <c r="Z1965" s="199">
        <v>2.6890467087264669E-2</v>
      </c>
      <c r="AA1965" s="201">
        <v>2.6860172220901646E-2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52944</v>
      </c>
      <c r="Y1966" s="198">
        <f>_xll.qlInterestRateIndexValueDate(IborIndex,X1966,Trigger)</f>
        <v>52946</v>
      </c>
      <c r="Z1966" s="199">
        <v>2.6890960926198432E-2</v>
      </c>
      <c r="AA1966" s="201">
        <v>2.6859685574818215E-2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52951</v>
      </c>
      <c r="Y1967" s="198">
        <f>_xll.qlInterestRateIndexValueDate(IborIndex,X1967,Trigger)</f>
        <v>52953</v>
      </c>
      <c r="Z1967" s="199">
        <v>2.6889521511799241E-2</v>
      </c>
      <c r="AA1967" s="201">
        <v>2.6859070138876007E-2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52959</v>
      </c>
      <c r="Y1968" s="198">
        <f>_xll.qlInterestRateIndexValueDate(IborIndex,X1968,Trigger)</f>
        <v>52961</v>
      </c>
      <c r="Z1968" s="199">
        <v>2.6888993741988887E-2</v>
      </c>
      <c r="AA1968" s="201">
        <v>2.6858599439956166E-2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52966</v>
      </c>
      <c r="Y1969" s="198">
        <f>_xll.qlInterestRateIndexValueDate(IborIndex,X1969,Trigger)</f>
        <v>52968</v>
      </c>
      <c r="Z1969" s="199">
        <v>2.6887567943817664E-2</v>
      </c>
      <c r="AA1969" s="201">
        <v>2.6858201536805737E-2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52973</v>
      </c>
      <c r="Y1970" s="198">
        <f>_xll.qlInterestRateIndexValueDate(IborIndex,X1970,Trigger)</f>
        <v>52975</v>
      </c>
      <c r="Z1970" s="199">
        <v>2.6887120164832162E-2</v>
      </c>
      <c r="AA1970" s="201">
        <v>2.6857743795121181E-2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52980</v>
      </c>
      <c r="Y1971" s="198">
        <f>_xll.qlInterestRateIndexValueDate(IborIndex,X1971,Trigger)</f>
        <v>52982</v>
      </c>
      <c r="Z1971" s="199">
        <v>2.6887651803336188E-2</v>
      </c>
      <c r="AA1971" s="201">
        <v>2.6857293030335683E-2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52987</v>
      </c>
      <c r="Y1972" s="198">
        <f>_xll.qlInterestRateIndexValueDate(IborIndex,X1972,Trigger)</f>
        <v>52989</v>
      </c>
      <c r="Z1972" s="199">
        <v>2.6886245584576203E-2</v>
      </c>
      <c r="AA1972" s="201">
        <v>2.6856849242529179E-2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52994</v>
      </c>
      <c r="Y1973" s="198">
        <f>_xll.qlInterestRateIndexValueDate(IborIndex,X1973,Trigger)</f>
        <v>52996</v>
      </c>
      <c r="Z1973" s="199">
        <v>2.6882899262133466E-2</v>
      </c>
      <c r="AA1973" s="201">
        <v>2.6856412431621735E-2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53001</v>
      </c>
      <c r="Y1974" s="198">
        <f>_xll.qlInterestRateIndexValueDate(IborIndex,X1974,Trigger)</f>
        <v>53003</v>
      </c>
      <c r="Z1974" s="199">
        <v>2.688247804929457E-2</v>
      </c>
      <c r="AA1974" s="201">
        <v>2.6855982597533412E-2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53008</v>
      </c>
      <c r="Y1975" s="198">
        <f>_xll.qlInterestRateIndexValueDate(IborIndex,X1975,Trigger)</f>
        <v>53010</v>
      </c>
      <c r="Z1975" s="199">
        <v>2.6882063827460594E-2</v>
      </c>
      <c r="AA1975" s="201">
        <v>2.685555974050402E-2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53015</v>
      </c>
      <c r="Y1976" s="198">
        <f>_xll.qlInterestRateIndexValueDate(IborIndex,X1976,Trigger)</f>
        <v>53017</v>
      </c>
      <c r="Z1976" s="199">
        <v>2.6881656596625829E-2</v>
      </c>
      <c r="AA1976" s="201">
        <v>2.6855143860293751E-2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53022</v>
      </c>
      <c r="Y1977" s="198">
        <f>_xll.qlInterestRateIndexValueDate(IborIndex,X1977,Trigger)</f>
        <v>53024</v>
      </c>
      <c r="Z1977" s="199">
        <v>2.688418150390208E-2</v>
      </c>
      <c r="AA1977" s="201">
        <v>2.6854734957062476E-2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53029</v>
      </c>
      <c r="Y1978" s="198">
        <f>_xll.qlInterestRateIndexValueDate(IborIndex,X1978,Trigger)</f>
        <v>53031</v>
      </c>
      <c r="Z1978" s="199">
        <v>2.6884765371367747E-2</v>
      </c>
      <c r="AA1978" s="201">
        <v>2.685433303073026E-2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53036</v>
      </c>
      <c r="Y1979" s="198">
        <f>_xll.qlInterestRateIndexValueDate(IborIndex,X1979,Trigger)</f>
        <v>53038</v>
      </c>
      <c r="Z1979" s="199">
        <v>2.6883404819605848E-2</v>
      </c>
      <c r="AA1979" s="201">
        <v>2.6853938081377038E-2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53043</v>
      </c>
      <c r="Y1980" s="198">
        <f>_xll.qlInterestRateIndexValueDate(IborIndex,X1980,Trigger)</f>
        <v>53045</v>
      </c>
      <c r="Z1980" s="199">
        <v>2.6883026966306234E-2</v>
      </c>
      <c r="AA1980" s="201">
        <v>2.6853550108922875E-2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53050</v>
      </c>
      <c r="Y1981" s="198">
        <f>_xll.qlInterestRateIndexValueDate(IborIndex,X1981,Trigger)</f>
        <v>53052</v>
      </c>
      <c r="Z1981" s="199">
        <v>2.6879725307477224E-2</v>
      </c>
      <c r="AA1981" s="201">
        <v>2.6853169113287834E-2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53057</v>
      </c>
      <c r="Y1982" s="198">
        <f>_xll.qlInterestRateIndexValueDate(IborIndex,X1982,Trigger)</f>
        <v>53063</v>
      </c>
      <c r="Z1982" s="199">
        <v>2.6881109683563942E-2</v>
      </c>
      <c r="AA1982" s="201">
        <v>2.6852689513807704E-2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53064</v>
      </c>
      <c r="Y1983" s="198">
        <f>_xll.qlInterestRateIndexValueDate(IborIndex,X1983,Trigger)</f>
        <v>53066</v>
      </c>
      <c r="Z1983" s="199">
        <v>2.6881935361785909E-2</v>
      </c>
      <c r="AA1983" s="201">
        <v>2.6852428053034672E-2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53071</v>
      </c>
      <c r="Y1984" s="198">
        <f>_xll.qlInterestRateIndexValueDate(IborIndex,X1984,Trigger)</f>
        <v>53073</v>
      </c>
      <c r="Z1984" s="199">
        <v>2.6881585478736925E-2</v>
      </c>
      <c r="AA1984" s="201">
        <v>2.6852067988256678E-2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53078</v>
      </c>
      <c r="Y1985" s="198">
        <f>_xll.qlInterestRateIndexValueDate(IborIndex,X1985,Trigger)</f>
        <v>53080</v>
      </c>
      <c r="Z1985" s="199">
        <v>2.6883200704993403E-2</v>
      </c>
      <c r="AA1985" s="201">
        <v>2.6851665028830851E-2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53085</v>
      </c>
      <c r="Y1986" s="198">
        <f>_xll.qlInterestRateIndexValueDate(IborIndex,X1986,Trigger)</f>
        <v>53087</v>
      </c>
      <c r="Z1986" s="199">
        <v>2.6880906217235684E-2</v>
      </c>
      <c r="AA1986" s="201">
        <v>2.6851368789477803E-2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53092</v>
      </c>
      <c r="Y1987" s="198">
        <f>_xll.qlInterestRateIndexValueDate(IborIndex,X1987,Trigger)</f>
        <v>53094</v>
      </c>
      <c r="Z1987" s="199">
        <v>2.688057297299316E-2</v>
      </c>
      <c r="AA1987" s="201">
        <v>2.6851029655476921E-2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53099</v>
      </c>
      <c r="Y1988" s="198">
        <f>_xll.qlInterestRateIndexValueDate(IborIndex,X1988,Trigger)</f>
        <v>53101</v>
      </c>
      <c r="Z1988" s="199">
        <v>2.6880238350186277E-2</v>
      </c>
      <c r="AA1988" s="201">
        <v>2.6850697498375098E-2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53106</v>
      </c>
      <c r="Y1989" s="198">
        <f>_xll.qlInterestRateIndexValueDate(IborIndex,X1989,Trigger)</f>
        <v>53108</v>
      </c>
      <c r="Z1989" s="199">
        <v>2.6879897841287779E-2</v>
      </c>
      <c r="AA1989" s="201">
        <v>2.6850325959255628E-2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53113</v>
      </c>
      <c r="Y1990" s="198">
        <f>_xll.qlInterestRateIndexValueDate(IborIndex,X1990,Trigger)</f>
        <v>53115</v>
      </c>
      <c r="Z1990" s="199">
        <v>2.6879546997905047E-2</v>
      </c>
      <c r="AA1990" s="201">
        <v>2.6850042665946816E-2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53120</v>
      </c>
      <c r="Y1991" s="198">
        <f>_xll.qlInterestRateIndexValueDate(IborIndex,X1991,Trigger)</f>
        <v>53122</v>
      </c>
      <c r="Z1991" s="199">
        <v>2.6879183325352329E-2</v>
      </c>
      <c r="AA1991" s="201">
        <v>2.6849700141058364E-2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53127</v>
      </c>
      <c r="Y1992" s="198">
        <f>_xll.qlInterestRateIndexValueDate(IborIndex,X1992,Trigger)</f>
        <v>53129</v>
      </c>
      <c r="Z1992" s="199">
        <v>2.6878806683447568E-2</v>
      </c>
      <c r="AA1992" s="201">
        <v>2.6849344675801134E-2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53134</v>
      </c>
      <c r="Y1993" s="198">
        <f>_xll.qlInterestRateIndexValueDate(IborIndex,X1993,Trigger)</f>
        <v>53136</v>
      </c>
      <c r="Z1993" s="199">
        <v>2.6878417072198499E-2</v>
      </c>
      <c r="AA1993" s="201">
        <v>2.6848976270095193E-2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53141</v>
      </c>
      <c r="Y1994" s="198">
        <f>_xll.qlInterestRateIndexValueDate(IborIndex,X1994,Trigger)</f>
        <v>53143</v>
      </c>
      <c r="Z1994" s="199">
        <v>2.687801449160512E-2</v>
      </c>
      <c r="AA1994" s="201">
        <v>2.6848594924020475E-2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53148</v>
      </c>
      <c r="Y1995" s="198">
        <f>_xll.qlInterestRateIndexValueDate(IborIndex,X1995,Trigger)</f>
        <v>53150</v>
      </c>
      <c r="Z1995" s="199">
        <v>2.6877598941667434E-2</v>
      </c>
      <c r="AA1995" s="201">
        <v>2.684820063757698E-2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53155</v>
      </c>
      <c r="Y1996" s="198">
        <f>_xll.qlInterestRateIndexValueDate(IborIndex,X1996,Trigger)</f>
        <v>53157</v>
      </c>
      <c r="Z1996" s="199">
        <v>2.6877170422388019E-2</v>
      </c>
      <c r="AA1996" s="201">
        <v>2.6847793410764709E-2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53162</v>
      </c>
      <c r="Y1997" s="198">
        <f>_xll.qlInterestRateIndexValueDate(IborIndex,X1997,Trigger)</f>
        <v>53164</v>
      </c>
      <c r="Z1997" s="199">
        <v>2.6876728933764294E-2</v>
      </c>
      <c r="AA1997" s="201">
        <v>2.6847373243583661E-2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53169</v>
      </c>
      <c r="Y1998" s="198">
        <f>_xll.qlInterestRateIndexValueDate(IborIndex,X1998,Trigger)</f>
        <v>53171</v>
      </c>
      <c r="Z1998" s="199">
        <v>2.6877243314665233E-2</v>
      </c>
      <c r="AA1998" s="201">
        <v>2.6846940136033837E-2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53176</v>
      </c>
      <c r="Y1999" s="198">
        <f>_xll.qlInterestRateIndexValueDate(IborIndex,X1999,Trigger)</f>
        <v>53178</v>
      </c>
      <c r="Z1999" s="199">
        <v>2.6876774926059832E-2</v>
      </c>
      <c r="AA1999" s="201">
        <v>2.6846494088115236E-2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53183</v>
      </c>
      <c r="Y2000" s="198">
        <f>_xll.qlInterestRateIndexValueDate(IborIndex,X2000,Trigger)</f>
        <v>53185</v>
      </c>
      <c r="Z2000" s="199">
        <v>2.6875326651871111E-2</v>
      </c>
      <c r="AA2000" s="201">
        <v>2.6846035099827859E-2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53190</v>
      </c>
      <c r="Y2001" s="198">
        <f>_xll.qlInterestRateIndexValueDate(IborIndex,X2001,Trigger)</f>
        <v>53192</v>
      </c>
      <c r="Z2001" s="199">
        <v>2.6874833285903676E-2</v>
      </c>
      <c r="AA2001" s="201">
        <v>2.6845563171171705E-2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53197</v>
      </c>
      <c r="Y2002" s="198">
        <f>_xll.qlInterestRateIndexValueDate(IborIndex,X2002,Trigger)</f>
        <v>53199</v>
      </c>
      <c r="Z2002" s="199">
        <v>2.6874326950599669E-2</v>
      </c>
      <c r="AA2002" s="201">
        <v>2.6845007978799629E-2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53204</v>
      </c>
      <c r="Y2003" s="198">
        <f>_xll.qlInterestRateIndexValueDate(IborIndex,X2003,Trigger)</f>
        <v>53206</v>
      </c>
      <c r="Z2003" s="199">
        <v>2.6873807645966825E-2</v>
      </c>
      <c r="AA2003" s="201">
        <v>2.6844580492753067E-2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53211</v>
      </c>
      <c r="Y2004" s="198">
        <f>_xll.qlInterestRateIndexValueDate(IborIndex,X2004,Trigger)</f>
        <v>53213</v>
      </c>
      <c r="Z2004" s="199">
        <v>2.6874238428522823E-2</v>
      </c>
      <c r="AA2004" s="201">
        <v>2.6844069742910648E-2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53218</v>
      </c>
      <c r="Y2005" s="198">
        <f>_xll.qlInterestRateIndexValueDate(IborIndex,X2005,Trigger)</f>
        <v>53220</v>
      </c>
      <c r="Z2005" s="199">
        <v>2.6872730128709471E-2</v>
      </c>
      <c r="AA2005" s="201">
        <v>2.6843546052779388E-2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53225</v>
      </c>
      <c r="Y2006" s="198">
        <f>_xll.qlInterestRateIndexValueDate(IborIndex,X2006,Trigger)</f>
        <v>53227</v>
      </c>
      <c r="Z2006" s="199">
        <v>2.6872171916092695E-2</v>
      </c>
      <c r="AA2006" s="201">
        <v>2.6843009422279351E-2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53232</v>
      </c>
      <c r="Y2007" s="198">
        <f>_xll.qlInterestRateIndexValueDate(IborIndex,X2007,Trigger)</f>
        <v>53234</v>
      </c>
      <c r="Z2007" s="199">
        <v>2.6872560886460062E-2</v>
      </c>
      <c r="AA2007" s="201">
        <v>2.6842459851250666E-2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53239</v>
      </c>
      <c r="Y2008" s="198">
        <f>_xll.qlInterestRateIndexValueDate(IborIndex,X2008,Trigger)</f>
        <v>53241</v>
      </c>
      <c r="Z2008" s="199">
        <v>2.6871016582885526E-2</v>
      </c>
      <c r="AA2008" s="201">
        <v>2.6841897340013077E-2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53246</v>
      </c>
      <c r="Y2009" s="198">
        <f>_xll.qlInterestRateIndexValueDate(IborIndex,X2009,Trigger)</f>
        <v>53248</v>
      </c>
      <c r="Z2009" s="199">
        <v>2.6870419462300291E-2</v>
      </c>
      <c r="AA2009" s="201">
        <v>2.6841321888406711E-2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53253</v>
      </c>
      <c r="Y2010" s="198">
        <f>_xll.qlInterestRateIndexValueDate(IborIndex,X2010,Trigger)</f>
        <v>53255</v>
      </c>
      <c r="Z2010" s="199">
        <v>2.6869809372396535E-2</v>
      </c>
      <c r="AA2010" s="201">
        <v>2.6840733496271696E-2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53260</v>
      </c>
      <c r="Y2011" s="198">
        <f>_xll.qlInterestRateIndexValueDate(IborIndex,X2011,Trigger)</f>
        <v>53262</v>
      </c>
      <c r="Z2011" s="199">
        <v>2.6869186313176831E-2</v>
      </c>
      <c r="AA2011" s="201">
        <v>2.6840132163927777E-2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53267</v>
      </c>
      <c r="Y2012" s="198">
        <f>_xll.qlInterestRateIndexValueDate(IborIndex,X2012,Trigger)</f>
        <v>53269</v>
      </c>
      <c r="Z2012" s="199">
        <v>2.6868550284643765E-2</v>
      </c>
      <c r="AA2012" s="201">
        <v>2.6839517891135145E-2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53274</v>
      </c>
      <c r="Y2013" s="198">
        <f>_xll.qlInterestRateIndexValueDate(IborIndex,X2013,Trigger)</f>
        <v>53279</v>
      </c>
      <c r="Z2013" s="199">
        <v>2.68666652293712E-2</v>
      </c>
      <c r="AA2013" s="201">
        <v>2.6838800019772791E-2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53281</v>
      </c>
      <c r="Y2014" s="198">
        <f>_xll.qlInterestRateIndexValueDate(IborIndex,X2014,Trigger)</f>
        <v>53283</v>
      </c>
      <c r="Z2014" s="199">
        <v>2.6867239319642695E-2</v>
      </c>
      <c r="AA2014" s="201">
        <v>2.6838250524443552E-2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53288</v>
      </c>
      <c r="Y2015" s="198">
        <f>_xll.qlInterestRateIndexValueDate(IborIndex,X2015,Trigger)</f>
        <v>53290</v>
      </c>
      <c r="Z2015" s="199">
        <v>2.686846906785657E-2</v>
      </c>
      <c r="AA2015" s="201">
        <v>2.6837597430544591E-2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53295</v>
      </c>
      <c r="Y2016" s="198">
        <f>_xll.qlInterestRateIndexValueDate(IborIndex,X2016,Trigger)</f>
        <v>53297</v>
      </c>
      <c r="Z2016" s="199">
        <v>2.6866827864927556E-2</v>
      </c>
      <c r="AA2016" s="201">
        <v>2.6836931396276853E-2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53302</v>
      </c>
      <c r="Y2017" s="198">
        <f>_xll.qlInterestRateIndexValueDate(IborIndex,X2017,Trigger)</f>
        <v>53304</v>
      </c>
      <c r="Z2017" s="199">
        <v>2.6865175602337261E-2</v>
      </c>
      <c r="AA2017" s="201">
        <v>2.6836252421560403E-2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53309</v>
      </c>
      <c r="Y2018" s="198">
        <f>_xll.qlInterestRateIndexValueDate(IborIndex,X2018,Trigger)</f>
        <v>53311</v>
      </c>
      <c r="Z2018" s="199">
        <v>2.6865411187132482E-2</v>
      </c>
      <c r="AA2018" s="201">
        <v>2.6835560506635048E-2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53316</v>
      </c>
      <c r="Y2019" s="198">
        <f>_xll.qlInterestRateIndexValueDate(IborIndex,X2019,Trigger)</f>
        <v>53318</v>
      </c>
      <c r="Z2019" s="199">
        <v>2.686373494429279E-2</v>
      </c>
      <c r="AA2019" s="201">
        <v>2.6834651887135408E-2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53323</v>
      </c>
      <c r="Y2020" s="198">
        <f>_xll.qlInterestRateIndexValueDate(IborIndex,X2020,Trigger)</f>
        <v>53325</v>
      </c>
      <c r="Z2020" s="199">
        <v>2.6864890048714913E-2</v>
      </c>
      <c r="AA2020" s="201">
        <v>2.6834034256788541E-2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53330</v>
      </c>
      <c r="Y2021" s="198">
        <f>_xll.qlInterestRateIndexValueDate(IborIndex,X2021,Trigger)</f>
        <v>53332</v>
      </c>
      <c r="Z2021" s="199">
        <v>2.6862242409064475E-2</v>
      </c>
      <c r="AA2021" s="201">
        <v>2.683340711932658E-2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53337</v>
      </c>
      <c r="Y2022" s="198">
        <f>_xll.qlInterestRateIndexValueDate(IborIndex,X2022,Trigger)</f>
        <v>53339</v>
      </c>
      <c r="Z2022" s="199">
        <v>2.6861476687508636E-2</v>
      </c>
      <c r="AA2022" s="201">
        <v>2.6832663442766247E-2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53344</v>
      </c>
      <c r="Y2023" s="198">
        <f>_xll.qlInterestRateIndexValueDate(IborIndex,X2023,Trigger)</f>
        <v>53346</v>
      </c>
      <c r="Z2023" s="199">
        <v>2.6861642513072159E-2</v>
      </c>
      <c r="AA2023" s="201">
        <v>2.6831906825917073E-2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53351</v>
      </c>
      <c r="Y2024" s="198">
        <f>_xll.qlInterestRateIndexValueDate(IborIndex,X2024,Trigger)</f>
        <v>53353</v>
      </c>
      <c r="Z2024" s="199">
        <v>2.6859906336541957E-2</v>
      </c>
      <c r="AA2024" s="201">
        <v>2.6831137268619187E-2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53358</v>
      </c>
      <c r="Y2025" s="198">
        <f>_xll.qlInterestRateIndexValueDate(IborIndex,X2025,Trigger)</f>
        <v>53360</v>
      </c>
      <c r="Z2025" s="199">
        <v>2.6856273790300454E-2</v>
      </c>
      <c r="AA2025" s="201">
        <v>2.6830354771032461E-2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53365</v>
      </c>
      <c r="Y2026" s="198">
        <f>_xll.qlInterestRateIndexValueDate(IborIndex,X2026,Trigger)</f>
        <v>53367</v>
      </c>
      <c r="Z2026" s="199">
        <v>2.6855459152888641E-2</v>
      </c>
      <c r="AA2026" s="201">
        <v>2.6829559333076958E-2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53372</v>
      </c>
      <c r="Y2027" s="198">
        <f>_xll.qlInterestRateIndexValueDate(IborIndex,X2027,Trigger)</f>
        <v>53374</v>
      </c>
      <c r="Z2027" s="199">
        <v>2.6854631549088862E-2</v>
      </c>
      <c r="AA2027" s="201">
        <v>2.6828750954592806E-2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53379</v>
      </c>
      <c r="Y2028" s="198">
        <f>_xll.qlInterestRateIndexValueDate(IborIndex,X2028,Trigger)</f>
        <v>53381</v>
      </c>
      <c r="Z2028" s="199">
        <v>2.6857549582747497E-2</v>
      </c>
      <c r="AA2028" s="201">
        <v>2.682792963589975E-2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53386</v>
      </c>
      <c r="Y2029" s="198">
        <f>_xll.qlInterestRateIndexValueDate(IborIndex,X2029,Trigger)</f>
        <v>53388</v>
      </c>
      <c r="Z2029" s="199">
        <v>2.6855753496715096E-2</v>
      </c>
      <c r="AA2029" s="201">
        <v>2.6827095376837917E-2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53393</v>
      </c>
      <c r="Y2030" s="198">
        <f>_xll.qlInterestRateIndexValueDate(IborIndex,X2030,Trigger)</f>
        <v>53395</v>
      </c>
      <c r="Z2030" s="199">
        <v>2.6854884020930822E-2</v>
      </c>
      <c r="AA2030" s="201">
        <v>2.6826248177247436E-2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53400</v>
      </c>
      <c r="Y2031" s="198">
        <f>_xll.qlInterestRateIndexValueDate(IborIndex,X2031,Trigger)</f>
        <v>53402</v>
      </c>
      <c r="Z2031" s="199">
        <v>2.6854001575877019E-2</v>
      </c>
      <c r="AA2031" s="201">
        <v>2.682538803744805E-2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53407</v>
      </c>
      <c r="Y2032" s="198">
        <f>_xll.qlInterestRateIndexValueDate(IborIndex,X2032,Trigger)</f>
        <v>53413</v>
      </c>
      <c r="Z2032" s="199">
        <v>2.6852588673307882E-2</v>
      </c>
      <c r="AA2032" s="201">
        <v>2.6824263128881753E-2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53414</v>
      </c>
      <c r="Y2033" s="198">
        <f>_xll.qlInterestRateIndexValueDate(IborIndex,X2033,Trigger)</f>
        <v>53416</v>
      </c>
      <c r="Z2033" s="199">
        <v>2.6852197777989188E-2</v>
      </c>
      <c r="AA2033" s="201">
        <v>2.6823628936503141E-2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53421</v>
      </c>
      <c r="Y2034" s="198">
        <f>_xll.qlInterestRateIndexValueDate(IborIndex,X2034,Trigger)</f>
        <v>53423</v>
      </c>
      <c r="Z2034" s="199">
        <v>2.6852210048595171E-2</v>
      </c>
      <c r="AA2034" s="201">
        <v>2.682272997551749E-2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53428</v>
      </c>
      <c r="Y2035" s="198">
        <f>_xll.qlInterestRateIndexValueDate(IborIndex,X2035,Trigger)</f>
        <v>53430</v>
      </c>
      <c r="Z2035" s="199">
        <v>2.6850342103069656E-2</v>
      </c>
      <c r="AA2035" s="201">
        <v>2.6821818074242998E-2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53435</v>
      </c>
      <c r="Y2036" s="198">
        <f>_xll.qlInterestRateIndexValueDate(IborIndex,X2036,Trigger)</f>
        <v>53437</v>
      </c>
      <c r="Z2036" s="199">
        <v>2.6849394811730092E-2</v>
      </c>
      <c r="AA2036" s="201">
        <v>2.6820893232519794E-2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53442</v>
      </c>
      <c r="Y2037" s="198">
        <f>_xll.qlInterestRateIndexValueDate(IborIndex,X2037,Trigger)</f>
        <v>53444</v>
      </c>
      <c r="Z2037" s="199">
        <v>2.6849365183531648E-2</v>
      </c>
      <c r="AA2037" s="201">
        <v>2.6819955450347877E-2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53449</v>
      </c>
      <c r="Y2038" s="198">
        <f>_xll.qlInterestRateIndexValueDate(IborIndex,X2038,Trigger)</f>
        <v>53451</v>
      </c>
      <c r="Z2038" s="199">
        <v>2.684746132130942E-2</v>
      </c>
      <c r="AA2038" s="201">
        <v>2.6818867854014883E-2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53456</v>
      </c>
      <c r="Y2039" s="198">
        <f>_xll.qlInterestRateIndexValueDate(IborIndex,X2039,Trigger)</f>
        <v>53458</v>
      </c>
      <c r="Z2039" s="199">
        <v>2.6846475122238624E-2</v>
      </c>
      <c r="AA2039" s="201">
        <v>2.6818041065057585E-2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53463</v>
      </c>
      <c r="Y2040" s="198">
        <f>_xll.qlInterestRateIndexValueDate(IborIndex,X2040,Trigger)</f>
        <v>53465</v>
      </c>
      <c r="Z2040" s="199">
        <v>2.6845475953926667E-2</v>
      </c>
      <c r="AA2040" s="201">
        <v>2.6817064461859275E-2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53470</v>
      </c>
      <c r="Y2041" s="198">
        <f>_xll.qlInterestRateIndexValueDate(IborIndex,X2041,Trigger)</f>
        <v>53472</v>
      </c>
      <c r="Z2041" s="199">
        <v>2.6844463816381278E-2</v>
      </c>
      <c r="AA2041" s="201">
        <v>2.6815932498536199E-2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53477</v>
      </c>
      <c r="Y2042" s="198">
        <f>_xll.qlInterestRateIndexValueDate(IborIndex,X2042,Trigger)</f>
        <v>53479</v>
      </c>
      <c r="Z2042" s="199">
        <v>2.6843438709602461E-2</v>
      </c>
      <c r="AA2042" s="201">
        <v>2.6815072434356324E-2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53484</v>
      </c>
      <c r="Y2043" s="198">
        <f>_xll.qlInterestRateIndexValueDate(IborIndex,X2043,Trigger)</f>
        <v>53486</v>
      </c>
      <c r="Z2043" s="199">
        <v>2.684240063359537E-2</v>
      </c>
      <c r="AA2043" s="201">
        <v>2.6814057010051684E-2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53491</v>
      </c>
      <c r="Y2044" s="198">
        <f>_xll.qlInterestRateIndexValueDate(IborIndex,X2044,Trigger)</f>
        <v>53493</v>
      </c>
      <c r="Z2044" s="199">
        <v>2.6841349588365166E-2</v>
      </c>
      <c r="AA2044" s="201">
        <v>2.6813028645298331E-2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53498</v>
      </c>
      <c r="Y2045" s="198">
        <f>_xll.qlInterestRateIndexValueDate(IborIndex,X2045,Trigger)</f>
        <v>53500</v>
      </c>
      <c r="Z2045" s="199">
        <v>2.6840285573914425E-2</v>
      </c>
      <c r="AA2045" s="201">
        <v>2.6811987340176202E-2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53505</v>
      </c>
      <c r="Y2046" s="198">
        <f>_xll.qlInterestRateIndexValueDate(IborIndex,X2046,Trigger)</f>
        <v>53507</v>
      </c>
      <c r="Z2046" s="199">
        <v>2.6840130197475776E-2</v>
      </c>
      <c r="AA2046" s="201">
        <v>2.6810933094765232E-2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53512</v>
      </c>
      <c r="Y2047" s="198">
        <f>_xll.qlInterestRateIndexValueDate(IborIndex,X2047,Trigger)</f>
        <v>53514</v>
      </c>
      <c r="Z2047" s="199">
        <v>2.6838118637359073E-2</v>
      </c>
      <c r="AA2047" s="201">
        <v>2.6809865908985486E-2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53519</v>
      </c>
      <c r="Y2048" s="198">
        <f>_xll.qlInterestRateIndexValueDate(IborIndex,X2048,Trigger)</f>
        <v>53521</v>
      </c>
      <c r="Z2048" s="199">
        <v>2.6837015715264773E-2</v>
      </c>
      <c r="AA2048" s="201">
        <v>2.6808785782836964E-2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53526</v>
      </c>
      <c r="Y2049" s="198">
        <f>_xll.qlInterestRateIndexValueDate(IborIndex,X2049,Trigger)</f>
        <v>53528</v>
      </c>
      <c r="Z2049" s="199">
        <v>2.6835899823962832E-2</v>
      </c>
      <c r="AA2049" s="201">
        <v>2.6807692716319664E-2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53533</v>
      </c>
      <c r="Y2050" s="198">
        <f>_xll.qlInterestRateIndexValueDate(IborIndex,X2050,Trigger)</f>
        <v>53535</v>
      </c>
      <c r="Z2050" s="199">
        <v>2.6835688534485869E-2</v>
      </c>
      <c r="AA2050" s="201">
        <v>2.6806586709353653E-2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53540</v>
      </c>
      <c r="Y2051" s="198">
        <f>_xll.qlInterestRateIndexValueDate(IborIndex,X2051,Trigger)</f>
        <v>53542</v>
      </c>
      <c r="Z2051" s="199">
        <v>2.6834545693329159E-2</v>
      </c>
      <c r="AA2051" s="201">
        <v>2.68054677620988E-2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53547</v>
      </c>
      <c r="Y2052" s="198">
        <f>_xll.qlInterestRateIndexValueDate(IborIndex,X2052,Trigger)</f>
        <v>53549</v>
      </c>
      <c r="Z2052" s="199">
        <v>2.683247433485756E-2</v>
      </c>
      <c r="AA2052" s="201">
        <v>2.6804335874395235E-2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53554</v>
      </c>
      <c r="Y2053" s="198">
        <f>_xll.qlInterestRateIndexValueDate(IborIndex,X2053,Trigger)</f>
        <v>53556</v>
      </c>
      <c r="Z2053" s="199">
        <v>2.6831306566768881E-2</v>
      </c>
      <c r="AA2053" s="201">
        <v>2.680319104640283E-2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53561</v>
      </c>
      <c r="Y2054" s="198">
        <f>_xll.qlInterestRateIndexValueDate(IborIndex,X2054,Trigger)</f>
        <v>53563</v>
      </c>
      <c r="Z2054" s="199">
        <v>2.6830125829490608E-2</v>
      </c>
      <c r="AA2054" s="201">
        <v>2.6801866826149379E-2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53568</v>
      </c>
      <c r="Y2055" s="198">
        <f>_xll.qlInterestRateIndexValueDate(IborIndex,X2055,Trigger)</f>
        <v>53570</v>
      </c>
      <c r="Z2055" s="199">
        <v>2.6826194301666297E-2</v>
      </c>
      <c r="AA2055" s="201">
        <v>2.6800862569231754E-2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53575</v>
      </c>
      <c r="Y2056" s="198">
        <f>_xll.qlInterestRateIndexValueDate(IborIndex,X2056,Trigger)</f>
        <v>53577</v>
      </c>
      <c r="Z2056" s="199">
        <v>2.6828636935256334E-2</v>
      </c>
      <c r="AA2056" s="201">
        <v>2.6799678920053083E-2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53582</v>
      </c>
      <c r="Y2057" s="198">
        <f>_xll.qlInterestRateIndexValueDate(IborIndex,X2057,Trigger)</f>
        <v>53584</v>
      </c>
      <c r="Z2057" s="199">
        <v>2.6826505802569803E-2</v>
      </c>
      <c r="AA2057" s="201">
        <v>2.6798482330585571E-2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53589</v>
      </c>
      <c r="Y2058" s="198">
        <f>_xll.qlInterestRateIndexValueDate(IborIndex,X2058,Trigger)</f>
        <v>53591</v>
      </c>
      <c r="Z2058" s="199">
        <v>2.682527318858215E-2</v>
      </c>
      <c r="AA2058" s="201">
        <v>2.6797272800749283E-2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53596</v>
      </c>
      <c r="Y2059" s="198">
        <f>_xll.qlInterestRateIndexValueDate(IborIndex,X2059,Trigger)</f>
        <v>53598</v>
      </c>
      <c r="Z2059" s="199">
        <v>2.6825844419945906E-2</v>
      </c>
      <c r="AA2059" s="201">
        <v>2.6796050330464283E-2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53603</v>
      </c>
      <c r="Y2060" s="198">
        <f>_xll.qlInterestRateIndexValueDate(IborIndex,X2060,Trigger)</f>
        <v>53605</v>
      </c>
      <c r="Z2060" s="199">
        <v>2.6822769053107685E-2</v>
      </c>
      <c r="AA2060" s="201">
        <v>2.6794814919810506E-2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53610</v>
      </c>
      <c r="Y2061" s="198">
        <f>_xll.qlInterestRateIndexValueDate(IborIndex,X2061,Trigger)</f>
        <v>53612</v>
      </c>
      <c r="Z2061" s="199">
        <v>2.6822403923766891E-2</v>
      </c>
      <c r="AA2061" s="201">
        <v>2.6793566568867888E-2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53617</v>
      </c>
      <c r="Y2062" s="198">
        <f>_xll.qlInterestRateIndexValueDate(IborIndex,X2062,Trigger)</f>
        <v>53619</v>
      </c>
      <c r="Z2062" s="199">
        <v>2.6820213040996042E-2</v>
      </c>
      <c r="AA2062" s="201">
        <v>2.6792305277556494E-2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53624</v>
      </c>
      <c r="Y2063" s="198">
        <f>_xll.qlInterestRateIndexValueDate(IborIndex,X2063,Trigger)</f>
        <v>53626</v>
      </c>
      <c r="Z2063" s="199">
        <v>2.6818915581212559E-2</v>
      </c>
      <c r="AA2063" s="201">
        <v>2.6791031045796387E-2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53631</v>
      </c>
      <c r="Y2064" s="198">
        <f>_xll.qlInterestRateIndexValueDate(IborIndex,X2064,Trigger)</f>
        <v>53633</v>
      </c>
      <c r="Z2064" s="199">
        <v>2.6817605152280741E-2</v>
      </c>
      <c r="AA2064" s="201">
        <v>2.6789743873667504E-2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53638</v>
      </c>
      <c r="Y2065" s="198">
        <f>_xll.qlInterestRateIndexValueDate(IborIndex,X2065,Trigger)</f>
        <v>53640</v>
      </c>
      <c r="Z2065" s="199">
        <v>2.6816281754210903E-2</v>
      </c>
      <c r="AA2065" s="201">
        <v>2.6788443761329717E-2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53645</v>
      </c>
      <c r="Y2066" s="198">
        <f>_xll.qlInterestRateIndexValueDate(IborIndex,X2066,Trigger)</f>
        <v>53647</v>
      </c>
      <c r="Z2066" s="199">
        <v>2.6814945387000463E-2</v>
      </c>
      <c r="AA2066" s="201">
        <v>2.6787130708383344E-2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53652</v>
      </c>
      <c r="Y2067" s="198">
        <f>_xll.qlInterestRateIndexValueDate(IborIndex,X2067,Trigger)</f>
        <v>53654</v>
      </c>
      <c r="Z2067" s="199">
        <v>2.6813596050659735E-2</v>
      </c>
      <c r="AA2067" s="201">
        <v>2.6785804715308004E-2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53659</v>
      </c>
      <c r="Y2068" s="198">
        <f>_xll.qlInterestRateIndexValueDate(IborIndex,X2068,Trigger)</f>
        <v>53661</v>
      </c>
      <c r="Z2068" s="199">
        <v>2.6812233745188725E-2</v>
      </c>
      <c r="AA2068" s="201">
        <v>2.6784465781704014E-2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53666</v>
      </c>
      <c r="Y2069" s="198">
        <f>_xll.qlInterestRateIndexValueDate(IborIndex,X2069,Trigger)</f>
        <v>53668</v>
      </c>
      <c r="Z2069" s="199">
        <v>2.6810858470592586E-2</v>
      </c>
      <c r="AA2069" s="201">
        <v>2.6783113907811185E-2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53673</v>
      </c>
      <c r="Y2070" s="198">
        <f>_xll.qlInterestRateIndexValueDate(IborIndex,X2070,Trigger)</f>
        <v>53675</v>
      </c>
      <c r="Z2070" s="199">
        <v>2.6809470226879052E-2</v>
      </c>
      <c r="AA2070" s="201">
        <v>2.6781749093469642E-2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53680</v>
      </c>
      <c r="Y2071" s="198">
        <f>_xll.qlInterestRateIndexValueDate(IborIndex,X2071,Trigger)</f>
        <v>53682</v>
      </c>
      <c r="Z2071" s="199">
        <v>2.6808965142723906E-2</v>
      </c>
      <c r="AA2071" s="201">
        <v>2.6779975317863247E-2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53688</v>
      </c>
      <c r="Y2072" s="198">
        <f>_xll.qlInterestRateIndexValueDate(IborIndex,X2072,Trigger)</f>
        <v>53692</v>
      </c>
      <c r="Z2072" s="199">
        <v>2.6806044784005185E-2</v>
      </c>
      <c r="AA2072" s="201">
        <v>2.6778580925581608E-2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53695</v>
      </c>
      <c r="Y2073" s="198">
        <f>_xll.qlInterestRateIndexValueDate(IborIndex,X2073,Trigger)</f>
        <v>53699</v>
      </c>
      <c r="Z2073" s="199">
        <v>2.680461207477651E-2</v>
      </c>
      <c r="AA2073" s="201">
        <v>2.6777375432676109E-2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53702</v>
      </c>
      <c r="Y2074" s="198">
        <f>_xll.qlInterestRateIndexValueDate(IborIndex,X2074,Trigger)</f>
        <v>53706</v>
      </c>
      <c r="Z2074" s="199">
        <v>2.6803166396448495E-2</v>
      </c>
      <c r="AA2074" s="201">
        <v>2.6775957008338125E-2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53709</v>
      </c>
      <c r="Y2075" s="198">
        <f>_xll.qlInterestRateIndexValueDate(IborIndex,X2075,Trigger)</f>
        <v>53714</v>
      </c>
      <c r="Z2075" s="199">
        <v>2.6801498312119764E-2</v>
      </c>
      <c r="AA2075" s="201">
        <v>2.677432010652403E-2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53716</v>
      </c>
      <c r="Y2076" s="198">
        <f>_xll.qlInterestRateIndexValueDate(IborIndex,X2076,Trigger)</f>
        <v>53720</v>
      </c>
      <c r="Z2076" s="199">
        <v>2.6800236132512482E-2</v>
      </c>
      <c r="AA2076" s="201">
        <v>2.677308133847589E-2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53723</v>
      </c>
      <c r="Y2077" s="198">
        <f>_xll.qlInterestRateIndexValueDate(IborIndex,X2077,Trigger)</f>
        <v>53727</v>
      </c>
      <c r="Z2077" s="199">
        <v>2.6796082778231613E-2</v>
      </c>
      <c r="AA2077" s="201">
        <v>2.677162409295164E-2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53730</v>
      </c>
      <c r="Y2078" s="198">
        <f>_xll.qlInterestRateIndexValueDate(IborIndex,X2078,Trigger)</f>
        <v>53734</v>
      </c>
      <c r="Z2078" s="199">
        <v>2.6794588336035905E-2</v>
      </c>
      <c r="AA2078" s="201">
        <v>2.677015390713855E-2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53737</v>
      </c>
      <c r="Y2079" s="198">
        <f>_xll.qlInterestRateIndexValueDate(IborIndex,X2079,Trigger)</f>
        <v>53742</v>
      </c>
      <c r="Z2079" s="199">
        <v>2.6792864525119038E-2</v>
      </c>
      <c r="AA2079" s="201">
        <v>2.6768457849364324E-2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53744</v>
      </c>
      <c r="Y2080" s="198">
        <f>_xll.qlInterestRateIndexValueDate(IborIndex,X2080,Trigger)</f>
        <v>53748</v>
      </c>
      <c r="Z2080" s="199">
        <v>2.6791560553048717E-2</v>
      </c>
      <c r="AA2080" s="201">
        <v>2.6767174714326103E-2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53751</v>
      </c>
      <c r="Y2081" s="198">
        <f>_xll.qlInterestRateIndexValueDate(IborIndex,X2081,Trigger)</f>
        <v>53755</v>
      </c>
      <c r="Z2081" s="199">
        <v>2.679268351380398E-2</v>
      </c>
      <c r="AA2081" s="201">
        <v>2.6765665707406683E-2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53758</v>
      </c>
      <c r="Y2082" s="198">
        <f>_xll.qlInterestRateIndexValueDate(IborIndex,X2082,Trigger)</f>
        <v>53762</v>
      </c>
      <c r="Z2082" s="199">
        <v>2.6791134082864296E-2</v>
      </c>
      <c r="AA2082" s="201">
        <v>2.676414376003855E-2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53765</v>
      </c>
      <c r="Y2083" s="198">
        <f>_xll.qlInterestRateIndexValueDate(IborIndex,X2083,Trigger)</f>
        <v>53769</v>
      </c>
      <c r="Z2083" s="199">
        <v>2.6789571682874269E-2</v>
      </c>
      <c r="AA2083" s="201">
        <v>2.6762608872461513E-2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53772</v>
      </c>
      <c r="Y2084" s="198">
        <f>_xll.qlInterestRateIndexValueDate(IborIndex,X2084,Trigger)</f>
        <v>53776</v>
      </c>
      <c r="Z2084" s="199">
        <v>2.6787996313833887E-2</v>
      </c>
      <c r="AA2084" s="201">
        <v>2.6761061044275891E-2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53779</v>
      </c>
      <c r="Y2085" s="198">
        <f>_xll.qlInterestRateIndexValueDate(IborIndex,X2085,Trigger)</f>
        <v>53783</v>
      </c>
      <c r="Z2085" s="199">
        <v>2.678552676881818E-2</v>
      </c>
      <c r="AA2085" s="201">
        <v>2.6759500275881365E-2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53786</v>
      </c>
      <c r="Y2086" s="198">
        <f>_xll.qlInterestRateIndexValueDate(IborIndex,X2086,Trigger)</f>
        <v>53790</v>
      </c>
      <c r="Z2086" s="199">
        <v>2.6783926506993794E-2</v>
      </c>
      <c r="AA2086" s="201">
        <v>2.6757926567038126E-2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53793</v>
      </c>
      <c r="Y2087" s="198">
        <f>_xll.qlInterestRateIndexValueDate(IborIndex,X2087,Trigger)</f>
        <v>53799</v>
      </c>
      <c r="Z2087" s="199">
        <v>2.6781849972369542E-2</v>
      </c>
      <c r="AA2087" s="201">
        <v>2.6757644439650008E-2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53800</v>
      </c>
      <c r="Y2088" s="198">
        <f>_xll.qlInterestRateIndexValueDate(IborIndex,X2088,Trigger)</f>
        <v>53804</v>
      </c>
      <c r="Z2088" s="199">
        <v>2.6780687079118515E-2</v>
      </c>
      <c r="AA2088" s="201">
        <v>2.6754740328485127E-2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53807</v>
      </c>
      <c r="Y2089" s="198">
        <f>_xll.qlInterestRateIndexValueDate(IborIndex,X2089,Trigger)</f>
        <v>53811</v>
      </c>
      <c r="Z2089" s="199">
        <v>2.6779047913080944E-2</v>
      </c>
      <c r="AA2089" s="201">
        <v>2.6753127798615495E-2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53814</v>
      </c>
      <c r="Y2090" s="198">
        <f>_xll.qlInterestRateIndexValueDate(IborIndex,X2090,Trigger)</f>
        <v>53819</v>
      </c>
      <c r="Z2090" s="199">
        <v>2.6778034522158455E-2</v>
      </c>
      <c r="AA2090" s="201">
        <v>2.6751269062010863E-2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53821</v>
      </c>
      <c r="Y2091" s="198">
        <f>_xll.qlInterestRateIndexValueDate(IborIndex,X2091,Trigger)</f>
        <v>53825</v>
      </c>
      <c r="Z2091" s="199">
        <v>2.6776605597659729E-2</v>
      </c>
      <c r="AA2091" s="201">
        <v>2.67498639177699E-2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53828</v>
      </c>
      <c r="Y2092" s="198">
        <f>_xll.qlInterestRateIndexValueDate(IborIndex,X2092,Trigger)</f>
        <v>53832</v>
      </c>
      <c r="Z2092" s="199">
        <v>2.6774926476425417E-2</v>
      </c>
      <c r="AA2092" s="201">
        <v>2.6748212566793939E-2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53835</v>
      </c>
      <c r="Y2093" s="198">
        <f>_xll.qlInterestRateIndexValueDate(IborIndex,X2093,Trigger)</f>
        <v>53840</v>
      </c>
      <c r="Z2093" s="199">
        <v>2.6772991600326077E-2</v>
      </c>
      <c r="AA2093" s="201">
        <v>2.6746309463279161E-2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53842</v>
      </c>
      <c r="Y2094" s="198">
        <f>_xll.qlInterestRateIndexValueDate(IborIndex,X2094,Trigger)</f>
        <v>53846</v>
      </c>
      <c r="Z2094" s="199">
        <v>2.6770657562096289E-2</v>
      </c>
      <c r="AA2094" s="201">
        <v>2.6744871043815621E-2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53849</v>
      </c>
      <c r="Y2095" s="198">
        <f>_xll.qlInterestRateIndexValueDate(IborIndex,X2095,Trigger)</f>
        <v>53853</v>
      </c>
      <c r="Z2095" s="199">
        <v>2.6768940587776235E-2</v>
      </c>
      <c r="AA2095" s="201">
        <v>2.6743180871813266E-2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53856</v>
      </c>
      <c r="Y2096" s="198">
        <f>_xll.qlInterestRateIndexValueDate(IborIndex,X2096,Trigger)</f>
        <v>53860</v>
      </c>
      <c r="Z2096" s="199">
        <v>2.6767210645429529E-2</v>
      </c>
      <c r="AA2096" s="201">
        <v>2.6741477759362198E-2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53863</v>
      </c>
      <c r="Y2097" s="198">
        <f>_xll.qlInterestRateIndexValueDate(IborIndex,X2097,Trigger)</f>
        <v>53867</v>
      </c>
      <c r="Z2097" s="199">
        <v>2.6765467735064163E-2</v>
      </c>
      <c r="AA2097" s="201">
        <v>2.6739761706542353E-2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53870</v>
      </c>
      <c r="Y2098" s="198">
        <f>_xll.qlInterestRateIndexValueDate(IborIndex,X2098,Trigger)</f>
        <v>53874</v>
      </c>
      <c r="Z2098" s="199">
        <v>2.6764579400254066E-2</v>
      </c>
      <c r="AA2098" s="201">
        <v>2.6738032713433668E-2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53877</v>
      </c>
      <c r="Y2099" s="198">
        <f>_xll.qlInterestRateIndexValueDate(IborIndex,X2099,Trigger)</f>
        <v>53881</v>
      </c>
      <c r="Z2099" s="199">
        <v>2.6762809496146921E-2</v>
      </c>
      <c r="AA2099" s="201">
        <v>2.6736290779956207E-2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53884</v>
      </c>
      <c r="Y2100" s="198">
        <f>_xll.qlInterestRateIndexValueDate(IborIndex,X2100,Trigger)</f>
        <v>53888</v>
      </c>
      <c r="Z2100" s="199">
        <v>2.6761026623082253E-2</v>
      </c>
      <c r="AA2100" s="201">
        <v>2.6734535906109969E-2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53891</v>
      </c>
      <c r="Y2101" s="198">
        <f>_xll.qlInterestRateIndexValueDate(IborIndex,X2101,Trigger)</f>
        <v>53895</v>
      </c>
      <c r="Z2101" s="199">
        <v>2.6759230781067803E-2</v>
      </c>
      <c r="AA2101" s="201">
        <v>2.6732768091815018E-2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53898</v>
      </c>
      <c r="Y2102" s="198">
        <f>_xll.qlInterestRateIndexValueDate(IborIndex,X2102,Trigger)</f>
        <v>53902</v>
      </c>
      <c r="Z2102" s="199">
        <v>2.6757421970103567E-2</v>
      </c>
      <c r="AA2102" s="201">
        <v>2.6730987337311163E-2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53905</v>
      </c>
      <c r="Y2103" s="198">
        <f>_xll.qlInterestRateIndexValueDate(IborIndex,X2103,Trigger)</f>
        <v>53909</v>
      </c>
      <c r="Z2103" s="199">
        <v>2.675560019019986E-2</v>
      </c>
      <c r="AA2103" s="201">
        <v>2.6729193642358595E-2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53912</v>
      </c>
      <c r="Y2104" s="198">
        <f>_xll.qlInterestRateIndexValueDate(IborIndex,X2104,Trigger)</f>
        <v>53916</v>
      </c>
      <c r="Z2104" s="199">
        <v>2.6753765441361842E-2</v>
      </c>
      <c r="AA2104" s="201">
        <v>2.6727387006877379E-2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53919</v>
      </c>
      <c r="Y2105" s="198">
        <f>_xll.qlInterestRateIndexValueDate(IborIndex,X2105,Trigger)</f>
        <v>53923</v>
      </c>
      <c r="Z2105" s="199">
        <v>2.6751917723592086E-2</v>
      </c>
      <c r="AA2105" s="201">
        <v>2.6725567431267194E-2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53926</v>
      </c>
      <c r="Y2106" s="198">
        <f>_xll.qlInterestRateIndexValueDate(IborIndex,X2106,Trigger)</f>
        <v>53931</v>
      </c>
      <c r="Z2106" s="199">
        <v>2.674979016583115E-2</v>
      </c>
      <c r="AA2106" s="201">
        <v>2.6723472070901977E-2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53933</v>
      </c>
      <c r="Y2107" s="198">
        <f>_xll.qlInterestRateIndexValueDate(IborIndex,X2107,Trigger)</f>
        <v>53938</v>
      </c>
      <c r="Z2107" s="199">
        <v>2.6747056819938386E-2</v>
      </c>
      <c r="AA2107" s="201">
        <v>2.6721624765873031E-2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53940</v>
      </c>
      <c r="Y2108" s="198">
        <f>_xll.qlInterestRateIndexValueDate(IborIndex,X2108,Trigger)</f>
        <v>53944</v>
      </c>
      <c r="Z2108" s="199">
        <v>2.674543983322053E-2</v>
      </c>
      <c r="AA2108" s="201">
        <v>2.6720031062064109E-2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53947</v>
      </c>
      <c r="Y2109" s="198">
        <f>_xll.qlInterestRateIndexValueDate(IborIndex,X2109,Trigger)</f>
        <v>53951</v>
      </c>
      <c r="Z2109" s="199">
        <v>2.6743541307036267E-2</v>
      </c>
      <c r="AA2109" s="201">
        <v>2.6718159724978818E-2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53954</v>
      </c>
      <c r="Y2110" s="198">
        <f>_xll.qlInterestRateIndexValueDate(IborIndex,X2110,Trigger)</f>
        <v>53958</v>
      </c>
      <c r="Z2110" s="199">
        <v>2.6741629812913281E-2</v>
      </c>
      <c r="AA2110" s="201">
        <v>2.6716275447524751E-2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53961</v>
      </c>
      <c r="Y2111" s="198">
        <f>_xll.qlInterestRateIndexValueDate(IborIndex,X2111,Trigger)</f>
        <v>53965</v>
      </c>
      <c r="Z2111" s="199">
        <v>2.6740559069842903E-2</v>
      </c>
      <c r="AA2111" s="201">
        <v>2.6714378229701907E-2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53968</v>
      </c>
      <c r="Y2112" s="198">
        <f>_xll.qlInterestRateIndexValueDate(IborIndex,X2112,Trigger)</f>
        <v>53972</v>
      </c>
      <c r="Z2112" s="199">
        <v>2.6738620569749551E-2</v>
      </c>
      <c r="AA2112" s="201">
        <v>2.6712468071510287E-2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53975</v>
      </c>
      <c r="Y2113" s="198">
        <f>_xll.qlInterestRateIndexValueDate(IborIndex,X2113,Trigger)</f>
        <v>53980</v>
      </c>
      <c r="Z2113" s="199">
        <v>2.673638926081838E-2</v>
      </c>
      <c r="AA2113" s="201">
        <v>2.6710269188114921E-2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53982</v>
      </c>
      <c r="Y2114" s="198">
        <f>_xll.qlInterestRateIndexValueDate(IborIndex,X2114,Trigger)</f>
        <v>53986</v>
      </c>
      <c r="Z2114" s="199">
        <v>2.6734704662945571E-2</v>
      </c>
      <c r="AA2114" s="201">
        <v>2.6708608934100653E-2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53989</v>
      </c>
      <c r="Y2115" s="198">
        <f>_xll.qlInterestRateIndexValueDate(IborIndex,X2115,Trigger)</f>
        <v>53993</v>
      </c>
      <c r="Z2115" s="199">
        <v>2.6733576628847344E-2</v>
      </c>
      <c r="AA2115" s="201">
        <v>2.6706659954642831E-2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53996</v>
      </c>
      <c r="Y2116" s="198">
        <f>_xll.qlInterestRateIndexValueDate(IborIndex,X2116,Trigger)</f>
        <v>54000</v>
      </c>
      <c r="Z2116" s="199">
        <v>2.6729888521667355E-2</v>
      </c>
      <c r="AA2116" s="201">
        <v>2.670469803505604E-2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54003</v>
      </c>
      <c r="Y2117" s="198">
        <f>_xll.qlInterestRateIndexValueDate(IborIndex,X2117,Trigger)</f>
        <v>54008</v>
      </c>
      <c r="Z2117" s="199">
        <v>2.672759915498979E-2</v>
      </c>
      <c r="AA2117" s="201">
        <v>2.6702439995860416E-2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54010</v>
      </c>
      <c r="Y2118" s="198">
        <f>_xll.qlInterestRateIndexValueDate(IborIndex,X2118,Trigger)</f>
        <v>54014</v>
      </c>
      <c r="Z2118" s="199">
        <v>2.6725871014644298E-2</v>
      </c>
      <c r="AA2118" s="201">
        <v>2.670073537477613E-2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54017</v>
      </c>
      <c r="Y2119" s="198">
        <f>_xll.qlInterestRateIndexValueDate(IborIndex,X2119,Trigger)</f>
        <v>54021</v>
      </c>
      <c r="Z2119" s="199">
        <v>2.672553301163505E-2</v>
      </c>
      <c r="AA2119" s="201">
        <v>2.6698734633923138E-2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54024</v>
      </c>
      <c r="Y2120" s="198">
        <f>_xll.qlInterestRateIndexValueDate(IborIndex,X2120,Trigger)</f>
        <v>54028</v>
      </c>
      <c r="Z2120" s="199">
        <v>2.6722645689974418E-2</v>
      </c>
      <c r="AA2120" s="201">
        <v>2.6696720952941178E-2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54031</v>
      </c>
      <c r="Y2121" s="198">
        <f>_xll.qlInterestRateIndexValueDate(IborIndex,X2121,Trigger)</f>
        <v>54035</v>
      </c>
      <c r="Z2121" s="199">
        <v>2.6720590470222613E-2</v>
      </c>
      <c r="AA2121" s="201">
        <v>2.6694694331590441E-2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54038</v>
      </c>
      <c r="Y2122" s="198">
        <f>_xll.qlInterestRateIndexValueDate(IborIndex,X2122,Trigger)</f>
        <v>54042</v>
      </c>
      <c r="Z2122" s="199">
        <v>2.6718522281652533E-2</v>
      </c>
      <c r="AA2122" s="201">
        <v>2.6692654769711055E-2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54045</v>
      </c>
      <c r="Y2123" s="198">
        <f>_xll.qlInterestRateIndexValueDate(IborIndex,X2123,Trigger)</f>
        <v>54049</v>
      </c>
      <c r="Z2123" s="199">
        <v>2.6716441124271913E-2</v>
      </c>
      <c r="AA2123" s="201">
        <v>2.6691697348555365E-2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54053</v>
      </c>
      <c r="Y2124" s="198">
        <f>_xll.qlInterestRateIndexValueDate(IborIndex,X2124,Trigger)</f>
        <v>54057</v>
      </c>
      <c r="Z2124" s="199">
        <v>2.6714046778528303E-2</v>
      </c>
      <c r="AA2124" s="201">
        <v>2.6689626053100213E-2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54060</v>
      </c>
      <c r="Y2125" s="198">
        <f>_xll.qlInterestRateIndexValueDate(IborIndex,X2125,Trigger)</f>
        <v>54064</v>
      </c>
      <c r="Z2125" s="199">
        <v>2.6711937830861478E-2</v>
      </c>
      <c r="AA2125" s="201">
        <v>2.6686160474049814E-2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54067</v>
      </c>
      <c r="Y2126" s="198">
        <f>_xll.qlInterestRateIndexValueDate(IborIndex,X2126,Trigger)</f>
        <v>54071</v>
      </c>
      <c r="Z2126" s="199">
        <v>2.6709815914407322E-2</v>
      </c>
      <c r="AA2126" s="201">
        <v>2.6684067302253922E-2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54074</v>
      </c>
      <c r="Y2127" s="198">
        <f>_xll.qlInterestRateIndexValueDate(IborIndex,X2127,Trigger)</f>
        <v>54078</v>
      </c>
      <c r="Z2127" s="199">
        <v>2.6707681029168408E-2</v>
      </c>
      <c r="AA2127" s="201">
        <v>2.6681961189929382E-2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54081</v>
      </c>
      <c r="Y2128" s="198">
        <f>_xll.qlInterestRateIndexValueDate(IborIndex,X2128,Trigger)</f>
        <v>54085</v>
      </c>
      <c r="Z2128" s="199">
        <v>2.6705533175160209E-2</v>
      </c>
      <c r="AA2128" s="201">
        <v>2.6679842137395937E-2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54088</v>
      </c>
      <c r="Y2129" s="198">
        <f>_xll.qlInterestRateIndexValueDate(IborIndex,X2129,Trigger)</f>
        <v>54092</v>
      </c>
      <c r="Z2129" s="199">
        <v>2.6701703976675505E-2</v>
      </c>
      <c r="AA2129" s="201">
        <v>2.6677710144573652E-2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54095</v>
      </c>
      <c r="Y2130" s="198">
        <f>_xll.qlInterestRateIndexValueDate(IborIndex,X2130,Trigger)</f>
        <v>54099</v>
      </c>
      <c r="Z2130" s="199">
        <v>2.6699532359623804E-2</v>
      </c>
      <c r="AA2130" s="201">
        <v>2.6675565211302654E-2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54102</v>
      </c>
      <c r="Y2131" s="198">
        <f>_xll.qlInterestRateIndexValueDate(IborIndex,X2131,Trigger)</f>
        <v>54106</v>
      </c>
      <c r="Z2131" s="199">
        <v>2.6697347775716928E-2</v>
      </c>
      <c r="AA2131" s="201">
        <v>2.6673407337582944E-2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54109</v>
      </c>
      <c r="Y2132" s="198">
        <f>_xll.qlInterestRateIndexValueDate(IborIndex,X2132,Trigger)</f>
        <v>54113</v>
      </c>
      <c r="Z2132" s="199">
        <v>2.669515022495212E-2</v>
      </c>
      <c r="AA2132" s="201">
        <v>2.6671236523734265E-2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54116</v>
      </c>
      <c r="Y2133" s="198">
        <f>_xll.qlInterestRateIndexValueDate(IborIndex,X2133,Trigger)</f>
        <v>54120</v>
      </c>
      <c r="Z2133" s="199">
        <v>2.6697917950815712E-2</v>
      </c>
      <c r="AA2133" s="201">
        <v>2.6669052769277002E-2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54123</v>
      </c>
      <c r="Y2134" s="198">
        <f>_xll.qlInterestRateIndexValueDate(IborIndex,X2134,Trigger)</f>
        <v>54127</v>
      </c>
      <c r="Z2134" s="199">
        <v>2.6692373707239692E-2</v>
      </c>
      <c r="AA2134" s="201">
        <v>2.666685607469077E-2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54130</v>
      </c>
      <c r="Y2135" s="198">
        <f>_xll.qlInterestRateIndexValueDate(IborIndex,X2135,Trigger)</f>
        <v>54134</v>
      </c>
      <c r="Z2135" s="199">
        <v>2.6690135072008958E-2</v>
      </c>
      <c r="AA2135" s="201">
        <v>2.6664646439495954E-2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54137</v>
      </c>
      <c r="Y2136" s="198">
        <f>_xll.qlInterestRateIndexValueDate(IborIndex,X2136,Trigger)</f>
        <v>54141</v>
      </c>
      <c r="Z2136" s="199">
        <v>2.6687883468065665E-2</v>
      </c>
      <c r="AA2136" s="201">
        <v>2.6662423864252105E-2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54144</v>
      </c>
      <c r="Y2137" s="198">
        <f>_xll.qlInterestRateIndexValueDate(IborIndex,X2137,Trigger)</f>
        <v>54148</v>
      </c>
      <c r="Z2137" s="199">
        <v>2.6684793463782164E-2</v>
      </c>
      <c r="AA2137" s="201">
        <v>2.6663495789216896E-2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54155</v>
      </c>
      <c r="Y2138" s="198">
        <f>_xll.qlInterestRateIndexValueDate(IborIndex,X2138,Trigger)</f>
        <v>54157</v>
      </c>
      <c r="Z2138" s="199">
        <v>2.6683512205957494E-2</v>
      </c>
      <c r="AA2138" s="201">
        <v>2.6656649250345055E-2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54162</v>
      </c>
      <c r="Y2139" s="198">
        <f>_xll.qlInterestRateIndexValueDate(IborIndex,X2139,Trigger)</f>
        <v>54164</v>
      </c>
      <c r="Z2139" s="199">
        <v>2.6681216894321735E-2</v>
      </c>
      <c r="AA2139" s="201">
        <v>2.665438045934998E-2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54169</v>
      </c>
      <c r="Y2140" s="198">
        <f>_xll.qlInterestRateIndexValueDate(IborIndex,X2140,Trigger)</f>
        <v>54171</v>
      </c>
      <c r="Z2140" s="199">
        <v>2.66797303155593E-2</v>
      </c>
      <c r="AA2140" s="201">
        <v>2.6652098728066065E-2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54176</v>
      </c>
      <c r="Y2141" s="198">
        <f>_xll.qlInterestRateIndexValueDate(IborIndex,X2141,Trigger)</f>
        <v>54178</v>
      </c>
      <c r="Z2141" s="199">
        <v>2.6674125164385078E-2</v>
      </c>
      <c r="AA2141" s="201">
        <v>2.6649475189879368E-2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54183</v>
      </c>
      <c r="Y2142" s="198">
        <f>_xll.qlInterestRateIndexValueDate(IborIndex,X2142,Trigger)</f>
        <v>54185</v>
      </c>
      <c r="Z2142" s="199">
        <v>2.6674253141682203E-2</v>
      </c>
      <c r="AA2142" s="201">
        <v>2.6647496444391905E-2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54190</v>
      </c>
      <c r="Y2143" s="198">
        <f>_xll.qlInterestRateIndexValueDate(IborIndex,X2143,Trigger)</f>
        <v>54192</v>
      </c>
      <c r="Z2143" s="199">
        <v>2.667190595158242E-2</v>
      </c>
      <c r="AA2143" s="201">
        <v>2.664517589200166E-2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54197</v>
      </c>
      <c r="Y2144" s="198">
        <f>_xll.qlInterestRateIndexValueDate(IborIndex,X2144,Trigger)</f>
        <v>54199</v>
      </c>
      <c r="Z2144" s="199">
        <v>2.6669545791889737E-2</v>
      </c>
      <c r="AA2144" s="201">
        <v>2.6642507986904818E-2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54204</v>
      </c>
      <c r="Y2145" s="198">
        <f>_xll.qlInterestRateIndexValueDate(IborIndex,X2145,Trigger)</f>
        <v>54206</v>
      </c>
      <c r="Z2145" s="199">
        <v>2.6667172662606653E-2</v>
      </c>
      <c r="AA2145" s="201">
        <v>2.6640495966274713E-2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54211</v>
      </c>
      <c r="Y2146" s="198">
        <f>_xll.qlInterestRateIndexValueDate(IborIndex,X2146,Trigger)</f>
        <v>54213</v>
      </c>
      <c r="Z2146" s="199">
        <v>2.6664786563740661E-2</v>
      </c>
      <c r="AA2146" s="201">
        <v>2.6638136592858075E-2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54218</v>
      </c>
      <c r="Y2147" s="198">
        <f>_xll.qlInterestRateIndexValueDate(IborIndex,X2147,Trigger)</f>
        <v>54220</v>
      </c>
      <c r="Z2147" s="199">
        <v>2.6662387495309248E-2</v>
      </c>
      <c r="AA2147" s="201">
        <v>2.663576427907266E-2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54225</v>
      </c>
      <c r="Y2148" s="198">
        <f>_xll.qlInterestRateIndexValueDate(IborIndex,X2148,Trigger)</f>
        <v>54227</v>
      </c>
      <c r="Z2148" s="199">
        <v>2.6659975457312413E-2</v>
      </c>
      <c r="AA2148" s="201">
        <v>2.6633379024918469E-2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54232</v>
      </c>
      <c r="Y2149" s="198">
        <f>_xll.qlInterestRateIndexValueDate(IborIndex,X2149,Trigger)</f>
        <v>54234</v>
      </c>
      <c r="Z2149" s="199">
        <v>2.6657550449760148E-2</v>
      </c>
      <c r="AA2149" s="201">
        <v>2.6630980830475437E-2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54239</v>
      </c>
      <c r="Y2150" s="198">
        <f>_xll.qlInterestRateIndexValueDate(IborIndex,X2150,Trigger)</f>
        <v>54241</v>
      </c>
      <c r="Z2150" s="199">
        <v>2.6655112472659948E-2</v>
      </c>
      <c r="AA2150" s="201">
        <v>2.6628569695663629E-2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54246</v>
      </c>
      <c r="Y2151" s="198">
        <f>_xll.qlInterestRateIndexValueDate(IborIndex,X2151,Trigger)</f>
        <v>54248</v>
      </c>
      <c r="Z2151" s="199">
        <v>2.66526615260268E-2</v>
      </c>
      <c r="AA2151" s="201">
        <v>2.6626145620403108E-2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54253</v>
      </c>
      <c r="Y2152" s="198">
        <f>_xll.qlInterestRateIndexValueDate(IborIndex,X2152,Trigger)</f>
        <v>54255</v>
      </c>
      <c r="Z2152" s="199">
        <v>2.6650197609860704E-2</v>
      </c>
      <c r="AA2152" s="201">
        <v>2.6623708604933682E-2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54260</v>
      </c>
      <c r="Y2153" s="198">
        <f>_xll.qlInterestRateIndexValueDate(IborIndex,X2153,Trigger)</f>
        <v>54262</v>
      </c>
      <c r="Z2153" s="199">
        <v>2.6647720724171653E-2</v>
      </c>
      <c r="AA2153" s="201">
        <v>2.6621258649095481E-2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54267</v>
      </c>
      <c r="Y2154" s="198">
        <f>_xll.qlInterestRateIndexValueDate(IborIndex,X2154,Trigger)</f>
        <v>54269</v>
      </c>
      <c r="Z2154" s="199">
        <v>2.6642811750377124E-2</v>
      </c>
      <c r="AA2154" s="201">
        <v>2.6618795752888502E-2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54274</v>
      </c>
      <c r="Y2155" s="198">
        <f>_xll.qlInterestRateIndexValueDate(IborIndex,X2155,Trigger)</f>
        <v>54276</v>
      </c>
      <c r="Z2155" s="199">
        <v>2.6643533173424737E-2</v>
      </c>
      <c r="AA2155" s="201">
        <v>2.6616319916232811E-2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54281</v>
      </c>
      <c r="Y2156" s="198">
        <f>_xll.qlInterestRateIndexValueDate(IborIndex,X2156,Trigger)</f>
        <v>54283</v>
      </c>
      <c r="Z2156" s="199">
        <v>2.664021225007418E-2</v>
      </c>
      <c r="AA2156" s="201">
        <v>2.6613831139368216E-2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54288</v>
      </c>
      <c r="Y2157" s="198">
        <f>_xll.qlInterestRateIndexValueDate(IborIndex,X2157,Trigger)</f>
        <v>54290</v>
      </c>
      <c r="Z2157" s="199">
        <v>2.6637683486388231E-2</v>
      </c>
      <c r="AA2157" s="201">
        <v>2.6611329422134844E-2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54295</v>
      </c>
      <c r="Y2158" s="198">
        <f>_xll.qlInterestRateIndexValueDate(IborIndex,X2158,Trigger)</f>
        <v>54297</v>
      </c>
      <c r="Z2158" s="199">
        <v>2.6635141753231784E-2</v>
      </c>
      <c r="AA2158" s="201">
        <v>2.6608454471377385E-2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54302</v>
      </c>
      <c r="Y2159" s="198">
        <f>_xll.qlInterestRateIndexValueDate(IborIndex,X2159,Trigger)</f>
        <v>54304</v>
      </c>
      <c r="Z2159" s="199">
        <v>2.6632587050597345E-2</v>
      </c>
      <c r="AA2159" s="201">
        <v>2.6606287166481835E-2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54309</v>
      </c>
      <c r="Y2160" s="198">
        <f>_xll.qlInterestRateIndexValueDate(IborIndex,X2160,Trigger)</f>
        <v>54311</v>
      </c>
      <c r="Z2160" s="199">
        <v>2.6630818936130236E-2</v>
      </c>
      <c r="AA2160" s="201">
        <v>2.6603746628222069E-2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54316</v>
      </c>
      <c r="Y2161" s="198">
        <f>_xll.qlInterestRateIndexValueDate(IborIndex,X2161,Trigger)</f>
        <v>54318</v>
      </c>
      <c r="Z2161" s="199">
        <v>2.6627438736961939E-2</v>
      </c>
      <c r="AA2161" s="201">
        <v>2.6601193149593527E-2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54323</v>
      </c>
      <c r="Y2162" s="198">
        <f>_xll.qlInterestRateIndexValueDate(IborIndex,X2162,Trigger)</f>
        <v>54325</v>
      </c>
      <c r="Z2162" s="199">
        <v>2.6624845125980956E-2</v>
      </c>
      <c r="AA2162" s="201">
        <v>2.6598626730436337E-2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54330</v>
      </c>
      <c r="Y2163" s="198">
        <f>_xll.qlInterestRateIndexValueDate(IborIndex,X2163,Trigger)</f>
        <v>54332</v>
      </c>
      <c r="Z2163" s="199">
        <v>2.6622238545559451E-2</v>
      </c>
      <c r="AA2163" s="201">
        <v>2.6596047371150178E-2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54337</v>
      </c>
      <c r="Y2164" s="198">
        <f>_xll.qlInterestRateIndexValueDate(IborIndex,X2164,Trigger)</f>
        <v>54339</v>
      </c>
      <c r="Z2164" s="199">
        <v>2.6619618995714911E-2</v>
      </c>
      <c r="AA2164" s="201">
        <v>2.6593455071415306E-2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54344</v>
      </c>
      <c r="Y2165" s="198">
        <f>_xll.qlInterestRateIndexValueDate(IborIndex,X2165,Trigger)</f>
        <v>54346</v>
      </c>
      <c r="Z2165" s="199">
        <v>2.6616986476457327E-2</v>
      </c>
      <c r="AA2165" s="201">
        <v>2.6590849831391594E-2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54351</v>
      </c>
      <c r="Y2166" s="198">
        <f>_xll.qlInterestRateIndexValueDate(IborIndex,X2166,Trigger)</f>
        <v>54353</v>
      </c>
      <c r="Z2166" s="199">
        <v>2.6614340987791696E-2</v>
      </c>
      <c r="AA2166" s="201">
        <v>2.6588231650839234E-2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54358</v>
      </c>
      <c r="Y2167" s="198">
        <f>_xll.qlInterestRateIndexValueDate(IborIndex,X2167,Trigger)</f>
        <v>54360</v>
      </c>
      <c r="Z2167" s="199">
        <v>2.6611682529728009E-2</v>
      </c>
      <c r="AA2167" s="201">
        <v>2.6585600530237841E-2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54365</v>
      </c>
      <c r="Y2168" s="198">
        <f>_xll.qlInterestRateIndexValueDate(IborIndex,X2168,Trigger)</f>
        <v>54367</v>
      </c>
      <c r="Z2168" s="199">
        <v>2.6609011102278757E-2</v>
      </c>
      <c r="AA2168" s="201">
        <v>2.6582956469107799E-2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54372</v>
      </c>
      <c r="Y2169" s="198">
        <f>_xll.qlInterestRateIndexValueDate(IborIndex,X2169,Trigger)</f>
        <v>54374</v>
      </c>
      <c r="Z2169" s="199">
        <v>2.6606326705451433E-2</v>
      </c>
      <c r="AA2169" s="201">
        <v>2.6580299467608981E-2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54379</v>
      </c>
      <c r="Y2170" s="198">
        <f>_xll.qlInterestRateIndexValueDate(IborIndex,X2170,Trigger)</f>
        <v>54381</v>
      </c>
      <c r="Z2170" s="199">
        <v>2.6603629339253532E-2</v>
      </c>
      <c r="AA2170" s="201">
        <v>2.6577629525821322E-2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54386</v>
      </c>
      <c r="Y2171" s="198">
        <f>_xll.qlInterestRateIndexValueDate(IborIndex,X2171,Trigger)</f>
        <v>54389</v>
      </c>
      <c r="Z2171" s="199">
        <v>2.6600530754175011E-2</v>
      </c>
      <c r="AA2171" s="201">
        <v>2.6574562318453232E-2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54393</v>
      </c>
      <c r="Y2172" s="198">
        <f>_xll.qlInterestRateIndexValueDate(IborIndex,X2172,Trigger)</f>
        <v>54395</v>
      </c>
      <c r="Z2172" s="199">
        <v>2.6598195698780969E-2</v>
      </c>
      <c r="AA2172" s="201">
        <v>2.6572250821219612E-2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54400</v>
      </c>
      <c r="Y2173" s="198">
        <f>_xll.qlInterestRateIndexValueDate(IborIndex,X2173,Trigger)</f>
        <v>54402</v>
      </c>
      <c r="Z2173" s="199">
        <v>2.6595459424531287E-2</v>
      </c>
      <c r="AA2173" s="201">
        <v>2.656954205840556E-2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54407</v>
      </c>
      <c r="Y2174" s="198">
        <f>_xll.qlInterestRateIndexValueDate(IborIndex,X2174,Trigger)</f>
        <v>54409</v>
      </c>
      <c r="Z2174" s="199">
        <v>2.659349401349154E-2</v>
      </c>
      <c r="AA2174" s="201">
        <v>2.6566820355222731E-2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54414</v>
      </c>
      <c r="Y2175" s="198">
        <f>_xll.qlInterestRateIndexValueDate(IborIndex,X2175,Trigger)</f>
        <v>54416</v>
      </c>
      <c r="Z2175" s="199">
        <v>2.6589947968037597E-2</v>
      </c>
      <c r="AA2175" s="201">
        <v>2.6563302008169032E-2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54421</v>
      </c>
      <c r="Y2176" s="198">
        <f>_xll.qlInterestRateIndexValueDate(IborIndex,X2176,Trigger)</f>
        <v>54423</v>
      </c>
      <c r="Z2176" s="199">
        <v>2.6584827656172403E-2</v>
      </c>
      <c r="AA2176" s="201">
        <v>2.6560944559532729E-2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54428</v>
      </c>
      <c r="Y2177" s="198">
        <f>_xll.qlInterestRateIndexValueDate(IborIndex,X2177,Trigger)</f>
        <v>54430</v>
      </c>
      <c r="Z2177" s="199">
        <v>2.658438463429641E-2</v>
      </c>
      <c r="AA2177" s="201">
        <v>2.6558577603621458E-2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54435</v>
      </c>
      <c r="Y2178" s="198">
        <f>_xll.qlInterestRateIndexValueDate(IborIndex,X2178,Trigger)</f>
        <v>54437</v>
      </c>
      <c r="Z2178" s="199">
        <v>2.6582362819442616E-2</v>
      </c>
      <c r="AA2178" s="201">
        <v>2.6555804139123396E-2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54442</v>
      </c>
      <c r="Y2179" s="198">
        <f>_xll.qlInterestRateIndexValueDate(IborIndex,X2179,Trigger)</f>
        <v>54444</v>
      </c>
      <c r="Z2179" s="199">
        <v>2.657876942337517E-2</v>
      </c>
      <c r="AA2179" s="201">
        <v>2.6553017734256557E-2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54449</v>
      </c>
      <c r="Y2180" s="198">
        <f>_xll.qlInterestRateIndexValueDate(IborIndex,X2180,Trigger)</f>
        <v>54451</v>
      </c>
      <c r="Z2180" s="199">
        <v>2.6573610832955941E-2</v>
      </c>
      <c r="AA2180" s="201">
        <v>2.6550218388941005E-2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54456</v>
      </c>
      <c r="Y2181" s="198">
        <f>_xll.qlInterestRateIndexValueDate(IborIndex,X2181,Trigger)</f>
        <v>54458</v>
      </c>
      <c r="Z2181" s="199">
        <v>2.6569998029323725E-2</v>
      </c>
      <c r="AA2181" s="201">
        <v>2.6547406103496485E-2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54463</v>
      </c>
      <c r="Y2182" s="198">
        <f>_xll.qlInterestRateIndexValueDate(IborIndex,X2182,Trigger)</f>
        <v>54465</v>
      </c>
      <c r="Z2182" s="199">
        <v>2.6567149577063947E-2</v>
      </c>
      <c r="AA2182" s="201">
        <v>2.6544580877523316E-2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54470</v>
      </c>
      <c r="Y2183" s="198">
        <f>_xll.qlInterestRateIndexValueDate(IborIndex,X2183,Trigger)</f>
        <v>54472</v>
      </c>
      <c r="Z2183" s="199">
        <v>2.6564288159289795E-2</v>
      </c>
      <c r="AA2183" s="201">
        <v>2.6541742711341243E-2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54477</v>
      </c>
      <c r="Y2184" s="198">
        <f>_xll.qlInterestRateIndexValueDate(IborIndex,X2184,Trigger)</f>
        <v>54479</v>
      </c>
      <c r="Z2184" s="199">
        <v>2.6561413776012684E-2</v>
      </c>
      <c r="AA2184" s="201">
        <v>2.6538891604710457E-2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54484</v>
      </c>
      <c r="Y2185" s="198">
        <f>_xll.qlInterestRateIndexValueDate(IborIndex,X2185,Trigger)</f>
        <v>54486</v>
      </c>
      <c r="Z2185" s="199">
        <v>2.6561612528347989E-2</v>
      </c>
      <c r="AA2185" s="201">
        <v>2.6536027557710895E-2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54491</v>
      </c>
      <c r="Y2186" s="198">
        <f>_xll.qlInterestRateIndexValueDate(IborIndex,X2186,Trigger)</f>
        <v>54493</v>
      </c>
      <c r="Z2186" s="199">
        <v>2.6558707653529801E-2</v>
      </c>
      <c r="AA2186" s="201">
        <v>2.6533150570502428E-2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54498</v>
      </c>
      <c r="Y2187" s="198">
        <f>_xll.qlInterestRateIndexValueDate(IborIndex,X2187,Trigger)</f>
        <v>54500</v>
      </c>
      <c r="Z2187" s="199">
        <v>2.6556558876053321E-2</v>
      </c>
      <c r="AA2187" s="201">
        <v>2.6530260642765313E-2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54505</v>
      </c>
      <c r="Y2188" s="198">
        <f>_xll.qlInterestRateIndexValueDate(IborIndex,X2188,Trigger)</f>
        <v>54507</v>
      </c>
      <c r="Z2188" s="199">
        <v>2.6552858996291284E-2</v>
      </c>
      <c r="AA2188" s="201">
        <v>2.6527357774819293E-2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54512</v>
      </c>
      <c r="Y2189" s="198">
        <f>_xll.qlInterestRateIndexValueDate(IborIndex,X2189,Trigger)</f>
        <v>54514</v>
      </c>
      <c r="Z2189" s="199">
        <v>2.6550681994758983E-2</v>
      </c>
      <c r="AA2189" s="201">
        <v>2.6524441966584433E-2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54519</v>
      </c>
      <c r="Y2190" s="198">
        <f>_xll.qlInterestRateIndexValueDate(IborIndex,X2190,Trigger)</f>
        <v>54521</v>
      </c>
      <c r="Z2190" s="199">
        <v>2.6546958462312364E-2</v>
      </c>
      <c r="AA2190" s="201">
        <v>2.6521513217900861E-2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54526</v>
      </c>
      <c r="Y2191" s="198">
        <f>_xll.qlInterestRateIndexValueDate(IborIndex,X2191,Trigger)</f>
        <v>54528</v>
      </c>
      <c r="Z2191" s="199">
        <v>2.6543988741570546E-2</v>
      </c>
      <c r="AA2191" s="201">
        <v>2.6517728669546159E-2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54533</v>
      </c>
      <c r="Y2192" s="198">
        <f>_xll.qlInterestRateIndexValueDate(IborIndex,X2192,Trigger)</f>
        <v>54535</v>
      </c>
      <c r="Z2192" s="199">
        <v>2.6541006051672977E-2</v>
      </c>
      <c r="AA2192" s="201">
        <v>2.6515616899667194E-2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54540</v>
      </c>
      <c r="Y2193" s="198">
        <f>_xll.qlInterestRateIndexValueDate(IborIndex,X2193,Trigger)</f>
        <v>54542</v>
      </c>
      <c r="Z2193" s="199">
        <v>2.6535723366112086E-2</v>
      </c>
      <c r="AA2193" s="201">
        <v>2.651222433503797E-2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54547</v>
      </c>
      <c r="Y2194" s="198">
        <f>_xll.qlInterestRateIndexValueDate(IborIndex,X2194,Trigger)</f>
        <v>54549</v>
      </c>
      <c r="Z2194" s="199">
        <v>2.6535001764460553E-2</v>
      </c>
      <c r="AA2194" s="201">
        <v>2.6509668819958421E-2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54554</v>
      </c>
      <c r="Y2195" s="198">
        <f>_xll.qlInterestRateIndexValueDate(IborIndex,X2195,Trigger)</f>
        <v>54556</v>
      </c>
      <c r="Z2195" s="199">
        <v>2.6531980167158187E-2</v>
      </c>
      <c r="AA2195" s="201">
        <v>2.6506675369590837E-2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54561</v>
      </c>
      <c r="Y2196" s="198">
        <f>_xll.qlInterestRateIndexValueDate(IborIndex,X2196,Trigger)</f>
        <v>54563</v>
      </c>
      <c r="Z2196" s="199">
        <v>2.6528945600747533E-2</v>
      </c>
      <c r="AA2196" s="201">
        <v>2.650366897901435E-2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54568</v>
      </c>
      <c r="Y2197" s="198">
        <f>_xll.qlInterestRateIndexValueDate(IborIndex,X2197,Trigger)</f>
        <v>54570</v>
      </c>
      <c r="Z2197" s="199">
        <v>2.6525898065231091E-2</v>
      </c>
      <c r="AA2197" s="201">
        <v>2.6500217258664804E-2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54575</v>
      </c>
      <c r="Y2198" s="198">
        <f>_xll.qlInterestRateIndexValueDate(IborIndex,X2198,Trigger)</f>
        <v>54577</v>
      </c>
      <c r="Z2198" s="199">
        <v>2.6523594009929239E-2</v>
      </c>
      <c r="AA2198" s="201">
        <v>2.6497617376515237E-2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54582</v>
      </c>
      <c r="Y2199" s="198">
        <f>_xll.qlInterestRateIndexValueDate(IborIndex,X2199,Trigger)</f>
        <v>54584</v>
      </c>
      <c r="Z2199" s="199">
        <v>2.6519764086943287E-2</v>
      </c>
      <c r="AA2199" s="201">
        <v>2.6494572164912356E-2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54589</v>
      </c>
      <c r="Y2200" s="198">
        <f>_xll.qlInterestRateIndexValueDate(IborIndex,X2200,Trigger)</f>
        <v>54591</v>
      </c>
      <c r="Z2200" s="199">
        <v>2.6516677644179421E-2</v>
      </c>
      <c r="AA2200" s="201">
        <v>2.6491514013020634E-2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54596</v>
      </c>
      <c r="Y2201" s="198">
        <f>_xll.qlInterestRateIndexValueDate(IborIndex,X2201,Trigger)</f>
        <v>54598</v>
      </c>
      <c r="Z2201" s="199">
        <v>2.6513578232364721E-2</v>
      </c>
      <c r="AA2201" s="201">
        <v>2.6488442920600264E-2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54603</v>
      </c>
      <c r="Y2202" s="198">
        <f>_xll.qlInterestRateIndexValueDate(IborIndex,X2202,Trigger)</f>
        <v>54605</v>
      </c>
      <c r="Z2202" s="199">
        <v>2.6510465851494192E-2</v>
      </c>
      <c r="AA2202" s="201">
        <v>2.6485358887811117E-2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54610</v>
      </c>
      <c r="Y2203" s="198">
        <f>_xll.qlInterestRateIndexValueDate(IborIndex,X2203,Trigger)</f>
        <v>54612</v>
      </c>
      <c r="Z2203" s="199">
        <v>2.6507340501587817E-2</v>
      </c>
      <c r="AA2203" s="201">
        <v>2.6482261914893002E-2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54617</v>
      </c>
      <c r="Y2204" s="198">
        <f>_xll.qlInterestRateIndexValueDate(IborIndex,X2204,Trigger)</f>
        <v>54619</v>
      </c>
      <c r="Z2204" s="199">
        <v>2.6504202182650594E-2</v>
      </c>
      <c r="AA2204" s="201">
        <v>2.6479152001526174E-2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54624</v>
      </c>
      <c r="Y2205" s="198">
        <f>_xll.qlInterestRateIndexValueDate(IborIndex,X2205,Trigger)</f>
        <v>54626</v>
      </c>
      <c r="Z2205" s="199">
        <v>2.6501050894702505E-2</v>
      </c>
      <c r="AA2205" s="201">
        <v>2.647602914779057E-2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54631</v>
      </c>
      <c r="Y2206" s="198">
        <f>_xll.qlInterestRateIndexValueDate(IborIndex,X2206,Trigger)</f>
        <v>54633</v>
      </c>
      <c r="Z2206" s="199">
        <v>2.6498633840347129E-2</v>
      </c>
      <c r="AA2206" s="201">
        <v>2.6472893353766125E-2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54638</v>
      </c>
      <c r="Y2207" s="198">
        <f>_xll.qlInterestRateIndexValueDate(IborIndex,X2207,Trigger)</f>
        <v>54640</v>
      </c>
      <c r="Z2207" s="199">
        <v>2.649545545439028E-2</v>
      </c>
      <c r="AA2207" s="201">
        <v>2.646974461945284E-2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54645</v>
      </c>
      <c r="Y2208" s="198">
        <f>_xll.qlInterestRateIndexValueDate(IborIndex,X2208,Trigger)</f>
        <v>54647</v>
      </c>
      <c r="Z2208" s="199">
        <v>2.6491519216848003E-2</v>
      </c>
      <c r="AA2208" s="201">
        <v>2.6466582944690842E-2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54652</v>
      </c>
      <c r="Y2209" s="198">
        <f>_xll.qlInterestRateIndexValueDate(IborIndex,X2209,Trigger)</f>
        <v>54654</v>
      </c>
      <c r="Z2209" s="199">
        <v>2.6488316052936389E-2</v>
      </c>
      <c r="AA2209" s="201">
        <v>2.6463408329640004E-2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54659</v>
      </c>
      <c r="Y2210" s="198">
        <f>_xll.qlInterestRateIndexValueDate(IborIndex,X2210,Trigger)</f>
        <v>54661</v>
      </c>
      <c r="Z2210" s="199">
        <v>2.6485099920061372E-2</v>
      </c>
      <c r="AA2210" s="201">
        <v>2.6459764352919635E-2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54666</v>
      </c>
      <c r="Y2211" s="198">
        <f>_xll.qlInterestRateIndexValueDate(IborIndex,X2211,Trigger)</f>
        <v>54668</v>
      </c>
      <c r="Z2211" s="199">
        <v>2.6481870818232944E-2</v>
      </c>
      <c r="AA2211" s="201">
        <v>2.6457020278671806E-2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54673</v>
      </c>
      <c r="Y2212" s="198">
        <f>_xll.qlInterestRateIndexValueDate(IborIndex,X2212,Trigger)</f>
        <v>54675</v>
      </c>
      <c r="Z2212" s="199">
        <v>2.6479368976199555E-2</v>
      </c>
      <c r="AA2212" s="201">
        <v>2.6453806842594574E-2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54680</v>
      </c>
      <c r="Y2213" s="198">
        <f>_xll.qlInterestRateIndexValueDate(IborIndex,X2213,Trigger)</f>
        <v>54682</v>
      </c>
      <c r="Z2213" s="199">
        <v>2.6475373707773309E-2</v>
      </c>
      <c r="AA2213" s="201">
        <v>2.6450580466228502E-2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54687</v>
      </c>
      <c r="Y2214" s="198">
        <f>_xll.qlInterestRateIndexValueDate(IborIndex,X2214,Trigger)</f>
        <v>54689</v>
      </c>
      <c r="Z2214" s="199">
        <v>2.6472105699157089E-2</v>
      </c>
      <c r="AA2214" s="201">
        <v>2.6447341149573589E-2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54694</v>
      </c>
      <c r="Y2215" s="198">
        <f>_xll.qlInterestRateIndexValueDate(IborIndex,X2215,Trigger)</f>
        <v>54696</v>
      </c>
      <c r="Z2215" s="199">
        <v>2.6466614082483873E-2</v>
      </c>
      <c r="AA2215" s="201">
        <v>2.64440888925499E-2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54701</v>
      </c>
      <c r="Y2216" s="198">
        <f>_xll.qlInterestRateIndexValueDate(IborIndex,X2216,Trigger)</f>
        <v>54703</v>
      </c>
      <c r="Z2216" s="199">
        <v>2.6465530775226787E-2</v>
      </c>
      <c r="AA2216" s="201">
        <v>2.6440823695157434E-2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54708</v>
      </c>
      <c r="Y2217" s="198">
        <f>_xll.qlInterestRateIndexValueDate(IborIndex,X2217,Trigger)</f>
        <v>54710</v>
      </c>
      <c r="Z2217" s="199">
        <v>2.6462223859927692E-2</v>
      </c>
      <c r="AA2217" s="201">
        <v>2.6437545557476128E-2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54715</v>
      </c>
      <c r="Y2218" s="198">
        <f>_xll.qlInterestRateIndexValueDate(IborIndex,X2218,Trigger)</f>
        <v>54717</v>
      </c>
      <c r="Z2218" s="199">
        <v>2.6458903975755121E-2</v>
      </c>
      <c r="AA2218" s="201">
        <v>2.6434254479505981E-2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54722</v>
      </c>
      <c r="Y2219" s="198">
        <f>_xll.qlInterestRateIndexValueDate(IborIndex,X2219,Trigger)</f>
        <v>54724</v>
      </c>
      <c r="Z2219" s="199">
        <v>2.6455571122726562E-2</v>
      </c>
      <c r="AA2219" s="201">
        <v>2.6430950461167058E-2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54729</v>
      </c>
      <c r="Y2220" s="198">
        <f>_xll.qlInterestRateIndexValueDate(IborIndex,X2220,Trigger)</f>
        <v>54731</v>
      </c>
      <c r="Z2220" s="199">
        <v>2.6452225300844512E-2</v>
      </c>
      <c r="AA2220" s="201">
        <v>2.6427633502459358E-2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54736</v>
      </c>
      <c r="Y2221" s="198">
        <f>_xll.qlInterestRateIndexValueDate(IborIndex,X2221,Trigger)</f>
        <v>54739</v>
      </c>
      <c r="Z2221" s="199">
        <v>2.6447656010049347E-2</v>
      </c>
      <c r="AA2221" s="201">
        <v>2.6423826847228327E-2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54743</v>
      </c>
      <c r="Y2222" s="198">
        <f>_xll.qlInterestRateIndexValueDate(IborIndex,X2222,Trigger)</f>
        <v>54745</v>
      </c>
      <c r="Z2222" s="199">
        <v>2.6445494750577392E-2</v>
      </c>
      <c r="AA2222" s="201">
        <v>2.6420960764177437E-2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54750</v>
      </c>
      <c r="Y2223" s="198">
        <f>_xll.qlInterestRateIndexValueDate(IborIndex,X2223,Trigger)</f>
        <v>54753</v>
      </c>
      <c r="Z2223" s="199">
        <v>2.6442352620095606E-2</v>
      </c>
      <c r="AA2223" s="201">
        <v>2.6417124531006309E-2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54757</v>
      </c>
      <c r="Y2224" s="198">
        <f>_xll.qlInterestRateIndexValueDate(IborIndex,X2224,Trigger)</f>
        <v>54759</v>
      </c>
      <c r="Z2224" s="199">
        <v>2.643943850646157E-2</v>
      </c>
      <c r="AA2224" s="201">
        <v>2.6414236264500346E-2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54764</v>
      </c>
      <c r="Y2225" s="198">
        <f>_xll.qlInterestRateIndexValueDate(IborIndex,X2225,Trigger)</f>
        <v>54766</v>
      </c>
      <c r="Z2225" s="199">
        <v>2.643530165909902E-2</v>
      </c>
      <c r="AA2225" s="201">
        <v>2.6410854604188572E-2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54771</v>
      </c>
      <c r="Y2226" s="198">
        <f>_xll.qlInterestRateIndexValueDate(IborIndex,X2226,Trigger)</f>
        <v>54773</v>
      </c>
      <c r="Z2226" s="199">
        <v>2.6432601851675036E-2</v>
      </c>
      <c r="AA2226" s="201">
        <v>2.6407460003587957E-2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54778</v>
      </c>
      <c r="Y2227" s="198">
        <f>_xll.qlInterestRateIndexValueDate(IborIndex,X2227,Trigger)</f>
        <v>54780</v>
      </c>
      <c r="Z2227" s="199">
        <v>2.6428441420866533E-2</v>
      </c>
      <c r="AA2227" s="201">
        <v>2.6403076502585776E-2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54786</v>
      </c>
      <c r="Y2228" s="198">
        <f>_xll.qlInterestRateIndexValueDate(IborIndex,X2228,Trigger)</f>
        <v>54792</v>
      </c>
      <c r="Z2228" s="199">
        <v>2.6421799224521172E-2</v>
      </c>
      <c r="AA2228" s="201">
        <v>2.6399162099304263E-2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54793</v>
      </c>
      <c r="Y2229" s="198">
        <f>_xll.qlInterestRateIndexValueDate(IborIndex,X2229,Trigger)</f>
        <v>54795</v>
      </c>
      <c r="Z2229" s="199">
        <v>2.6420313402294629E-2</v>
      </c>
      <c r="AA2229" s="201">
        <v>2.6396707014528786E-2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54800</v>
      </c>
      <c r="Y2230" s="198">
        <f>_xll.qlInterestRateIndexValueDate(IborIndex,X2230,Trigger)</f>
        <v>54802</v>
      </c>
      <c r="Z2230" s="199">
        <v>2.6416837221044681E-2</v>
      </c>
      <c r="AA2230" s="201">
        <v>2.6393258804011666E-2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54807</v>
      </c>
      <c r="Y2231" s="198">
        <f>_xll.qlInterestRateIndexValueDate(IborIndex,X2231,Trigger)</f>
        <v>54809</v>
      </c>
      <c r="Z2231" s="199">
        <v>2.6414065906682493E-2</v>
      </c>
      <c r="AA2231" s="201">
        <v>2.6389797653045832E-2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54814</v>
      </c>
      <c r="Y2232" s="198">
        <f>_xll.qlInterestRateIndexValueDate(IborIndex,X2232,Trigger)</f>
        <v>54816</v>
      </c>
      <c r="Z2232" s="199">
        <v>2.6409845955145575E-2</v>
      </c>
      <c r="AA2232" s="201">
        <v>2.6386323561791158E-2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54821</v>
      </c>
      <c r="Y2233" s="198">
        <f>_xll.qlInterestRateIndexValueDate(IborIndex,X2233,Trigger)</f>
        <v>54823</v>
      </c>
      <c r="Z2233" s="199">
        <v>2.6404183999794002E-2</v>
      </c>
      <c r="AA2233" s="201">
        <v>2.638283653032758E-2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54828</v>
      </c>
      <c r="Y2234" s="198">
        <f>_xll.qlInterestRateIndexValueDate(IborIndex,X2234,Trigger)</f>
        <v>54830</v>
      </c>
      <c r="Z2234" s="199">
        <v>2.6400659500955506E-2</v>
      </c>
      <c r="AA2234" s="201">
        <v>2.6379336558495226E-2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54835</v>
      </c>
      <c r="Y2235" s="198">
        <f>_xll.qlInterestRateIndexValueDate(IborIndex,X2235,Trigger)</f>
        <v>54837</v>
      </c>
      <c r="Z2235" s="199">
        <v>2.6397122037110803E-2</v>
      </c>
      <c r="AA2235" s="201">
        <v>2.6375823646214158E-2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54842</v>
      </c>
      <c r="Y2236" s="198">
        <f>_xll.qlInterestRateIndexValueDate(IborIndex,X2236,Trigger)</f>
        <v>54844</v>
      </c>
      <c r="Z2236" s="199">
        <v>2.6393571608262736E-2</v>
      </c>
      <c r="AA2236" s="201">
        <v>2.6372297793724186E-2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54849</v>
      </c>
      <c r="Y2237" s="198">
        <f>_xll.qlInterestRateIndexValueDate(IborIndex,X2237,Trigger)</f>
        <v>54851</v>
      </c>
      <c r="Z2237" s="199">
        <v>2.6392140854472272E-2</v>
      </c>
      <c r="AA2237" s="201">
        <v>2.6368759000865438E-2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54856</v>
      </c>
      <c r="Y2238" s="198">
        <f>_xll.qlInterestRateIndexValueDate(IborIndex,X2238,Trigger)</f>
        <v>54858</v>
      </c>
      <c r="Z2238" s="199">
        <v>2.6389270465704551E-2</v>
      </c>
      <c r="AA2238" s="201">
        <v>2.636520726771785E-2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54863</v>
      </c>
      <c r="Y2239" s="198">
        <f>_xll.qlInterestRateIndexValueDate(IborIndex,X2239,Trigger)</f>
        <v>54865</v>
      </c>
      <c r="Z2239" s="199">
        <v>2.6384968040083376E-2</v>
      </c>
      <c r="AA2239" s="201">
        <v>2.6361642594201484E-2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54870</v>
      </c>
      <c r="Y2240" s="198">
        <f>_xll.qlInterestRateIndexValueDate(IborIndex,X2240,Trigger)</f>
        <v>54872</v>
      </c>
      <c r="Z2240" s="199">
        <v>2.6381362181341458E-2</v>
      </c>
      <c r="AA2240" s="201">
        <v>2.6358064980396279E-2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54877</v>
      </c>
      <c r="Y2241" s="198">
        <f>_xll.qlInterestRateIndexValueDate(IborIndex,X2241,Trigger)</f>
        <v>54879</v>
      </c>
      <c r="Z2241" s="199">
        <v>2.6378449318583685E-2</v>
      </c>
      <c r="AA2241" s="201">
        <v>2.6354474426302232E-2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54884</v>
      </c>
      <c r="Y2242" s="198">
        <f>_xll.qlInterestRateIndexValueDate(IborIndex,X2242,Trigger)</f>
        <v>54890</v>
      </c>
      <c r="Z2242" s="199">
        <v>2.6371326258421313E-2</v>
      </c>
      <c r="AA2242" s="201">
        <v>2.6349838985231244E-2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54891</v>
      </c>
      <c r="Y2243" s="198">
        <f>_xll.qlInterestRateIndexValueDate(IborIndex,X2243,Trigger)</f>
        <v>54893</v>
      </c>
      <c r="Z2243" s="199">
        <v>2.6370466799052177E-2</v>
      </c>
      <c r="AA2243" s="201">
        <v>2.634725449700781E-2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54898</v>
      </c>
      <c r="Y2244" s="198">
        <f>_xll.qlInterestRateIndexValueDate(IborIndex,X2244,Trigger)</f>
        <v>54900</v>
      </c>
      <c r="Z2244" s="199">
        <v>2.6366809069642498E-2</v>
      </c>
      <c r="AA2244" s="201">
        <v>2.6343625121967307E-2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54905</v>
      </c>
      <c r="Y2245" s="198">
        <f>_xll.qlInterestRateIndexValueDate(IborIndex,X2245,Trigger)</f>
        <v>54907</v>
      </c>
      <c r="Z2245" s="199">
        <v>2.6363839562316416E-2</v>
      </c>
      <c r="AA2245" s="201">
        <v>2.6339461419464527E-2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54912</v>
      </c>
      <c r="Y2246" s="198">
        <f>_xll.qlInterestRateIndexValueDate(IborIndex,X2246,Trigger)</f>
        <v>54914</v>
      </c>
      <c r="Z2246" s="199">
        <v>2.6359454707942223E-2</v>
      </c>
      <c r="AA2246" s="201">
        <v>2.6336327550859906E-2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54919</v>
      </c>
      <c r="Y2247" s="198">
        <f>_xll.qlInterestRateIndexValueDate(IborIndex,X2247,Trigger)</f>
        <v>54921</v>
      </c>
      <c r="Z2247" s="199">
        <v>2.6355758075667101E-2</v>
      </c>
      <c r="AA2247" s="201">
        <v>2.6332659354793009E-2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54926</v>
      </c>
      <c r="Y2248" s="198">
        <f>_xll.qlInterestRateIndexValueDate(IborIndex,X2248,Trigger)</f>
        <v>54928</v>
      </c>
      <c r="Z2248" s="199">
        <v>2.6352048475795947E-2</v>
      </c>
      <c r="AA2248" s="201">
        <v>2.6328978218437271E-2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54933</v>
      </c>
      <c r="Y2249" s="198">
        <f>_xll.qlInterestRateIndexValueDate(IborIndex,X2249,Trigger)</f>
        <v>54935</v>
      </c>
      <c r="Z2249" s="199">
        <v>2.6348325908336499E-2</v>
      </c>
      <c r="AA2249" s="201">
        <v>2.6324755360214169E-2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54940</v>
      </c>
      <c r="Y2250" s="198">
        <f>_xll.qlInterestRateIndexValueDate(IborIndex,X2250,Trigger)</f>
        <v>54942</v>
      </c>
      <c r="Z2250" s="199">
        <v>2.6345285575092303E-2</v>
      </c>
      <c r="AA2250" s="201">
        <v>2.6321577124699402E-2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54947</v>
      </c>
      <c r="Y2251" s="198">
        <f>_xll.qlInterestRateIndexValueDate(IborIndex,X2251,Trigger)</f>
        <v>54949</v>
      </c>
      <c r="Z2251" s="199">
        <v>2.6340841870714612E-2</v>
      </c>
      <c r="AA2251" s="201">
        <v>2.6317857167397207E-2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54954</v>
      </c>
      <c r="Y2252" s="198">
        <f>_xll.qlInterestRateIndexValueDate(IborIndex,X2252,Trigger)</f>
        <v>54956</v>
      </c>
      <c r="Z2252" s="199">
        <v>2.6337080400572799E-2</v>
      </c>
      <c r="AA2252" s="201">
        <v>2.6314124269806172E-2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54961</v>
      </c>
      <c r="Y2253" s="198">
        <f>_xll.qlInterestRateIndexValueDate(IborIndex,X2253,Trigger)</f>
        <v>54963</v>
      </c>
      <c r="Z2253" s="199">
        <v>2.6333305962896843E-2</v>
      </c>
      <c r="AA2253" s="201">
        <v>2.631037843184636E-2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54968</v>
      </c>
      <c r="Y2254" s="198">
        <f>_xll.qlInterestRateIndexValueDate(IborIndex,X2254,Trigger)</f>
        <v>54970</v>
      </c>
      <c r="Z2254" s="199">
        <v>2.6329518557699636E-2</v>
      </c>
      <c r="AA2254" s="201">
        <v>2.6306619653517771E-2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54975</v>
      </c>
      <c r="Y2255" s="198">
        <f>_xll.qlInterestRateIndexValueDate(IborIndex,X2255,Trigger)</f>
        <v>54977</v>
      </c>
      <c r="Z2255" s="199">
        <v>2.6325718184988918E-2</v>
      </c>
      <c r="AA2255" s="201">
        <v>2.6302847935060214E-2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54982</v>
      </c>
      <c r="Y2256" s="198">
        <f>_xll.qlInterestRateIndexValueDate(IborIndex,X2256,Trigger)</f>
        <v>54984</v>
      </c>
      <c r="Z2256" s="199">
        <v>2.632190484478273E-2</v>
      </c>
      <c r="AA2256" s="201">
        <v>2.6299063276074008E-2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54989</v>
      </c>
      <c r="Y2257" s="198">
        <f>_xll.qlInterestRateIndexValueDate(IborIndex,X2257,Trigger)</f>
        <v>54991</v>
      </c>
      <c r="Z2257" s="199">
        <v>2.6318078537093975E-2</v>
      </c>
      <c r="AA2257" s="201">
        <v>2.6295265676878898E-2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54996</v>
      </c>
      <c r="Y2258" s="198">
        <f>_xll.qlInterestRateIndexValueDate(IborIndex,X2258,Trigger)</f>
        <v>54998</v>
      </c>
      <c r="Z2258" s="199">
        <v>2.6315610328062018E-2</v>
      </c>
      <c r="AA2258" s="201">
        <v>2.6291455137315012E-2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55003</v>
      </c>
      <c r="Y2259" s="198">
        <f>_xll.qlInterestRateIndexValueDate(IborIndex,X2259,Trigger)</f>
        <v>55005</v>
      </c>
      <c r="Z2259" s="199">
        <v>2.6311071385640705E-2</v>
      </c>
      <c r="AA2259" s="201">
        <v>2.6287631657542221E-2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55010</v>
      </c>
      <c r="Y2260" s="198">
        <f>_xll.qlInterestRateIndexValueDate(IborIndex,X2260,Trigger)</f>
        <v>55012</v>
      </c>
      <c r="Z2260" s="199">
        <v>2.6306521809235418E-2</v>
      </c>
      <c r="AA2260" s="201">
        <v>2.6283795237400653E-2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55017</v>
      </c>
      <c r="Y2261" s="198">
        <f>_xll.qlInterestRateIndexValueDate(IborIndex,X2261,Trigger)</f>
        <v>55019</v>
      </c>
      <c r="Z2261" s="199">
        <v>2.630264363173241E-2</v>
      </c>
      <c r="AA2261" s="201">
        <v>2.6279945876890309E-2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55024</v>
      </c>
      <c r="Y2262" s="198">
        <f>_xll.qlInterestRateIndexValueDate(IborIndex,X2262,Trigger)</f>
        <v>55026</v>
      </c>
      <c r="Z2262" s="199">
        <v>2.6298752486808716E-2</v>
      </c>
      <c r="AA2262" s="201">
        <v>2.627553076237632E-2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55031</v>
      </c>
      <c r="Y2263" s="198">
        <f>_xll.qlInterestRateIndexValueDate(IborIndex,X2263,Trigger)</f>
        <v>55033</v>
      </c>
      <c r="Z2263" s="199">
        <v>2.6294848374477233E-2</v>
      </c>
      <c r="AA2263" s="201">
        <v>2.6272208334923164E-2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55038</v>
      </c>
      <c r="Y2264" s="198">
        <f>_xll.qlInterestRateIndexValueDate(IborIndex,X2264,Trigger)</f>
        <v>55040</v>
      </c>
      <c r="Z2264" s="199">
        <v>2.6291609609717381E-2</v>
      </c>
      <c r="AA2264" s="201">
        <v>2.6268320153546298E-2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55045</v>
      </c>
      <c r="Y2265" s="198">
        <f>_xll.qlInterestRateIndexValueDate(IborIndex,X2265,Trigger)</f>
        <v>55047</v>
      </c>
      <c r="Z2265" s="199">
        <v>2.6287001247645034E-2</v>
      </c>
      <c r="AA2265" s="201">
        <v>2.6264419031800657E-2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55052</v>
      </c>
      <c r="Y2266" s="198">
        <f>_xll.qlInterestRateIndexValueDate(IborIndex,X2266,Trigger)</f>
        <v>55054</v>
      </c>
      <c r="Z2266" s="199">
        <v>2.6283058233170106E-2</v>
      </c>
      <c r="AA2266" s="201">
        <v>2.626050496984611E-2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55059</v>
      </c>
      <c r="Y2267" s="198">
        <f>_xll.qlInterestRateIndexValueDate(IborIndex,X2267,Trigger)</f>
        <v>55061</v>
      </c>
      <c r="Z2267" s="199">
        <v>2.6279102251341536E-2</v>
      </c>
      <c r="AA2267" s="201">
        <v>2.6256577967442851E-2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55066</v>
      </c>
      <c r="Y2268" s="198">
        <f>_xll.qlInterestRateIndexValueDate(IborIndex,X2268,Trigger)</f>
        <v>55068</v>
      </c>
      <c r="Z2268" s="199">
        <v>2.6275133302169639E-2</v>
      </c>
      <c r="AA2268" s="201">
        <v>2.6252638024750752E-2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55073</v>
      </c>
      <c r="Y2269" s="198">
        <f>_xll.qlInterestRateIndexValueDate(IborIndex,X2269,Trigger)</f>
        <v>55075</v>
      </c>
      <c r="Z2269" s="199">
        <v>2.6271151385669884E-2</v>
      </c>
      <c r="AA2269" s="201">
        <v>2.6248685141769812E-2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55080</v>
      </c>
      <c r="Y2270" s="198">
        <f>_xll.qlInterestRateIndexValueDate(IborIndex,X2270,Trigger)</f>
        <v>55082</v>
      </c>
      <c r="Z2270" s="199">
        <v>2.6267156501855165E-2</v>
      </c>
      <c r="AA2270" s="201">
        <v>2.6244719318579968E-2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55087</v>
      </c>
      <c r="Y2271" s="198">
        <f>_xll.qlInterestRateIndexValueDate(IborIndex,X2271,Trigger)</f>
        <v>55089</v>
      </c>
      <c r="Z2271" s="199">
        <v>2.6263148650735795E-2</v>
      </c>
      <c r="AA2271" s="201">
        <v>2.6240740554941411E-2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55094</v>
      </c>
      <c r="Y2272" s="198">
        <f>_xll.qlInterestRateIndexValueDate(IborIndex,X2272,Trigger)</f>
        <v>55096</v>
      </c>
      <c r="Z2272" s="199">
        <v>2.6259127832327252E-2</v>
      </c>
      <c r="AA2272" s="201">
        <v>2.6236748851014013E-2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55101</v>
      </c>
      <c r="Y2273" s="198">
        <f>_xll.qlInterestRateIndexValueDate(IborIndex,X2273,Trigger)</f>
        <v>55106</v>
      </c>
      <c r="Z2273" s="199">
        <v>2.6252694385354935E-2</v>
      </c>
      <c r="AA2273" s="201">
        <v>2.6232171058468978E-2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55108</v>
      </c>
      <c r="Y2274" s="198">
        <f>_xll.qlInterestRateIndexValueDate(IborIndex,X2274,Trigger)</f>
        <v>55110</v>
      </c>
      <c r="Z2274" s="199">
        <v>2.6251047293704512E-2</v>
      </c>
      <c r="AA2274" s="201">
        <v>2.6228726622372633E-2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55115</v>
      </c>
      <c r="Y2275" s="198">
        <f>_xll.qlInterestRateIndexValueDate(IborIndex,X2275,Trigger)</f>
        <v>55117</v>
      </c>
      <c r="Z2275" s="199">
        <v>2.624831733454756E-2</v>
      </c>
      <c r="AA2275" s="201">
        <v>2.6224696097418843E-2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55122</v>
      </c>
      <c r="Y2276" s="198">
        <f>_xll.qlInterestRateIndexValueDate(IborIndex,X2276,Trigger)</f>
        <v>55124</v>
      </c>
      <c r="Z2276" s="199">
        <v>2.6243578585831706E-2</v>
      </c>
      <c r="AA2276" s="201">
        <v>2.6220652632416019E-2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55129</v>
      </c>
      <c r="Y2277" s="198">
        <f>_xll.qlInterestRateIndexValueDate(IborIndex,X2277,Trigger)</f>
        <v>55131</v>
      </c>
      <c r="Z2277" s="199">
        <v>2.623882923144194E-2</v>
      </c>
      <c r="AA2277" s="201">
        <v>2.6216596226964484E-2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55136</v>
      </c>
      <c r="Y2278" s="198">
        <f>_xll.qlInterestRateIndexValueDate(IborIndex,X2278,Trigger)</f>
        <v>55138</v>
      </c>
      <c r="Z2278" s="199">
        <v>2.6235391860881252E-2</v>
      </c>
      <c r="AA2278" s="201">
        <v>2.6212526881144171E-2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55143</v>
      </c>
      <c r="Y2279" s="198">
        <f>_xll.qlInterestRateIndexValueDate(IborIndex,X2279,Trigger)</f>
        <v>55145</v>
      </c>
      <c r="Z2279" s="199">
        <v>2.6230619020543702E-2</v>
      </c>
      <c r="AA2279" s="201">
        <v>2.6207275850893552E-2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55150</v>
      </c>
      <c r="Y2280" s="198">
        <f>_xll.qlInterestRateIndexValueDate(IborIndex,X2280,Trigger)</f>
        <v>55152</v>
      </c>
      <c r="Z2280" s="199">
        <v>2.622715326357189E-2</v>
      </c>
      <c r="AA2280" s="201">
        <v>2.6203763280019388E-2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55157</v>
      </c>
      <c r="Y2281" s="198">
        <f>_xll.qlInterestRateIndexValueDate(IborIndex,X2281,Trigger)</f>
        <v>55159</v>
      </c>
      <c r="Z2281" s="199">
        <v>2.6222356940924535E-2</v>
      </c>
      <c r="AA2281" s="201">
        <v>2.620024120219E-2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55164</v>
      </c>
      <c r="Y2282" s="198">
        <f>_xll.qlInterestRateIndexValueDate(IborIndex,X2282,Trigger)</f>
        <v>55166</v>
      </c>
      <c r="Z2282" s="199">
        <v>2.6218206450377157E-2</v>
      </c>
      <c r="AA2282" s="201">
        <v>2.6196120095214326E-2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55171</v>
      </c>
      <c r="Y2283" s="198">
        <f>_xll.qlInterestRateIndexValueDate(IborIndex,X2283,Trigger)</f>
        <v>55173</v>
      </c>
      <c r="Z2283" s="199">
        <v>2.621469810718563E-2</v>
      </c>
      <c r="AA2283" s="201">
        <v>2.6191986047789939E-2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55178</v>
      </c>
      <c r="Y2284" s="198">
        <f>_xll.qlInterestRateIndexValueDate(IborIndex,X2284,Trigger)</f>
        <v>55180</v>
      </c>
      <c r="Z2284" s="199">
        <v>2.6209866567889324E-2</v>
      </c>
      <c r="AA2284" s="201">
        <v>2.6187839060396456E-2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55185</v>
      </c>
      <c r="Y2285" s="198">
        <f>_xll.qlInterestRateIndexValueDate(IborIndex,X2285,Trigger)</f>
        <v>55187</v>
      </c>
      <c r="Z2285" s="199">
        <v>2.6203718701401448E-2</v>
      </c>
      <c r="AA2285" s="201">
        <v>2.6183679132474325E-2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55192</v>
      </c>
      <c r="Y2286" s="198">
        <f>_xll.qlInterestRateIndexValueDate(IborIndex,X2286,Trigger)</f>
        <v>55194</v>
      </c>
      <c r="Z2286" s="199">
        <v>2.6199520036979593E-2</v>
      </c>
      <c r="AA2286" s="201">
        <v>2.6179506264263352E-2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55199</v>
      </c>
      <c r="Y2287" s="198">
        <f>_xll.qlInterestRateIndexValueDate(IborIndex,X2287,Trigger)</f>
        <v>55201</v>
      </c>
      <c r="Z2287" s="199">
        <v>2.6195308408159614E-2</v>
      </c>
      <c r="AA2287" s="201">
        <v>2.617532045576354E-2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55206</v>
      </c>
      <c r="Y2288" s="198">
        <f>_xll.qlInterestRateIndexValueDate(IborIndex,X2288,Trigger)</f>
        <v>55208</v>
      </c>
      <c r="Z2288" s="199">
        <v>2.6191083814938652E-2</v>
      </c>
      <c r="AA2288" s="201">
        <v>2.6171121707054823E-2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55213</v>
      </c>
      <c r="Y2289" s="198">
        <f>_xll.qlInterestRateIndexValueDate(IborIndex,X2289,Trigger)</f>
        <v>55215</v>
      </c>
      <c r="Z2289" s="199">
        <v>2.6189437658308001E-2</v>
      </c>
      <c r="AA2289" s="201">
        <v>2.616691001797733E-2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55220</v>
      </c>
      <c r="Y2290" s="198">
        <f>_xll.qlInterestRateIndexValueDate(IborIndex,X2290,Trigger)</f>
        <v>55222</v>
      </c>
      <c r="Z2290" s="199">
        <v>2.6184535710217255E-2</v>
      </c>
      <c r="AA2290" s="201">
        <v>2.616268538853106E-2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55227</v>
      </c>
      <c r="Y2291" s="198">
        <f>_xll.qlInterestRateIndexValueDate(IborIndex,X2291,Trigger)</f>
        <v>55229</v>
      </c>
      <c r="Z2291" s="199">
        <v>2.6180268515931589E-2</v>
      </c>
      <c r="AA2291" s="201">
        <v>2.6158447818875885E-2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55234</v>
      </c>
      <c r="Y2292" s="198">
        <f>_xll.qlInterestRateIndexValueDate(IborIndex,X2292,Trigger)</f>
        <v>55236</v>
      </c>
      <c r="Z2292" s="199">
        <v>2.6175988354637813E-2</v>
      </c>
      <c r="AA2292" s="201">
        <v>2.6154197308851934E-2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55241</v>
      </c>
      <c r="Y2293" s="198">
        <f>_xll.qlInterestRateIndexValueDate(IborIndex,X2293,Trigger)</f>
        <v>55247</v>
      </c>
      <c r="Z2293" s="199">
        <v>2.6168594035262949E-2</v>
      </c>
      <c r="AA2293" s="201">
        <v>2.6148713353082442E-2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55248</v>
      </c>
      <c r="Y2294" s="198">
        <f>_xll.qlInterestRateIndexValueDate(IborIndex,X2294,Trigger)</f>
        <v>55250</v>
      </c>
      <c r="Z2294" s="199">
        <v>2.6167389131067177E-2</v>
      </c>
      <c r="AA2294" s="201">
        <v>2.6145657468017447E-2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55255</v>
      </c>
      <c r="Y2295" s="198">
        <f>_xll.qlInterestRateIndexValueDate(IborIndex,X2295,Trigger)</f>
        <v>55257</v>
      </c>
      <c r="Z2295" s="199">
        <v>2.6163070068823843E-2</v>
      </c>
      <c r="AA2295" s="201">
        <v>2.6141368137126975E-2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55262</v>
      </c>
      <c r="Y2296" s="198">
        <f>_xll.qlInterestRateIndexValueDate(IborIndex,X2296,Trigger)</f>
        <v>55264</v>
      </c>
      <c r="Z2296" s="199">
        <v>2.6158738039623965E-2</v>
      </c>
      <c r="AA2296" s="201">
        <v>2.6137065866027598E-2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55269</v>
      </c>
      <c r="Y2297" s="198">
        <f>_xll.qlInterestRateIndexValueDate(IborIndex,X2297,Trigger)</f>
        <v>55271</v>
      </c>
      <c r="Z2297" s="199">
        <v>2.6155668581429644E-2</v>
      </c>
      <c r="AA2297" s="201">
        <v>2.6132133139320501E-2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55276</v>
      </c>
      <c r="Y2298" s="198">
        <f>_xll.qlInterestRateIndexValueDate(IborIndex,X2298,Trigger)</f>
        <v>55278</v>
      </c>
      <c r="Z2298" s="199">
        <v>2.6150035080421633E-2</v>
      </c>
      <c r="AA2298" s="201">
        <v>2.6128422502722515E-2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55283</v>
      </c>
      <c r="Y2299" s="198">
        <f>_xll.qlInterestRateIndexValueDate(IborIndex,X2299,Trigger)</f>
        <v>55285</v>
      </c>
      <c r="Z2299" s="199">
        <v>2.6145664150447539E-2</v>
      </c>
      <c r="AA2299" s="201">
        <v>2.6124081410676681E-2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55290</v>
      </c>
      <c r="Y2300" s="198">
        <f>_xll.qlInterestRateIndexValueDate(IborIndex,X2300,Trigger)</f>
        <v>55292</v>
      </c>
      <c r="Z2300" s="199">
        <v>2.6141280253581374E-2</v>
      </c>
      <c r="AA2300" s="201">
        <v>2.6119727378342006E-2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55297</v>
      </c>
      <c r="Y2301" s="198">
        <f>_xll.qlInterestRateIndexValueDate(IborIndex,X2301,Trigger)</f>
        <v>55299</v>
      </c>
      <c r="Z2301" s="199">
        <v>2.6136883389828287E-2</v>
      </c>
      <c r="AA2301" s="201">
        <v>2.6114735495994523E-2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55304</v>
      </c>
      <c r="Y2302" s="198">
        <f>_xll.qlInterestRateIndexValueDate(IborIndex,X2302,Trigger)</f>
        <v>55306</v>
      </c>
      <c r="Z2302" s="199">
        <v>2.6132473559211486E-2</v>
      </c>
      <c r="AA2302" s="201">
        <v>2.6110980492646263E-2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55311</v>
      </c>
      <c r="Y2303" s="198">
        <f>_xll.qlInterestRateIndexValueDate(IborIndex,X2303,Trigger)</f>
        <v>55313</v>
      </c>
      <c r="Z2303" s="199">
        <v>2.6128050761743869E-2</v>
      </c>
      <c r="AA2303" s="201">
        <v>2.6106587639445067E-2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55318</v>
      </c>
      <c r="Y2304" s="198">
        <f>_xll.qlInterestRateIndexValueDate(IborIndex,X2304,Trigger)</f>
        <v>55320</v>
      </c>
      <c r="Z2304" s="199">
        <v>2.6123614997440904E-2</v>
      </c>
      <c r="AA2304" s="201">
        <v>2.6102181845795158E-2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55325</v>
      </c>
      <c r="Y2305" s="198">
        <f>_xll.qlInterestRateIndexValueDate(IborIndex,X2305,Trigger)</f>
        <v>55327</v>
      </c>
      <c r="Z2305" s="199">
        <v>2.6119166266312908E-2</v>
      </c>
      <c r="AA2305" s="201">
        <v>2.6097763111936345E-2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55332</v>
      </c>
      <c r="Y2306" s="198">
        <f>_xll.qlInterestRateIndexValueDate(IborIndex,X2306,Trigger)</f>
        <v>55334</v>
      </c>
      <c r="Z2306" s="199">
        <v>2.6114704568377927E-2</v>
      </c>
      <c r="AA2306" s="201">
        <v>2.6093331437868628E-2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55339</v>
      </c>
      <c r="Y2307" s="198">
        <f>_xll.qlInterestRateIndexValueDate(IborIndex,X2307,Trigger)</f>
        <v>55341</v>
      </c>
      <c r="Z2307" s="199">
        <v>2.6110229903651434E-2</v>
      </c>
      <c r="AA2307" s="201">
        <v>2.6088886823432134E-2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55346</v>
      </c>
      <c r="Y2308" s="198">
        <f>_xll.qlInterestRateIndexValueDate(IborIndex,X2308,Trigger)</f>
        <v>55348</v>
      </c>
      <c r="Z2308" s="199">
        <v>2.6105742272146324E-2</v>
      </c>
      <c r="AA2308" s="201">
        <v>2.6084429268706799E-2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55353</v>
      </c>
      <c r="Y2309" s="198">
        <f>_xll.qlInterestRateIndexValueDate(IborIndex,X2309,Trigger)</f>
        <v>55355</v>
      </c>
      <c r="Z2309" s="199">
        <v>2.6101241673878065E-2</v>
      </c>
      <c r="AA2309" s="201">
        <v>2.6079958773692624E-2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55360</v>
      </c>
      <c r="Y2310" s="198">
        <f>_xll.qlInterestRateIndexValueDate(IborIndex,X2310,Trigger)</f>
        <v>55362</v>
      </c>
      <c r="Z2310" s="199">
        <v>2.609734969988925E-2</v>
      </c>
      <c r="AA2310" s="201">
        <v>2.6075475338389609E-2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55367</v>
      </c>
      <c r="Y2311" s="198">
        <f>_xll.qlInterestRateIndexValueDate(IborIndex,X2311,Trigger)</f>
        <v>55369</v>
      </c>
      <c r="Z2311" s="199">
        <v>2.6092821914140418E-2</v>
      </c>
      <c r="AA2311" s="201">
        <v>2.6070978962797753E-2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55374</v>
      </c>
      <c r="Y2312" s="198">
        <f>_xll.qlInterestRateIndexValueDate(IborIndex,X2312,Trigger)</f>
        <v>55376</v>
      </c>
      <c r="Z2312" s="199">
        <v>2.6087662078654282E-2</v>
      </c>
      <c r="AA2312" s="201">
        <v>2.606646964683712E-2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55381</v>
      </c>
      <c r="Y2313" s="198">
        <f>_xll.qlInterestRateIndexValueDate(IborIndex,X2313,Trigger)</f>
        <v>55383</v>
      </c>
      <c r="Z2313" s="199">
        <v>2.6083109613488149E-2</v>
      </c>
      <c r="AA2313" s="201">
        <v>2.606194739074752E-2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55388</v>
      </c>
      <c r="Y2314" s="198">
        <f>_xll.qlInterestRateIndexValueDate(IborIndex,X2314,Trigger)</f>
        <v>55390</v>
      </c>
      <c r="Z2314" s="199">
        <v>2.6078544181636229E-2</v>
      </c>
      <c r="AA2314" s="201">
        <v>2.6056763252748638E-2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55395</v>
      </c>
      <c r="Y2315" s="198">
        <f>_xll.qlInterestRateIndexValueDate(IborIndex,X2315,Trigger)</f>
        <v>55397</v>
      </c>
      <c r="Z2315" s="199">
        <v>2.607396578311141E-2</v>
      </c>
      <c r="AA2315" s="201">
        <v>2.6052864057461989E-2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55402</v>
      </c>
      <c r="Y2316" s="198">
        <f>_xll.qlInterestRateIndexValueDate(IborIndex,X2316,Trigger)</f>
        <v>55404</v>
      </c>
      <c r="Z2316" s="199">
        <v>2.6069988471728589E-2</v>
      </c>
      <c r="AA2316" s="201">
        <v>2.604830298042593E-2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55409</v>
      </c>
      <c r="Y2317" s="198">
        <f>_xll.qlInterestRateIndexValueDate(IborIndex,X2317,Trigger)</f>
        <v>55411</v>
      </c>
      <c r="Z2317" s="199">
        <v>2.6064770086112708E-2</v>
      </c>
      <c r="AA2317" s="201">
        <v>2.6043728963101032E-2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55416</v>
      </c>
      <c r="Y2318" s="198">
        <f>_xll.qlInterestRateIndexValueDate(IborIndex,X2318,Trigger)</f>
        <v>55418</v>
      </c>
      <c r="Z2318" s="199">
        <v>2.6060152787667185E-2</v>
      </c>
      <c r="AA2318" s="201">
        <v>2.6039142005567228E-2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55423</v>
      </c>
      <c r="Y2319" s="198">
        <f>_xll.qlInterestRateIndexValueDate(IborIndex,X2319,Trigger)</f>
        <v>55425</v>
      </c>
      <c r="Z2319" s="199">
        <v>2.6056132795929388E-2</v>
      </c>
      <c r="AA2319" s="201">
        <v>2.6034542107504777E-2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55430</v>
      </c>
      <c r="Y2320" s="198">
        <f>_xll.qlInterestRateIndexValueDate(IborIndex,X2320,Trigger)</f>
        <v>55432</v>
      </c>
      <c r="Z2320" s="199">
        <v>2.6050879290958583E-2</v>
      </c>
      <c r="AA2320" s="201">
        <v>2.6029929269393293E-2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55437</v>
      </c>
      <c r="Y2321" s="198">
        <f>_xll.qlInterestRateIndexValueDate(IborIndex,X2321,Trigger)</f>
        <v>55439</v>
      </c>
      <c r="Z2321" s="199">
        <v>2.6046223092729023E-2</v>
      </c>
      <c r="AA2321" s="201">
        <v>2.6025303490913032E-2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55444</v>
      </c>
      <c r="Y2322" s="198">
        <f>_xll.qlInterestRateIndexValueDate(IborIndex,X2322,Trigger)</f>
        <v>55446</v>
      </c>
      <c r="Z2322" s="199">
        <v>2.6041553927937444E-2</v>
      </c>
      <c r="AA2322" s="201">
        <v>2.6020664772063995E-2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55451</v>
      </c>
      <c r="Y2323" s="198">
        <f>_xll.qlInterestRateIndexValueDate(IborIndex,X2323,Trigger)</f>
        <v>55453</v>
      </c>
      <c r="Z2323" s="199">
        <v>2.603687179659674E-2</v>
      </c>
      <c r="AA2323" s="201">
        <v>2.601601311308599E-2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55458</v>
      </c>
      <c r="Y2324" s="198">
        <f>_xll.qlInterestRateIndexValueDate(IborIndex,X2324,Trigger)</f>
        <v>55460</v>
      </c>
      <c r="Z2324" s="199">
        <v>2.603217669872496E-2</v>
      </c>
      <c r="AA2324" s="201">
        <v>2.6011348513739208E-2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55465</v>
      </c>
      <c r="Y2325" s="198">
        <f>_xll.qlInterestRateIndexValueDate(IborIndex,X2325,Trigger)</f>
        <v>55470</v>
      </c>
      <c r="Z2325" s="199">
        <v>2.602484468563393E-2</v>
      </c>
      <c r="AA2325" s="201">
        <v>2.6006001697789216E-2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55472</v>
      </c>
      <c r="Y2326" s="198">
        <f>_xll.qlInterestRateIndexValueDate(IborIndex,X2326,Trigger)</f>
        <v>55474</v>
      </c>
      <c r="Z2326" s="199">
        <v>2.6022747603444911E-2</v>
      </c>
      <c r="AA2326" s="201">
        <v>2.6001980494099186E-2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55479</v>
      </c>
      <c r="Y2327" s="198">
        <f>_xll.qlInterestRateIndexValueDate(IborIndex,X2327,Trigger)</f>
        <v>55481</v>
      </c>
      <c r="Z2327" s="199">
        <v>2.6019213821082816E-2</v>
      </c>
      <c r="AA2327" s="201">
        <v>2.5997277074045755E-2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55486</v>
      </c>
      <c r="Y2328" s="198">
        <f>_xll.qlInterestRateIndexValueDate(IborIndex,X2328,Trigger)</f>
        <v>55488</v>
      </c>
      <c r="Z2328" s="199">
        <v>2.6013865526819668E-2</v>
      </c>
      <c r="AA2328" s="201">
        <v>2.5992560713463675E-2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55493</v>
      </c>
      <c r="Y2329" s="198">
        <f>_xll.qlInterestRateIndexValueDate(IborIndex,X2329,Trigger)</f>
        <v>55495</v>
      </c>
      <c r="Z2329" s="199">
        <v>2.6008506711928562E-2</v>
      </c>
      <c r="AA2329" s="201">
        <v>2.5987831412752627E-2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55500</v>
      </c>
      <c r="Y2330" s="198">
        <f>_xll.qlInterestRateIndexValueDate(IborIndex,X2330,Trigger)</f>
        <v>55502</v>
      </c>
      <c r="Z2330" s="199">
        <v>2.6004330159356548E-2</v>
      </c>
      <c r="AA2330" s="201">
        <v>2.5983089171752738E-2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55507</v>
      </c>
      <c r="Y2331" s="198">
        <f>_xll.qlInterestRateIndexValueDate(IborIndex,X2331,Trigger)</f>
        <v>55509</v>
      </c>
      <c r="Z2331" s="199">
        <v>2.599894795203914E-2</v>
      </c>
      <c r="AA2331" s="201">
        <v>2.5976972990351399E-2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55514</v>
      </c>
      <c r="Y2332" s="198">
        <f>_xll.qlInterestRateIndexValueDate(IborIndex,X2332,Trigger)</f>
        <v>55516</v>
      </c>
      <c r="Z2332" s="199">
        <v>2.5995336630218319E-2</v>
      </c>
      <c r="AA2332" s="201">
        <v>2.597288365228323E-2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55521</v>
      </c>
      <c r="Y2333" s="198">
        <f>_xll.qlInterestRateIndexValueDate(IborIndex,X2333,Trigger)</f>
        <v>55523</v>
      </c>
      <c r="Z2333" s="199">
        <v>2.5989337326525662E-2</v>
      </c>
      <c r="AA2333" s="201">
        <v>2.5968784806860157E-2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55528</v>
      </c>
      <c r="Y2334" s="198">
        <f>_xll.qlInterestRateIndexValueDate(IborIndex,X2334,Trigger)</f>
        <v>55530</v>
      </c>
      <c r="Z2334" s="199">
        <v>2.5984512564201808E-2</v>
      </c>
      <c r="AA2334" s="201">
        <v>2.5963990804784842E-2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55535</v>
      </c>
      <c r="Y2335" s="198">
        <f>_xll.qlInterestRateIndexValueDate(IborIndex,X2335,Trigger)</f>
        <v>55537</v>
      </c>
      <c r="Z2335" s="199">
        <v>2.5980264813358078E-2</v>
      </c>
      <c r="AA2335" s="201">
        <v>2.5959183862340751E-2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55542</v>
      </c>
      <c r="Y2336" s="198">
        <f>_xll.qlInterestRateIndexValueDate(IborIndex,X2336,Trigger)</f>
        <v>55544</v>
      </c>
      <c r="Z2336" s="199">
        <v>2.5974824140497215E-2</v>
      </c>
      <c r="AA2336" s="201">
        <v>2.595436397960782E-2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55549</v>
      </c>
      <c r="Y2337" s="198">
        <f>_xll.qlInterestRateIndexValueDate(IborIndex,X2337,Trigger)</f>
        <v>55551</v>
      </c>
      <c r="Z2337" s="199">
        <v>2.5969960479150001E-2</v>
      </c>
      <c r="AA2337" s="201">
        <v>2.5949531156586048E-2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55556</v>
      </c>
      <c r="Y2338" s="198">
        <f>_xll.qlInterestRateIndexValueDate(IborIndex,X2338,Trigger)</f>
        <v>55558</v>
      </c>
      <c r="Z2338" s="199">
        <v>2.5965083851490892E-2</v>
      </c>
      <c r="AA2338" s="201">
        <v>2.5944685393355371E-2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55563</v>
      </c>
      <c r="Y2339" s="198">
        <f>_xll.qlInterestRateIndexValueDate(IborIndex,X2339,Trigger)</f>
        <v>55565</v>
      </c>
      <c r="Z2339" s="199">
        <v>2.5960194257545675E-2</v>
      </c>
      <c r="AA2339" s="201">
        <v>2.5939826689835854E-2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55570</v>
      </c>
      <c r="Y2340" s="198">
        <f>_xll.qlInterestRateIndexValueDate(IborIndex,X2340,Trigger)</f>
        <v>55572</v>
      </c>
      <c r="Z2340" s="199">
        <v>2.5955291697322084E-2</v>
      </c>
      <c r="AA2340" s="201">
        <v>2.5934955045947561E-2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55577</v>
      </c>
      <c r="Y2341" s="198">
        <f>_xll.qlInterestRateIndexValueDate(IborIndex,X2341,Trigger)</f>
        <v>55579</v>
      </c>
      <c r="Z2341" s="199">
        <v>2.5950376170838167E-2</v>
      </c>
      <c r="AA2341" s="201">
        <v>2.5930070461850363E-2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55584</v>
      </c>
      <c r="Y2342" s="198">
        <f>_xll.qlInterestRateIndexValueDate(IborIndex,X2342,Trigger)</f>
        <v>55586</v>
      </c>
      <c r="Z2342" s="199">
        <v>2.594544767811198E-2</v>
      </c>
      <c r="AA2342" s="201">
        <v>2.5925172937544261E-2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55591</v>
      </c>
      <c r="Y2343" s="198">
        <f>_xll.qlInterestRateIndexValueDate(IborIndex,X2343,Trigger)</f>
        <v>55593</v>
      </c>
      <c r="Z2343" s="199">
        <v>2.5940506219158988E-2</v>
      </c>
      <c r="AA2343" s="201">
        <v>2.5920262472869382E-2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55598</v>
      </c>
      <c r="Y2344" s="198">
        <f>_xll.qlInterestRateIndexValueDate(IborIndex,X2344,Trigger)</f>
        <v>55600</v>
      </c>
      <c r="Z2344" s="199">
        <v>2.5936130257795398E-2</v>
      </c>
      <c r="AA2344" s="201">
        <v>2.5915339067905663E-2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55605</v>
      </c>
      <c r="Y2345" s="198">
        <f>_xll.qlInterestRateIndexValueDate(IborIndex,X2345,Trigger)</f>
        <v>55607</v>
      </c>
      <c r="Z2345" s="199">
        <v>2.5931161582773976E-2</v>
      </c>
      <c r="AA2345" s="201">
        <v>2.5910402722733039E-2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55612</v>
      </c>
      <c r="Y2346" s="198">
        <f>_xll.qlInterestRateIndexValueDate(IborIndex,X2346,Trigger)</f>
        <v>55614</v>
      </c>
      <c r="Z2346" s="199">
        <v>2.5926179940712613E-2</v>
      </c>
      <c r="AA2346" s="201">
        <v>2.5905453437271575E-2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55619</v>
      </c>
      <c r="Y2347" s="198">
        <f>_xll.qlInterestRateIndexValueDate(IborIndex,X2347,Trigger)</f>
        <v>55621</v>
      </c>
      <c r="Z2347" s="199">
        <v>2.5920610721414224E-2</v>
      </c>
      <c r="AA2347" s="201">
        <v>2.590049121152127E-2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55626</v>
      </c>
      <c r="Y2348" s="198">
        <f>_xll.qlInterestRateIndexValueDate(IborIndex,X2348,Trigger)</f>
        <v>55632</v>
      </c>
      <c r="Z2348" s="199">
        <v>2.5912165189231118E-2</v>
      </c>
      <c r="AA2348" s="201">
        <v>2.5894092192686458E-2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55633</v>
      </c>
      <c r="Y2349" s="198">
        <f>_xll.qlInterestRateIndexValueDate(IborIndex,X2349,Trigger)</f>
        <v>55635</v>
      </c>
      <c r="Z2349" s="199">
        <v>2.5911157212463731E-2</v>
      </c>
      <c r="AA2349" s="201">
        <v>2.5890527939234076E-2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55640</v>
      </c>
      <c r="Y2350" s="198">
        <f>_xll.qlInterestRateIndexValueDate(IborIndex,X2350,Trigger)</f>
        <v>55642</v>
      </c>
      <c r="Z2350" s="199">
        <v>2.5905552953537771E-2</v>
      </c>
      <c r="AA2350" s="201">
        <v>2.5884811401111207E-2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55647</v>
      </c>
      <c r="Y2351" s="198">
        <f>_xll.qlInterestRateIndexValueDate(IborIndex,X2351,Trigger)</f>
        <v>55649</v>
      </c>
      <c r="Z2351" s="199">
        <v>2.5900507765373754E-2</v>
      </c>
      <c r="AA2351" s="201">
        <v>2.5880512905711583E-2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55654</v>
      </c>
      <c r="Y2352" s="198">
        <f>_xll.qlInterestRateIndexValueDate(IborIndex,X2352,Trigger)</f>
        <v>55656</v>
      </c>
      <c r="Z2352" s="199">
        <v>2.5895449611127334E-2</v>
      </c>
      <c r="AA2352" s="201">
        <v>2.5875485978676949E-2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55661</v>
      </c>
      <c r="Y2353" s="198">
        <f>_xll.qlInterestRateIndexValueDate(IborIndex,X2353,Trigger)</f>
        <v>55663</v>
      </c>
      <c r="Z2353" s="199">
        <v>2.5890378490826878E-2</v>
      </c>
      <c r="AA2353" s="201">
        <v>2.5869725073883743E-2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55668</v>
      </c>
      <c r="Y2354" s="198">
        <f>_xll.qlInterestRateIndexValueDate(IborIndex,X2354,Trigger)</f>
        <v>55670</v>
      </c>
      <c r="Z2354" s="199">
        <v>2.5883597063406531E-2</v>
      </c>
      <c r="AA2354" s="201">
        <v>2.5865393303741158E-2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55675</v>
      </c>
      <c r="Y2355" s="198">
        <f>_xll.qlInterestRateIndexValueDate(IborIndex,X2355,Trigger)</f>
        <v>55677</v>
      </c>
      <c r="Z2355" s="199">
        <v>2.5880197352107691E-2</v>
      </c>
      <c r="AA2355" s="201">
        <v>2.5860327555760065E-2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55682</v>
      </c>
      <c r="Y2356" s="198">
        <f>_xll.qlInterestRateIndexValueDate(IborIndex,X2356,Trigger)</f>
        <v>55684</v>
      </c>
      <c r="Z2356" s="199">
        <v>2.5875087333730219E-2</v>
      </c>
      <c r="AA2356" s="201">
        <v>2.5855248867570069E-2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55689</v>
      </c>
      <c r="Y2357" s="198">
        <f>_xll.qlInterestRateIndexValueDate(IborIndex,X2357,Trigger)</f>
        <v>55691</v>
      </c>
      <c r="Z2357" s="199">
        <v>2.5869964349360595E-2</v>
      </c>
      <c r="AA2357" s="201">
        <v>2.5850157239171168E-2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55696</v>
      </c>
      <c r="Y2358" s="198">
        <f>_xll.qlInterestRateIndexValueDate(IborIndex,X2358,Trigger)</f>
        <v>55698</v>
      </c>
      <c r="Z2358" s="199">
        <v>2.5865949130703798E-2</v>
      </c>
      <c r="AA2358" s="201">
        <v>2.5845052670483426E-2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55703</v>
      </c>
      <c r="Y2359" s="198">
        <f>_xll.qlInterestRateIndexValueDate(IborIndex,X2359,Trigger)</f>
        <v>55705</v>
      </c>
      <c r="Z2359" s="199">
        <v>2.5859679482711936E-2</v>
      </c>
      <c r="AA2359" s="201">
        <v>2.5839935161426908E-2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55710</v>
      </c>
      <c r="Y2360" s="198">
        <f>_xll.qlInterestRateIndexValueDate(IborIndex,X2360,Trigger)</f>
        <v>55712</v>
      </c>
      <c r="Z2360" s="199">
        <v>2.5854517600469001E-2</v>
      </c>
      <c r="AA2360" s="201">
        <v>2.5834804712241421E-2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55717</v>
      </c>
      <c r="Y2361" s="198">
        <f>_xll.qlInterestRateIndexValueDate(IborIndex,X2361,Trigger)</f>
        <v>55719</v>
      </c>
      <c r="Z2361" s="199">
        <v>2.584934275230354E-2</v>
      </c>
      <c r="AA2361" s="201">
        <v>2.5829661322687159E-2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55724</v>
      </c>
      <c r="Y2362" s="198">
        <f>_xll.qlInterestRateIndexValueDate(IborIndex,X2362,Trigger)</f>
        <v>55726</v>
      </c>
      <c r="Z2362" s="199">
        <v>2.5844710164467377E-2</v>
      </c>
      <c r="AA2362" s="201">
        <v>2.5824504992923991E-2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55731</v>
      </c>
      <c r="Y2363" s="198">
        <f>_xll.qlInterestRateIndexValueDate(IborIndex,X2363,Trigger)</f>
        <v>55733</v>
      </c>
      <c r="Z2363" s="199">
        <v>2.5839508085392371E-2</v>
      </c>
      <c r="AA2363" s="201">
        <v>2.5819335722871983E-2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55738</v>
      </c>
      <c r="Y2364" s="198">
        <f>_xll.qlInterestRateIndexValueDate(IborIndex,X2364,Trigger)</f>
        <v>55740</v>
      </c>
      <c r="Z2364" s="199">
        <v>2.583374041244732E-2</v>
      </c>
      <c r="AA2364" s="201">
        <v>2.5814153512531135E-2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55745</v>
      </c>
      <c r="Y2365" s="198">
        <f>_xll.qlInterestRateIndexValueDate(IborIndex,X2365,Trigger)</f>
        <v>55747</v>
      </c>
      <c r="Z2365" s="199">
        <v>2.5828513700764506E-2</v>
      </c>
      <c r="AA2365" s="201">
        <v>2.5808958362061318E-2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55752</v>
      </c>
      <c r="Y2366" s="198">
        <f>_xll.qlInterestRateIndexValueDate(IborIndex,X2366,Trigger)</f>
        <v>55754</v>
      </c>
      <c r="Z2366" s="199">
        <v>2.5823274023249413E-2</v>
      </c>
      <c r="AA2366" s="201">
        <v>2.5803005201936458E-2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55759</v>
      </c>
      <c r="Y2367" s="198">
        <f>_xll.qlInterestRateIndexValueDate(IborIndex,X2367,Trigger)</f>
        <v>55761</v>
      </c>
      <c r="Z2367" s="199">
        <v>2.5818021379909774E-2</v>
      </c>
      <c r="AA2367" s="201">
        <v>2.5798529240175228E-2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55766</v>
      </c>
      <c r="Y2368" s="198">
        <f>_xll.qlInterestRateIndexValueDate(IborIndex,X2368,Trigger)</f>
        <v>55768</v>
      </c>
      <c r="Z2368" s="199">
        <v>2.5812755770773962E-2</v>
      </c>
      <c r="AA2368" s="201">
        <v>2.5793295268758953E-2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55773</v>
      </c>
      <c r="Y2369" s="198">
        <f>_xll.qlInterestRateIndexValueDate(IborIndex,X2369,Trigger)</f>
        <v>55775</v>
      </c>
      <c r="Z2369" s="199">
        <v>2.5808023310377737E-2</v>
      </c>
      <c r="AA2369" s="201">
        <v>2.5788048357053839E-2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55780</v>
      </c>
      <c r="Y2370" s="198">
        <f>_xll.qlInterestRateIndexValueDate(IborIndex,X2370,Trigger)</f>
        <v>55782</v>
      </c>
      <c r="Z2370" s="199">
        <v>2.5802185655170524E-2</v>
      </c>
      <c r="AA2370" s="201">
        <v>2.5782788505219756E-2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55787</v>
      </c>
      <c r="Y2371" s="198">
        <f>_xll.qlInterestRateIndexValueDate(IborIndex,X2371,Trigger)</f>
        <v>55789</v>
      </c>
      <c r="Z2371" s="199">
        <v>2.5796881148736423E-2</v>
      </c>
      <c r="AA2371" s="201">
        <v>2.5777515713176768E-2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55794</v>
      </c>
      <c r="Y2372" s="198">
        <f>_xll.qlInterestRateIndexValueDate(IborIndex,X2372,Trigger)</f>
        <v>55796</v>
      </c>
      <c r="Z2372" s="199">
        <v>2.5791563676573186E-2</v>
      </c>
      <c r="AA2372" s="201">
        <v>2.5772229980765005E-2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55801</v>
      </c>
      <c r="Y2373" s="198">
        <f>_xll.qlInterestRateIndexValueDate(IborIndex,X2373,Trigger)</f>
        <v>55803</v>
      </c>
      <c r="Z2373" s="199">
        <v>2.578677412782171E-2</v>
      </c>
      <c r="AA2373" s="201">
        <v>2.57669313080644E-2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55808</v>
      </c>
      <c r="Y2374" s="198">
        <f>_xll.qlInterestRateIndexValueDate(IborIndex,X2374,Trigger)</f>
        <v>55810</v>
      </c>
      <c r="Z2374" s="199">
        <v>2.5780889835131507E-2</v>
      </c>
      <c r="AA2374" s="201">
        <v>2.5761619695234828E-2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55815</v>
      </c>
      <c r="Y2375" s="198">
        <f>_xll.qlInterestRateIndexValueDate(IborIndex,X2375,Trigger)</f>
        <v>55817</v>
      </c>
      <c r="Z2375" s="199">
        <v>2.5775533465884008E-2</v>
      </c>
      <c r="AA2375" s="201">
        <v>2.5756295142116414E-2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55822</v>
      </c>
      <c r="Y2376" s="198">
        <f>_xll.qlInterestRateIndexValueDate(IborIndex,X2376,Trigger)</f>
        <v>55824</v>
      </c>
      <c r="Z2376" s="199">
        <v>2.5770164130979573E-2</v>
      </c>
      <c r="AA2376" s="201">
        <v>2.5750957648629225E-2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55829</v>
      </c>
      <c r="Y2377" s="198">
        <f>_xll.qlInterestRateIndexValueDate(IborIndex,X2377,Trigger)</f>
        <v>55831</v>
      </c>
      <c r="Z2377" s="199">
        <v>2.5764781830436255E-2</v>
      </c>
      <c r="AA2377" s="201">
        <v>2.5745607214933131E-2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55836</v>
      </c>
      <c r="Y2378" s="198">
        <f>_xll.qlInterestRateIndexValueDate(IborIndex,X2378,Trigger)</f>
        <v>55838</v>
      </c>
      <c r="Z2378" s="199">
        <v>2.5759386564264363E-2</v>
      </c>
      <c r="AA2378" s="201">
        <v>2.5740243841028132E-2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55843</v>
      </c>
      <c r="Y2379" s="198">
        <f>_xll.qlInterestRateIndexValueDate(IborIndex,X2379,Trigger)</f>
        <v>55845</v>
      </c>
      <c r="Z2379" s="199">
        <v>2.5753978332494844E-2</v>
      </c>
      <c r="AA2379" s="201">
        <v>2.5734867526834293E-2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55850</v>
      </c>
      <c r="Y2380" s="198">
        <f>_xll.qlInterestRateIndexValueDate(IborIndex,X2380,Trigger)</f>
        <v>55852</v>
      </c>
      <c r="Z2380" s="199">
        <v>2.5749088847203117E-2</v>
      </c>
      <c r="AA2380" s="201">
        <v>2.5729478272351614E-2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55857</v>
      </c>
      <c r="Y2381" s="198">
        <f>_xll.qlInterestRateIndexValueDate(IborIndex,X2381,Trigger)</f>
        <v>55859</v>
      </c>
      <c r="Z2381" s="199">
        <v>2.5743122972206763E-2</v>
      </c>
      <c r="AA2381" s="201">
        <v>2.572407607766003E-2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55864</v>
      </c>
      <c r="Y2382" s="198">
        <f>_xll.qlInterestRateIndexValueDate(IborIndex,X2382,Trigger)</f>
        <v>55866</v>
      </c>
      <c r="Z2382" s="199">
        <v>2.5737675843726875E-2</v>
      </c>
      <c r="AA2382" s="201">
        <v>2.5718660942679605E-2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55871</v>
      </c>
      <c r="Y2383" s="198">
        <f>_xll.qlInterestRateIndexValueDate(IborIndex,X2383,Trigger)</f>
        <v>55873</v>
      </c>
      <c r="Z2383" s="199">
        <v>2.5732743516101997E-2</v>
      </c>
      <c r="AA2383" s="201">
        <v>2.5714292800911309E-2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55880</v>
      </c>
      <c r="Y2384" s="198">
        <f>_xll.qlInterestRateIndexValueDate(IborIndex,X2384,Trigger)</f>
        <v>55884</v>
      </c>
      <c r="Z2384" s="199">
        <v>2.5723609406367452E-2</v>
      </c>
      <c r="AA2384" s="201">
        <v>2.5706512208367727E-2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55887</v>
      </c>
      <c r="Y2385" s="198">
        <f>_xll.qlInterestRateIndexValueDate(IborIndex,X2385,Trigger)</f>
        <v>55891</v>
      </c>
      <c r="Z2385" s="199">
        <v>2.5718115972497076E-2</v>
      </c>
      <c r="AA2385" s="201">
        <v>2.5700777246555617E-2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55894</v>
      </c>
      <c r="Y2386" s="198">
        <f>_xll.qlInterestRateIndexValueDate(IborIndex,X2386,Trigger)</f>
        <v>55898</v>
      </c>
      <c r="Z2386" s="199">
        <v>2.5712609573168316E-2</v>
      </c>
      <c r="AA2386" s="201">
        <v>2.5695306653377159E-2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55901</v>
      </c>
      <c r="Y2387" s="198">
        <f>_xll.qlInterestRateIndexValueDate(IborIndex,X2387,Trigger)</f>
        <v>55905</v>
      </c>
      <c r="Z2387" s="199">
        <v>2.570709020838375E-2</v>
      </c>
      <c r="AA2387" s="201">
        <v>2.568982311990986E-2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55908</v>
      </c>
      <c r="Y2388" s="198">
        <f>_xll.qlInterestRateIndexValueDate(IborIndex,X2388,Trigger)</f>
        <v>55912</v>
      </c>
      <c r="Z2388" s="199">
        <v>2.5701557878176896E-2</v>
      </c>
      <c r="AA2388" s="201">
        <v>2.5684326646313593E-2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55915</v>
      </c>
      <c r="Y2389" s="198">
        <f>_xll.qlInterestRateIndexValueDate(IborIndex,X2389,Trigger)</f>
        <v>55919</v>
      </c>
      <c r="Z2389" s="199">
        <v>2.5694454683916464E-2</v>
      </c>
      <c r="AA2389" s="201">
        <v>2.567881723234855E-2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55922</v>
      </c>
      <c r="Y2390" s="198">
        <f>_xll.qlInterestRateIndexValueDate(IborIndex,X2390,Trigger)</f>
        <v>55926</v>
      </c>
      <c r="Z2390" s="199">
        <v>2.5688900389297942E-2</v>
      </c>
      <c r="AA2390" s="201">
        <v>2.5673294878174602E-2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55929</v>
      </c>
      <c r="Y2391" s="198">
        <f>_xll.qlInterestRateIndexValueDate(IborIndex,X2391,Trigger)</f>
        <v>55933</v>
      </c>
      <c r="Z2391" s="199">
        <v>2.568333313181435E-2</v>
      </c>
      <c r="AA2391" s="201">
        <v>2.5667759583711813E-2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55936</v>
      </c>
      <c r="Y2392" s="198">
        <f>_xll.qlInterestRateIndexValueDate(IborIndex,X2392,Trigger)</f>
        <v>55940</v>
      </c>
      <c r="Z2392" s="199">
        <v>2.5677752911488532E-2</v>
      </c>
      <c r="AA2392" s="201">
        <v>2.5662211349199993E-2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55943</v>
      </c>
      <c r="Y2393" s="198">
        <f>_xll.qlInterestRateIndexValueDate(IborIndex,X2393,Trigger)</f>
        <v>55947</v>
      </c>
      <c r="Z2393" s="199">
        <v>2.5675756343960084E-2</v>
      </c>
      <c r="AA2393" s="201">
        <v>2.5656650174239459E-2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55950</v>
      </c>
      <c r="Y2394" s="198">
        <f>_xll.qlInterestRateIndexValueDate(IborIndex,X2394,Trigger)</f>
        <v>55954</v>
      </c>
      <c r="Z2394" s="199">
        <v>2.5668091623918757E-2</v>
      </c>
      <c r="AA2394" s="201">
        <v>2.5651076058910149E-2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55957</v>
      </c>
      <c r="Y2395" s="198">
        <f>_xll.qlInterestRateIndexValueDate(IborIndex,X2395,Trigger)</f>
        <v>55961</v>
      </c>
      <c r="Z2395" s="199">
        <v>2.566246853622264E-2</v>
      </c>
      <c r="AA2395" s="201">
        <v>2.5645489003691679E-2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55964</v>
      </c>
      <c r="Y2396" s="198">
        <f>_xll.qlInterestRateIndexValueDate(IborIndex,X2396,Trigger)</f>
        <v>55968</v>
      </c>
      <c r="Z2396" s="199">
        <v>2.5656832483240903E-2</v>
      </c>
      <c r="AA2396" s="201">
        <v>2.5639889008024497E-2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55971</v>
      </c>
      <c r="Y2397" s="198">
        <f>_xll.qlInterestRateIndexValueDate(IborIndex,X2397,Trigger)</f>
        <v>55975</v>
      </c>
      <c r="Z2397" s="199">
        <v>2.5650674868354706E-2</v>
      </c>
      <c r="AA2397" s="201">
        <v>2.5636320182725214E-2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55982</v>
      </c>
      <c r="Y2398" s="198">
        <f>_xll.qlInterestRateIndexValueDate(IborIndex,X2398,Trigger)</f>
        <v>55984</v>
      </c>
      <c r="Z2398" s="199">
        <v>2.5644408175752031E-2</v>
      </c>
      <c r="AA2398" s="201">
        <v>2.5625429599713812E-2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55989</v>
      </c>
      <c r="Y2399" s="198">
        <f>_xll.qlInterestRateIndexValueDate(IborIndex,X2399,Trigger)</f>
        <v>55991</v>
      </c>
      <c r="Z2399" s="199">
        <v>2.5638728192523275E-2</v>
      </c>
      <c r="AA2399" s="201">
        <v>2.5619783388854955E-2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55996</v>
      </c>
      <c r="Y2400" s="198">
        <f>_xll.qlInterestRateIndexValueDate(IborIndex,X2400,Trigger)</f>
        <v>55998</v>
      </c>
      <c r="Z2400" s="199">
        <v>2.5633539264275515E-2</v>
      </c>
      <c r="AA2400" s="201">
        <v>2.5614124237867131E-2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56003</v>
      </c>
      <c r="Y2401" s="198">
        <f>_xll.qlInterestRateIndexValueDate(IborIndex,X2401,Trigger)</f>
        <v>56005</v>
      </c>
      <c r="Z2401" s="199">
        <v>2.5627329327981008E-2</v>
      </c>
      <c r="AA2401" s="201">
        <v>2.5607640791447395E-2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56010</v>
      </c>
      <c r="Y2402" s="198">
        <f>_xll.qlInterestRateIndexValueDate(IborIndex,X2402,Trigger)</f>
        <v>56012</v>
      </c>
      <c r="Z2402" s="199">
        <v>2.5621610446712462E-2</v>
      </c>
      <c r="AA2402" s="201">
        <v>2.5602767115104896E-2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56017</v>
      </c>
      <c r="Y2403" s="198">
        <f>_xll.qlInterestRateIndexValueDate(IborIndex,X2403,Trigger)</f>
        <v>56019</v>
      </c>
      <c r="Z2403" s="199">
        <v>2.5615878599478115E-2</v>
      </c>
      <c r="AA2403" s="201">
        <v>2.559706914325055E-2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56024</v>
      </c>
      <c r="Y2404" s="198">
        <f>_xll.qlInterestRateIndexValueDate(IborIndex,X2404,Trigger)</f>
        <v>56026</v>
      </c>
      <c r="Z2404" s="199">
        <v>2.5610133786285461E-2</v>
      </c>
      <c r="AA2404" s="201">
        <v>2.5590541330320349E-2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56031</v>
      </c>
      <c r="Y2405" s="198">
        <f>_xll.qlInterestRateIndexValueDate(IborIndex,X2405,Trigger)</f>
        <v>56033</v>
      </c>
      <c r="Z2405" s="199">
        <v>2.5604376007159479E-2</v>
      </c>
      <c r="AA2405" s="201">
        <v>2.5585634379075017E-2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56038</v>
      </c>
      <c r="Y2406" s="198">
        <f>_xll.qlInterestRateIndexValueDate(IborIndex,X2406,Trigger)</f>
        <v>56040</v>
      </c>
      <c r="Z2406" s="199">
        <v>2.5598605262125151E-2</v>
      </c>
      <c r="AA2406" s="201">
        <v>2.5579897586593958E-2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56045</v>
      </c>
      <c r="Y2407" s="198">
        <f>_xll.qlInterestRateIndexValueDate(IborIndex,X2407,Trigger)</f>
        <v>56047</v>
      </c>
      <c r="Z2407" s="199">
        <v>2.5592821551197464E-2</v>
      </c>
      <c r="AA2407" s="201">
        <v>2.5574147853744122E-2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56052</v>
      </c>
      <c r="Y2408" s="198">
        <f>_xll.qlInterestRateIndexValueDate(IborIndex,X2408,Trigger)</f>
        <v>56054</v>
      </c>
      <c r="Z2408" s="199">
        <v>2.5587024874393904E-2</v>
      </c>
      <c r="AA2408" s="201">
        <v>2.5568385180845254E-2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56059</v>
      </c>
      <c r="Y2409" s="198">
        <f>_xll.qlInterestRateIndexValueDate(IborIndex,X2409,Trigger)</f>
        <v>56061</v>
      </c>
      <c r="Z2409" s="199">
        <v>2.5581215231736953E-2</v>
      </c>
      <c r="AA2409" s="201">
        <v>2.5562609567737482E-2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56066</v>
      </c>
      <c r="Y2410" s="198">
        <f>_xll.qlInterestRateIndexValueDate(IborIndex,X2410,Trigger)</f>
        <v>56068</v>
      </c>
      <c r="Z2410" s="199">
        <v>2.557539262325409E-2</v>
      </c>
      <c r="AA2410" s="201">
        <v>2.5556821014180997E-2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56073</v>
      </c>
      <c r="Y2411" s="198">
        <f>_xll.qlInterestRateIndexValueDate(IborIndex,X2411,Trigger)</f>
        <v>56075</v>
      </c>
      <c r="Z2411" s="199">
        <v>2.5569557048952807E-2</v>
      </c>
      <c r="AA2411" s="201">
        <v>2.555101952057548E-2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56080</v>
      </c>
      <c r="Y2412" s="198">
        <f>_xll.qlInterestRateIndexValueDate(IborIndex,X2412,Trigger)</f>
        <v>56082</v>
      </c>
      <c r="Z2412" s="199">
        <v>2.5563708508863081E-2</v>
      </c>
      <c r="AA2412" s="201">
        <v>2.5545205086681122E-2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56087</v>
      </c>
      <c r="Y2413" s="198">
        <f>_xll.qlInterestRateIndexValueDate(IborIndex,X2413,Trigger)</f>
        <v>56089</v>
      </c>
      <c r="Z2413" s="199">
        <v>2.5558333643620885E-2</v>
      </c>
      <c r="AA2413" s="201">
        <v>2.553937771257786E-2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56094</v>
      </c>
      <c r="Y2414" s="198">
        <f>_xll.qlInterestRateIndexValueDate(IborIndex,X2414,Trigger)</f>
        <v>56096</v>
      </c>
      <c r="Z2414" s="199">
        <v>2.5550516007584179E-2</v>
      </c>
      <c r="AA2414" s="201">
        <v>2.5533537398185757E-2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56101</v>
      </c>
      <c r="Y2415" s="198">
        <f>_xll.qlInterestRateIndexValueDate(IborIndex,X2415,Trigger)</f>
        <v>56103</v>
      </c>
      <c r="Z2415" s="199">
        <v>2.5546085094038107E-2</v>
      </c>
      <c r="AA2415" s="201">
        <v>2.552768414358475E-2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56108</v>
      </c>
      <c r="Y2416" s="198">
        <f>_xll.qlInterestRateIndexValueDate(IborIndex,X2416,Trigger)</f>
        <v>56110</v>
      </c>
      <c r="Z2416" s="199">
        <v>2.5540184690976964E-2</v>
      </c>
      <c r="AA2416" s="201">
        <v>2.5521817948774839E-2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56115</v>
      </c>
      <c r="Y2417" s="198">
        <f>_xll.qlInterestRateIndexValueDate(IborIndex,X2417,Trigger)</f>
        <v>56117</v>
      </c>
      <c r="Z2417" s="199">
        <v>2.5534271322227298E-2</v>
      </c>
      <c r="AA2417" s="201">
        <v>2.5515097880992599E-2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56122</v>
      </c>
      <c r="Y2418" s="198">
        <f>_xll.qlInterestRateIndexValueDate(IborIndex,X2418,Trigger)</f>
        <v>56124</v>
      </c>
      <c r="Z2418" s="199">
        <v>2.5528344987809093E-2</v>
      </c>
      <c r="AA2418" s="201">
        <v>2.551004673836843E-2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56129</v>
      </c>
      <c r="Y2419" s="198">
        <f>_xll.qlInterestRateIndexValueDate(IborIndex,X2419,Trigger)</f>
        <v>56131</v>
      </c>
      <c r="Z2419" s="199">
        <v>2.5522405687732341E-2</v>
      </c>
      <c r="AA2419" s="201">
        <v>2.550414172285187E-2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56136</v>
      </c>
      <c r="Y2420" s="198">
        <f>_xll.qlInterestRateIndexValueDate(IborIndex,X2420,Trigger)</f>
        <v>56138</v>
      </c>
      <c r="Z2420" s="199">
        <v>2.5516930646316348E-2</v>
      </c>
      <c r="AA2420" s="201">
        <v>2.5498223767126404E-2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56143</v>
      </c>
      <c r="Y2421" s="198">
        <f>_xll.qlInterestRateIndexValueDate(IborIndex,X2421,Trigger)</f>
        <v>56145</v>
      </c>
      <c r="Z2421" s="199">
        <v>2.55104881907256E-2</v>
      </c>
      <c r="AA2421" s="201">
        <v>2.5492292871192035E-2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56150</v>
      </c>
      <c r="Y2422" s="198">
        <f>_xll.qlInterestRateIndexValueDate(IborIndex,X2422,Trigger)</f>
        <v>56152</v>
      </c>
      <c r="Z2422" s="199">
        <v>2.5504509993825586E-2</v>
      </c>
      <c r="AA2422" s="201">
        <v>2.5486349034888889E-2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56157</v>
      </c>
      <c r="Y2423" s="198">
        <f>_xll.qlInterestRateIndexValueDate(IborIndex,X2423,Trigger)</f>
        <v>56159</v>
      </c>
      <c r="Z2423" s="199">
        <v>2.5498518831359451E-2</v>
      </c>
      <c r="AA2423" s="201">
        <v>2.5480392258616646E-2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56164</v>
      </c>
      <c r="Y2424" s="198">
        <f>_xll.qlInterestRateIndexValueDate(IborIndex,X2424,Trigger)</f>
        <v>56166</v>
      </c>
      <c r="Z2424" s="199">
        <v>2.5492514703344682E-2</v>
      </c>
      <c r="AA2424" s="201">
        <v>2.5474422541975628E-2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56171</v>
      </c>
      <c r="Y2425" s="198">
        <f>_xll.qlInterestRateIndexValueDate(IborIndex,X2425,Trigger)</f>
        <v>56173</v>
      </c>
      <c r="Z2425" s="199">
        <v>2.5486497609808756E-2</v>
      </c>
      <c r="AA2425" s="201">
        <v>2.5468439884885896E-2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56178</v>
      </c>
      <c r="Y2426" s="198">
        <f>_xll.qlInterestRateIndexValueDate(IborIndex,X2426,Trigger)</f>
        <v>56180</v>
      </c>
      <c r="Z2426" s="199">
        <v>2.5480467550759167E-2</v>
      </c>
      <c r="AA2426" s="201">
        <v>2.5462444287907005E-2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56185</v>
      </c>
      <c r="Y2427" s="198">
        <f>_xll.qlInterestRateIndexValueDate(IborIndex,X2427,Trigger)</f>
        <v>56187</v>
      </c>
      <c r="Z2427" s="199">
        <v>2.5473020581091691E-2</v>
      </c>
      <c r="AA2427" s="201">
        <v>2.54564357504794E-2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56192</v>
      </c>
      <c r="Y2428" s="198">
        <f>_xll.qlInterestRateIndexValueDate(IborIndex,X2428,Trigger)</f>
        <v>56194</v>
      </c>
      <c r="Z2428" s="199">
        <v>2.546836853623391E-2</v>
      </c>
      <c r="AA2428" s="201">
        <v>2.5450414272922828E-2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56199</v>
      </c>
      <c r="Y2429" s="198">
        <f>_xll.qlInterestRateIndexValueDate(IborIndex,X2429,Trigger)</f>
        <v>56201</v>
      </c>
      <c r="Z2429" s="199">
        <v>2.5462299580798209E-2</v>
      </c>
      <c r="AA2429" s="201">
        <v>2.5444379855077415E-2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56206</v>
      </c>
      <c r="Y2430" s="198">
        <f>_xll.qlInterestRateIndexValueDate(IborIndex,X2430,Trigger)</f>
        <v>56208</v>
      </c>
      <c r="Z2430" s="199">
        <v>2.5456217659933777E-2</v>
      </c>
      <c r="AA2430" s="201">
        <v>2.5438332497103033E-2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56213</v>
      </c>
      <c r="Y2431" s="198">
        <f>_xll.qlInterestRateIndexValueDate(IborIndex,X2431,Trigger)</f>
        <v>56216</v>
      </c>
      <c r="Z2431" s="199">
        <v>2.5449713169640734E-2</v>
      </c>
      <c r="AA2431" s="201">
        <v>2.5431405385658579E-2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56220</v>
      </c>
      <c r="Y2432" s="198">
        <f>_xll.qlInterestRateIndexValueDate(IborIndex,X2432,Trigger)</f>
        <v>56222</v>
      </c>
      <c r="Z2432" s="199">
        <v>2.5444014922031133E-2</v>
      </c>
      <c r="AA2432" s="201">
        <v>2.5426198960447621E-2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56227</v>
      </c>
      <c r="Y2433" s="198">
        <f>_xll.qlInterestRateIndexValueDate(IborIndex,X2433,Trigger)</f>
        <v>56229</v>
      </c>
      <c r="Z2433" s="199">
        <v>2.5437894105027892E-2</v>
      </c>
      <c r="AA2433" s="201">
        <v>2.5420112781766591E-2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56234</v>
      </c>
      <c r="Y2434" s="198">
        <f>_xll.qlInterestRateIndexValueDate(IborIndex,X2434,Trigger)</f>
        <v>56236</v>
      </c>
      <c r="Z2434" s="199">
        <v>2.5432218594254801E-2</v>
      </c>
      <c r="AA2434" s="201">
        <v>2.5414013662796719E-2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56241</v>
      </c>
      <c r="Y2435" s="198">
        <f>_xll.qlInterestRateIndexValueDate(IborIndex,X2435,Trigger)</f>
        <v>56247</v>
      </c>
      <c r="Z2435" s="199">
        <v>2.5421639084151716E-2</v>
      </c>
      <c r="AA2435" s="201">
        <v>2.540661201530181E-2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56248</v>
      </c>
      <c r="Y2436" s="198">
        <f>_xll.qlInterestRateIndexValueDate(IborIndex,X2436,Trigger)</f>
        <v>56251</v>
      </c>
      <c r="Z2436" s="199">
        <v>2.541811737980422E-2</v>
      </c>
      <c r="AA2436" s="201">
        <v>2.5400900548122607E-2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56255</v>
      </c>
      <c r="Y2437" s="198">
        <f>_xll.qlInterestRateIndexValueDate(IborIndex,X2437,Trigger)</f>
        <v>56257</v>
      </c>
      <c r="Z2437" s="199">
        <v>2.5413281183851721E-2</v>
      </c>
      <c r="AA2437" s="201">
        <v>2.5395638664873488E-2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56262</v>
      </c>
      <c r="Y2438" s="198">
        <f>_xll.qlInterestRateIndexValueDate(IborIndex,X2438,Trigger)</f>
        <v>56264</v>
      </c>
      <c r="Z2438" s="199">
        <v>2.5407548367680475E-2</v>
      </c>
      <c r="AA2438" s="201">
        <v>2.5389487785067999E-2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56269</v>
      </c>
      <c r="Y2439" s="198">
        <f>_xll.qlInterestRateIndexValueDate(IborIndex,X2439,Trigger)</f>
        <v>56271</v>
      </c>
      <c r="Z2439" s="199">
        <v>2.5400896931657979E-2</v>
      </c>
      <c r="AA2439" s="201">
        <v>2.538332396497367E-2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56276</v>
      </c>
      <c r="Y2440" s="198">
        <f>_xll.qlInterestRateIndexValueDate(IborIndex,X2440,Trigger)</f>
        <v>56278</v>
      </c>
      <c r="Z2440" s="199">
        <v>2.5393334403738484E-2</v>
      </c>
      <c r="AA2440" s="201">
        <v>2.5377147204830308E-2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56283</v>
      </c>
      <c r="Y2441" s="198">
        <f>_xll.qlInterestRateIndexValueDate(IborIndex,X2441,Trigger)</f>
        <v>56285</v>
      </c>
      <c r="Z2441" s="199">
        <v>2.5386664786347497E-2</v>
      </c>
      <c r="AA2441" s="201">
        <v>2.5370957504398106E-2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56290</v>
      </c>
      <c r="Y2442" s="198">
        <f>_xll.qlInterestRateIndexValueDate(IborIndex,X2442,Trigger)</f>
        <v>56292</v>
      </c>
      <c r="Z2442" s="199">
        <v>2.5380432742592163E-2</v>
      </c>
      <c r="AA2442" s="201">
        <v>2.5364754863757E-2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56297</v>
      </c>
      <c r="Y2443" s="198">
        <f>_xll.qlInterestRateIndexValueDate(IborIndex,X2443,Trigger)</f>
        <v>56299</v>
      </c>
      <c r="Z2443" s="199">
        <v>2.5374187736911007E-2</v>
      </c>
      <c r="AA2443" s="201">
        <v>2.5358539282906989E-2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56304</v>
      </c>
      <c r="Y2444" s="198">
        <f>_xll.qlInterestRateIndexValueDate(IborIndex,X2444,Trigger)</f>
        <v>56306</v>
      </c>
      <c r="Z2444" s="199">
        <v>2.5367929769312601E-2</v>
      </c>
      <c r="AA2444" s="201">
        <v>2.535231076192801E-2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56311</v>
      </c>
      <c r="Y2445" s="198">
        <f>_xll.qlInterestRateIndexValueDate(IborIndex,X2445,Trigger)</f>
        <v>56313</v>
      </c>
      <c r="Z2445" s="199">
        <v>2.5363433010714975E-2</v>
      </c>
      <c r="AA2445" s="201">
        <v>2.534606930066019E-2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56318</v>
      </c>
      <c r="Y2446" s="198">
        <f>_xll.qlInterestRateIndexValueDate(IborIndex,X2446,Trigger)</f>
        <v>56320</v>
      </c>
      <c r="Z2446" s="199">
        <v>2.535714364598346E-2</v>
      </c>
      <c r="AA2446" s="201">
        <v>2.5339814899023594E-2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56325</v>
      </c>
      <c r="Y2447" s="198">
        <f>_xll.qlInterestRateIndexValueDate(IborIndex,X2447,Trigger)</f>
        <v>56327</v>
      </c>
      <c r="Z2447" s="199">
        <v>2.5350841316187922E-2</v>
      </c>
      <c r="AA2447" s="201">
        <v>2.5333547557258029E-2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56332</v>
      </c>
      <c r="Y2448" s="198">
        <f>_xll.qlInterestRateIndexValueDate(IborIndex,X2448,Trigger)</f>
        <v>56334</v>
      </c>
      <c r="Z2448" s="199">
        <v>2.534452602135584E-2</v>
      </c>
      <c r="AA2448" s="201">
        <v>2.5325470532449046E-2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56339</v>
      </c>
      <c r="Y2449" s="198">
        <f>_xll.qlInterestRateIndexValueDate(IborIndex,X2449,Trigger)</f>
        <v>56341</v>
      </c>
      <c r="Z2449" s="199">
        <v>2.5338635550729422E-2</v>
      </c>
      <c r="AA2449" s="201">
        <v>2.5320974053339995E-2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56346</v>
      </c>
      <c r="Y2450" s="198">
        <f>_xll.qlInterestRateIndexValueDate(IborIndex,X2450,Trigger)</f>
        <v>56348</v>
      </c>
      <c r="Z2450" s="199">
        <v>2.5331856536669473E-2</v>
      </c>
      <c r="AA2450" s="201">
        <v>2.5314667890947717E-2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56353</v>
      </c>
      <c r="Y2451" s="198">
        <f>_xll.qlInterestRateIndexValueDate(IborIndex,X2451,Trigger)</f>
        <v>56355</v>
      </c>
      <c r="Z2451" s="199">
        <v>2.5325502346855155E-2</v>
      </c>
      <c r="AA2451" s="201">
        <v>2.5308348788506407E-2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56360</v>
      </c>
      <c r="Y2452" s="198">
        <f>_xll.qlInterestRateIndexValueDate(IborIndex,X2452,Trigger)</f>
        <v>56362</v>
      </c>
      <c r="Z2452" s="199">
        <v>2.5319568863201202E-2</v>
      </c>
      <c r="AA2452" s="201">
        <v>2.5302016745776257E-2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56367</v>
      </c>
      <c r="Y2453" s="198">
        <f>_xll.qlInterestRateIndexValueDate(IborIndex,X2453,Trigger)</f>
        <v>56369</v>
      </c>
      <c r="Z2453" s="199">
        <v>2.5311457517623294E-2</v>
      </c>
      <c r="AA2453" s="201">
        <v>2.5294764280268112E-2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56374</v>
      </c>
      <c r="Y2454" s="198">
        <f>_xll.qlInterestRateIndexValueDate(IborIndex,X2454,Trigger)</f>
        <v>56376</v>
      </c>
      <c r="Z2454" s="199">
        <v>2.5306361987799952E-2</v>
      </c>
      <c r="AA2454" s="201">
        <v>2.5289313839449434E-2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56381</v>
      </c>
      <c r="Y2455" s="198">
        <f>_xll.qlInterestRateIndexValueDate(IborIndex,X2455,Trigger)</f>
        <v>56383</v>
      </c>
      <c r="Z2455" s="199">
        <v>2.5299955938314078E-2</v>
      </c>
      <c r="AA2455" s="201">
        <v>2.5282942976252443E-2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56388</v>
      </c>
      <c r="Y2456" s="198">
        <f>_xll.qlInterestRateIndexValueDate(IborIndex,X2456,Trigger)</f>
        <v>56390</v>
      </c>
      <c r="Z2456" s="199">
        <v>2.5293536923971516E-2</v>
      </c>
      <c r="AA2456" s="201">
        <v>2.5275646144313768E-2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56395</v>
      </c>
      <c r="Y2457" s="198">
        <f>_xll.qlInterestRateIndexValueDate(IborIndex,X2457,Trigger)</f>
        <v>56397</v>
      </c>
      <c r="Z2457" s="199">
        <v>2.5287104944784755E-2</v>
      </c>
      <c r="AA2457" s="201">
        <v>2.5270162428832066E-2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56402</v>
      </c>
      <c r="Y2458" s="198">
        <f>_xll.qlInterestRateIndexValueDate(IborIndex,X2458,Trigger)</f>
        <v>56404</v>
      </c>
      <c r="Z2458" s="199">
        <v>2.5280660000783772E-2</v>
      </c>
      <c r="AA2458" s="201">
        <v>2.5263752744848489E-2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56409</v>
      </c>
      <c r="Y2459" s="198">
        <f>_xll.qlInterestRateIndexValueDate(IborIndex,X2459,Trigger)</f>
        <v>56411</v>
      </c>
      <c r="Z2459" s="199">
        <v>2.5274202091981057E-2</v>
      </c>
      <c r="AA2459" s="201">
        <v>2.5257330120656007E-2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56416</v>
      </c>
      <c r="Y2460" s="198">
        <f>_xll.qlInterestRateIndexValueDate(IborIndex,X2460,Trigger)</f>
        <v>56418</v>
      </c>
      <c r="Z2460" s="199">
        <v>2.5267731218409084E-2</v>
      </c>
      <c r="AA2460" s="201">
        <v>2.5250894556254622E-2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56423</v>
      </c>
      <c r="Y2461" s="198">
        <f>_xll.qlInterestRateIndexValueDate(IborIndex,X2461,Trigger)</f>
        <v>56425</v>
      </c>
      <c r="Z2461" s="199">
        <v>2.5261247380087837E-2</v>
      </c>
      <c r="AA2461" s="201">
        <v>2.5244446051724267E-2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56430</v>
      </c>
      <c r="Y2462" s="198">
        <f>_xll.qlInterestRateIndexValueDate(IborIndex,X2462,Trigger)</f>
        <v>56432</v>
      </c>
      <c r="Z2462" s="199">
        <v>2.5254750577034801E-2</v>
      </c>
      <c r="AA2462" s="201">
        <v>2.5237984606825137E-2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56437</v>
      </c>
      <c r="Y2463" s="198">
        <f>_xll.qlInterestRateIndexValueDate(IborIndex,X2463,Trigger)</f>
        <v>56439</v>
      </c>
      <c r="Z2463" s="199">
        <v>2.5248240809274958E-2</v>
      </c>
      <c r="AA2463" s="201">
        <v>2.5231510221876974E-2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56444</v>
      </c>
      <c r="Y2464" s="198">
        <f>_xll.qlInterestRateIndexValueDate(IborIndex,X2464,Trigger)</f>
        <v>56446</v>
      </c>
      <c r="Z2464" s="199">
        <v>2.5241718076835784E-2</v>
      </c>
      <c r="AA2464" s="201">
        <v>2.522502289663997E-2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56451</v>
      </c>
      <c r="Y2465" s="198">
        <f>_xll.qlInterestRateIndexValueDate(IborIndex,X2465,Trigger)</f>
        <v>56453</v>
      </c>
      <c r="Z2465" s="199">
        <v>2.5235182379732268E-2</v>
      </c>
      <c r="AA2465" s="201">
        <v>2.5218522631114126E-2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56458</v>
      </c>
      <c r="Y2466" s="198">
        <f>_xll.qlInterestRateIndexValueDate(IborIndex,X2466,Trigger)</f>
        <v>56460</v>
      </c>
      <c r="Z2466" s="199">
        <v>2.5227389966010826E-2</v>
      </c>
      <c r="AA2466" s="201">
        <v>2.5212009425619186E-2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56465</v>
      </c>
      <c r="Y2467" s="198">
        <f>_xll.qlInterestRateIndexValueDate(IborIndex,X2467,Trigger)</f>
        <v>56467</v>
      </c>
      <c r="Z2467" s="199">
        <v>2.5222485065029658E-2</v>
      </c>
      <c r="AA2467" s="201">
        <v>2.5205483279835406E-2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56472</v>
      </c>
      <c r="Y2468" s="198">
        <f>_xll.qlInterestRateIndexValueDate(IborIndex,X2468,Trigger)</f>
        <v>56474</v>
      </c>
      <c r="Z2468" s="199">
        <v>2.5215497500677975E-2</v>
      </c>
      <c r="AA2468" s="201">
        <v>2.5198944193842721E-2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56479</v>
      </c>
      <c r="Y2469" s="198">
        <f>_xll.qlInterestRateIndexValueDate(IborIndex,X2469,Trigger)</f>
        <v>56481</v>
      </c>
      <c r="Z2469" s="199">
        <v>2.5208909945156899E-2</v>
      </c>
      <c r="AA2469" s="201">
        <v>2.5192392167561195E-2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56486</v>
      </c>
      <c r="Y2470" s="198">
        <f>_xll.qlInterestRateIndexValueDate(IborIndex,X2470,Trigger)</f>
        <v>56488</v>
      </c>
      <c r="Z2470" s="199">
        <v>2.5202309425086389E-2</v>
      </c>
      <c r="AA2470" s="201">
        <v>2.5184888292599794E-2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56493</v>
      </c>
      <c r="Y2471" s="198">
        <f>_xll.qlInterestRateIndexValueDate(IborIndex,X2471,Trigger)</f>
        <v>56495</v>
      </c>
      <c r="Z2471" s="199">
        <v>2.5195695940488927E-2</v>
      </c>
      <c r="AA2471" s="201">
        <v>2.5179249294611239E-2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56500</v>
      </c>
      <c r="Y2472" s="198">
        <f>_xll.qlInterestRateIndexValueDate(IborIndex,X2472,Trigger)</f>
        <v>56502</v>
      </c>
      <c r="Z2472" s="199">
        <v>2.5189475526133428E-2</v>
      </c>
      <c r="AA2472" s="201">
        <v>2.5172658447862872E-2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56507</v>
      </c>
      <c r="Y2473" s="198">
        <f>_xll.qlInterestRateIndexValueDate(IborIndex,X2473,Trigger)</f>
        <v>56509</v>
      </c>
      <c r="Z2473" s="199">
        <v>2.5182430077810569E-2</v>
      </c>
      <c r="AA2473" s="201">
        <v>2.5166054660985537E-2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56514</v>
      </c>
      <c r="Y2474" s="198">
        <f>_xll.qlInterestRateIndexValueDate(IborIndex,X2474,Trigger)</f>
        <v>56516</v>
      </c>
      <c r="Z2474" s="199">
        <v>2.5175777699777135E-2</v>
      </c>
      <c r="AA2474" s="201">
        <v>2.5159437933739426E-2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56521</v>
      </c>
      <c r="Y2475" s="198">
        <f>_xll.qlInterestRateIndexValueDate(IborIndex,X2475,Trigger)</f>
        <v>56523</v>
      </c>
      <c r="Z2475" s="199">
        <v>2.5169112357309176E-2</v>
      </c>
      <c r="AA2475" s="201">
        <v>2.5152808266364346E-2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56528</v>
      </c>
      <c r="Y2476" s="198">
        <f>_xll.qlInterestRateIndexValueDate(IborIndex,X2476,Trigger)</f>
        <v>56530</v>
      </c>
      <c r="Z2476" s="199">
        <v>2.516243405043167E-2</v>
      </c>
      <c r="AA2476" s="201">
        <v>2.5146165658860298E-2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56535</v>
      </c>
      <c r="Y2477" s="198">
        <f>_xll.qlInterestRateIndexValueDate(IborIndex,X2477,Trigger)</f>
        <v>56537</v>
      </c>
      <c r="Z2477" s="199">
        <v>2.5155742779162105E-2</v>
      </c>
      <c r="AA2477" s="201">
        <v>2.5139510111147345E-2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56542</v>
      </c>
      <c r="Y2478" s="198">
        <f>_xll.qlInterestRateIndexValueDate(IborIndex,X2478,Trigger)</f>
        <v>56544</v>
      </c>
      <c r="Z2478" s="199">
        <v>2.5149038543527957E-2</v>
      </c>
      <c r="AA2478" s="201">
        <v>2.5132841623225488E-2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56549</v>
      </c>
      <c r="Y2479" s="198">
        <f>_xll.qlInterestRateIndexValueDate(IborIndex,X2479,Trigger)</f>
        <v>56551</v>
      </c>
      <c r="Z2479" s="199">
        <v>2.5142321343559204E-2</v>
      </c>
      <c r="AA2479" s="201">
        <v>2.5126160195014791E-2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56556</v>
      </c>
      <c r="Y2480" s="198">
        <f>_xll.qlInterestRateIndexValueDate(IborIndex,X2480,Trigger)</f>
        <v>56558</v>
      </c>
      <c r="Z2480" s="199">
        <v>2.5135591179265837E-2</v>
      </c>
      <c r="AA2480" s="201">
        <v>2.5119465826755061E-2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56563</v>
      </c>
      <c r="Y2481" s="198">
        <f>_xll.qlInterestRateIndexValueDate(IborIndex,X2481,Trigger)</f>
        <v>56565</v>
      </c>
      <c r="Z2481" s="199">
        <v>2.5128848050677832E-2</v>
      </c>
      <c r="AA2481" s="201">
        <v>2.5112758518366363E-2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56570</v>
      </c>
      <c r="Y2482" s="198">
        <f>_xll.qlInterestRateIndexValueDate(IborIndex,X2482,Trigger)</f>
        <v>56572</v>
      </c>
      <c r="Z2482" s="199">
        <v>2.512209195782017E-2</v>
      </c>
      <c r="AA2482" s="201">
        <v>2.5106038269608888E-2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56577</v>
      </c>
      <c r="Y2483" s="198">
        <f>_xll.qlInterestRateIndexValueDate(IborIndex,X2483,Trigger)</f>
        <v>56580</v>
      </c>
      <c r="Z2483" s="199">
        <v>2.5114354834245844E-2</v>
      </c>
      <c r="AA2483" s="201">
        <v>2.5098342140195129E-2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56584</v>
      </c>
      <c r="Y2484" s="198">
        <f>_xll.qlInterestRateIndexValueDate(IborIndex,X2484,Trigger)</f>
        <v>56586</v>
      </c>
      <c r="Z2484" s="199">
        <v>2.5108540879378305E-2</v>
      </c>
      <c r="AA2484" s="201">
        <v>2.5092558951627097E-2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56591</v>
      </c>
      <c r="Y2485" s="198">
        <f>_xll.qlInterestRateIndexValueDate(IborIndex,X2485,Trigger)</f>
        <v>56593</v>
      </c>
      <c r="Z2485" s="199">
        <v>2.5101745893844063E-2</v>
      </c>
      <c r="AA2485" s="201">
        <v>2.5085799882482718E-2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56598</v>
      </c>
      <c r="Y2486" s="198">
        <f>_xll.qlInterestRateIndexValueDate(IborIndex,X2486,Trigger)</f>
        <v>56600</v>
      </c>
      <c r="Z2486" s="199">
        <v>2.5095324446846593E-2</v>
      </c>
      <c r="AA2486" s="201">
        <v>2.5079027872969561E-2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56605</v>
      </c>
      <c r="Y2487" s="198">
        <f>_xll.qlInterestRateIndexValueDate(IborIndex,X2487,Trigger)</f>
        <v>56607</v>
      </c>
      <c r="Z2487" s="199">
        <v>2.5088117030266366E-2</v>
      </c>
      <c r="AA2487" s="201">
        <v>2.5070301989513766E-2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56612</v>
      </c>
      <c r="Y2488" s="198">
        <f>_xll.qlInterestRateIndexValueDate(IborIndex,X2488,Trigger)</f>
        <v>56614</v>
      </c>
      <c r="Z2488" s="199">
        <v>2.508013135755327E-2</v>
      </c>
      <c r="AA2488" s="201">
        <v>2.5064472850022668E-2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56619</v>
      </c>
      <c r="Y2489" s="198">
        <f>_xll.qlInterestRateIndexValueDate(IborIndex,X2489,Trigger)</f>
        <v>56621</v>
      </c>
      <c r="Z2489" s="199">
        <v>2.5074436310159598E-2</v>
      </c>
      <c r="AA2489" s="201">
        <v>2.5058634203576347E-2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56626</v>
      </c>
      <c r="Y2490" s="198">
        <f>_xll.qlInterestRateIndexValueDate(IborIndex,X2490,Trigger)</f>
        <v>56628</v>
      </c>
      <c r="Z2490" s="199">
        <v>2.5067957398212055E-2</v>
      </c>
      <c r="AA2490" s="201">
        <v>2.5051810433387445E-2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56633</v>
      </c>
      <c r="Y2491" s="198">
        <f>_xll.qlInterestRateIndexValueDate(IborIndex,X2491,Trigger)</f>
        <v>56635</v>
      </c>
      <c r="Z2491" s="199">
        <v>2.5060703733716105E-2</v>
      </c>
      <c r="AA2491" s="201">
        <v>2.5044973723149511E-2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56640</v>
      </c>
      <c r="Y2492" s="198">
        <f>_xll.qlInterestRateIndexValueDate(IborIndex,X2492,Trigger)</f>
        <v>56642</v>
      </c>
      <c r="Z2492" s="199">
        <v>2.5052683045171654E-2</v>
      </c>
      <c r="AA2492" s="201">
        <v>2.5038124072622736E-2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56647</v>
      </c>
      <c r="Y2493" s="198">
        <f>_xll.qlInterestRateIndexValueDate(IborIndex,X2493,Trigger)</f>
        <v>56649</v>
      </c>
      <c r="Z2493" s="199">
        <v>2.5045411417044923E-2</v>
      </c>
      <c r="AA2493" s="201">
        <v>2.5031261481807121E-2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56654</v>
      </c>
      <c r="Y2494" s="198">
        <f>_xll.qlInterestRateIndexValueDate(IborIndex,X2494,Trigger)</f>
        <v>56656</v>
      </c>
      <c r="Z2494" s="199">
        <v>2.5038505378712297E-2</v>
      </c>
      <c r="AA2494" s="201">
        <v>2.5024385950942474E-2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56661</v>
      </c>
      <c r="Y2495" s="198">
        <f>_xll.qlInterestRateIndexValueDate(IborIndex,X2495,Trigger)</f>
        <v>56663</v>
      </c>
      <c r="Z2495" s="199">
        <v>2.503158637947589E-2</v>
      </c>
      <c r="AA2495" s="201">
        <v>2.5017497480028794E-2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56668</v>
      </c>
      <c r="Y2496" s="198">
        <f>_xll.qlInterestRateIndexValueDate(IborIndex,X2496,Trigger)</f>
        <v>56670</v>
      </c>
      <c r="Z2496" s="199">
        <v>2.5024654419364252E-2</v>
      </c>
      <c r="AA2496" s="201">
        <v>2.5010596068746338E-2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56675</v>
      </c>
      <c r="Y2497" s="198">
        <f>_xll.qlInterestRateIndexValueDate(IborIndex,X2497,Trigger)</f>
        <v>56677</v>
      </c>
      <c r="Z2497" s="199">
        <v>2.5019194868271255E-2</v>
      </c>
      <c r="AA2497" s="201">
        <v>2.5003681717254977E-2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56682</v>
      </c>
      <c r="Y2498" s="198">
        <f>_xll.qlInterestRateIndexValueDate(IborIndex,X2498,Trigger)</f>
        <v>56684</v>
      </c>
      <c r="Z2498" s="199">
        <v>2.5012231350261538E-2</v>
      </c>
      <c r="AA2498" s="201">
        <v>2.4996754425714585E-2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56689</v>
      </c>
      <c r="Y2499" s="198">
        <f>_xll.qlInterestRateIndexValueDate(IborIndex,X2499,Trigger)</f>
        <v>56691</v>
      </c>
      <c r="Z2499" s="199">
        <v>2.5005623098640326E-2</v>
      </c>
      <c r="AA2499" s="201">
        <v>2.4989814194045223E-2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56696</v>
      </c>
      <c r="Y2500" s="198">
        <f>_xll.qlInterestRateIndexValueDate(IborIndex,X2500,Trigger)</f>
        <v>56698</v>
      </c>
      <c r="Z2500" s="199">
        <v>2.4998265422662147E-2</v>
      </c>
      <c r="AA2500" s="201">
        <v>2.4982861022007086E-2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56703</v>
      </c>
      <c r="Y2501" s="198">
        <f>_xll.qlInterestRateIndexValueDate(IborIndex,X2501,Trigger)</f>
        <v>56705</v>
      </c>
      <c r="Z2501" s="199">
        <v>2.4991628420743792E-2</v>
      </c>
      <c r="AA2501" s="201">
        <v>2.4975894909919916E-2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56710</v>
      </c>
      <c r="Y2502" s="198">
        <f>_xll.qlInterestRateIndexValueDate(IborIndex,X2502,Trigger)</f>
        <v>56712</v>
      </c>
      <c r="Z2502" s="199">
        <v>2.4984247639775192E-2</v>
      </c>
      <c r="AA2502" s="201">
        <v>2.4968915857703777E-2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56717</v>
      </c>
      <c r="Y2503" s="198">
        <f>_xll.qlInterestRateIndexValueDate(IborIndex,X2503,Trigger)</f>
        <v>56719</v>
      </c>
      <c r="Z2503" s="199">
        <v>2.4977219302657894E-2</v>
      </c>
      <c r="AA2503" s="201">
        <v>2.4959923776304294E-2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56724</v>
      </c>
      <c r="Y2504" s="198">
        <f>_xll.qlInterestRateIndexValueDate(IborIndex,X2504,Trigger)</f>
        <v>56726</v>
      </c>
      <c r="Z2504" s="199">
        <v>2.4970178001798016E-2</v>
      </c>
      <c r="AA2504" s="201">
        <v>2.4954918932484915E-2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56731</v>
      </c>
      <c r="Y2505" s="198">
        <f>_xll.qlInterestRateIndexValueDate(IborIndex,X2505,Trigger)</f>
        <v>56733</v>
      </c>
      <c r="Z2505" s="199">
        <v>2.4962043768254557E-2</v>
      </c>
      <c r="AA2505" s="201">
        <v>2.4946897450286443E-2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56738</v>
      </c>
      <c r="Y2506" s="198">
        <f>_xll.qlInterestRateIndexValueDate(IborIndex,X2506,Trigger)</f>
        <v>56740</v>
      </c>
      <c r="Z2506" s="199">
        <v>2.4956059330381031E-2</v>
      </c>
      <c r="AA2506" s="201">
        <v>2.4940870246910052E-2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56745</v>
      </c>
      <c r="Y2507" s="198">
        <f>_xll.qlInterestRateIndexValueDate(IborIndex,X2507,Trigger)</f>
        <v>56747</v>
      </c>
      <c r="Z2507" s="199">
        <v>2.494899017877944E-2</v>
      </c>
      <c r="AA2507" s="201">
        <v>2.4933826493729327E-2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56752</v>
      </c>
      <c r="Y2508" s="198">
        <f>_xll.qlInterestRateIndexValueDate(IborIndex,X2508,Trigger)</f>
        <v>56754</v>
      </c>
      <c r="Z2508" s="199">
        <v>2.4941922165152564E-2</v>
      </c>
      <c r="AA2508" s="201">
        <v>2.4926769800419635E-2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56759</v>
      </c>
      <c r="Y2509" s="198">
        <f>_xll.qlInterestRateIndexValueDate(IborIndex,X2509,Trigger)</f>
        <v>56761</v>
      </c>
      <c r="Z2509" s="199">
        <v>2.4934861096048144E-2</v>
      </c>
      <c r="AA2509" s="201">
        <v>2.4918694658584428E-2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56766</v>
      </c>
      <c r="Y2510" s="198">
        <f>_xll.qlInterestRateIndexValueDate(IborIndex,X2510,Trigger)</f>
        <v>56768</v>
      </c>
      <c r="Z2510" s="199">
        <v>2.4928172341746352E-2</v>
      </c>
      <c r="AA2510" s="201">
        <v>2.4912647414119249E-2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56773</v>
      </c>
      <c r="Y2511" s="198">
        <f>_xll.qlInterestRateIndexValueDate(IborIndex,X2511,Trigger)</f>
        <v>56775</v>
      </c>
      <c r="Z2511" s="199">
        <v>2.4920776818808665E-2</v>
      </c>
      <c r="AA2511" s="201">
        <v>2.490560487500737E-2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56780</v>
      </c>
      <c r="Y2512" s="198">
        <f>_xll.qlInterestRateIndexValueDate(IborIndex,X2512,Trigger)</f>
        <v>56782</v>
      </c>
      <c r="Z2512" s="199">
        <v>2.491375504956761E-2</v>
      </c>
      <c r="AA2512" s="201">
        <v>2.4898575883058882E-2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56787</v>
      </c>
      <c r="Y2513" s="198">
        <f>_xll.qlInterestRateIndexValueDate(IborIndex,X2513,Trigger)</f>
        <v>56789</v>
      </c>
      <c r="Z2513" s="199">
        <v>2.4906746860815787E-2</v>
      </c>
      <c r="AA2513" s="201">
        <v>2.4891560438673466E-2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56794</v>
      </c>
      <c r="Y2514" s="198">
        <f>_xll.qlInterestRateIndexValueDate(IborIndex,X2514,Trigger)</f>
        <v>56796</v>
      </c>
      <c r="Z2514" s="199">
        <v>2.4899752252533214E-2</v>
      </c>
      <c r="AA2514" s="201">
        <v>2.4884558541131696E-2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56801</v>
      </c>
      <c r="Y2515" s="198">
        <f>_xll.qlInterestRateIndexValueDate(IborIndex,X2515,Trigger)</f>
        <v>56803</v>
      </c>
      <c r="Z2515" s="199">
        <v>2.4892771224697408E-2</v>
      </c>
      <c r="AA2515" s="201">
        <v>2.4877570190833254E-2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56808</v>
      </c>
      <c r="Y2516" s="198">
        <f>_xll.qlInterestRateIndexValueDate(IborIndex,X2516,Trigger)</f>
        <v>56810</v>
      </c>
      <c r="Z2516" s="199">
        <v>2.4885803777270898E-2</v>
      </c>
      <c r="AA2516" s="201">
        <v>2.4870595387858074E-2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56815</v>
      </c>
      <c r="Y2517" s="198">
        <f>_xll.qlInterestRateIndexValueDate(IborIndex,X2517,Trigger)</f>
        <v>56817</v>
      </c>
      <c r="Z2517" s="199">
        <v>2.48788499102362E-2</v>
      </c>
      <c r="AA2517" s="201">
        <v>2.486363413196635E-2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56822</v>
      </c>
      <c r="Y2518" s="198">
        <f>_xll.qlInterestRateIndexValueDate(IborIndex,X2518,Trigger)</f>
        <v>56824</v>
      </c>
      <c r="Z2518" s="199">
        <v>2.4872273695176649E-2</v>
      </c>
      <c r="AA2518" s="201">
        <v>2.4856686423397889E-2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56829</v>
      </c>
      <c r="Y2519" s="198">
        <f>_xll.qlInterestRateIndexValueDate(IborIndex,X2519,Trigger)</f>
        <v>56831</v>
      </c>
      <c r="Z2519" s="199">
        <v>2.4865347480968421E-2</v>
      </c>
      <c r="AA2519" s="201">
        <v>2.4849752261753011E-2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56836</v>
      </c>
      <c r="Y2520" s="198">
        <f>_xll.qlInterestRateIndexValueDate(IborIndex,X2520,Trigger)</f>
        <v>56838</v>
      </c>
      <c r="Z2520" s="199">
        <v>2.4858069791228177E-2</v>
      </c>
      <c r="AA2520" s="201">
        <v>2.4842831647671204E-2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56843</v>
      </c>
      <c r="Y2521" s="198">
        <f>_xll.qlInterestRateIndexValueDate(IborIndex,X2521,Trigger)</f>
        <v>56845</v>
      </c>
      <c r="Z2521" s="199">
        <v>2.4851170245505927E-2</v>
      </c>
      <c r="AA2521" s="201">
        <v>2.4835924580592916E-2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56850</v>
      </c>
      <c r="Y2522" s="198">
        <f>_xll.qlInterestRateIndexValueDate(IborIndex,X2522,Trigger)</f>
        <v>56852</v>
      </c>
      <c r="Z2522" s="199">
        <v>2.4844284280055584E-2</v>
      </c>
      <c r="AA2522" s="201">
        <v>2.4828047378102625E-2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56857</v>
      </c>
      <c r="Y2523" s="198">
        <f>_xll.qlInterestRateIndexValueDate(IborIndex,X2523,Trigger)</f>
        <v>56859</v>
      </c>
      <c r="Z2523" s="199">
        <v>2.4837411894839678E-2</v>
      </c>
      <c r="AA2523" s="201">
        <v>2.4822151088086386E-2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56864</v>
      </c>
      <c r="Y2524" s="198">
        <f>_xll.qlInterestRateIndexValueDate(IborIndex,X2524,Trigger)</f>
        <v>56866</v>
      </c>
      <c r="Z2524" s="199">
        <v>2.4830920130175214E-2</v>
      </c>
      <c r="AA2524" s="201">
        <v>2.4815284662578208E-2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56871</v>
      </c>
      <c r="Y2525" s="198">
        <f>_xll.qlInterestRateIndexValueDate(IborIndex,X2525,Trigger)</f>
        <v>56873</v>
      </c>
      <c r="Z2525" s="199">
        <v>2.4823707865036237E-2</v>
      </c>
      <c r="AA2525" s="201">
        <v>2.4808431784393292E-2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56878</v>
      </c>
      <c r="Y2526" s="198">
        <f>_xll.qlInterestRateIndexValueDate(IborIndex,X2526,Trigger)</f>
        <v>56880</v>
      </c>
      <c r="Z2526" s="199">
        <v>2.4816876220398743E-2</v>
      </c>
      <c r="AA2526" s="201">
        <v>2.4801592453211896E-2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56885</v>
      </c>
      <c r="Y2527" s="198">
        <f>_xll.qlInterestRateIndexValueDate(IborIndex,X2527,Trigger)</f>
        <v>56887</v>
      </c>
      <c r="Z2527" s="199">
        <v>2.4808952926843864E-2</v>
      </c>
      <c r="AA2527" s="201">
        <v>2.4794766669353763E-2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56892</v>
      </c>
      <c r="Y2528" s="198">
        <f>_xll.qlInterestRateIndexValueDate(IborIndex,X2528,Trigger)</f>
        <v>56894</v>
      </c>
      <c r="Z2528" s="199">
        <v>2.4803253671517311E-2</v>
      </c>
      <c r="AA2528" s="201">
        <v>2.4787954432579085E-2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56899</v>
      </c>
      <c r="Y2529" s="198">
        <f>_xll.qlInterestRateIndexValueDate(IborIndex,X2529,Trigger)</f>
        <v>56901</v>
      </c>
      <c r="Z2529" s="199">
        <v>2.4796462767235905E-2</v>
      </c>
      <c r="AA2529" s="201">
        <v>2.4781155743207606E-2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56906</v>
      </c>
      <c r="Y2530" s="198">
        <f>_xll.qlInterestRateIndexValueDate(IborIndex,X2530,Trigger)</f>
        <v>56908</v>
      </c>
      <c r="Z2530" s="199">
        <v>2.4789685443014076E-2</v>
      </c>
      <c r="AA2530" s="201">
        <v>2.477437060075971E-2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56913</v>
      </c>
      <c r="Y2531" s="198">
        <f>_xll.qlInterestRateIndexValueDate(IborIndex,X2531,Trigger)</f>
        <v>56915</v>
      </c>
      <c r="Z2531" s="199">
        <v>2.4782921698839333E-2</v>
      </c>
      <c r="AA2531" s="201">
        <v>2.4767599005635077E-2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56920</v>
      </c>
      <c r="Y2532" s="198">
        <f>_xll.qlInterestRateIndexValueDate(IborIndex,X2532,Trigger)</f>
        <v>56922</v>
      </c>
      <c r="Z2532" s="199">
        <v>2.4776171534681701E-2</v>
      </c>
      <c r="AA2532" s="201">
        <v>2.4760840957753771E-2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56927</v>
      </c>
      <c r="Y2533" s="198">
        <f>_xll.qlInterestRateIndexValueDate(IborIndex,X2533,Trigger)</f>
        <v>56930</v>
      </c>
      <c r="Z2533" s="199">
        <v>2.476810211765422E-2</v>
      </c>
      <c r="AA2533" s="201">
        <v>2.4753134062711624E-2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56934</v>
      </c>
      <c r="Y2534" s="198">
        <f>_xll.qlInterestRateIndexValueDate(IborIndex,X2534,Trigger)</f>
        <v>56936</v>
      </c>
      <c r="Z2534" s="199">
        <v>2.4762711946332838E-2</v>
      </c>
      <c r="AA2534" s="201">
        <v>2.4747365503321461E-2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56941</v>
      </c>
      <c r="Y2535" s="198">
        <f>_xll.qlInterestRateIndexValueDate(IborIndex,X2535,Trigger)</f>
        <v>56944</v>
      </c>
      <c r="Z2535" s="199">
        <v>2.4755417796657818E-2</v>
      </c>
      <c r="AA2535" s="201">
        <v>2.4739689573349821E-2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56948</v>
      </c>
      <c r="Y2536" s="198">
        <f>_xll.qlInterestRateIndexValueDate(IborIndex,X2536,Trigger)</f>
        <v>56950</v>
      </c>
      <c r="Z2536" s="199">
        <v>2.4749679770303151E-2</v>
      </c>
      <c r="AA2536" s="201">
        <v>2.473394423786246E-2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56955</v>
      </c>
      <c r="Y2537" s="198">
        <f>_xll.qlInterestRateIndexValueDate(IborIndex,X2537,Trigger)</f>
        <v>56957</v>
      </c>
      <c r="Z2537" s="199">
        <v>2.4742624413345848E-2</v>
      </c>
      <c r="AA2537" s="201">
        <v>2.4727253925718173E-2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56962</v>
      </c>
      <c r="Y2538" s="198">
        <f>_xll.qlInterestRateIndexValueDate(IborIndex,X2538,Trigger)</f>
        <v>56964</v>
      </c>
      <c r="Z2538" s="199">
        <v>2.473632984483019E-2</v>
      </c>
      <c r="AA2538" s="201">
        <v>2.472057716089715E-2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56969</v>
      </c>
      <c r="Y2539" s="198">
        <f>_xll.qlInterestRateIndexValueDate(IborIndex,X2539,Trigger)</f>
        <v>56971</v>
      </c>
      <c r="Z2539" s="199">
        <v>2.4729300624086459E-2</v>
      </c>
      <c r="AA2539" s="201">
        <v>2.4712012655072613E-2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56977</v>
      </c>
      <c r="Y2540" s="198">
        <f>_xll.qlInterestRateIndexValueDate(IborIndex,X2540,Trigger)</f>
        <v>56983</v>
      </c>
      <c r="Z2540" s="199">
        <v>2.4717548021560367E-2</v>
      </c>
      <c r="AA2540" s="201">
        <v>2.4704418561078967E-2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56984</v>
      </c>
      <c r="Y2541" s="198">
        <f>_xll.qlInterestRateIndexValueDate(IborIndex,X2541,Trigger)</f>
        <v>56986</v>
      </c>
      <c r="Z2541" s="199">
        <v>2.4714709746879279E-2</v>
      </c>
      <c r="AA2541" s="201">
        <v>2.4699681237825288E-2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56991</v>
      </c>
      <c r="Y2542" s="198">
        <f>_xll.qlInterestRateIndexValueDate(IborIndex,X2542,Trigger)</f>
        <v>56993</v>
      </c>
      <c r="Z2542" s="199">
        <v>2.4708096805030968E-2</v>
      </c>
      <c r="AA2542" s="201">
        <v>2.4693060596909788E-2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56998</v>
      </c>
      <c r="Y2543" s="198">
        <f>_xll.qlInterestRateIndexValueDate(IborIndex,X2543,Trigger)</f>
        <v>57000</v>
      </c>
      <c r="Z2543" s="199">
        <v>2.4701874142490643E-2</v>
      </c>
      <c r="AA2543" s="201">
        <v>2.4686453503317551E-2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57005</v>
      </c>
      <c r="Y2544" s="198">
        <f>_xll.qlInterestRateIndexValueDate(IborIndex,X2544,Trigger)</f>
        <v>57007</v>
      </c>
      <c r="Z2544" s="199">
        <v>2.4694911657412087E-2</v>
      </c>
      <c r="AA2544" s="201">
        <v>2.4679859956968642E-2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57012</v>
      </c>
      <c r="Y2545" s="198">
        <f>_xll.qlInterestRateIndexValueDate(IborIndex,X2545,Trigger)</f>
        <v>57014</v>
      </c>
      <c r="Z2545" s="199">
        <v>2.4688339451595098E-2</v>
      </c>
      <c r="AA2545" s="201">
        <v>2.4673279957623251E-2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57019</v>
      </c>
      <c r="Y2546" s="198">
        <f>_xll.qlInterestRateIndexValueDate(IborIndex,X2546,Trigger)</f>
        <v>57021</v>
      </c>
      <c r="Z2546" s="199">
        <v>2.4681780824407945E-2</v>
      </c>
      <c r="AA2546" s="201">
        <v>2.4666713505441251E-2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57026</v>
      </c>
      <c r="Y2547" s="198">
        <f>_xll.qlInterestRateIndexValueDate(IborIndex,X2547,Trigger)</f>
        <v>57028</v>
      </c>
      <c r="Z2547" s="199">
        <v>2.4675235775829994E-2</v>
      </c>
      <c r="AA2547" s="201">
        <v>2.4660160600662451E-2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57033</v>
      </c>
      <c r="Y2548" s="198">
        <f>_xll.qlInterestRateIndexValueDate(IborIndex,X2548,Trigger)</f>
        <v>57035</v>
      </c>
      <c r="Z2548" s="199">
        <v>2.4668704305838042E-2</v>
      </c>
      <c r="AA2548" s="201">
        <v>2.4653621242887169E-2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57040</v>
      </c>
      <c r="Y2549" s="198">
        <f>_xll.qlInterestRateIndexValueDate(IborIndex,X2549,Trigger)</f>
        <v>57042</v>
      </c>
      <c r="Z2549" s="199">
        <v>2.4662566242443229E-2</v>
      </c>
      <c r="AA2549" s="201">
        <v>2.4647095432275279E-2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57047</v>
      </c>
      <c r="Y2550" s="198">
        <f>_xll.qlInterestRateIndexValueDate(IborIndex,X2550,Trigger)</f>
        <v>57049</v>
      </c>
      <c r="Z2550" s="199">
        <v>2.4655682101514146E-2</v>
      </c>
      <c r="AA2550" s="201">
        <v>2.4640583168986652E-2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57054</v>
      </c>
      <c r="Y2551" s="198">
        <f>_xll.qlInterestRateIndexValueDate(IborIndex,X2551,Trigger)</f>
        <v>57056</v>
      </c>
      <c r="Z2551" s="199">
        <v>2.4649191367143521E-2</v>
      </c>
      <c r="AA2551" s="201">
        <v>2.463408445278148E-2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57061</v>
      </c>
      <c r="Y2552" s="198">
        <f>_xll.qlInterestRateIndexValueDate(IborIndex,X2552,Trigger)</f>
        <v>57063</v>
      </c>
      <c r="Z2552" s="199">
        <v>2.4642714211260911E-2</v>
      </c>
      <c r="AA2552" s="201">
        <v>2.4627599283659762E-2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57068</v>
      </c>
      <c r="Y2553" s="198">
        <f>_xll.qlInterestRateIndexValueDate(IborIndex,X2553,Trigger)</f>
        <v>57074</v>
      </c>
      <c r="Z2553" s="199">
        <v>2.4632181089264016E-2</v>
      </c>
      <c r="AA2553" s="201">
        <v>2.4619281115265679E-2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57075</v>
      </c>
      <c r="Y2554" s="198">
        <f>_xll.qlInterestRateIndexValueDate(IborIndex,X2554,Trigger)</f>
        <v>57077</v>
      </c>
      <c r="Z2554" s="199">
        <v>2.4629800634890096E-2</v>
      </c>
      <c r="AA2554" s="201">
        <v>2.4614669587146309E-2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57082</v>
      </c>
      <c r="Y2555" s="198">
        <f>_xll.qlInterestRateIndexValueDate(IborIndex,X2555,Trigger)</f>
        <v>57084</v>
      </c>
      <c r="Z2555" s="199">
        <v>2.4623364214358061E-2</v>
      </c>
      <c r="AA2555" s="201">
        <v>2.4608225059674638E-2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57089</v>
      </c>
      <c r="Y2556" s="198">
        <f>_xll.qlInterestRateIndexValueDate(IborIndex,X2556,Trigger)</f>
        <v>57091</v>
      </c>
      <c r="Z2556" s="199">
        <v>2.4616941372226364E-2</v>
      </c>
      <c r="AA2556" s="201">
        <v>2.4601794079286421E-2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57096</v>
      </c>
      <c r="Y2557" s="198">
        <f>_xll.qlInterestRateIndexValueDate(IborIndex,X2557,Trigger)</f>
        <v>57098</v>
      </c>
      <c r="Z2557" s="199">
        <v>2.4611300289648339E-2</v>
      </c>
      <c r="AA2557" s="201">
        <v>2.4594460975801979E-2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57103</v>
      </c>
      <c r="Y2558" s="198">
        <f>_xll.qlInterestRateIndexValueDate(IborIndex,X2558,Trigger)</f>
        <v>57105</v>
      </c>
      <c r="Z2558" s="199">
        <v>2.4604136423084053E-2</v>
      </c>
      <c r="AA2558" s="201">
        <v>2.4588972760080097E-2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57110</v>
      </c>
      <c r="Y2559" s="198">
        <f>_xll.qlInterestRateIndexValueDate(IborIndex,X2559,Trigger)</f>
        <v>57112</v>
      </c>
      <c r="Z2559" s="199">
        <v>2.4597754316029605E-2</v>
      </c>
      <c r="AA2559" s="201">
        <v>2.4582582421182053E-2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57117</v>
      </c>
      <c r="Y2560" s="198">
        <f>_xll.qlInterestRateIndexValueDate(IborIndex,X2560,Trigger)</f>
        <v>57119</v>
      </c>
      <c r="Z2560" s="199">
        <v>2.4591385787287822E-2</v>
      </c>
      <c r="AA2560" s="201">
        <v>2.4576205629367465E-2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57124</v>
      </c>
      <c r="Y2561" s="198">
        <f>_xll.qlInterestRateIndexValueDate(IborIndex,X2561,Trigger)</f>
        <v>57126</v>
      </c>
      <c r="Z2561" s="199">
        <v>2.4585030836838079E-2</v>
      </c>
      <c r="AA2561" s="201">
        <v>2.4568934455944103E-2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57131</v>
      </c>
      <c r="Y2562" s="198">
        <f>_xll.qlInterestRateIndexValueDate(IborIndex,X2562,Trigger)</f>
        <v>57133</v>
      </c>
      <c r="Z2562" s="199">
        <v>2.4578689464659749E-2</v>
      </c>
      <c r="AA2562" s="201">
        <v>2.4563492687708077E-2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57138</v>
      </c>
      <c r="Y2563" s="198">
        <f>_xll.qlInterestRateIndexValueDate(IborIndex,X2563,Trigger)</f>
        <v>57140</v>
      </c>
      <c r="Z2563" s="199">
        <v>2.4572361670727041E-2</v>
      </c>
      <c r="AA2563" s="201">
        <v>2.4557156537463598E-2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57145</v>
      </c>
      <c r="Y2564" s="198">
        <f>_xll.qlInterestRateIndexValueDate(IborIndex,X2564,Trigger)</f>
        <v>57147</v>
      </c>
      <c r="Z2564" s="199">
        <v>2.4566047455016751E-2</v>
      </c>
      <c r="AA2564" s="201">
        <v>2.4550833934462446E-2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57152</v>
      </c>
      <c r="Y2565" s="198">
        <f>_xll.qlInterestRateIndexValueDate(IborIndex,X2565,Trigger)</f>
        <v>57154</v>
      </c>
      <c r="Z2565" s="199">
        <v>2.4559746817513405E-2</v>
      </c>
      <c r="AA2565" s="201">
        <v>2.4544524878624685E-2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57159</v>
      </c>
      <c r="Y2566" s="198">
        <f>_xll.qlInterestRateIndexValueDate(IborIndex,X2566,Trigger)</f>
        <v>57161</v>
      </c>
      <c r="Z2566" s="199">
        <v>2.4553459758188644E-2</v>
      </c>
      <c r="AA2566" s="201">
        <v>2.4538229369870379E-2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57166</v>
      </c>
      <c r="Y2567" s="198">
        <f>_xll.qlInterestRateIndexValueDate(IborIndex,X2567,Trigger)</f>
        <v>57168</v>
      </c>
      <c r="Z2567" s="199">
        <v>2.4547186277024412E-2</v>
      </c>
      <c r="AA2567" s="201">
        <v>2.4531947408279464E-2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57173</v>
      </c>
      <c r="Y2568" s="198">
        <f>_xll.qlInterestRateIndexValueDate(IborIndex,X2568,Trigger)</f>
        <v>57175</v>
      </c>
      <c r="Z2568" s="199">
        <v>2.4540926373997504E-2</v>
      </c>
      <c r="AA2568" s="201">
        <v>2.4525678993931876E-2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57180</v>
      </c>
      <c r="Y2569" s="198">
        <f>_xll.qlInterestRateIndexValueDate(IborIndex,X2569,Trigger)</f>
        <v>57182</v>
      </c>
      <c r="Z2569" s="199">
        <v>2.4534680049082134E-2</v>
      </c>
      <c r="AA2569" s="201">
        <v>2.451942412674768E-2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57187</v>
      </c>
      <c r="Y2570" s="198">
        <f>_xll.qlInterestRateIndexValueDate(IborIndex,X2570,Trigger)</f>
        <v>57189</v>
      </c>
      <c r="Z2570" s="199">
        <v>2.4528838371553896E-2</v>
      </c>
      <c r="AA2570" s="201">
        <v>2.451318280680681E-2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57194</v>
      </c>
      <c r="Y2571" s="198">
        <f>_xll.qlInterestRateIndexValueDate(IborIndex,X2571,Trigger)</f>
        <v>57196</v>
      </c>
      <c r="Z2571" s="199">
        <v>2.4522619749489105E-2</v>
      </c>
      <c r="AA2571" s="201">
        <v>2.4506955033789524E-2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57201</v>
      </c>
      <c r="Y2572" s="198">
        <f>_xll.qlInterestRateIndexValueDate(IborIndex,X2572,Trigger)</f>
        <v>57203</v>
      </c>
      <c r="Z2572" s="199">
        <v>2.4516022542817022E-2</v>
      </c>
      <c r="AA2572" s="201">
        <v>2.45007408080955E-2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57208</v>
      </c>
      <c r="Y2573" s="198">
        <f>_xll.qlInterestRateIndexValueDate(IborIndex,X2573,Trigger)</f>
        <v>57210</v>
      </c>
      <c r="Z2573" s="199">
        <v>2.4509830530144099E-2</v>
      </c>
      <c r="AA2573" s="201">
        <v>2.4494540129484932E-2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57215</v>
      </c>
      <c r="Y2574" s="198">
        <f>_xll.qlInterestRateIndexValueDate(IborIndex,X2574,Trigger)</f>
        <v>57217</v>
      </c>
      <c r="Z2574" s="199">
        <v>2.4503652095482147E-2</v>
      </c>
      <c r="AA2574" s="201">
        <v>2.4487470228100605E-2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57222</v>
      </c>
      <c r="Y2575" s="198">
        <f>_xll.qlInterestRateIndexValueDate(IborIndex,X2575,Trigger)</f>
        <v>57224</v>
      </c>
      <c r="Z2575" s="199">
        <v>2.4497487238802809E-2</v>
      </c>
      <c r="AA2575" s="201">
        <v>2.4482179413753968E-2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57229</v>
      </c>
      <c r="Y2576" s="198">
        <f>_xll.qlInterestRateIndexValueDate(IborIndex,X2576,Trigger)</f>
        <v>57231</v>
      </c>
      <c r="Z2576" s="199">
        <v>2.4491730324883443E-2</v>
      </c>
      <c r="AA2576" s="201">
        <v>2.4476019376713509E-2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57236</v>
      </c>
      <c r="Y2577" s="198">
        <f>_xll.qlInterestRateIndexValueDate(IborIndex,X2577,Trigger)</f>
        <v>57238</v>
      </c>
      <c r="Z2577" s="199">
        <v>2.4485198259309438E-2</v>
      </c>
      <c r="AA2577" s="201">
        <v>2.4469872886756505E-2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57243</v>
      </c>
      <c r="Y2578" s="198">
        <f>_xll.qlInterestRateIndexValueDate(IborIndex,X2578,Trigger)</f>
        <v>57245</v>
      </c>
      <c r="Z2578" s="199">
        <v>2.4479074136451576E-2</v>
      </c>
      <c r="AA2578" s="201">
        <v>2.4463739943962892E-2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57250</v>
      </c>
      <c r="Y2579" s="198">
        <f>_xll.qlInterestRateIndexValueDate(IborIndex,X2579,Trigger)</f>
        <v>57252</v>
      </c>
      <c r="Z2579" s="199">
        <v>2.4473359617910306E-2</v>
      </c>
      <c r="AA2579" s="201">
        <v>2.445762054833267E-2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57257</v>
      </c>
      <c r="Y2580" s="198">
        <f>_xll.qlInterestRateIndexValueDate(IborIndex,X2580,Trigger)</f>
        <v>57259</v>
      </c>
      <c r="Z2580" s="199">
        <v>2.4466866624415506E-2</v>
      </c>
      <c r="AA2580" s="201">
        <v>2.4451514699865839E-2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57264</v>
      </c>
      <c r="Y2581" s="198">
        <f>_xll.qlInterestRateIndexValueDate(IborIndex,X2581,Trigger)</f>
        <v>57266</v>
      </c>
      <c r="Z2581" s="199">
        <v>2.4460783235193462E-2</v>
      </c>
      <c r="AA2581" s="201">
        <v>2.44454223985624E-2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57271</v>
      </c>
      <c r="Y2582" s="198">
        <f>_xll.qlInterestRateIndexValueDate(IborIndex,X2582,Trigger)</f>
        <v>57273</v>
      </c>
      <c r="Z2582" s="199">
        <v>2.4454713423804467E-2</v>
      </c>
      <c r="AA2582" s="201">
        <v>2.4439343644262479E-2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57278</v>
      </c>
      <c r="Y2583" s="198">
        <f>_xll.qlInterestRateIndexValueDate(IborIndex,X2583,Trigger)</f>
        <v>57280</v>
      </c>
      <c r="Z2583" s="199">
        <v>2.4448657190230476E-2</v>
      </c>
      <c r="AA2583" s="201">
        <v>2.4433278437285821E-2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57285</v>
      </c>
      <c r="Y2584" s="198">
        <f>_xll.qlInterestRateIndexValueDate(IborIndex,X2584,Trigger)</f>
        <v>57287</v>
      </c>
      <c r="Z2584" s="199">
        <v>2.444261453444312E-2</v>
      </c>
      <c r="AA2584" s="201">
        <v>2.4427226777392619E-2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57292</v>
      </c>
      <c r="Y2585" s="198">
        <f>_xll.qlInterestRateIndexValueDate(IborIndex,X2585,Trigger)</f>
        <v>57297</v>
      </c>
      <c r="Z2585" s="199">
        <v>2.4433606175940703E-2</v>
      </c>
      <c r="AA2585" s="201">
        <v>2.442032718297682E-2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57299</v>
      </c>
      <c r="Y2586" s="198">
        <f>_xll.qlInterestRateIndexValueDate(IborIndex,X2586,Trigger)</f>
        <v>57301</v>
      </c>
      <c r="Z2586" s="199">
        <v>2.4430569956169015E-2</v>
      </c>
      <c r="AA2586" s="201">
        <v>2.4415164099016451E-2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57306</v>
      </c>
      <c r="Y2587" s="198">
        <f>_xll.qlInterestRateIndexValueDate(IborIndex,X2587,Trigger)</f>
        <v>57308</v>
      </c>
      <c r="Z2587" s="199">
        <v>2.4425369110235549E-2</v>
      </c>
      <c r="AA2587" s="201">
        <v>2.4409153080613422E-2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57313</v>
      </c>
      <c r="Y2588" s="198">
        <f>_xll.qlInterestRateIndexValueDate(IborIndex,X2588,Trigger)</f>
        <v>57315</v>
      </c>
      <c r="Z2588" s="199">
        <v>2.4418980755274988E-2</v>
      </c>
      <c r="AA2588" s="201">
        <v>2.4403155609293847E-2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57320</v>
      </c>
      <c r="Y2589" s="198">
        <f>_xll.qlInterestRateIndexValueDate(IborIndex,X2589,Trigger)</f>
        <v>57322</v>
      </c>
      <c r="Z2589" s="199">
        <v>2.4412604921668992E-2</v>
      </c>
      <c r="AA2589" s="201">
        <v>2.4397171685057728E-2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57327</v>
      </c>
      <c r="Y2590" s="198">
        <f>_xll.qlInterestRateIndexValueDate(IborIndex,X2590,Trigger)</f>
        <v>57329</v>
      </c>
      <c r="Z2590" s="199">
        <v>2.4407045929882021E-2</v>
      </c>
      <c r="AA2590" s="201">
        <v>2.4391201308144872E-2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57334</v>
      </c>
      <c r="Y2591" s="198">
        <f>_xll.qlInterestRateIndexValueDate(IborIndex,X2591,Trigger)</f>
        <v>57336</v>
      </c>
      <c r="Z2591" s="199">
        <v>2.4400696120369068E-2</v>
      </c>
      <c r="AA2591" s="201">
        <v>2.4383545015105312E-2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57341</v>
      </c>
      <c r="Y2592" s="198">
        <f>_xll.qlInterestRateIndexValueDate(IborIndex,X2592,Trigger)</f>
        <v>57343</v>
      </c>
      <c r="Z2592" s="199">
        <v>2.4395568824544321E-2</v>
      </c>
      <c r="AA2592" s="201">
        <v>2.4378453261046928E-2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57348</v>
      </c>
      <c r="Y2593" s="198">
        <f>_xll.qlInterestRateIndexValueDate(IborIndex,X2593,Trigger)</f>
        <v>57350</v>
      </c>
      <c r="Z2593" s="199">
        <v>2.4388841629565887E-2</v>
      </c>
      <c r="AA2593" s="201">
        <v>2.437337145998697E-2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57355</v>
      </c>
      <c r="Y2594" s="198">
        <f>_xll.qlInterestRateIndexValueDate(IborIndex,X2594,Trigger)</f>
        <v>57357</v>
      </c>
      <c r="Z2594" s="199">
        <v>2.4382934750549003E-2</v>
      </c>
      <c r="AA2594" s="201">
        <v>2.4367455271567806E-2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57362</v>
      </c>
      <c r="Y2595" s="198">
        <f>_xll.qlInterestRateIndexValueDate(IborIndex,X2595,Trigger)</f>
        <v>57364</v>
      </c>
      <c r="Z2595" s="199">
        <v>2.4377446492605814E-2</v>
      </c>
      <c r="AA2595" s="201">
        <v>2.4361552630391969E-2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57369</v>
      </c>
      <c r="Y2596" s="198">
        <f>_xll.qlInterestRateIndexValueDate(IborIndex,X2596,Trigger)</f>
        <v>57371</v>
      </c>
      <c r="Z2596" s="199">
        <v>2.4371161725178933E-2</v>
      </c>
      <c r="AA2596" s="201">
        <v>2.4355663536139716E-2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57376</v>
      </c>
      <c r="Y2597" s="198">
        <f>_xll.qlInterestRateIndexValueDate(IborIndex,X2597,Trigger)</f>
        <v>57378</v>
      </c>
      <c r="Z2597" s="199">
        <v>2.4364077449945398E-2</v>
      </c>
      <c r="AA2597" s="201">
        <v>2.4349787989210725E-2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57383</v>
      </c>
      <c r="Y2598" s="198">
        <f>_xll.qlInterestRateIndexValueDate(IborIndex,X2598,Trigger)</f>
        <v>57385</v>
      </c>
      <c r="Z2598" s="199">
        <v>2.4358223159056194E-2</v>
      </c>
      <c r="AA2598" s="201">
        <v>2.4343925989285253E-2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57390</v>
      </c>
      <c r="Y2599" s="198">
        <f>_xll.qlInterestRateIndexValueDate(IborIndex,X2599,Trigger)</f>
        <v>57392</v>
      </c>
      <c r="Z2599" s="199">
        <v>2.4352382442625688E-2</v>
      </c>
      <c r="AA2599" s="201">
        <v>2.4338077536603109E-2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57397</v>
      </c>
      <c r="Y2600" s="198">
        <f>_xll.qlInterestRateIndexValueDate(IborIndex,X2600,Trigger)</f>
        <v>57399</v>
      </c>
      <c r="Z2600" s="199">
        <v>2.434655530061677E-2</v>
      </c>
      <c r="AA2600" s="201">
        <v>2.4332242630924483E-2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57404</v>
      </c>
      <c r="Y2601" s="198">
        <f>_xll.qlInterestRateIndexValueDate(IborIndex,X2601,Trigger)</f>
        <v>57406</v>
      </c>
      <c r="Z2601" s="199">
        <v>2.4341966768012292E-2</v>
      </c>
      <c r="AA2601" s="201">
        <v>2.4326421272569121E-2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57411</v>
      </c>
      <c r="Y2602" s="198">
        <f>_xll.qlInterestRateIndexValueDate(IborIndex,X2602,Trigger)</f>
        <v>57413</v>
      </c>
      <c r="Z2602" s="199">
        <v>2.4336168508921369E-2</v>
      </c>
      <c r="AA2602" s="201">
        <v>2.4320613461297214E-2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57418</v>
      </c>
      <c r="Y2603" s="198">
        <f>_xll.qlInterestRateIndexValueDate(IborIndex,X2603,Trigger)</f>
        <v>57420</v>
      </c>
      <c r="Z2603" s="199">
        <v>2.4330383827219977E-2</v>
      </c>
      <c r="AA2603" s="201">
        <v>2.4314819197028825E-2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57425</v>
      </c>
      <c r="Y2604" s="198">
        <f>_xll.qlInterestRateIndexValueDate(IborIndex,X2604,Trigger)</f>
        <v>57427</v>
      </c>
      <c r="Z2604" s="199">
        <v>2.4325022952676745E-2</v>
      </c>
      <c r="AA2604" s="201">
        <v>2.4309038479923828E-2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57432</v>
      </c>
      <c r="Y2605" s="198">
        <f>_xll.qlInterestRateIndexValueDate(IborIndex,X2605,Trigger)</f>
        <v>57434</v>
      </c>
      <c r="Z2605" s="199">
        <v>2.4318855195941968E-2</v>
      </c>
      <c r="AA2605" s="201">
        <v>2.430327131022203E-2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57439</v>
      </c>
      <c r="Y2606" s="198">
        <f>_xll.qlInterestRateIndexValueDate(IborIndex,X2606,Trigger)</f>
        <v>57441</v>
      </c>
      <c r="Z2606" s="199">
        <v>2.4313522639687335E-2</v>
      </c>
      <c r="AA2606" s="201">
        <v>2.4297517687443815E-2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57446</v>
      </c>
      <c r="Y2607" s="198">
        <f>_xll.qlInterestRateIndexValueDate(IborIndex,X2607,Trigger)</f>
        <v>57448</v>
      </c>
      <c r="Z2607" s="199">
        <v>2.430738087401323E-2</v>
      </c>
      <c r="AA2607" s="201">
        <v>2.4291777611669119E-2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57453</v>
      </c>
      <c r="Y2608" s="198">
        <f>_xll.qlInterestRateIndexValueDate(IborIndex,X2608,Trigger)</f>
        <v>57459</v>
      </c>
      <c r="Z2608" s="199">
        <v>2.429799061396043E-2</v>
      </c>
      <c r="AA2608" s="201">
        <v>2.4284417420572524E-2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57460</v>
      </c>
      <c r="Y2609" s="198">
        <f>_xll.qlInterestRateIndexValueDate(IborIndex,X2609,Trigger)</f>
        <v>57462</v>
      </c>
      <c r="Z2609" s="199">
        <v>2.4296374007585497E-2</v>
      </c>
      <c r="AA2609" s="201">
        <v>2.428033810200958E-2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57467</v>
      </c>
      <c r="Y2610" s="198">
        <f>_xll.qlInterestRateIndexValueDate(IborIndex,X2610,Trigger)</f>
        <v>57469</v>
      </c>
      <c r="Z2610" s="199">
        <v>2.4290271220804169E-2</v>
      </c>
      <c r="AA2610" s="201">
        <v>2.4273825568776886E-2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57474</v>
      </c>
      <c r="Y2611" s="198">
        <f>_xll.qlInterestRateIndexValueDate(IborIndex,X2611,Trigger)</f>
        <v>57476</v>
      </c>
      <c r="Z2611" s="199">
        <v>2.4284595157571837E-2</v>
      </c>
      <c r="AA2611" s="201">
        <v>2.4268952780603925E-2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57481</v>
      </c>
      <c r="Y2612" s="198">
        <f>_xll.qlInterestRateIndexValueDate(IborIndex,X2612,Trigger)</f>
        <v>57483</v>
      </c>
      <c r="Z2612" s="199">
        <v>2.4278932671556272E-2</v>
      </c>
      <c r="AA2612" s="201">
        <v>2.426328044072612E-2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57488</v>
      </c>
      <c r="Y2613" s="198">
        <f>_xll.qlInterestRateIndexValueDate(IborIndex,X2613,Trigger)</f>
        <v>57490</v>
      </c>
      <c r="Z2613" s="199">
        <v>2.427328376273943E-2</v>
      </c>
      <c r="AA2613" s="201">
        <v>2.4256814354819412E-2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57495</v>
      </c>
      <c r="Y2614" s="198">
        <f>_xll.qlInterestRateIndexValueDate(IborIndex,X2614,Trigger)</f>
        <v>57497</v>
      </c>
      <c r="Z2614" s="199">
        <v>2.4267648431100682E-2</v>
      </c>
      <c r="AA2614" s="201">
        <v>2.425197640214094E-2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57502</v>
      </c>
      <c r="Y2615" s="198">
        <f>_xll.qlInterestRateIndexValueDate(IborIndex,X2615,Trigger)</f>
        <v>57504</v>
      </c>
      <c r="Z2615" s="199">
        <v>2.4262026676619391E-2</v>
      </c>
      <c r="AA2615" s="201">
        <v>2.42463447035135E-2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57509</v>
      </c>
      <c r="Y2616" s="198">
        <f>_xll.qlInterestRateIndexValueDate(IborIndex,X2616,Trigger)</f>
        <v>57511</v>
      </c>
      <c r="Z2616" s="199">
        <v>2.4256418499277517E-2</v>
      </c>
      <c r="AA2616" s="201">
        <v>2.4240726552049452E-2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57516</v>
      </c>
      <c r="Y2617" s="198">
        <f>_xll.qlInterestRateIndexValueDate(IborIndex,X2617,Trigger)</f>
        <v>57518</v>
      </c>
      <c r="Z2617" s="199">
        <v>2.4250823899054426E-2</v>
      </c>
      <c r="AA2617" s="201">
        <v>2.4235121947908667E-2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57523</v>
      </c>
      <c r="Y2618" s="198">
        <f>_xll.qlInterestRateIndexValueDate(IborIndex,X2618,Trigger)</f>
        <v>57525</v>
      </c>
      <c r="Z2618" s="199">
        <v>2.4245661335191571E-2</v>
      </c>
      <c r="AA2618" s="201">
        <v>2.4229530890691464E-2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57530</v>
      </c>
      <c r="Y2619" s="198">
        <f>_xll.qlInterestRateIndexValueDate(IborIndex,X2619,Trigger)</f>
        <v>57532</v>
      </c>
      <c r="Z2619" s="199">
        <v>2.4239675429889817E-2</v>
      </c>
      <c r="AA2619" s="201">
        <v>2.4223953380557717E-2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57537</v>
      </c>
      <c r="Y2620" s="198">
        <f>_xll.qlInterestRateIndexValueDate(IborIndex,X2620,Trigger)</f>
        <v>57539</v>
      </c>
      <c r="Z2620" s="199">
        <v>2.4234121560907044E-2</v>
      </c>
      <c r="AA2620" s="201">
        <v>2.4218389417747233E-2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57544</v>
      </c>
      <c r="Y2621" s="198">
        <f>_xll.qlInterestRateIndexValueDate(IborIndex,X2621,Trigger)</f>
        <v>57546</v>
      </c>
      <c r="Z2621" s="199">
        <v>2.4228581268970852E-2</v>
      </c>
      <c r="AA2621" s="201">
        <v>2.4212839001860331E-2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57551</v>
      </c>
      <c r="Y2622" s="198">
        <f>_xll.qlInterestRateIndexValueDate(IborIndex,X2622,Trigger)</f>
        <v>57553</v>
      </c>
      <c r="Z2622" s="199">
        <v>2.4223475400599603E-2</v>
      </c>
      <c r="AA2622" s="201">
        <v>2.4207302133216757E-2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57558</v>
      </c>
      <c r="Y2623" s="198">
        <f>_xll.qlInterestRateIndexValueDate(IborIndex,X2623,Trigger)</f>
        <v>57560</v>
      </c>
      <c r="Z2623" s="199">
        <v>2.4217962861996511E-2</v>
      </c>
      <c r="AA2623" s="201">
        <v>2.4201778811656638E-2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57565</v>
      </c>
      <c r="Y2624" s="198">
        <f>_xll.qlInterestRateIndexValueDate(IborIndex,X2624,Trigger)</f>
        <v>57567</v>
      </c>
      <c r="Z2624" s="199">
        <v>2.4212041855199394E-2</v>
      </c>
      <c r="AA2624" s="201">
        <v>2.419626903725991E-2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57572</v>
      </c>
      <c r="Y2625" s="198">
        <f>_xll.qlInterestRateIndexValueDate(IborIndex,X2625,Trigger)</f>
        <v>57574</v>
      </c>
      <c r="Z2625" s="199">
        <v>2.4206555871232938E-2</v>
      </c>
      <c r="AA2625" s="201">
        <v>2.4190772809866701E-2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57579</v>
      </c>
      <c r="Y2626" s="198">
        <f>_xll.qlInterestRateIndexValueDate(IborIndex,X2626,Trigger)</f>
        <v>57581</v>
      </c>
      <c r="Z2626" s="199">
        <v>2.4201083464209919E-2</v>
      </c>
      <c r="AA2626" s="201">
        <v>2.4184507995519411E-2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57586</v>
      </c>
      <c r="Y2627" s="198">
        <f>_xll.qlInterestRateIndexValueDate(IborIndex,X2627,Trigger)</f>
        <v>57588</v>
      </c>
      <c r="Z2627" s="199">
        <v>2.4194353534060995E-2</v>
      </c>
      <c r="AA2627" s="201">
        <v>2.4179820996570456E-2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57593</v>
      </c>
      <c r="Y2628" s="198">
        <f>_xll.qlInterestRateIndexValueDate(IborIndex,X2628,Trigger)</f>
        <v>57595</v>
      </c>
      <c r="Z2628" s="199">
        <v>2.4190603838269986E-2</v>
      </c>
      <c r="AA2628" s="201">
        <v>2.4174365410747356E-2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57600</v>
      </c>
      <c r="Y2629" s="198">
        <f>_xll.qlInterestRateIndexValueDate(IborIndex,X2629,Trigger)</f>
        <v>57602</v>
      </c>
      <c r="Z2629" s="199">
        <v>2.4184747704618433E-2</v>
      </c>
      <c r="AA2629" s="201">
        <v>2.4168923371847839E-2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57607</v>
      </c>
      <c r="Y2630" s="198">
        <f>_xll.qlInterestRateIndexValueDate(IborIndex,X2630,Trigger)</f>
        <v>57609</v>
      </c>
      <c r="Z2630" s="199">
        <v>2.4179329605183521E-2</v>
      </c>
      <c r="AA2630" s="201">
        <v>2.4163494880191649E-2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57614</v>
      </c>
      <c r="Y2631" s="198">
        <f>_xll.qlInterestRateIndexValueDate(IborIndex,X2631,Trigger)</f>
        <v>57616</v>
      </c>
      <c r="Z2631" s="199">
        <v>2.4174777711903E-2</v>
      </c>
      <c r="AA2631" s="201">
        <v>2.4158079935618915E-2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57621</v>
      </c>
      <c r="Y2632" s="198">
        <f>_xll.qlInterestRateIndexValueDate(IborIndex,X2632,Trigger)</f>
        <v>57623</v>
      </c>
      <c r="Z2632" s="199">
        <v>2.4168534136844902E-2</v>
      </c>
      <c r="AA2632" s="201">
        <v>2.4152678538129635E-2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57628</v>
      </c>
      <c r="Y2633" s="198">
        <f>_xll.qlInterestRateIndexValueDate(IborIndex,X2633,Trigger)</f>
        <v>57630</v>
      </c>
      <c r="Z2633" s="199">
        <v>2.4163584261528981E-2</v>
      </c>
      <c r="AA2633" s="201">
        <v>2.4147290687803746E-2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57635</v>
      </c>
      <c r="Y2634" s="198">
        <f>_xll.qlInterestRateIndexValueDate(IborIndex,X2634,Trigger)</f>
        <v>57637</v>
      </c>
      <c r="Z2634" s="199">
        <v>2.4157792975748854E-2</v>
      </c>
      <c r="AA2634" s="201">
        <v>2.4141916384641249E-2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57642</v>
      </c>
      <c r="Y2635" s="198">
        <f>_xll.qlInterestRateIndexValueDate(IborIndex,X2635,Trigger)</f>
        <v>57644</v>
      </c>
      <c r="Z2635" s="199">
        <v>2.4152442760376185E-2</v>
      </c>
      <c r="AA2635" s="201">
        <v>2.4136555628562206E-2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57649</v>
      </c>
      <c r="Y2636" s="198">
        <f>_xll.qlInterestRateIndexValueDate(IborIndex,X2636,Trigger)</f>
        <v>57651</v>
      </c>
      <c r="Z2636" s="199">
        <v>2.414710612175356E-2</v>
      </c>
      <c r="AA2636" s="201">
        <v>2.4131208419566619E-2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57656</v>
      </c>
      <c r="Y2637" s="198">
        <f>_xll.qlInterestRateIndexValueDate(IborIndex,X2637,Trigger)</f>
        <v>57658</v>
      </c>
      <c r="Z2637" s="199">
        <v>2.4141783059868093E-2</v>
      </c>
      <c r="AA2637" s="201">
        <v>2.4125874757654486E-2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57663</v>
      </c>
      <c r="Y2638" s="198">
        <f>_xll.qlInterestRateIndexValueDate(IborIndex,X2638,Trigger)</f>
        <v>57665</v>
      </c>
      <c r="Z2638" s="199">
        <v>2.4136473574706885E-2</v>
      </c>
      <c r="AA2638" s="201">
        <v>2.4120554642905745E-2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57670</v>
      </c>
      <c r="Y2639" s="198">
        <f>_xll.qlInterestRateIndexValueDate(IborIndex,X2639,Trigger)</f>
        <v>57672</v>
      </c>
      <c r="Z2639" s="199">
        <v>2.4131177666241573E-2</v>
      </c>
      <c r="AA2639" s="201">
        <v>2.4115248075240459E-2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57677</v>
      </c>
      <c r="Y2640" s="198">
        <f>_xll.qlInterestRateIndexValueDate(IborIndex,X2640,Trigger)</f>
        <v>57679</v>
      </c>
      <c r="Z2640" s="199">
        <v>2.4125895334459264E-2</v>
      </c>
      <c r="AA2640" s="201">
        <v>2.4109955054658627E-2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57684</v>
      </c>
      <c r="Y2641" s="198">
        <f>_xll.qlInterestRateIndexValueDate(IborIndex,X2641,Trigger)</f>
        <v>57686</v>
      </c>
      <c r="Z2641" s="199">
        <v>2.4120626579334174E-2</v>
      </c>
      <c r="AA2641" s="201">
        <v>2.4104675581320123E-2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57691</v>
      </c>
      <c r="Y2642" s="198">
        <f>_xll.qlInterestRateIndexValueDate(IborIndex,X2642,Trigger)</f>
        <v>57693</v>
      </c>
      <c r="Z2642" s="199">
        <v>2.4115371400855984E-2</v>
      </c>
      <c r="AA2642" s="201">
        <v>2.4099409654985138E-2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57698</v>
      </c>
      <c r="Y2643" s="198">
        <f>_xll.qlInterestRateIndexValueDate(IborIndex,X2643,Trigger)</f>
        <v>57700</v>
      </c>
      <c r="Z2643" s="199">
        <v>2.4110563439286303E-2</v>
      </c>
      <c r="AA2643" s="201">
        <v>2.409265908424274E-2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57706</v>
      </c>
      <c r="Y2644" s="198">
        <f>_xll.qlInterestRateIndexValueDate(IborIndex,X2644,Trigger)</f>
        <v>57710</v>
      </c>
      <c r="Z2644" s="199">
        <v>2.4102665347611598E-2</v>
      </c>
      <c r="AA2644" s="201">
        <v>2.4087424122898327E-2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57713</v>
      </c>
      <c r="Y2645" s="198">
        <f>_xll.qlInterestRateIndexValueDate(IborIndex,X2645,Trigger)</f>
        <v>57717</v>
      </c>
      <c r="Z2645" s="199">
        <v>2.4097456717490837E-2</v>
      </c>
      <c r="AA2645" s="201">
        <v>2.4082947795349696E-2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57720</v>
      </c>
      <c r="Y2646" s="198">
        <f>_xll.qlInterestRateIndexValueDate(IborIndex,X2646,Trigger)</f>
        <v>57724</v>
      </c>
      <c r="Z2646" s="199">
        <v>2.4092261663931885E-2</v>
      </c>
      <c r="AA2646" s="201">
        <v>2.4077737992760362E-2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57727</v>
      </c>
      <c r="Y2647" s="198">
        <f>_xll.qlInterestRateIndexValueDate(IborIndex,X2647,Trigger)</f>
        <v>57732</v>
      </c>
      <c r="Z2647" s="199">
        <v>2.4086341084199603E-2</v>
      </c>
      <c r="AA2647" s="201">
        <v>2.4071800521046072E-2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57734</v>
      </c>
      <c r="Y2648" s="198">
        <f>_xll.qlInterestRateIndexValueDate(IborIndex,X2648,Trigger)</f>
        <v>57738</v>
      </c>
      <c r="Z2648" s="199">
        <v>2.4081912286424638E-2</v>
      </c>
      <c r="AA2648" s="201">
        <v>2.406735902899193E-2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57741</v>
      </c>
      <c r="Y2649" s="198">
        <f>_xll.qlInterestRateIndexValueDate(IborIndex,X2649,Trigger)</f>
        <v>57745</v>
      </c>
      <c r="Z2649" s="199">
        <v>2.4075445506399618E-2</v>
      </c>
      <c r="AA2649" s="201">
        <v>2.4062189867812833E-2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57748</v>
      </c>
      <c r="Y2650" s="198">
        <f>_xll.qlInterestRateIndexValueDate(IborIndex,X2650,Trigger)</f>
        <v>57752</v>
      </c>
      <c r="Z2650" s="199">
        <v>2.407030288045453E-2</v>
      </c>
      <c r="AA2650" s="201">
        <v>2.4057034253797127E-2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57755</v>
      </c>
      <c r="Y2651" s="198">
        <f>_xll.qlInterestRateIndexValueDate(IborIndex,X2651,Trigger)</f>
        <v>57760</v>
      </c>
      <c r="Z2651" s="199">
        <v>2.4064442214313569E-2</v>
      </c>
      <c r="AA2651" s="201">
        <v>2.4051158711504428E-2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57762</v>
      </c>
      <c r="Y2652" s="198">
        <f>_xll.qlInterestRateIndexValueDate(IborIndex,X2652,Trigger)</f>
        <v>57766</v>
      </c>
      <c r="Z2652" s="199">
        <v>2.4060058349156969E-2</v>
      </c>
      <c r="AA2652" s="201">
        <v>2.4046763666776272E-2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57769</v>
      </c>
      <c r="Y2653" s="198">
        <f>_xll.qlInterestRateIndexValueDate(IborIndex,X2653,Trigger)</f>
        <v>57773</v>
      </c>
      <c r="Z2653" s="199">
        <v>2.4056276431254343E-2</v>
      </c>
      <c r="AA2653" s="201">
        <v>2.4041648694010931E-2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57776</v>
      </c>
      <c r="Y2654" s="198">
        <f>_xll.qlInterestRateIndexValueDate(IborIndex,X2654,Trigger)</f>
        <v>57780</v>
      </c>
      <c r="Z2654" s="199">
        <v>2.4051189989547809E-2</v>
      </c>
      <c r="AA2654" s="201">
        <v>2.4036547268329045E-2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57783</v>
      </c>
      <c r="Y2655" s="198">
        <f>_xll.qlInterestRateIndexValueDate(IborIndex,X2655,Trigger)</f>
        <v>57787</v>
      </c>
      <c r="Z2655" s="199">
        <v>2.4046117124248371E-2</v>
      </c>
      <c r="AA2655" s="201">
        <v>2.4031459389650678E-2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57790</v>
      </c>
      <c r="Y2656" s="198">
        <f>_xll.qlInterestRateIndexValueDate(IborIndex,X2656,Trigger)</f>
        <v>57794</v>
      </c>
      <c r="Z2656" s="199">
        <v>2.4041057835319925E-2</v>
      </c>
      <c r="AA2656" s="201">
        <v>2.4026385058135702E-2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57797</v>
      </c>
      <c r="Y2657" s="198">
        <f>_xll.qlInterestRateIndexValueDate(IborIndex,X2657,Trigger)</f>
        <v>57801</v>
      </c>
      <c r="Z2657" s="199">
        <v>2.4035569520755473E-2</v>
      </c>
      <c r="AA2657" s="201">
        <v>2.4021324273784117E-2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57804</v>
      </c>
      <c r="Y2658" s="198">
        <f>_xll.qlInterestRateIndexValueDate(IborIndex,X2658,Trigger)</f>
        <v>57808</v>
      </c>
      <c r="Z2658" s="199">
        <v>2.4030536750464293E-2</v>
      </c>
      <c r="AA2658" s="201">
        <v>2.4016277036515987E-2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57811</v>
      </c>
      <c r="Y2659" s="198">
        <f>_xll.qlInterestRateIndexValueDate(IborIndex,X2659,Trigger)</f>
        <v>57817</v>
      </c>
      <c r="Z2659" s="199">
        <v>2.4024085993263888E-2</v>
      </c>
      <c r="AA2659" s="201">
        <v>2.4010691537705853E-2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57818</v>
      </c>
      <c r="Y2660" s="198">
        <f>_xll.qlInterestRateIndexValueDate(IborIndex,X2660,Trigger)</f>
        <v>57822</v>
      </c>
      <c r="Z2660" s="199">
        <v>2.4020511935933797E-2</v>
      </c>
      <c r="AA2660" s="201">
        <v>2.4006223203310029E-2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57825</v>
      </c>
      <c r="Y2661" s="198">
        <f>_xll.qlInterestRateIndexValueDate(IborIndex,X2661,Trigger)</f>
        <v>57829</v>
      </c>
      <c r="Z2661" s="199">
        <v>2.4015519891662507E-2</v>
      </c>
      <c r="AA2661" s="201">
        <v>2.40012166073722E-2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57832</v>
      </c>
      <c r="Y2662" s="198">
        <f>_xll.qlInterestRateIndexValueDate(IborIndex,X2662,Trigger)</f>
        <v>57837</v>
      </c>
      <c r="Z2662" s="199">
        <v>2.4010277194414134E-2</v>
      </c>
      <c r="AA2662" s="201">
        <v>2.3995511371728284E-2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57839</v>
      </c>
      <c r="Y2663" s="198">
        <f>_xll.qlInterestRateIndexValueDate(IborIndex,X2663,Trigger)</f>
        <v>57843</v>
      </c>
      <c r="Z2663" s="199">
        <v>2.4006022950128249E-2</v>
      </c>
      <c r="AA2663" s="201">
        <v>2.3991244056746908E-2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57846</v>
      </c>
      <c r="Y2664" s="198">
        <f>_xll.qlInterestRateIndexValueDate(IborIndex,X2664,Trigger)</f>
        <v>57850</v>
      </c>
      <c r="Z2664" s="199">
        <v>2.4001072271639157E-2</v>
      </c>
      <c r="AA2664" s="201">
        <v>2.3986278102059444E-2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57853</v>
      </c>
      <c r="Y2665" s="198">
        <f>_xll.qlInterestRateIndexValueDate(IborIndex,X2665,Trigger)</f>
        <v>57858</v>
      </c>
      <c r="Z2665" s="199">
        <v>2.3995430977319734E-2</v>
      </c>
      <c r="AA2665" s="201">
        <v>2.3980619313581641E-2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57860</v>
      </c>
      <c r="Y2666" s="198">
        <f>_xll.qlInterestRateIndexValueDate(IborIndex,X2666,Trigger)</f>
        <v>57864</v>
      </c>
      <c r="Z2666" s="199">
        <v>2.3990763299544859E-2</v>
      </c>
      <c r="AA2666" s="201">
        <v>2.3976386834014818E-2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57867</v>
      </c>
      <c r="Y2667" s="198">
        <f>_xll.qlInterestRateIndexValueDate(IborIndex,X2667,Trigger)</f>
        <v>57871</v>
      </c>
      <c r="Z2667" s="199">
        <v>2.3985852706852384E-2</v>
      </c>
      <c r="AA2667" s="201">
        <v>2.3971461520657655E-2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57874</v>
      </c>
      <c r="Y2668" s="198">
        <f>_xll.qlInterestRateIndexValueDate(IborIndex,X2668,Trigger)</f>
        <v>57878</v>
      </c>
      <c r="Z2668" s="199">
        <v>2.3980955689367534E-2</v>
      </c>
      <c r="AA2668" s="201">
        <v>2.3966549754383948E-2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57881</v>
      </c>
      <c r="Y2669" s="198">
        <f>_xll.qlInterestRateIndexValueDate(IborIndex,X2669,Trigger)</f>
        <v>57885</v>
      </c>
      <c r="Z2669" s="199">
        <v>2.3976072247068991E-2</v>
      </c>
      <c r="AA2669" s="201">
        <v>2.3961651535273631E-2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57888</v>
      </c>
      <c r="Y2670" s="198">
        <f>_xll.qlInterestRateIndexValueDate(IborIndex,X2670,Trigger)</f>
        <v>57892</v>
      </c>
      <c r="Z2670" s="199">
        <v>2.3971653300854542E-2</v>
      </c>
      <c r="AA2670" s="201">
        <v>2.3956766863086898E-2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57895</v>
      </c>
      <c r="Y2671" s="198">
        <f>_xll.qlInterestRateIndexValueDate(IborIndex,X2671,Trigger)</f>
        <v>57899</v>
      </c>
      <c r="Z2671" s="199">
        <v>2.3966797655585449E-2</v>
      </c>
      <c r="AA2671" s="201">
        <v>2.3951895738223428E-2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57902</v>
      </c>
      <c r="Y2672" s="198">
        <f>_xll.qlInterestRateIndexValueDate(IborIndex,X2672,Trigger)</f>
        <v>57906</v>
      </c>
      <c r="Z2672" s="199">
        <v>2.3961955586419184E-2</v>
      </c>
      <c r="AA2672" s="201">
        <v>2.3947038160203604E-2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57909</v>
      </c>
      <c r="Y2673" s="198">
        <f>_xll.qlInterestRateIndexValueDate(IborIndex,X2673,Trigger)</f>
        <v>57913</v>
      </c>
      <c r="Z2673" s="199">
        <v>2.3957127093350582E-2</v>
      </c>
      <c r="AA2673" s="201">
        <v>2.394219412958698E-2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57916</v>
      </c>
      <c r="Y2674" s="198">
        <f>_xll.qlInterestRateIndexValueDate(IborIndex,X2674,Trigger)</f>
        <v>57920</v>
      </c>
      <c r="Z2674" s="199">
        <v>2.3952312176346122E-2</v>
      </c>
      <c r="AA2674" s="201">
        <v>2.3937363645814003E-2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57923</v>
      </c>
      <c r="Y2675" s="198">
        <f>_xll.qlInterestRateIndexValueDate(IborIndex,X2675,Trigger)</f>
        <v>57927</v>
      </c>
      <c r="Z2675" s="199">
        <v>2.3947510835398072E-2</v>
      </c>
      <c r="AA2675" s="201">
        <v>2.3932546709284352E-2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57930</v>
      </c>
      <c r="Y2676" s="198">
        <f>_xll.qlInterestRateIndexValueDate(IborIndex,X2676,Trigger)</f>
        <v>57934</v>
      </c>
      <c r="Z2676" s="199">
        <v>2.3942723070490959E-2</v>
      </c>
      <c r="AA2676" s="201">
        <v>2.3927743319758221E-2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57937</v>
      </c>
      <c r="Y2677" s="198">
        <f>_xll.qlInterestRateIndexValueDate(IborIndex,X2677,Trigger)</f>
        <v>57941</v>
      </c>
      <c r="Z2677" s="199">
        <v>2.3937948881604155E-2</v>
      </c>
      <c r="AA2677" s="201">
        <v>2.3922953477315545E-2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57944</v>
      </c>
      <c r="Y2678" s="198">
        <f>_xll.qlInterestRateIndexValueDate(IborIndex,X2678,Trigger)</f>
        <v>57949</v>
      </c>
      <c r="Z2678" s="199">
        <v>2.3932509289410701E-2</v>
      </c>
      <c r="AA2678" s="201">
        <v>2.3917495959917545E-2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57951</v>
      </c>
      <c r="Y2679" s="198">
        <f>_xll.qlInterestRateIndexValueDate(IborIndex,X2679,Trigger)</f>
        <v>57956</v>
      </c>
      <c r="Z2679" s="199">
        <v>2.3927307322381353E-2</v>
      </c>
      <c r="AA2679" s="201">
        <v>2.391273514705361E-2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57958</v>
      </c>
      <c r="Y2680" s="198">
        <f>_xll.qlInterestRateIndexValueDate(IborIndex,X2680,Trigger)</f>
        <v>57962</v>
      </c>
      <c r="Z2680" s="199">
        <v>2.3923250339527691E-2</v>
      </c>
      <c r="AA2680" s="201">
        <v>2.3908665232648119E-2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57965</v>
      </c>
      <c r="Y2681" s="198">
        <f>_xll.qlInterestRateIndexValueDate(IborIndex,X2681,Trigger)</f>
        <v>57969</v>
      </c>
      <c r="Z2681" s="199">
        <v>2.3918529798212518E-2</v>
      </c>
      <c r="AA2681" s="201">
        <v>2.3903929578619199E-2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57972</v>
      </c>
      <c r="Y2682" s="198">
        <f>_xll.qlInterestRateIndexValueDate(IborIndex,X2682,Trigger)</f>
        <v>57976</v>
      </c>
      <c r="Z2682" s="199">
        <v>2.3913822831878484E-2</v>
      </c>
      <c r="AA2682" s="201">
        <v>2.3899207471673733E-2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57979</v>
      </c>
      <c r="Y2683" s="198">
        <f>_xll.qlInterestRateIndexValueDate(IborIndex,X2683,Trigger)</f>
        <v>57983</v>
      </c>
      <c r="Z2683" s="199">
        <v>2.3909588843807287E-2</v>
      </c>
      <c r="AA2683" s="201">
        <v>2.3894498911811723E-2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57986</v>
      </c>
      <c r="Y2684" s="198">
        <f>_xll.qlInterestRateIndexValueDate(IborIndex,X2684,Trigger)</f>
        <v>57990</v>
      </c>
      <c r="Z2684" s="199">
        <v>2.3904909686603647E-2</v>
      </c>
      <c r="AA2684" s="201">
        <v>2.3889803898953232E-2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57993</v>
      </c>
      <c r="Y2685" s="198">
        <f>_xll.qlInterestRateIndexValueDate(IborIndex,X2685,Trigger)</f>
        <v>57998</v>
      </c>
      <c r="Z2685" s="199">
        <v>2.389957870191254E-2</v>
      </c>
      <c r="AA2685" s="201">
        <v>2.3884454758382745E-2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58000</v>
      </c>
      <c r="Y2686" s="198">
        <f>_xll.qlInterestRateIndexValueDate(IborIndex,X2686,Trigger)</f>
        <v>58004</v>
      </c>
      <c r="Z2686" s="199">
        <v>2.389559209985246E-2</v>
      </c>
      <c r="AA2686" s="201">
        <v>2.388045451480636E-2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58007</v>
      </c>
      <c r="Y2687" s="198">
        <f>_xll.qlInterestRateIndexValueDate(IborIndex,X2687,Trigger)</f>
        <v>58011</v>
      </c>
      <c r="Z2687" s="199">
        <v>2.3891415799848492E-2</v>
      </c>
      <c r="AA2687" s="201">
        <v>2.3875800143198234E-2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58014</v>
      </c>
      <c r="Y2688" s="198">
        <f>_xll.qlInterestRateIndexValueDate(IborIndex,X2688,Trigger)</f>
        <v>58018</v>
      </c>
      <c r="Z2688" s="199">
        <v>2.3885866107484333E-2</v>
      </c>
      <c r="AA2688" s="201">
        <v>2.3871159318673563E-2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58021</v>
      </c>
      <c r="Y2689" s="198">
        <f>_xll.qlInterestRateIndexValueDate(IborIndex,X2689,Trigger)</f>
        <v>58026</v>
      </c>
      <c r="Z2689" s="199">
        <v>2.3880596424850076E-2</v>
      </c>
      <c r="AA2689" s="201">
        <v>2.3865872107684538E-2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58028</v>
      </c>
      <c r="Y2690" s="198">
        <f>_xll.qlInterestRateIndexValueDate(IborIndex,X2690,Trigger)</f>
        <v>58032</v>
      </c>
      <c r="Z2690" s="199">
        <v>2.3876655798448887E-2</v>
      </c>
      <c r="AA2690" s="201">
        <v>2.3861918311274266E-2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58035</v>
      </c>
      <c r="Y2691" s="198">
        <f>_xll.qlInterestRateIndexValueDate(IborIndex,X2691,Trigger)</f>
        <v>58039</v>
      </c>
      <c r="Z2691" s="199">
        <v>2.3873000498237373E-2</v>
      </c>
      <c r="AA2691" s="201">
        <v>2.3857318128079896E-2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58042</v>
      </c>
      <c r="Y2692" s="198">
        <f>_xll.qlInterestRateIndexValueDate(IborIndex,X2692,Trigger)</f>
        <v>58046</v>
      </c>
      <c r="Z2692" s="199">
        <v>2.3867965159640809E-2</v>
      </c>
      <c r="AA2692" s="201">
        <v>2.3852731491889045E-2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58049</v>
      </c>
      <c r="Y2693" s="198">
        <f>_xll.qlInterestRateIndexValueDate(IborIndex,X2693,Trigger)</f>
        <v>58053</v>
      </c>
      <c r="Z2693" s="199">
        <v>2.386340818485877E-2</v>
      </c>
      <c r="AA2693" s="201">
        <v>2.3848158403021458E-2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58056</v>
      </c>
      <c r="Y2694" s="198">
        <f>_xll.qlInterestRateIndexValueDate(IborIndex,X2694,Trigger)</f>
        <v>58060</v>
      </c>
      <c r="Z2694" s="199">
        <v>2.3858864785823709E-2</v>
      </c>
      <c r="AA2694" s="201">
        <v>2.3843598861077453E-2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58063</v>
      </c>
      <c r="Y2695" s="198">
        <f>_xll.qlInterestRateIndexValueDate(IborIndex,X2695,Trigger)</f>
        <v>58067</v>
      </c>
      <c r="Z2695" s="199">
        <v>2.3854334962509844E-2</v>
      </c>
      <c r="AA2695" s="201">
        <v>2.3838687211643617E-2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58071</v>
      </c>
      <c r="Y2696" s="198">
        <f>_xll.qlInterestRateIndexValueDate(IborIndex,X2696,Trigger)</f>
        <v>58075</v>
      </c>
      <c r="Z2696" s="199">
        <v>2.384917464490436E-2</v>
      </c>
      <c r="AA2696" s="201">
        <v>2.3834159970368418E-2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58078</v>
      </c>
      <c r="Y2697" s="198">
        <f>_xll.qlInterestRateIndexValueDate(IborIndex,X2697,Trigger)</f>
        <v>58082</v>
      </c>
      <c r="Z2697" s="199">
        <v>2.3844673912389942E-2</v>
      </c>
      <c r="AA2697" s="201">
        <v>2.3829357066373902E-2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58085</v>
      </c>
      <c r="Y2698" s="198">
        <f>_xll.qlInterestRateIndexValueDate(IborIndex,X2698,Trigger)</f>
        <v>58089</v>
      </c>
      <c r="Z2698" s="199">
        <v>2.3840186755550299E-2</v>
      </c>
      <c r="AA2698" s="201">
        <v>2.3824853648175548E-2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58092</v>
      </c>
      <c r="Y2699" s="198">
        <f>_xll.qlInterestRateIndexValueDate(IborIndex,X2699,Trigger)</f>
        <v>58096</v>
      </c>
      <c r="Z2699" s="199">
        <v>2.3835713174372539E-2</v>
      </c>
      <c r="AA2699" s="201">
        <v>2.3820363776980713E-2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58099</v>
      </c>
      <c r="Y2700" s="198">
        <f>_xll.qlInterestRateIndexValueDate(IborIndex,X2700,Trigger)</f>
        <v>58103</v>
      </c>
      <c r="Z2700" s="199">
        <v>2.3831253168846354E-2</v>
      </c>
      <c r="AA2700" s="201">
        <v>2.3815887452869333E-2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58106</v>
      </c>
      <c r="Y2701" s="198">
        <f>_xll.qlInterestRateIndexValueDate(IborIndex,X2701,Trigger)</f>
        <v>58110</v>
      </c>
      <c r="Z2701" s="199">
        <v>2.3825392457272887E-2</v>
      </c>
      <c r="AA2701" s="201">
        <v>2.3811424675841408E-2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58113</v>
      </c>
      <c r="Y2702" s="198">
        <f>_xll.qlInterestRateIndexValueDate(IborIndex,X2702,Trigger)</f>
        <v>58117</v>
      </c>
      <c r="Z2702" s="199">
        <v>2.382095757364398E-2</v>
      </c>
      <c r="AA2702" s="201">
        <v>2.3806975445817002E-2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58120</v>
      </c>
      <c r="Y2703" s="198">
        <f>_xll.qlInterestRateIndexValueDate(IborIndex,X2703,Trigger)</f>
        <v>58124</v>
      </c>
      <c r="Z2703" s="199">
        <v>2.3816536262769424E-2</v>
      </c>
      <c r="AA2703" s="201">
        <v>2.3802539763035924E-2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58127</v>
      </c>
      <c r="Y2704" s="198">
        <f>_xll.qlInterestRateIndexValueDate(IborIndex,X2704,Trigger)</f>
        <v>58131</v>
      </c>
      <c r="Z2704" s="199">
        <v>2.3812128524626379E-2</v>
      </c>
      <c r="AA2704" s="201">
        <v>2.3798117627178428E-2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58134</v>
      </c>
      <c r="Y2705" s="198">
        <f>_xll.qlInterestRateIndexValueDate(IborIndex,X2705,Trigger)</f>
        <v>58138</v>
      </c>
      <c r="Z2705" s="199">
        <v>2.3809156775362383E-2</v>
      </c>
      <c r="AA2705" s="201">
        <v>2.3793709038484323E-2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58141</v>
      </c>
      <c r="Y2706" s="198">
        <f>_xll.qlInterestRateIndexValueDate(IborIndex,X2706,Trigger)</f>
        <v>58145</v>
      </c>
      <c r="Z2706" s="199">
        <v>2.3804778223389774E-2</v>
      </c>
      <c r="AA2706" s="201">
        <v>2.3789313996793737E-2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58148</v>
      </c>
      <c r="Y2707" s="198">
        <f>_xll.qlInterestRateIndexValueDate(IborIndex,X2707,Trigger)</f>
        <v>58152</v>
      </c>
      <c r="Z2707" s="199">
        <v>2.3800413246955279E-2</v>
      </c>
      <c r="AA2707" s="201">
        <v>2.3784932502266543E-2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58155</v>
      </c>
      <c r="Y2708" s="198">
        <f>_xll.qlInterestRateIndexValueDate(IborIndex,X2708,Trigger)</f>
        <v>58159</v>
      </c>
      <c r="Z2708" s="199">
        <v>2.3796061846046004E-2</v>
      </c>
      <c r="AA2708" s="201">
        <v>2.378246096433223E-2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58166</v>
      </c>
      <c r="Y2709" s="198">
        <f>_xll.qlInterestRateIndexValueDate(IborIndex,X2709,Trigger)</f>
        <v>58168</v>
      </c>
      <c r="Z2709" s="199">
        <v>2.3791441687932166E-2</v>
      </c>
      <c r="AA2709" s="201">
        <v>2.3773728007894235E-2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58173</v>
      </c>
      <c r="Y2710" s="198">
        <f>_xll.qlInterestRateIndexValueDate(IborIndex,X2710,Trigger)</f>
        <v>58175</v>
      </c>
      <c r="Z2710" s="199">
        <v>2.3786644681904612E-2</v>
      </c>
      <c r="AA2710" s="201">
        <v>2.376939489562524E-2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58180</v>
      </c>
      <c r="Y2711" s="198">
        <f>_xll.qlInterestRateIndexValueDate(IborIndex,X2711,Trigger)</f>
        <v>58182</v>
      </c>
      <c r="Z2711" s="199">
        <v>2.378233857166373E-2</v>
      </c>
      <c r="AA2711" s="201">
        <v>2.3765075330679508E-2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58187</v>
      </c>
      <c r="Y2712" s="198">
        <f>_xll.qlInterestRateIndexValueDate(IborIndex,X2712,Trigger)</f>
        <v>58189</v>
      </c>
      <c r="Z2712" s="199">
        <v>2.3778525414024771E-2</v>
      </c>
      <c r="AA2712" s="201">
        <v>2.3760769312737295E-2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58194</v>
      </c>
      <c r="Y2713" s="198">
        <f>_xll.qlInterestRateIndexValueDate(IborIndex,X2713,Trigger)</f>
        <v>58196</v>
      </c>
      <c r="Z2713" s="199">
        <v>2.377376708039447E-2</v>
      </c>
      <c r="AA2713" s="201">
        <v>2.3755864737511345E-2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58201</v>
      </c>
      <c r="Y2714" s="198">
        <f>_xll.qlInterestRateIndexValueDate(IborIndex,X2714,Trigger)</f>
        <v>58203</v>
      </c>
      <c r="Z2714" s="199">
        <v>2.3769501699323625E-2</v>
      </c>
      <c r="AA2714" s="201">
        <v>2.3752197917863427E-2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58208</v>
      </c>
      <c r="Y2715" s="198">
        <f>_xll.qlInterestRateIndexValueDate(IborIndex,X2715,Trigger)</f>
        <v>58210</v>
      </c>
      <c r="Z2715" s="199">
        <v>2.3765249894612817E-2</v>
      </c>
      <c r="AA2715" s="201">
        <v>2.3747932541251515E-2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58215</v>
      </c>
      <c r="Y2716" s="198">
        <f>_xll.qlInterestRateIndexValueDate(IborIndex,X2716,Trigger)</f>
        <v>58217</v>
      </c>
      <c r="Z2716" s="199">
        <v>2.3761011666244558E-2</v>
      </c>
      <c r="AA2716" s="201">
        <v>2.374307441295187E-2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58222</v>
      </c>
      <c r="Y2717" s="198">
        <f>_xll.qlInterestRateIndexValueDate(IborIndex,X2717,Trigger)</f>
        <v>58224</v>
      </c>
      <c r="Z2717" s="199">
        <v>2.375678701420636E-2</v>
      </c>
      <c r="AA2717" s="201">
        <v>2.3739442428638569E-2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58229</v>
      </c>
      <c r="Y2718" s="198">
        <f>_xll.qlInterestRateIndexValueDate(IborIndex,X2718,Trigger)</f>
        <v>58231</v>
      </c>
      <c r="Z2718" s="199">
        <v>2.3752575938478238E-2</v>
      </c>
      <c r="AA2718" s="201">
        <v>2.3735217693197086E-2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58236</v>
      </c>
      <c r="Y2719" s="198">
        <f>_xll.qlInterestRateIndexValueDate(IborIndex,X2719,Trigger)</f>
        <v>58238</v>
      </c>
      <c r="Z2719" s="199">
        <v>2.3748378439047702E-2</v>
      </c>
      <c r="AA2719" s="201">
        <v>2.373100650459925E-2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58243</v>
      </c>
      <c r="Y2720" s="198">
        <f>_xll.qlInterestRateIndexValueDate(IborIndex,X2720,Trigger)</f>
        <v>58245</v>
      </c>
      <c r="Z2720" s="199">
        <v>2.3744194515897266E-2</v>
      </c>
      <c r="AA2720" s="201">
        <v>2.3726808863244742E-2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58250</v>
      </c>
      <c r="Y2721" s="198">
        <f>_xll.qlInterestRateIndexValueDate(IborIndex,X2721,Trigger)</f>
        <v>58252</v>
      </c>
      <c r="Z2721" s="199">
        <v>2.3740024169016938E-2</v>
      </c>
      <c r="AA2721" s="201">
        <v>2.3722624768813816E-2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58257</v>
      </c>
      <c r="Y2722" s="198">
        <f>_xll.qlInterestRateIndexValueDate(IborIndex,X2722,Trigger)</f>
        <v>58259</v>
      </c>
      <c r="Z2722" s="199">
        <v>2.3735867398389232E-2</v>
      </c>
      <c r="AA2722" s="201">
        <v>2.3718454221626217E-2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58264</v>
      </c>
      <c r="Y2723" s="198">
        <f>_xll.qlInterestRateIndexValueDate(IborIndex,X2723,Trigger)</f>
        <v>58266</v>
      </c>
      <c r="Z2723" s="199">
        <v>2.3731724203996662E-2</v>
      </c>
      <c r="AA2723" s="201">
        <v>2.3714297221442138E-2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58271</v>
      </c>
      <c r="Y2724" s="198">
        <f>_xll.qlInterestRateIndexValueDate(IborIndex,X2724,Trigger)</f>
        <v>58273</v>
      </c>
      <c r="Z2724" s="199">
        <v>2.3727594585824241E-2</v>
      </c>
      <c r="AA2724" s="201">
        <v>2.3710153768341513E-2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58278</v>
      </c>
      <c r="Y2725" s="198">
        <f>_xll.qlInterestRateIndexValueDate(IborIndex,X2725,Trigger)</f>
        <v>58280</v>
      </c>
      <c r="Z2725" s="199">
        <v>2.3723966931098159E-2</v>
      </c>
      <c r="AA2725" s="201">
        <v>2.3706023862324344E-2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58285</v>
      </c>
      <c r="Y2726" s="198">
        <f>_xll.qlInterestRateIndexValueDate(IborIndex,X2726,Trigger)</f>
        <v>58287</v>
      </c>
      <c r="Z2726" s="199">
        <v>2.3717909346317206E-2</v>
      </c>
      <c r="AA2726" s="201">
        <v>2.3701907503150821E-2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58292</v>
      </c>
      <c r="Y2727" s="198">
        <f>_xll.qlInterestRateIndexValueDate(IborIndex,X2727,Trigger)</f>
        <v>58294</v>
      </c>
      <c r="Z2727" s="199">
        <v>2.3715287188492973E-2</v>
      </c>
      <c r="AA2727" s="201">
        <v>2.3697804691220625E-2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58299</v>
      </c>
      <c r="Y2728" s="198">
        <f>_xll.qlInterestRateIndexValueDate(IborIndex,X2728,Trigger)</f>
        <v>58301</v>
      </c>
      <c r="Z2728" s="199">
        <v>2.3711211875058757E-2</v>
      </c>
      <c r="AA2728" s="201">
        <v>2.3693715426373885E-2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58306</v>
      </c>
      <c r="Y2729" s="198">
        <f>_xll.qlInterestRateIndexValueDate(IborIndex,X2729,Trigger)</f>
        <v>58308</v>
      </c>
      <c r="Z2729" s="199">
        <v>2.3707150137774746E-2</v>
      </c>
      <c r="AA2729" s="201">
        <v>2.368905856899417E-2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58313</v>
      </c>
      <c r="Y2730" s="198">
        <f>_xll.qlInterestRateIndexValueDate(IborIndex,X2730,Trigger)</f>
        <v>58315</v>
      </c>
      <c r="Z2730" s="199">
        <v>2.3703101976620955E-2</v>
      </c>
      <c r="AA2730" s="201">
        <v>2.3685577537850833E-2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58320</v>
      </c>
      <c r="Y2731" s="198">
        <f>_xll.qlInterestRateIndexValueDate(IborIndex,X2731,Trigger)</f>
        <v>58322</v>
      </c>
      <c r="Z2731" s="199">
        <v>2.369906739158989E-2</v>
      </c>
      <c r="AA2731" s="201">
        <v>2.3681528914094585E-2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58327</v>
      </c>
      <c r="Y2732" s="198">
        <f>_xll.qlInterestRateIndexValueDate(IborIndex,X2732,Trigger)</f>
        <v>58329</v>
      </c>
      <c r="Z2732" s="199">
        <v>2.3695539687828511E-2</v>
      </c>
      <c r="AA2732" s="201">
        <v>2.3677493837581665E-2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58334</v>
      </c>
      <c r="Y2733" s="198">
        <f>_xll.qlInterestRateIndexValueDate(IborIndex,X2733,Trigger)</f>
        <v>58336</v>
      </c>
      <c r="Z2733" s="199">
        <v>2.3691038949818499E-2</v>
      </c>
      <c r="AA2733" s="201">
        <v>2.3673472307992327E-2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58341</v>
      </c>
      <c r="Y2734" s="198">
        <f>_xll.qlInterestRateIndexValueDate(IborIndex,X2734,Trigger)</f>
        <v>58343</v>
      </c>
      <c r="Z2734" s="199">
        <v>2.3687045093055692E-2</v>
      </c>
      <c r="AA2734" s="201">
        <v>2.3669464325566381E-2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58348</v>
      </c>
      <c r="Y2735" s="198">
        <f>_xll.qlInterestRateIndexValueDate(IborIndex,X2735,Trigger)</f>
        <v>58350</v>
      </c>
      <c r="Z2735" s="199">
        <v>2.3683064812353161E-2</v>
      </c>
      <c r="AA2735" s="201">
        <v>2.3665469890064017E-2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58355</v>
      </c>
      <c r="Y2736" s="198">
        <f>_xll.qlInterestRateIndexValueDate(IborIndex,X2736,Trigger)</f>
        <v>58357</v>
      </c>
      <c r="Z2736" s="199">
        <v>2.3679098107690921E-2</v>
      </c>
      <c r="AA2736" s="201">
        <v>2.3661489001725045E-2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58362</v>
      </c>
      <c r="Y2737" s="198">
        <f>_xll.qlInterestRateIndexValueDate(IborIndex,X2737,Trigger)</f>
        <v>58364</v>
      </c>
      <c r="Z2737" s="199">
        <v>2.3675144979063978E-2</v>
      </c>
      <c r="AA2737" s="201">
        <v>2.3657521660469527E-2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58369</v>
      </c>
      <c r="Y2738" s="198">
        <f>_xll.qlInterestRateIndexValueDate(IborIndex,X2738,Trigger)</f>
        <v>58371</v>
      </c>
      <c r="Z2738" s="199">
        <v>2.3671205426454844E-2</v>
      </c>
      <c r="AA2738" s="201">
        <v>2.3653567866217529E-2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58376</v>
      </c>
      <c r="Y2739" s="198">
        <f>_xll.qlInterestRateIndexValueDate(IborIndex,X2739,Trigger)</f>
        <v>58378</v>
      </c>
      <c r="Z2739" s="199">
        <v>2.3665785181181367E-2</v>
      </c>
      <c r="AA2739" s="201">
        <v>2.3649627618969049E-2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58383</v>
      </c>
      <c r="Y2740" s="198">
        <f>_xll.qlInterestRateIndexValueDate(IborIndex,X2740,Trigger)</f>
        <v>58385</v>
      </c>
      <c r="Z2740" s="199">
        <v>2.3663367049230055E-2</v>
      </c>
      <c r="AA2740" s="201">
        <v>2.3645700918963897E-2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58390</v>
      </c>
      <c r="Y2741" s="198">
        <f>_xll.qlInterestRateIndexValueDate(IborIndex,X2741,Trigger)</f>
        <v>58392</v>
      </c>
      <c r="Z2741" s="199">
        <v>2.3659468224589419E-2</v>
      </c>
      <c r="AA2741" s="201">
        <v>2.3641787765962263E-2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58397</v>
      </c>
      <c r="Y2742" s="198">
        <f>_xll.qlInterestRateIndexValueDate(IborIndex,X2742,Trigger)</f>
        <v>58399</v>
      </c>
      <c r="Z2742" s="199">
        <v>2.365558297590914E-2</v>
      </c>
      <c r="AA2742" s="201">
        <v>2.3637888159964149E-2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58404</v>
      </c>
      <c r="Y2743" s="198">
        <f>_xll.qlInterestRateIndexValueDate(IborIndex,X2743,Trigger)</f>
        <v>58407</v>
      </c>
      <c r="Z2743" s="199">
        <v>2.3651660543595264E-2</v>
      </c>
      <c r="AA2743" s="201">
        <v>2.363344805559997E-2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58411</v>
      </c>
      <c r="Y2744" s="198">
        <f>_xll.qlInterestRateIndexValueDate(IborIndex,X2744,Trigger)</f>
        <v>58413</v>
      </c>
      <c r="Z2744" s="199">
        <v>2.3647853206369696E-2</v>
      </c>
      <c r="AA2744" s="201">
        <v>2.3630129589138349E-2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58418</v>
      </c>
      <c r="Y2745" s="198">
        <f>_xll.qlInterestRateIndexValueDate(IborIndex,X2745,Trigger)</f>
        <v>58420</v>
      </c>
      <c r="Z2745" s="199">
        <v>2.3644008685490547E-2</v>
      </c>
      <c r="AA2745" s="201">
        <v>2.3626270624310663E-2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58425</v>
      </c>
      <c r="Y2746" s="198">
        <f>_xll.qlInterestRateIndexValueDate(IborIndex,X2746,Trigger)</f>
        <v>58427</v>
      </c>
      <c r="Z2746" s="199">
        <v>2.36406810190209E-2</v>
      </c>
      <c r="AA2746" s="201">
        <v>2.3622425206566433E-2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58432</v>
      </c>
      <c r="Y2747" s="198">
        <f>_xll.qlInterestRateIndexValueDate(IborIndex,X2747,Trigger)</f>
        <v>58438</v>
      </c>
      <c r="Z2747" s="199">
        <v>2.3633680794300539E-2</v>
      </c>
      <c r="AA2747" s="201">
        <v>2.3618002813714511E-2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58439</v>
      </c>
      <c r="Y2748" s="198">
        <f>_xll.qlInterestRateIndexValueDate(IborIndex,X2748,Trigger)</f>
        <v>58442</v>
      </c>
      <c r="Z2748" s="199">
        <v>2.3631509557043458E-2</v>
      </c>
      <c r="AA2748" s="201">
        <v>2.3614230643298484E-2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58446</v>
      </c>
      <c r="Y2749" s="198">
        <f>_xll.qlInterestRateIndexValueDate(IborIndex,X2749,Trigger)</f>
        <v>58448</v>
      </c>
      <c r="Z2749" s="199">
        <v>2.3628766360865583E-2</v>
      </c>
      <c r="AA2749" s="201">
        <v>2.3610970235594664E-2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58453</v>
      </c>
      <c r="Y2750" s="198">
        <f>_xll.qlInterestRateIndexValueDate(IborIndex,X2750,Trigger)</f>
        <v>58455</v>
      </c>
      <c r="Z2750" s="199">
        <v>2.3625495880945445E-2</v>
      </c>
      <c r="AA2750" s="201">
        <v>2.3607179006184253E-2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58460</v>
      </c>
      <c r="Y2751" s="198">
        <f>_xll.qlInterestRateIndexValueDate(IborIndex,X2751,Trigger)</f>
        <v>58462</v>
      </c>
      <c r="Z2751" s="199">
        <v>2.3621226653709471E-2</v>
      </c>
      <c r="AA2751" s="201">
        <v>2.3603401323777362E-2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58467</v>
      </c>
      <c r="Y2752" s="198">
        <f>_xll.qlInterestRateIndexValueDate(IborIndex,X2752,Trigger)</f>
        <v>58469</v>
      </c>
      <c r="Z2752" s="199">
        <v>2.3615954885198086E-2</v>
      </c>
      <c r="AA2752" s="201">
        <v>2.3599637188453926E-2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58474</v>
      </c>
      <c r="Y2753" s="198">
        <f>_xll.qlInterestRateIndexValueDate(IborIndex,X2753,Trigger)</f>
        <v>58476</v>
      </c>
      <c r="Z2753" s="199">
        <v>2.3612216797039075E-2</v>
      </c>
      <c r="AA2753" s="201">
        <v>2.3595886600054072E-2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58481</v>
      </c>
      <c r="Y2754" s="198">
        <f>_xll.qlInterestRateIndexValueDate(IborIndex,X2754,Trigger)</f>
        <v>58483</v>
      </c>
      <c r="Z2754" s="199">
        <v>2.3608492281890367E-2</v>
      </c>
      <c r="AA2754" s="201">
        <v>2.359214955881761E-2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58488</v>
      </c>
      <c r="Y2755" s="198">
        <f>_xll.qlInterestRateIndexValueDate(IborIndex,X2755,Trigger)</f>
        <v>58490</v>
      </c>
      <c r="Z2755" s="199">
        <v>2.3604781339751957E-2</v>
      </c>
      <c r="AA2755" s="201">
        <v>2.3588426064504731E-2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58495</v>
      </c>
      <c r="Y2756" s="198">
        <f>_xll.qlInterestRateIndexValueDate(IborIndex,X2756,Trigger)</f>
        <v>58497</v>
      </c>
      <c r="Z2756" s="199">
        <v>2.3601083970596289E-2</v>
      </c>
      <c r="AA2756" s="201">
        <v>2.3584716117355242E-2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58502</v>
      </c>
      <c r="Y2757" s="198">
        <f>_xll.qlInterestRateIndexValueDate(IborIndex,X2757,Trigger)</f>
        <v>58504</v>
      </c>
      <c r="Z2757" s="199">
        <v>2.3598933351555162E-2</v>
      </c>
      <c r="AA2757" s="201">
        <v>2.3581019717209273E-2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58509</v>
      </c>
      <c r="Y2758" s="198">
        <f>_xll.qlInterestRateIndexValueDate(IborIndex,X2758,Trigger)</f>
        <v>58511</v>
      </c>
      <c r="Z2758" s="199">
        <v>2.3595265316367076E-2</v>
      </c>
      <c r="AA2758" s="201">
        <v>2.3577336864146758E-2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58516</v>
      </c>
      <c r="Y2759" s="198">
        <f>_xll.qlInterestRateIndexValueDate(IborIndex,X2759,Trigger)</f>
        <v>58518</v>
      </c>
      <c r="Z2759" s="199">
        <v>2.3592123559648733E-2</v>
      </c>
      <c r="AA2759" s="201">
        <v>2.3573667558167699E-2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58523</v>
      </c>
      <c r="Y2760" s="198">
        <f>_xll.qlInterestRateIndexValueDate(IborIndex,X2760,Trigger)</f>
        <v>58525</v>
      </c>
      <c r="Z2760" s="199">
        <v>2.3587969973175027E-2</v>
      </c>
      <c r="AA2760" s="201">
        <v>2.3570011799112223E-2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58530</v>
      </c>
      <c r="Y2761" s="198">
        <f>_xll.qlInterestRateIndexValueDate(IborIndex,X2761,Trigger)</f>
        <v>58532</v>
      </c>
      <c r="Z2761" s="199">
        <v>2.3584856831643949E-2</v>
      </c>
      <c r="AA2761" s="201">
        <v>2.3566369587220137E-2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58537</v>
      </c>
      <c r="Y2762" s="198">
        <f>_xll.qlInterestRateIndexValueDate(IborIndex,X2762,Trigger)</f>
        <v>58539</v>
      </c>
      <c r="Z2762" s="199">
        <v>2.3580728932787731E-2</v>
      </c>
      <c r="AA2762" s="201">
        <v>2.3562740922411507E-2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58544</v>
      </c>
      <c r="Y2763" s="198">
        <f>_xll.qlInterestRateIndexValueDate(IborIndex,X2763,Trigger)</f>
        <v>58546</v>
      </c>
      <c r="Z2763" s="199">
        <v>2.3577128776119949E-2</v>
      </c>
      <c r="AA2763" s="201">
        <v>2.3558095401963186E-2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58551</v>
      </c>
      <c r="Y2764" s="198">
        <f>_xll.qlInterestRateIndexValueDate(IborIndex,X2764,Trigger)</f>
        <v>58553</v>
      </c>
      <c r="Z2764" s="199">
        <v>2.3573542195110264E-2</v>
      </c>
      <c r="AA2764" s="201">
        <v>2.3555524233804803E-2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58558</v>
      </c>
      <c r="Y2765" s="198">
        <f>_xll.qlInterestRateIndexValueDate(IborIndex,X2765,Trigger)</f>
        <v>58560</v>
      </c>
      <c r="Z2765" s="199">
        <v>2.3568418430783909E-2</v>
      </c>
      <c r="AA2765" s="201">
        <v>2.3551424741139471E-2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58565</v>
      </c>
      <c r="Y2766" s="198">
        <f>_xll.qlInterestRateIndexValueDate(IborIndex,X2766,Trigger)</f>
        <v>58567</v>
      </c>
      <c r="Z2766" s="199">
        <v>2.3566409760030216E-2</v>
      </c>
      <c r="AA2766" s="201">
        <v>2.3548361733451983E-2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58572</v>
      </c>
      <c r="Y2767" s="198">
        <f>_xll.qlInterestRateIndexValueDate(IborIndex,X2767,Trigger)</f>
        <v>58574</v>
      </c>
      <c r="Z2767" s="199">
        <v>2.3562863905939868E-2</v>
      </c>
      <c r="AA2767" s="201">
        <v>2.354480080382082E-2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58579</v>
      </c>
      <c r="Y2768" s="198">
        <f>_xll.qlInterestRateIndexValueDate(IborIndex,X2768,Trigger)</f>
        <v>58581</v>
      </c>
      <c r="Z2768" s="199">
        <v>2.355933162745516E-2</v>
      </c>
      <c r="AA2768" s="201">
        <v>2.3541253421353048E-2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58586</v>
      </c>
      <c r="Y2769" s="198">
        <f>_xll.qlInterestRateIndexValueDate(IborIndex,X2769,Trigger)</f>
        <v>58588</v>
      </c>
      <c r="Z2769" s="199">
        <v>2.35558129245661E-2</v>
      </c>
      <c r="AA2769" s="201">
        <v>2.353721585802937E-2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58593</v>
      </c>
      <c r="Y2770" s="198">
        <f>_xll.qlInterestRateIndexValueDate(IborIndex,X2770,Trigger)</f>
        <v>58595</v>
      </c>
      <c r="Z2770" s="199">
        <v>2.3552828596438147E-2</v>
      </c>
      <c r="AA2770" s="201">
        <v>2.353419929742806E-2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58600</v>
      </c>
      <c r="Y2771" s="198">
        <f>_xll.qlInterestRateIndexValueDate(IborIndex,X2771,Trigger)</f>
        <v>58602</v>
      </c>
      <c r="Z2771" s="199">
        <v>2.3548816245547444E-2</v>
      </c>
      <c r="AA2771" s="201">
        <v>2.3530692555970845E-2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58607</v>
      </c>
      <c r="Y2772" s="198">
        <f>_xll.qlInterestRateIndexValueDate(IborIndex,X2772,Trigger)</f>
        <v>58609</v>
      </c>
      <c r="Z2772" s="199">
        <v>2.3545338269385374E-2</v>
      </c>
      <c r="AA2772" s="201">
        <v>2.3527199361756956E-2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58614</v>
      </c>
      <c r="Y2773" s="198">
        <f>_xll.qlInterestRateIndexValueDate(IborIndex,X2773,Trigger)</f>
        <v>58616</v>
      </c>
      <c r="Z2773" s="199">
        <v>2.3541873868768992E-2</v>
      </c>
      <c r="AA2773" s="201">
        <v>2.3523719714386715E-2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58621</v>
      </c>
      <c r="Y2774" s="198">
        <f>_xll.qlInterestRateIndexValueDate(IborIndex,X2774,Trigger)</f>
        <v>58623</v>
      </c>
      <c r="Z2774" s="199">
        <v>2.3538423043690804E-2</v>
      </c>
      <c r="AA2774" s="201">
        <v>2.3520253614019992E-2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58628</v>
      </c>
      <c r="Y2775" s="198">
        <f>_xll.qlInterestRateIndexValueDate(IborIndex,X2775,Trigger)</f>
        <v>58630</v>
      </c>
      <c r="Z2775" s="199">
        <v>2.3534985794138319E-2</v>
      </c>
      <c r="AA2775" s="201">
        <v>2.3516801060896597E-2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58635</v>
      </c>
      <c r="Y2776" s="198">
        <f>_xll.qlInterestRateIndexValueDate(IborIndex,X2776,Trigger)</f>
        <v>58637</v>
      </c>
      <c r="Z2776" s="199">
        <v>2.3531562120091554E-2</v>
      </c>
      <c r="AA2776" s="201">
        <v>2.3513362054696785E-2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58642</v>
      </c>
      <c r="Y2777" s="198">
        <f>_xll.qlInterestRateIndexValueDate(IborIndex,X2777,Trigger)</f>
        <v>58644</v>
      </c>
      <c r="Z2777" s="199">
        <v>2.3528152021545512E-2</v>
      </c>
      <c r="AA2777" s="201">
        <v>2.3509936595500491E-2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58649</v>
      </c>
      <c r="Y2778" s="198">
        <f>_xll.qlInterestRateIndexValueDate(IborIndex,X2778,Trigger)</f>
        <v>58651</v>
      </c>
      <c r="Z2778" s="199">
        <v>2.3525282255944677E-2</v>
      </c>
      <c r="AA2778" s="201">
        <v>2.3506524683387653E-2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58656</v>
      </c>
      <c r="Y2779" s="198">
        <f>_xll.qlInterestRateIndexValueDate(IborIndex,X2779,Trigger)</f>
        <v>58658</v>
      </c>
      <c r="Z2779" s="199">
        <v>2.3521900057275665E-2</v>
      </c>
      <c r="AA2779" s="201">
        <v>2.3503126318438206E-2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58663</v>
      </c>
      <c r="Y2780" s="198">
        <f>_xll.qlInterestRateIndexValueDate(IborIndex,X2780,Trigger)</f>
        <v>58665</v>
      </c>
      <c r="Z2780" s="199">
        <v>2.3518003178779334E-2</v>
      </c>
      <c r="AA2780" s="201">
        <v>2.3499741500492277E-2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58670</v>
      </c>
      <c r="Y2781" s="198">
        <f>_xll.qlInterestRateIndexValueDate(IborIndex,X2781,Trigger)</f>
        <v>58672</v>
      </c>
      <c r="Z2781" s="199">
        <v>2.3514647382108789E-2</v>
      </c>
      <c r="AA2781" s="201">
        <v>2.3496370229469932E-2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58677</v>
      </c>
      <c r="Y2782" s="198">
        <f>_xll.qlInterestRateIndexValueDate(IborIndex,X2782,Trigger)</f>
        <v>58679</v>
      </c>
      <c r="Z2782" s="199">
        <v>2.3511305160874019E-2</v>
      </c>
      <c r="AA2782" s="201">
        <v>2.3492533936586568E-2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58684</v>
      </c>
      <c r="Y2783" s="198">
        <f>_xll.qlInterestRateIndexValueDate(IborIndex,X2783,Trigger)</f>
        <v>58686</v>
      </c>
      <c r="Z2783" s="199">
        <v>2.3507976515062534E-2</v>
      </c>
      <c r="AA2783" s="201">
        <v>2.3489668328675606E-2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58691</v>
      </c>
      <c r="Y2784" s="198">
        <f>_xll.qlInterestRateIndexValueDate(IborIndex,X2784,Trigger)</f>
        <v>58693</v>
      </c>
      <c r="Z2784" s="199">
        <v>2.3505192709370511E-2</v>
      </c>
      <c r="AA2784" s="201">
        <v>2.3486337698983561E-2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58698</v>
      </c>
      <c r="Y2785" s="198">
        <f>_xll.qlInterestRateIndexValueDate(IborIndex,X2785,Trigger)</f>
        <v>58700</v>
      </c>
      <c r="Z2785" s="199">
        <v>2.350135994967445E-2</v>
      </c>
      <c r="AA2785" s="201">
        <v>2.34830206162151E-2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58705</v>
      </c>
      <c r="Y2786" s="198">
        <f>_xll.qlInterestRateIndexValueDate(IborIndex,X2786,Trigger)</f>
        <v>58707</v>
      </c>
      <c r="Z2786" s="199">
        <v>2.3498072030067874E-2</v>
      </c>
      <c r="AA2786" s="201">
        <v>2.3479717080450158E-2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58712</v>
      </c>
      <c r="Y2787" s="198">
        <f>_xll.qlInterestRateIndexValueDate(IborIndex,X2787,Trigger)</f>
        <v>58714</v>
      </c>
      <c r="Z2787" s="199">
        <v>2.3493197665619681E-2</v>
      </c>
      <c r="AA2787" s="201">
        <v>2.3476427091848606E-2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58719</v>
      </c>
      <c r="Y2788" s="198">
        <f>_xll.qlInterestRateIndexValueDate(IborIndex,X2788,Trigger)</f>
        <v>58721</v>
      </c>
      <c r="Z2788" s="199">
        <v>2.3491536916982192E-2</v>
      </c>
      <c r="AA2788" s="201">
        <v>2.3473150650170638E-2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58726</v>
      </c>
      <c r="Y2789" s="198">
        <f>_xll.qlInterestRateIndexValueDate(IborIndex,X2789,Trigger)</f>
        <v>58728</v>
      </c>
      <c r="Z2789" s="199">
        <v>2.348828972347311E-2</v>
      </c>
      <c r="AA2789" s="201">
        <v>2.3469887755496188E-2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58733</v>
      </c>
      <c r="Y2790" s="198">
        <f>_xll.qlInterestRateIndexValueDate(IborIndex,X2790,Trigger)</f>
        <v>58735</v>
      </c>
      <c r="Z2790" s="199">
        <v>2.3485056105307378E-2</v>
      </c>
      <c r="AA2790" s="201">
        <v>2.346663840798513E-2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58740</v>
      </c>
      <c r="Y2791" s="198">
        <f>_xll.qlInterestRateIndexValueDate(IborIndex,X2791,Trigger)</f>
        <v>58742</v>
      </c>
      <c r="Z2791" s="199">
        <v>2.3481836062472505E-2</v>
      </c>
      <c r="AA2791" s="201">
        <v>2.346340260747759E-2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58747</v>
      </c>
      <c r="Y2792" s="198">
        <f>_xll.qlInterestRateIndexValueDate(IborIndex,X2792,Trigger)</f>
        <v>58749</v>
      </c>
      <c r="Z2792" s="199">
        <v>2.3478629594960998E-2</v>
      </c>
      <c r="AA2792" s="201">
        <v>2.3460180353893634E-2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58754</v>
      </c>
      <c r="Y2793" s="198">
        <f>_xll.qlInterestRateIndexValueDate(IborIndex,X2793,Trigger)</f>
        <v>58757</v>
      </c>
      <c r="Z2793" s="199">
        <v>2.3474443583322149E-2</v>
      </c>
      <c r="AA2793" s="201">
        <v>2.3456514366859693E-2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58761</v>
      </c>
      <c r="Y2794" s="198">
        <f>_xll.qlInterestRateIndexValueDate(IborIndex,X2794,Trigger)</f>
        <v>58763</v>
      </c>
      <c r="Z2794" s="199">
        <v>2.3472257385843132E-2</v>
      </c>
      <c r="AA2794" s="201">
        <v>2.3453776488215894E-2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58768</v>
      </c>
      <c r="Y2795" s="198">
        <f>_xll.qlInterestRateIndexValueDate(IborIndex,X2795,Trigger)</f>
        <v>58771</v>
      </c>
      <c r="Z2795" s="199">
        <v>2.3469180226224656E-2</v>
      </c>
      <c r="AA2795" s="201">
        <v>2.3450141465692909E-2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58775</v>
      </c>
      <c r="Y2796" s="198">
        <f>_xll.qlInterestRateIndexValueDate(IborIndex,X2796,Trigger)</f>
        <v>58777</v>
      </c>
      <c r="Z2796" s="199">
        <v>2.346647985579315E-2</v>
      </c>
      <c r="AA2796" s="201">
        <v>2.3447426810392358E-2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58782</v>
      </c>
      <c r="Y2797" s="198">
        <f>_xll.qlInterestRateIndexValueDate(IborIndex,X2797,Trigger)</f>
        <v>58784</v>
      </c>
      <c r="Z2797" s="199">
        <v>2.3462800886771829E-2</v>
      </c>
      <c r="AA2797" s="201">
        <v>2.344427229214574E-2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58789</v>
      </c>
      <c r="Y2798" s="198">
        <f>_xll.qlInterestRateIndexValueDate(IborIndex,X2798,Trigger)</f>
        <v>58791</v>
      </c>
      <c r="Z2798" s="199">
        <v>2.3460217780493637E-2</v>
      </c>
      <c r="AA2798" s="201">
        <v>2.3441131321062514E-2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58796</v>
      </c>
      <c r="Y2799" s="198">
        <f>_xll.qlInterestRateIndexValueDate(IborIndex,X2799,Trigger)</f>
        <v>58798</v>
      </c>
      <c r="Z2799" s="199">
        <v>2.3456564430328064E-2</v>
      </c>
      <c r="AA2799" s="201">
        <v>2.3437112835278384E-2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58804</v>
      </c>
      <c r="Y2800" s="198">
        <f>_xll.qlInterestRateIndexValueDate(IborIndex,X2800,Trigger)</f>
        <v>58810</v>
      </c>
      <c r="Z2800" s="199">
        <v>2.3450718218212201E-2</v>
      </c>
      <c r="AA2800" s="201">
        <v>2.3433559647854096E-2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58811</v>
      </c>
      <c r="Y2801" s="198">
        <f>_xll.qlInterestRateIndexValueDate(IborIndex,X2801,Trigger)</f>
        <v>58813</v>
      </c>
      <c r="Z2801" s="199">
        <v>2.3449398543293181E-2</v>
      </c>
      <c r="AA2801" s="201">
        <v>2.3431347890996435E-2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58818</v>
      </c>
      <c r="Y2802" s="198">
        <f>_xll.qlInterestRateIndexValueDate(IborIndex,X2802,Trigger)</f>
        <v>58820</v>
      </c>
      <c r="Z2802" s="199">
        <v>2.3446328997730935E-2</v>
      </c>
      <c r="AA2802" s="201">
        <v>2.3428263043339115E-2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58825</v>
      </c>
      <c r="Y2803" s="198">
        <f>_xll.qlInterestRateIndexValueDate(IborIndex,X2803,Trigger)</f>
        <v>58827</v>
      </c>
      <c r="Z2803" s="199">
        <v>2.3443818794014193E-2</v>
      </c>
      <c r="AA2803" s="201">
        <v>2.3425191742525442E-2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58832</v>
      </c>
      <c r="Y2804" s="198">
        <f>_xll.qlInterestRateIndexValueDate(IborIndex,X2804,Trigger)</f>
        <v>58834</v>
      </c>
      <c r="Z2804" s="199">
        <v>2.3440230629448319E-2</v>
      </c>
      <c r="AA2804" s="201">
        <v>2.3422133988795224E-2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58839</v>
      </c>
      <c r="Y2805" s="198">
        <f>_xll.qlInterestRateIndexValueDate(IborIndex,X2805,Trigger)</f>
        <v>58841</v>
      </c>
      <c r="Z2805" s="199">
        <v>2.3435560455308098E-2</v>
      </c>
      <c r="AA2805" s="201">
        <v>2.3419089782148461E-2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58846</v>
      </c>
      <c r="Y2806" s="198">
        <f>_xll.qlInterestRateIndexValueDate(IborIndex,X2806,Trigger)</f>
        <v>58848</v>
      </c>
      <c r="Z2806" s="199">
        <v>2.3432542886852988E-2</v>
      </c>
      <c r="AA2806" s="201">
        <v>2.3416059122425281E-2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58853</v>
      </c>
      <c r="Y2807" s="198">
        <f>_xll.qlInterestRateIndexValueDate(IborIndex,X2807,Trigger)</f>
        <v>58855</v>
      </c>
      <c r="Z2807" s="199">
        <v>2.3429538889924637E-2</v>
      </c>
      <c r="AA2807" s="201">
        <v>2.3413042009945428E-2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58860</v>
      </c>
      <c r="Y2808" s="198">
        <f>_xll.qlInterestRateIndexValueDate(IborIndex,X2808,Trigger)</f>
        <v>58862</v>
      </c>
      <c r="Z2808" s="199">
        <v>2.3426548464503063E-2</v>
      </c>
      <c r="AA2808" s="201">
        <v>2.3410038444309222E-2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58867</v>
      </c>
      <c r="Y2809" s="198">
        <f>_xll.qlInterestRateIndexValueDate(IborIndex,X2809,Trigger)</f>
        <v>58869</v>
      </c>
      <c r="Z2809" s="199">
        <v>2.342522225816707E-2</v>
      </c>
      <c r="AA2809" s="201">
        <v>2.3407048425676535E-2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58874</v>
      </c>
      <c r="Y2810" s="198">
        <f>_xll.qlInterestRateIndexValueDate(IborIndex,X2810,Trigger)</f>
        <v>58876</v>
      </c>
      <c r="Z2810" s="199">
        <v>2.3422812495373646E-2</v>
      </c>
      <c r="AA2810" s="201">
        <v>2.3404071954367112E-2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58881</v>
      </c>
      <c r="Y2811" s="198">
        <f>_xll.qlInterestRateIndexValueDate(IborIndex,X2811,Trigger)</f>
        <v>58883</v>
      </c>
      <c r="Z2811" s="199">
        <v>2.3419313929202927E-2</v>
      </c>
      <c r="AA2811" s="201">
        <v>2.3401109029821399E-2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58888</v>
      </c>
      <c r="Y2812" s="198">
        <f>_xll.qlInterestRateIndexValueDate(IborIndex,X2812,Trigger)</f>
        <v>58890</v>
      </c>
      <c r="Z2812" s="199">
        <v>2.3416380126012864E-2</v>
      </c>
      <c r="AA2812" s="201">
        <v>2.3398159652279205E-2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58895</v>
      </c>
      <c r="Y2813" s="198">
        <f>_xll.qlInterestRateIndexValueDate(IborIndex,X2813,Trigger)</f>
        <v>58897</v>
      </c>
      <c r="Z2813" s="199">
        <v>2.3414013422760616E-2</v>
      </c>
      <c r="AA2813" s="201">
        <v>2.3395223821820466E-2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58902</v>
      </c>
      <c r="Y2814" s="198">
        <f>_xll.qlInterestRateIndexValueDate(IborIndex,X2814,Trigger)</f>
        <v>58908</v>
      </c>
      <c r="Z2814" s="199">
        <v>2.3408343736439186E-2</v>
      </c>
      <c r="AA2814" s="201">
        <v>2.3391469088576144E-2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58909</v>
      </c>
      <c r="Y2815" s="198">
        <f>_xll.qlInterestRateIndexValueDate(IborIndex,X2815,Trigger)</f>
        <v>58911</v>
      </c>
      <c r="Z2815" s="199">
        <v>2.340766016146888E-2</v>
      </c>
      <c r="AA2815" s="201">
        <v>2.3389392802153353E-2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58916</v>
      </c>
      <c r="Y2816" s="198">
        <f>_xll.qlInterestRateIndexValueDate(IborIndex,X2816,Trigger)</f>
        <v>58918</v>
      </c>
      <c r="Z2816" s="199">
        <v>2.3404780654933732E-2</v>
      </c>
      <c r="AA2816" s="201">
        <v>2.3386497612865043E-2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58923</v>
      </c>
      <c r="Y2817" s="198">
        <f>_xll.qlInterestRateIndexValueDate(IborIndex,X2817,Trigger)</f>
        <v>58925</v>
      </c>
      <c r="Z2817" s="199">
        <v>2.3402471376939016E-2</v>
      </c>
      <c r="AA2817" s="201">
        <v>2.3383205413232133E-2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58930</v>
      </c>
      <c r="Y2818" s="198">
        <f>_xll.qlInterestRateIndexValueDate(IborIndex,X2818,Trigger)</f>
        <v>58932</v>
      </c>
      <c r="Z2818" s="199">
        <v>2.3399062364269523E-2</v>
      </c>
      <c r="AA2818" s="201">
        <v>2.3380747875298979E-2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58937</v>
      </c>
      <c r="Y2819" s="198">
        <f>_xll.qlInterestRateIndexValueDate(IborIndex,X2819,Trigger)</f>
        <v>58939</v>
      </c>
      <c r="Z2819" s="199">
        <v>2.3396223580122416E-2</v>
      </c>
      <c r="AA2819" s="201">
        <v>2.3377893327101162E-2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58944</v>
      </c>
      <c r="Y2820" s="198">
        <f>_xll.qlInterestRateIndexValueDate(IborIndex,X2820,Trigger)</f>
        <v>58946</v>
      </c>
      <c r="Z2820" s="199">
        <v>2.3393398370084889E-2</v>
      </c>
      <c r="AA2820" s="201">
        <v>2.3375052325906864E-2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58951</v>
      </c>
      <c r="Y2821" s="198">
        <f>_xll.qlInterestRateIndexValueDate(IborIndex,X2821,Trigger)</f>
        <v>58953</v>
      </c>
      <c r="Z2821" s="199">
        <v>2.3390586734138887E-2</v>
      </c>
      <c r="AA2821" s="201">
        <v>2.3371822055535674E-2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58958</v>
      </c>
      <c r="Y2822" s="198">
        <f>_xll.qlInterestRateIndexValueDate(IborIndex,X2822,Trigger)</f>
        <v>58960</v>
      </c>
      <c r="Z2822" s="199">
        <v>2.3388349257812413E-2</v>
      </c>
      <c r="AA2822" s="201">
        <v>2.3369410964688697E-2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58965</v>
      </c>
      <c r="Y2823" s="198">
        <f>_xll.qlInterestRateIndexValueDate(IborIndex,X2823,Trigger)</f>
        <v>58967</v>
      </c>
      <c r="Z2823" s="199">
        <v>2.3385004184518894E-2</v>
      </c>
      <c r="AA2823" s="201">
        <v>2.3366610604504956E-2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58972</v>
      </c>
      <c r="Y2824" s="198">
        <f>_xll.qlInterestRateIndexValueDate(IborIndex,X2824,Trigger)</f>
        <v>58974</v>
      </c>
      <c r="Z2824" s="199">
        <v>2.3382233270811376E-2</v>
      </c>
      <c r="AA2824" s="201">
        <v>2.3363823791564542E-2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58979</v>
      </c>
      <c r="Y2825" s="198">
        <f>_xll.qlInterestRateIndexValueDate(IborIndex,X2825,Trigger)</f>
        <v>58981</v>
      </c>
      <c r="Z2825" s="199">
        <v>2.3379475931174759E-2</v>
      </c>
      <c r="AA2825" s="201">
        <v>2.3361050525467775E-2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58986</v>
      </c>
      <c r="Y2826" s="198">
        <f>_xll.qlInterestRateIndexValueDate(IborIndex,X2826,Trigger)</f>
        <v>58988</v>
      </c>
      <c r="Z2826" s="199">
        <v>2.3376732165585837E-2</v>
      </c>
      <c r="AA2826" s="201">
        <v>2.335829080629459E-2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58993</v>
      </c>
      <c r="Y2827" s="198">
        <f>_xll.qlInterestRateIndexValueDate(IborIndex,X2827,Trigger)</f>
        <v>58995</v>
      </c>
      <c r="Z2827" s="199">
        <v>2.3374001974036867E-2</v>
      </c>
      <c r="AA2827" s="201">
        <v>2.3355544634444669E-2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59000</v>
      </c>
      <c r="Y2828" s="198">
        <f>_xll.qlInterestRateIndexValueDate(IborIndex,X2828,Trigger)</f>
        <v>59002</v>
      </c>
      <c r="Z2828" s="199">
        <v>2.3371285356514965E-2</v>
      </c>
      <c r="AA2828" s="201">
        <v>2.3352812009518331E-2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59007</v>
      </c>
      <c r="Y2829" s="198">
        <f>_xll.qlInterestRateIndexValueDate(IborIndex,X2829,Trigger)</f>
        <v>59009</v>
      </c>
      <c r="Z2829" s="199">
        <v>2.3368582313017545E-2</v>
      </c>
      <c r="AA2829" s="201">
        <v>2.3350092931595512E-2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59014</v>
      </c>
      <c r="Y2830" s="198">
        <f>_xll.qlInterestRateIndexValueDate(IborIndex,X2830,Trigger)</f>
        <v>59016</v>
      </c>
      <c r="Z2830" s="199">
        <v>2.3367026788276041E-2</v>
      </c>
      <c r="AA2830" s="201">
        <v>2.3347387400676212E-2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59021</v>
      </c>
      <c r="Y2831" s="198">
        <f>_xll.qlInterestRateIndexValueDate(IborIndex,X2831,Trigger)</f>
        <v>59023</v>
      </c>
      <c r="Z2831" s="199">
        <v>2.3363784666376453E-2</v>
      </c>
      <c r="AA2831" s="201">
        <v>2.3344695416840366E-2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59028</v>
      </c>
      <c r="Y2832" s="198">
        <f>_xll.qlInterestRateIndexValueDate(IborIndex,X2832,Trigger)</f>
        <v>59030</v>
      </c>
      <c r="Z2832" s="199">
        <v>2.33605546265639E-2</v>
      </c>
      <c r="AA2832" s="201">
        <v>2.3342016979928104E-2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59035</v>
      </c>
      <c r="Y2833" s="198">
        <f>_xll.qlInterestRateIndexValueDate(IborIndex,X2833,Trigger)</f>
        <v>59037</v>
      </c>
      <c r="Z2833" s="199">
        <v>2.3357905879056121E-2</v>
      </c>
      <c r="AA2833" s="201">
        <v>2.3339352090259169E-2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59042</v>
      </c>
      <c r="Y2834" s="198">
        <f>_xll.qlInterestRateIndexValueDate(IborIndex,X2834,Trigger)</f>
        <v>59044</v>
      </c>
      <c r="Z2834" s="199">
        <v>2.3355270705531568E-2</v>
      </c>
      <c r="AA2834" s="201">
        <v>2.3336323090008548E-2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59049</v>
      </c>
      <c r="Y2835" s="198">
        <f>_xll.qlInterestRateIndexValueDate(IborIndex,X2835,Trigger)</f>
        <v>59051</v>
      </c>
      <c r="Z2835" s="199">
        <v>2.3352649105964459E-2</v>
      </c>
      <c r="AA2835" s="201">
        <v>2.3334062951612111E-2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59056</v>
      </c>
      <c r="Y2836" s="198">
        <f>_xll.qlInterestRateIndexValueDate(IborIndex,X2836,Trigger)</f>
        <v>59058</v>
      </c>
      <c r="Z2836" s="199">
        <v>2.3350612792837067E-2</v>
      </c>
      <c r="AA2836" s="201">
        <v>2.3331438702953733E-2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59063</v>
      </c>
      <c r="Y2837" s="198">
        <f>_xll.qlInterestRateIndexValueDate(IborIndex,X2837,Trigger)</f>
        <v>59065</v>
      </c>
      <c r="Z2837" s="199">
        <v>2.3347446628702567E-2</v>
      </c>
      <c r="AA2837" s="201">
        <v>2.3328828001139001E-2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59070</v>
      </c>
      <c r="Y2838" s="198">
        <f>_xll.qlInterestRateIndexValueDate(IborIndex,X2838,Trigger)</f>
        <v>59072</v>
      </c>
      <c r="Z2838" s="199">
        <v>2.3344865750979417E-2</v>
      </c>
      <c r="AA2838" s="201">
        <v>2.3326230846407725E-2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59077</v>
      </c>
      <c r="Y2839" s="198">
        <f>_xll.qlInterestRateIndexValueDate(IborIndex,X2839,Trigger)</f>
        <v>59079</v>
      </c>
      <c r="Z2839" s="199">
        <v>2.3342298447187926E-2</v>
      </c>
      <c r="AA2839" s="201">
        <v>2.3323647238919776E-2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59084</v>
      </c>
      <c r="Y2840" s="198">
        <f>_xll.qlInterestRateIndexValueDate(IborIndex,X2840,Trigger)</f>
        <v>59086</v>
      </c>
      <c r="Z2840" s="199">
        <v>2.3339744717317777E-2</v>
      </c>
      <c r="AA2840" s="201">
        <v>2.3321077178195537E-2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59091</v>
      </c>
      <c r="Y2841" s="198">
        <f>_xll.qlInterestRateIndexValueDate(IborIndex,X2841,Trigger)</f>
        <v>59093</v>
      </c>
      <c r="Z2841" s="199">
        <v>2.3337204561353495E-2</v>
      </c>
      <c r="AA2841" s="201">
        <v>2.331852066463469E-2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59098</v>
      </c>
      <c r="Y2842" s="198">
        <f>_xll.qlInterestRateIndexValueDate(IborIndex,X2842,Trigger)</f>
        <v>59100</v>
      </c>
      <c r="Z2842" s="199">
        <v>2.3334677979295088E-2</v>
      </c>
      <c r="AA2842" s="201">
        <v>2.3315977697997425E-2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59105</v>
      </c>
      <c r="Y2843" s="198">
        <f>_xll.qlInterestRateIndexValueDate(IborIndex,X2843,Trigger)</f>
        <v>59107</v>
      </c>
      <c r="Z2843" s="199">
        <v>2.333216497113481E-2</v>
      </c>
      <c r="AA2843" s="201">
        <v>2.3313448278443616E-2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59112</v>
      </c>
      <c r="Y2844" s="198">
        <f>_xll.qlInterestRateIndexValueDate(IborIndex,X2844,Trigger)</f>
        <v>59114</v>
      </c>
      <c r="Z2844" s="199">
        <v>2.3329665536854623E-2</v>
      </c>
      <c r="AA2844" s="201">
        <v>2.3310932405893325E-2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59119</v>
      </c>
      <c r="Y2845" s="198">
        <f>_xll.qlInterestRateIndexValueDate(IborIndex,X2845,Trigger)</f>
        <v>59124</v>
      </c>
      <c r="Z2845" s="199">
        <v>2.3325539259793082E-2</v>
      </c>
      <c r="AA2845" s="201">
        <v>2.330807371125232E-2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59126</v>
      </c>
      <c r="Y2846" s="198">
        <f>_xll.qlInterestRateIndexValueDate(IborIndex,X2846,Trigger)</f>
        <v>59128</v>
      </c>
      <c r="Z2846" s="199">
        <v>2.3324707389919021E-2</v>
      </c>
      <c r="AA2846" s="201">
        <v>2.3305941301883237E-2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59133</v>
      </c>
      <c r="Y2847" s="198">
        <f>_xll.qlInterestRateIndexValueDate(IborIndex,X2847,Trigger)</f>
        <v>59135</v>
      </c>
      <c r="Z2847" s="199">
        <v>2.3323409936720069E-2</v>
      </c>
      <c r="AA2847" s="201">
        <v>2.330346607042344E-2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59140</v>
      </c>
      <c r="Y2848" s="198">
        <f>_xll.qlInterestRateIndexValueDate(IborIndex,X2848,Trigger)</f>
        <v>59142</v>
      </c>
      <c r="Z2848" s="199">
        <v>2.3320384928358084E-2</v>
      </c>
      <c r="AA2848" s="201">
        <v>2.3301004385967161E-2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59147</v>
      </c>
      <c r="Y2849" s="198">
        <f>_xll.qlInterestRateIndexValueDate(IborIndex,X2849,Trigger)</f>
        <v>59149</v>
      </c>
      <c r="Z2849" s="199">
        <v>2.33173719734306E-2</v>
      </c>
      <c r="AA2849" s="201">
        <v>2.3298556248594338E-2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59154</v>
      </c>
      <c r="Y2850" s="198">
        <f>_xll.qlInterestRateIndexValueDate(IborIndex,X2850,Trigger)</f>
        <v>59156</v>
      </c>
      <c r="Z2850" s="199">
        <v>2.3315536997661201E-2</v>
      </c>
      <c r="AA2850" s="201">
        <v>2.3296121658225033E-2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59161</v>
      </c>
      <c r="Y2851" s="198">
        <f>_xll.qlInterestRateIndexValueDate(IborIndex,X2851,Trigger)</f>
        <v>59163</v>
      </c>
      <c r="Z2851" s="199">
        <v>2.3312549564950314E-2</v>
      </c>
      <c r="AA2851" s="201">
        <v>2.3293011376273043E-2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59168</v>
      </c>
      <c r="Y2852" s="198">
        <f>_xll.qlInterestRateIndexValueDate(IborIndex,X2852,Trigger)</f>
        <v>59170</v>
      </c>
      <c r="Z2852" s="199">
        <v>2.3310743365844711E-2</v>
      </c>
      <c r="AA2852" s="201">
        <v>2.3290950296246393E-2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59175</v>
      </c>
      <c r="Y2853" s="198">
        <f>_xll.qlInterestRateIndexValueDate(IborIndex,X2853,Trigger)</f>
        <v>59177</v>
      </c>
      <c r="Z2853" s="199">
        <v>2.3307781451740246E-2</v>
      </c>
      <c r="AA2853" s="201">
        <v>2.3288899169058297E-2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59182</v>
      </c>
      <c r="Y2854" s="198">
        <f>_xll.qlInterestRateIndexValueDate(IborIndex,X2854,Trigger)</f>
        <v>59184</v>
      </c>
      <c r="Z2854" s="199">
        <v>2.3305417755838012E-2</v>
      </c>
      <c r="AA2854" s="201">
        <v>2.3286518766783004E-2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59189</v>
      </c>
      <c r="Y2855" s="198">
        <f>_xll.qlInterestRateIndexValueDate(IborIndex,X2855,Trigger)</f>
        <v>59191</v>
      </c>
      <c r="Z2855" s="199">
        <v>2.3303654728352718E-2</v>
      </c>
      <c r="AA2855" s="201">
        <v>2.3284151911431294E-2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59196</v>
      </c>
      <c r="Y2856" s="198">
        <f>_xll.qlInterestRateIndexValueDate(IborIndex,X2856,Trigger)</f>
        <v>59198</v>
      </c>
      <c r="Z2856" s="199">
        <v>2.330073108539531E-2</v>
      </c>
      <c r="AA2856" s="201">
        <v>2.328179860316304E-2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59203</v>
      </c>
      <c r="Y2857" s="198">
        <f>_xll.qlInterestRateIndexValueDate(IborIndex,X2857,Trigger)</f>
        <v>59205</v>
      </c>
      <c r="Z2857" s="199">
        <v>2.3296642534153138E-2</v>
      </c>
      <c r="AA2857" s="201">
        <v>2.327945884197824E-2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59210</v>
      </c>
      <c r="Y2858" s="198">
        <f>_xll.qlInterestRateIndexValueDate(IborIndex,X2858,Trigger)</f>
        <v>59212</v>
      </c>
      <c r="Z2858" s="199">
        <v>2.3294330673139081E-2</v>
      </c>
      <c r="AA2858" s="201">
        <v>2.3277132627717023E-2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59217</v>
      </c>
      <c r="Y2859" s="198">
        <f>_xll.qlInterestRateIndexValueDate(IborIndex,X2859,Trigger)</f>
        <v>59219</v>
      </c>
      <c r="Z2859" s="199">
        <v>2.3292032383209284E-2</v>
      </c>
      <c r="AA2859" s="201">
        <v>2.3274819960459325E-2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59224</v>
      </c>
      <c r="Y2860" s="198">
        <f>_xll.qlInterestRateIndexValueDate(IborIndex,X2860,Trigger)</f>
        <v>59226</v>
      </c>
      <c r="Z2860" s="199">
        <v>2.329211182592883E-2</v>
      </c>
      <c r="AA2860" s="201">
        <v>2.3272520840285082E-2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59231</v>
      </c>
      <c r="Y2861" s="198">
        <f>_xll.qlInterestRateIndexValueDate(IborIndex,X2861,Trigger)</f>
        <v>59233</v>
      </c>
      <c r="Z2861" s="199">
        <v>2.3289251950214841E-2</v>
      </c>
      <c r="AA2861" s="201">
        <v>2.3270235267114359E-2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59238</v>
      </c>
      <c r="Y2862" s="198">
        <f>_xll.qlInterestRateIndexValueDate(IborIndex,X2862,Trigger)</f>
        <v>59240</v>
      </c>
      <c r="Z2862" s="199">
        <v>2.3286996844414681E-2</v>
      </c>
      <c r="AA2862" s="201">
        <v>2.3267963240947154E-2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59245</v>
      </c>
      <c r="Y2863" s="198">
        <f>_xll.qlInterestRateIndexValueDate(IborIndex,X2863,Trigger)</f>
        <v>59247</v>
      </c>
      <c r="Z2863" s="199">
        <v>2.3284755312342465E-2</v>
      </c>
      <c r="AA2863" s="201">
        <v>2.3265704761783468E-2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59252</v>
      </c>
      <c r="Y2864" s="198">
        <f>_xll.qlInterestRateIndexValueDate(IborIndex,X2864,Trigger)</f>
        <v>59258</v>
      </c>
      <c r="Z2864" s="199">
        <v>2.3281260329247277E-2</v>
      </c>
      <c r="AA2864" s="201">
        <v>2.3262820908787063E-2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59259</v>
      </c>
      <c r="Y2865" s="198">
        <f>_xll.qlInterestRateIndexValueDate(IborIndex,X2865,Trigger)</f>
        <v>59261</v>
      </c>
      <c r="Z2865" s="199">
        <v>2.3278527635991635E-2</v>
      </c>
      <c r="AA2865" s="201">
        <v>2.3261228444626525E-2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59266</v>
      </c>
      <c r="Y2866" s="198">
        <f>_xll.qlInterestRateIndexValueDate(IborIndex,X2866,Trigger)</f>
        <v>59268</v>
      </c>
      <c r="Z2866" s="199">
        <v>2.3278112158405841E-2</v>
      </c>
      <c r="AA2866" s="201">
        <v>2.325901060639346E-2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59273</v>
      </c>
      <c r="Y2867" s="198">
        <f>_xll.qlInterestRateIndexValueDate(IborIndex,X2867,Trigger)</f>
        <v>59275</v>
      </c>
      <c r="Z2867" s="199">
        <v>2.3275924921160328E-2</v>
      </c>
      <c r="AA2867" s="201">
        <v>2.3256806315483658E-2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59280</v>
      </c>
      <c r="Y2868" s="198">
        <f>_xll.qlInterestRateIndexValueDate(IborIndex,X2868,Trigger)</f>
        <v>59282</v>
      </c>
      <c r="Z2868" s="199">
        <v>2.327375125760666E-2</v>
      </c>
      <c r="AA2868" s="201">
        <v>2.3254615571417503E-2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59287</v>
      </c>
      <c r="Y2869" s="198">
        <f>_xll.qlInterestRateIndexValueDate(IborIndex,X2869,Trigger)</f>
        <v>59289</v>
      </c>
      <c r="Z2869" s="199">
        <v>2.3272788542870033E-2</v>
      </c>
      <c r="AA2869" s="201">
        <v>2.3252128452186938E-2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59294</v>
      </c>
      <c r="Y2870" s="198">
        <f>_xll.qlInterestRateIndexValueDate(IborIndex,X2870,Trigger)</f>
        <v>59296</v>
      </c>
      <c r="Z2870" s="199">
        <v>2.3269444651523297E-2</v>
      </c>
      <c r="AA2870" s="201">
        <v>2.325027472429575E-2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59301</v>
      </c>
      <c r="Y2871" s="198">
        <f>_xll.qlInterestRateIndexValueDate(IborIndex,X2871,Trigger)</f>
        <v>59303</v>
      </c>
      <c r="Z2871" s="199">
        <v>2.3267311708988447E-2</v>
      </c>
      <c r="AA2871" s="201">
        <v>2.3248124621320088E-2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59308</v>
      </c>
      <c r="Y2872" s="198">
        <f>_xll.qlInterestRateIndexValueDate(IborIndex,X2872,Trigger)</f>
        <v>59310</v>
      </c>
      <c r="Z2872" s="199">
        <v>2.3265192340109344E-2</v>
      </c>
      <c r="AA2872" s="201">
        <v>2.3245988065347944E-2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59315</v>
      </c>
      <c r="Y2873" s="198">
        <f>_xll.qlInterestRateIndexValueDate(IborIndex,X2873,Trigger)</f>
        <v>59317</v>
      </c>
      <c r="Z2873" s="199">
        <v>2.326308654488083E-2</v>
      </c>
      <c r="AA2873" s="201">
        <v>2.3243562875299162E-2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59322</v>
      </c>
      <c r="Y2874" s="198">
        <f>_xll.qlInterestRateIndexValueDate(IborIndex,X2874,Trigger)</f>
        <v>59324</v>
      </c>
      <c r="Z2874" s="199">
        <v>2.3260994323292594E-2</v>
      </c>
      <c r="AA2874" s="201">
        <v>2.3241755594334279E-2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59329</v>
      </c>
      <c r="Y2875" s="198">
        <f>_xll.qlInterestRateIndexValueDate(IborIndex,X2875,Trigger)</f>
        <v>59331</v>
      </c>
      <c r="Z2875" s="199">
        <v>2.3258915675344632E-2</v>
      </c>
      <c r="AA2875" s="201">
        <v>2.3239659679532565E-2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59336</v>
      </c>
      <c r="Y2876" s="198">
        <f>_xll.qlInterestRateIndexValueDate(IborIndex,X2876,Trigger)</f>
        <v>59338</v>
      </c>
      <c r="Z2876" s="199">
        <v>2.3256850601021475E-2</v>
      </c>
      <c r="AA2876" s="201">
        <v>2.3237577311574498E-2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59343</v>
      </c>
      <c r="Y2877" s="198">
        <f>_xll.qlInterestRateIndexValueDate(IborIndex,X2877,Trigger)</f>
        <v>59345</v>
      </c>
      <c r="Z2877" s="199">
        <v>2.3254799100323124E-2</v>
      </c>
      <c r="AA2877" s="201">
        <v>2.3235508490699885E-2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59350</v>
      </c>
      <c r="Y2878" s="198">
        <f>_xll.qlInterestRateIndexValueDate(IborIndex,X2878,Trigger)</f>
        <v>59352</v>
      </c>
      <c r="Z2878" s="199">
        <v>2.3252761173236686E-2</v>
      </c>
      <c r="AA2878" s="201">
        <v>2.3233453216828792E-2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59357</v>
      </c>
      <c r="Y2879" s="198">
        <f>_xll.qlInterestRateIndexValueDate(IborIndex,X2879,Trigger)</f>
        <v>59359</v>
      </c>
      <c r="Z2879" s="199">
        <v>2.3250736819759577E-2</v>
      </c>
      <c r="AA2879" s="201">
        <v>2.3231411489881282E-2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59364</v>
      </c>
      <c r="Y2880" s="198">
        <f>_xll.qlInterestRateIndexValueDate(IborIndex,X2880,Trigger)</f>
        <v>59366</v>
      </c>
      <c r="Z2880" s="199">
        <v>2.3248726039884069E-2</v>
      </c>
      <c r="AA2880" s="201">
        <v>2.3229383310097163E-2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59371</v>
      </c>
      <c r="Y2881" s="198">
        <f>_xll.qlInterestRateIndexValueDate(IborIndex,X2881,Trigger)</f>
        <v>59373</v>
      </c>
      <c r="Z2881" s="199">
        <v>2.3246728833594688E-2</v>
      </c>
      <c r="AA2881" s="201">
        <v>2.322736867715669E-2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59378</v>
      </c>
      <c r="Y2882" s="198">
        <f>_xll.qlInterestRateIndexValueDate(IborIndex,X2882,Trigger)</f>
        <v>59380</v>
      </c>
      <c r="Z2882" s="199">
        <v>2.3245354708161248E-2</v>
      </c>
      <c r="AA2882" s="201">
        <v>2.3225367591379609E-2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59385</v>
      </c>
      <c r="Y2883" s="198">
        <f>_xll.qlInterestRateIndexValueDate(IborIndex,X2883,Trigger)</f>
        <v>59387</v>
      </c>
      <c r="Z2883" s="199">
        <v>2.3243385491566459E-2</v>
      </c>
      <c r="AA2883" s="201">
        <v>2.322338005252611E-2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59392</v>
      </c>
      <c r="Y2884" s="198">
        <f>_xll.qlInterestRateIndexValueDate(IborIndex,X2884,Trigger)</f>
        <v>59394</v>
      </c>
      <c r="Z2884" s="199">
        <v>2.3240818656225248E-2</v>
      </c>
      <c r="AA2884" s="201">
        <v>2.3221406060756067E-2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59399</v>
      </c>
      <c r="Y2885" s="198">
        <f>_xll.qlInterestRateIndexValueDate(IborIndex,X2885,Trigger)</f>
        <v>59401</v>
      </c>
      <c r="Z2885" s="199">
        <v>2.3238875744241688E-2</v>
      </c>
      <c r="AA2885" s="201">
        <v>2.3219445615909606E-2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59406</v>
      </c>
      <c r="Y2886" s="198">
        <f>_xll.qlInterestRateIndexValueDate(IborIndex,X2886,Trigger)</f>
        <v>59408</v>
      </c>
      <c r="Z2886" s="199">
        <v>2.3236946405813315E-2</v>
      </c>
      <c r="AA2886" s="201">
        <v>2.3217221695821522E-2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59413</v>
      </c>
      <c r="Y2887" s="198">
        <f>_xll.qlInterestRateIndexValueDate(IborIndex,X2887,Trigger)</f>
        <v>59415</v>
      </c>
      <c r="Z2887" s="199">
        <v>2.3235030640942702E-2</v>
      </c>
      <c r="AA2887" s="201">
        <v>2.321556536746705E-2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59420</v>
      </c>
      <c r="Y2888" s="198">
        <f>_xll.qlInterestRateIndexValueDate(IborIndex,X2888,Trigger)</f>
        <v>59422</v>
      </c>
      <c r="Z2888" s="199">
        <v>2.3233743025333486E-2</v>
      </c>
      <c r="AA2888" s="201">
        <v>2.3213645563551211E-2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59427</v>
      </c>
      <c r="Y2889" s="198">
        <f>_xll.qlInterestRateIndexValueDate(IborIndex,X2889,Trigger)</f>
        <v>59429</v>
      </c>
      <c r="Z2889" s="199">
        <v>2.3231239831818035E-2</v>
      </c>
      <c r="AA2889" s="201">
        <v>2.3211739306958634E-2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59434</v>
      </c>
      <c r="Y2890" s="198">
        <f>_xll.qlInterestRateIndexValueDate(IborIndex,X2890,Trigger)</f>
        <v>59436</v>
      </c>
      <c r="Z2890" s="199">
        <v>2.3229364787566556E-2</v>
      </c>
      <c r="AA2890" s="201">
        <v>2.3209846597209705E-2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59441</v>
      </c>
      <c r="Y2891" s="198">
        <f>_xll.qlInterestRateIndexValueDate(IborIndex,X2891,Trigger)</f>
        <v>59443</v>
      </c>
      <c r="Z2891" s="199">
        <v>2.3228120438722188E-2</v>
      </c>
      <c r="AA2891" s="201">
        <v>2.3207967434464294E-2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59448</v>
      </c>
      <c r="Y2892" s="198">
        <f>_xll.qlInterestRateIndexValueDate(IborIndex,X2892,Trigger)</f>
        <v>59450</v>
      </c>
      <c r="Z2892" s="199">
        <v>2.3225655419615694E-2</v>
      </c>
      <c r="AA2892" s="201">
        <v>2.3206101818722402E-2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59455</v>
      </c>
      <c r="Y2893" s="198">
        <f>_xll.qlInterestRateIndexValueDate(IborIndex,X2893,Trigger)</f>
        <v>59457</v>
      </c>
      <c r="Z2893" s="199">
        <v>2.3223821095913727E-2</v>
      </c>
      <c r="AA2893" s="201">
        <v>2.3204249750143902E-2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59462</v>
      </c>
      <c r="Y2894" s="198">
        <f>_xll.qlInterestRateIndexValueDate(IborIndex,X2894,Trigger)</f>
        <v>59464</v>
      </c>
      <c r="Z2894" s="199">
        <v>2.3222000345717954E-2</v>
      </c>
      <c r="AA2894" s="201">
        <v>2.3202411228329112E-2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59469</v>
      </c>
      <c r="Y2895" s="198">
        <f>_xll.qlInterestRateIndexValueDate(IborIndex,X2895,Trigger)</f>
        <v>59471</v>
      </c>
      <c r="Z2895" s="199">
        <v>2.3220193169020634E-2</v>
      </c>
      <c r="AA2895" s="201">
        <v>2.3200586253677713E-2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59476</v>
      </c>
      <c r="Y2896" s="198">
        <f>_xll.qlInterestRateIndexValueDate(IborIndex,X2896,Trigger)</f>
        <v>59478</v>
      </c>
      <c r="Z2896" s="199">
        <v>2.3218399565819187E-2</v>
      </c>
      <c r="AA2896" s="201">
        <v>2.3198774826029833E-2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59483</v>
      </c>
      <c r="Y2897" s="198">
        <f>_xll.qlInterestRateIndexValueDate(IborIndex,X2897,Trigger)</f>
        <v>59488</v>
      </c>
      <c r="Z2897" s="199">
        <v>2.3215238324908682E-2</v>
      </c>
      <c r="AA2897" s="201">
        <v>2.3196721211231619E-2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59490</v>
      </c>
      <c r="Y2898" s="198">
        <f>_xll.qlInterestRateIndexValueDate(IborIndex,X2898,Trigger)</f>
        <v>59492</v>
      </c>
      <c r="Z2898" s="199">
        <v>2.3214853079860088E-2</v>
      </c>
      <c r="AA2898" s="201">
        <v>2.3195192611904503E-2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59497</v>
      </c>
      <c r="Y2899" s="198">
        <f>_xll.qlInterestRateIndexValueDate(IborIndex,X2899,Trigger)</f>
        <v>59499</v>
      </c>
      <c r="Z2899" s="199">
        <v>2.3214348206719103E-2</v>
      </c>
      <c r="AA2899" s="201">
        <v>2.3193421825107308E-2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59504</v>
      </c>
      <c r="Y2900" s="198">
        <f>_xll.qlInterestRateIndexValueDate(IborIndex,X2900,Trigger)</f>
        <v>59506</v>
      </c>
      <c r="Z2900" s="199">
        <v>2.3211985695917869E-2</v>
      </c>
      <c r="AA2900" s="201">
        <v>2.3191664585473504E-2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59511</v>
      </c>
      <c r="Y2901" s="198">
        <f>_xll.qlInterestRateIndexValueDate(IborIndex,X2901,Trigger)</f>
        <v>59513</v>
      </c>
      <c r="Z2901" s="199">
        <v>2.3209635151971612E-2</v>
      </c>
      <c r="AA2901" s="201">
        <v>2.3189920892923155E-2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59518</v>
      </c>
      <c r="Y2902" s="198">
        <f>_xll.qlInterestRateIndexValueDate(IborIndex,X2902,Trigger)</f>
        <v>59520</v>
      </c>
      <c r="Z2902" s="199">
        <v>2.3208549515472687E-2</v>
      </c>
      <c r="AA2902" s="201">
        <v>2.3188190747296389E-2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59525</v>
      </c>
      <c r="Y2903" s="198">
        <f>_xll.qlInterestRateIndexValueDate(IborIndex,X2903,Trigger)</f>
        <v>59527</v>
      </c>
      <c r="Z2903" s="199">
        <v>2.3206224400666997E-2</v>
      </c>
      <c r="AA2903" s="201">
        <v>2.3185986180127571E-2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59532</v>
      </c>
      <c r="Y2904" s="198">
        <f>_xll.qlInterestRateIndexValueDate(IborIndex,X2904,Trigger)</f>
        <v>59534</v>
      </c>
      <c r="Z2904" s="199">
        <v>2.3205795988609654E-2</v>
      </c>
      <c r="AA2904" s="201">
        <v>2.3184528909823143E-2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59539</v>
      </c>
      <c r="Y2905" s="198">
        <f>_xll.qlInterestRateIndexValueDate(IborIndex,X2905,Trigger)</f>
        <v>59541</v>
      </c>
      <c r="Z2905" s="199">
        <v>2.3202867943144755E-2</v>
      </c>
      <c r="AA2905" s="201">
        <v>2.3183081592597077E-2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59546</v>
      </c>
      <c r="Y2906" s="198">
        <f>_xll.qlInterestRateIndexValueDate(IborIndex,X2906,Trigger)</f>
        <v>59548</v>
      </c>
      <c r="Z2906" s="199">
        <v>2.3201210074530753E-2</v>
      </c>
      <c r="AA2906" s="201">
        <v>2.3181405634904451E-2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59553</v>
      </c>
      <c r="Y2907" s="198">
        <f>_xll.qlInterestRateIndexValueDate(IborIndex,X2907,Trigger)</f>
        <v>59555</v>
      </c>
      <c r="Z2907" s="199">
        <v>2.3200196615048851E-2</v>
      </c>
      <c r="AA2907" s="201">
        <v>2.3179743224455152E-2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59560</v>
      </c>
      <c r="Y2908" s="198">
        <f>_xll.qlInterestRateIndexValueDate(IborIndex,X2908,Trigger)</f>
        <v>59562</v>
      </c>
      <c r="Z2908" s="199">
        <v>2.3197935057584083E-2</v>
      </c>
      <c r="AA2908" s="201">
        <v>2.3178094360929435E-2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59567</v>
      </c>
      <c r="Y2909" s="198">
        <f>_xll.qlInterestRateIndexValueDate(IborIndex,X2909,Trigger)</f>
        <v>59569</v>
      </c>
      <c r="Z2909" s="199">
        <v>2.3194420869797141E-2</v>
      </c>
      <c r="AA2909" s="201">
        <v>2.3176459044247366E-2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59574</v>
      </c>
      <c r="Y2910" s="198">
        <f>_xll.qlInterestRateIndexValueDate(IborIndex,X2910,Trigger)</f>
        <v>59576</v>
      </c>
      <c r="Z2910" s="199">
        <v>2.3192814696459951E-2</v>
      </c>
      <c r="AA2910" s="201">
        <v>2.3174837274808624E-2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59581</v>
      </c>
      <c r="Y2911" s="198">
        <f>_xll.qlInterestRateIndexValueDate(IborIndex,X2911,Trigger)</f>
        <v>59583</v>
      </c>
      <c r="Z2911" s="199">
        <v>2.3191222093887274E-2</v>
      </c>
      <c r="AA2911" s="201">
        <v>2.3173229052373401E-2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59588</v>
      </c>
      <c r="Y2912" s="198">
        <f>_xll.qlInterestRateIndexValueDate(IborIndex,X2912,Trigger)</f>
        <v>59590</v>
      </c>
      <c r="Z2912" s="199">
        <v>2.3189643062079109E-2</v>
      </c>
      <c r="AA2912" s="201">
        <v>2.3171634376861761E-2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59595</v>
      </c>
      <c r="Y2913" s="198">
        <f>_xll.qlInterestRateIndexValueDate(IborIndex,X2913,Trigger)</f>
        <v>59597</v>
      </c>
      <c r="Z2913" s="199">
        <v>2.3189985049879031E-2</v>
      </c>
      <c r="AA2913" s="201">
        <v>2.3170053248353639E-2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59602</v>
      </c>
      <c r="Y2914" s="198">
        <f>_xll.qlInterestRateIndexValueDate(IborIndex,X2914,Trigger)</f>
        <v>59604</v>
      </c>
      <c r="Z2914" s="199">
        <v>2.3188435768520345E-2</v>
      </c>
      <c r="AA2914" s="201">
        <v>2.3168485666769101E-2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59609</v>
      </c>
      <c r="Y2915" s="198">
        <f>_xll.qlInterestRateIndexValueDate(IborIndex,X2915,Trigger)</f>
        <v>59611</v>
      </c>
      <c r="Z2915" s="199">
        <v>2.3187537837772443E-2</v>
      </c>
      <c r="AA2915" s="201">
        <v>2.316693163242789E-2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59616</v>
      </c>
      <c r="Y2916" s="198">
        <f>_xll.qlInterestRateIndexValueDate(IborIndex,X2916,Trigger)</f>
        <v>59618</v>
      </c>
      <c r="Z2916" s="199">
        <v>2.3185377925947645E-2</v>
      </c>
      <c r="AA2916" s="201">
        <v>2.3165391144850389E-2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59623</v>
      </c>
      <c r="Y2917" s="198">
        <f>_xll.qlInterestRateIndexValueDate(IborIndex,X2917,Trigger)</f>
        <v>59625</v>
      </c>
      <c r="Z2917" s="199">
        <v>2.3183869364720739E-2</v>
      </c>
      <c r="AA2917" s="201">
        <v>2.316386420443628E-2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59630</v>
      </c>
      <c r="Y2918" s="198">
        <f>_xll.qlInterestRateIndexValueDate(IborIndex,X2918,Trigger)</f>
        <v>59632</v>
      </c>
      <c r="Z2918" s="199">
        <v>2.3183014771670785E-2</v>
      </c>
      <c r="AA2918" s="201">
        <v>2.3162350810945753E-2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59637</v>
      </c>
      <c r="Y2919" s="198">
        <f>_xll.qlInterestRateIndexValueDate(IborIndex,X2919,Trigger)</f>
        <v>59643</v>
      </c>
      <c r="Z2919" s="199">
        <v>2.3179410875799888E-2</v>
      </c>
      <c r="AA2919" s="201">
        <v>2.3160424925015022E-2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59644</v>
      </c>
      <c r="Y2920" s="198">
        <f>_xll.qlInterestRateIndexValueDate(IborIndex,X2920,Trigger)</f>
        <v>59646</v>
      </c>
      <c r="Z2920" s="199">
        <v>2.3179425121215919E-2</v>
      </c>
      <c r="AA2920" s="201">
        <v>2.3159364664975257E-2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59651</v>
      </c>
      <c r="Y2921" s="198">
        <f>_xll.qlInterestRateIndexValueDate(IborIndex,X2921,Trigger)</f>
        <v>59653</v>
      </c>
      <c r="Z2921" s="199">
        <v>2.3178613873727216E-2</v>
      </c>
      <c r="AA2921" s="201">
        <v>2.3157891912495288E-2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59658</v>
      </c>
      <c r="Y2922" s="198">
        <f>_xll.qlInterestRateIndexValueDate(IborIndex,X2922,Trigger)</f>
        <v>59660</v>
      </c>
      <c r="Z2922" s="199">
        <v>2.3176530158971798E-2</v>
      </c>
      <c r="AA2922" s="201">
        <v>2.3156225355123183E-2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59665</v>
      </c>
      <c r="Y2923" s="198">
        <f>_xll.qlInterestRateIndexValueDate(IborIndex,X2923,Trigger)</f>
        <v>59667</v>
      </c>
      <c r="Z2923" s="199">
        <v>2.317510303786148E-2</v>
      </c>
      <c r="AA2923" s="201">
        <v>2.3154987048625841E-2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59672</v>
      </c>
      <c r="Y2924" s="198">
        <f>_xll.qlInterestRateIndexValueDate(IborIndex,X2924,Trigger)</f>
        <v>59674</v>
      </c>
      <c r="Z2924" s="199">
        <v>2.3173689490089744E-2</v>
      </c>
      <c r="AA2924" s="201">
        <v>2.3153554937156429E-2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59679</v>
      </c>
      <c r="Y2925" s="198">
        <f>_xll.qlInterestRateIndexValueDate(IborIndex,X2925,Trigger)</f>
        <v>59681</v>
      </c>
      <c r="Z2925" s="199">
        <v>2.3172289515646274E-2</v>
      </c>
      <c r="AA2925" s="201">
        <v>2.3151934826630693E-2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59686</v>
      </c>
      <c r="Y2926" s="198">
        <f>_xll.qlInterestRateIndexValueDate(IborIndex,X2926,Trigger)</f>
        <v>59688</v>
      </c>
      <c r="Z2926" s="199">
        <v>2.3170903114528494E-2</v>
      </c>
      <c r="AA2926" s="201">
        <v>2.3150731355388032E-2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59693</v>
      </c>
      <c r="Y2927" s="198">
        <f>_xll.qlInterestRateIndexValueDate(IborIndex,X2927,Trigger)</f>
        <v>59695</v>
      </c>
      <c r="Z2927" s="199">
        <v>2.3169530286731247E-2</v>
      </c>
      <c r="AA2927" s="201">
        <v>2.3149339884929176E-2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59700</v>
      </c>
      <c r="Y2928" s="198">
        <f>_xll.qlInterestRateIndexValueDate(IborIndex,X2928,Trigger)</f>
        <v>59702</v>
      </c>
      <c r="Z2928" s="199">
        <v>2.3168171032249371E-2</v>
      </c>
      <c r="AA2928" s="201">
        <v>2.314796196147384E-2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59707</v>
      </c>
      <c r="Y2929" s="198">
        <f>_xll.qlInterestRateIndexValueDate(IborIndex,X2929,Trigger)</f>
        <v>59709</v>
      </c>
      <c r="Z2929" s="199">
        <v>2.3166825351077718E-2</v>
      </c>
      <c r="AA2929" s="201">
        <v>2.3146597585181894E-2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59714</v>
      </c>
      <c r="Y2930" s="198">
        <f>_xll.qlInterestRateIndexValueDate(IborIndex,X2930,Trigger)</f>
        <v>59716</v>
      </c>
      <c r="Z2930" s="199">
        <v>2.3166144187436177E-2</v>
      </c>
      <c r="AA2930" s="201">
        <v>2.3145246755653659E-2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59721</v>
      </c>
      <c r="Y2931" s="198">
        <f>_xll.qlInterestRateIndexValueDate(IborIndex,X2931,Trigger)</f>
        <v>59723</v>
      </c>
      <c r="Z2931" s="199">
        <v>2.316417470864959E-2</v>
      </c>
      <c r="AA2931" s="201">
        <v>2.3143909473208879E-2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59728</v>
      </c>
      <c r="Y2932" s="198">
        <f>_xll.qlInterestRateIndexValueDate(IborIndex,X2932,Trigger)</f>
        <v>59730</v>
      </c>
      <c r="Z2932" s="199">
        <v>2.3162869747385378E-2</v>
      </c>
      <c r="AA2932" s="201">
        <v>2.3142585737847554E-2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59735</v>
      </c>
      <c r="Y2933" s="198">
        <f>_xll.qlInterestRateIndexValueDate(IborIndex,X2933,Trigger)</f>
        <v>59737</v>
      </c>
      <c r="Z2933" s="199">
        <v>2.316157835941076E-2</v>
      </c>
      <c r="AA2933" s="201">
        <v>2.3141275549569684E-2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59742</v>
      </c>
      <c r="Y2934" s="198">
        <f>_xll.qlInterestRateIndexValueDate(IborIndex,X2934,Trigger)</f>
        <v>59744</v>
      </c>
      <c r="Z2934" s="199">
        <v>2.3160955033497133E-2</v>
      </c>
      <c r="AA2934" s="201">
        <v>2.3139978908135461E-2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59749</v>
      </c>
      <c r="Y2935" s="198">
        <f>_xll.qlInterestRateIndexValueDate(IborIndex,X2935,Trigger)</f>
        <v>59751</v>
      </c>
      <c r="Z2935" s="199">
        <v>2.3159691680427474E-2</v>
      </c>
      <c r="AA2935" s="201">
        <v>2.3138695813704757E-2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59756</v>
      </c>
      <c r="Y2936" s="198">
        <f>_xll.qlInterestRateIndexValueDate(IborIndex,X2936,Trigger)</f>
        <v>59758</v>
      </c>
      <c r="Z2936" s="199">
        <v>2.3157785635198647E-2</v>
      </c>
      <c r="AA2936" s="201">
        <v>2.313742626651738E-2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59763</v>
      </c>
      <c r="Y2937" s="198">
        <f>_xll.qlInterestRateIndexValueDate(IborIndex,X2937,Trigger)</f>
        <v>59765</v>
      </c>
      <c r="Z2937" s="199">
        <v>2.3156548540354017E-2</v>
      </c>
      <c r="AA2937" s="201">
        <v>2.3136170266093714E-2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59770</v>
      </c>
      <c r="Y2938" s="198">
        <f>_xll.qlInterestRateIndexValueDate(IborIndex,X2938,Trigger)</f>
        <v>59772</v>
      </c>
      <c r="Z2938" s="199">
        <v>2.3155325018775774E-2</v>
      </c>
      <c r="AA2938" s="201">
        <v>2.3134751425288869E-2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59777</v>
      </c>
      <c r="Y2939" s="198">
        <f>_xll.qlInterestRateIndexValueDate(IborIndex,X2939,Trigger)</f>
        <v>59779</v>
      </c>
      <c r="Z2939" s="199">
        <v>2.3152138932428672E-2</v>
      </c>
      <c r="AA2939" s="201">
        <v>2.3133698906256939E-2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59784</v>
      </c>
      <c r="Y2940" s="198">
        <f>_xll.qlInterestRateIndexValueDate(IborIndex,X2940,Trigger)</f>
        <v>59786</v>
      </c>
      <c r="Z2940" s="199">
        <v>2.3153578527301266E-2</v>
      </c>
      <c r="AA2940" s="201">
        <v>2.3132483547003702E-2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59791</v>
      </c>
      <c r="Y2941" s="198">
        <f>_xll.qlInterestRateIndexValueDate(IborIndex,X2941,Trigger)</f>
        <v>59793</v>
      </c>
      <c r="Z2941" s="199">
        <v>2.3151735893621274E-2</v>
      </c>
      <c r="AA2941" s="201">
        <v>2.3131281734594111E-2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59798</v>
      </c>
      <c r="Y2942" s="198">
        <f>_xll.qlInterestRateIndexValueDate(IborIndex,X2942,Trigger)</f>
        <v>59800</v>
      </c>
      <c r="Z2942" s="199">
        <v>2.3150566665082768E-2</v>
      </c>
      <c r="AA2942" s="201">
        <v>2.313009346918804E-2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59805</v>
      </c>
      <c r="Y2943" s="198">
        <f>_xll.qlInterestRateIndexValueDate(IborIndex,X2943,Trigger)</f>
        <v>59807</v>
      </c>
      <c r="Z2943" s="199">
        <v>2.3150736154102187E-2</v>
      </c>
      <c r="AA2943" s="201">
        <v>2.3128918750865424E-2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59812</v>
      </c>
      <c r="Y2944" s="198">
        <f>_xll.qlInterestRateIndexValueDate(IborIndex,X2944,Trigger)</f>
        <v>59814</v>
      </c>
      <c r="Z2944" s="199">
        <v>2.3148268927750754E-2</v>
      </c>
      <c r="AA2944" s="201">
        <v>2.3127757579626262E-2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59819</v>
      </c>
      <c r="Y2945" s="198">
        <f>_xll.qlInterestRateIndexValueDate(IborIndex,X2945,Trigger)</f>
        <v>59821</v>
      </c>
      <c r="Z2945" s="199">
        <v>2.314780472752298E-2</v>
      </c>
      <c r="AA2945" s="201">
        <v>2.3126609955230748E-2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59826</v>
      </c>
      <c r="Y2946" s="198">
        <f>_xll.qlInterestRateIndexValueDate(IborIndex,X2946,Trigger)</f>
        <v>59828</v>
      </c>
      <c r="Z2946" s="199">
        <v>2.3146025483383702E-2</v>
      </c>
      <c r="AA2946" s="201">
        <v>2.3125475877918689E-2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59833</v>
      </c>
      <c r="Y2947" s="198">
        <f>_xll.qlInterestRateIndexValueDate(IborIndex,X2947,Trigger)</f>
        <v>59835</v>
      </c>
      <c r="Z2947" s="199">
        <v>2.3144924121050754E-2</v>
      </c>
      <c r="AA2947" s="201">
        <v>2.3124355347530212E-2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59840</v>
      </c>
      <c r="Y2948" s="198">
        <f>_xll.qlInterestRateIndexValueDate(IborIndex,X2948,Trigger)</f>
        <v>59842</v>
      </c>
      <c r="Z2948" s="199">
        <v>2.314383633194551E-2</v>
      </c>
      <c r="AA2948" s="201">
        <v>2.3123248364305127E-2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59847</v>
      </c>
      <c r="Y2949" s="198">
        <f>_xll.qlInterestRateIndexValueDate(IborIndex,X2949,Trigger)</f>
        <v>59849</v>
      </c>
      <c r="Z2949" s="199">
        <v>2.314276211607055E-2</v>
      </c>
      <c r="AA2949" s="201">
        <v>2.3122154927843752E-2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59854</v>
      </c>
      <c r="Y2950" s="198">
        <f>_xll.qlInterestRateIndexValueDate(IborIndex,X2950,Trigger)</f>
        <v>59856</v>
      </c>
      <c r="Z2950" s="199">
        <v>2.3141701473418132E-2</v>
      </c>
      <c r="AA2950" s="201">
        <v>2.3121075038465833E-2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59861</v>
      </c>
      <c r="Y2951" s="198">
        <f>_xll.qlInterestRateIndexValueDate(IborIndex,X2951,Trigger)</f>
        <v>59863</v>
      </c>
      <c r="Z2951" s="199">
        <v>2.3140654403980526E-2</v>
      </c>
      <c r="AA2951" s="201">
        <v>2.3120008696251304E-2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59868</v>
      </c>
      <c r="Y2952" s="198">
        <f>_xll.qlInterestRateIndexValueDate(IborIndex,X2952,Trigger)</f>
        <v>59870</v>
      </c>
      <c r="Z2952" s="199">
        <v>2.3139620907762889E-2</v>
      </c>
      <c r="AA2952" s="201">
        <v>2.3118955900880422E-2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59875</v>
      </c>
      <c r="Y2953" s="198">
        <f>_xll.qlInterestRateIndexValueDate(IborIndex,X2953,Trigger)</f>
        <v>59877</v>
      </c>
      <c r="Z2953" s="199">
        <v>2.3138600984752324E-2</v>
      </c>
      <c r="AA2953" s="201">
        <v>2.311791665251306E-2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59882</v>
      </c>
      <c r="Y2954" s="198">
        <f>_xll.qlInterestRateIndexValueDate(IborIndex,X2954,Trigger)</f>
        <v>59884</v>
      </c>
      <c r="Z2954" s="199">
        <v>2.3137594634943678E-2</v>
      </c>
      <c r="AA2954" s="201">
        <v>2.3116890951309088E-2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59889</v>
      </c>
      <c r="Y2955" s="198">
        <f>_xll.qlInterestRateIndexValueDate(IborIndex,X2955,Trigger)</f>
        <v>59891</v>
      </c>
      <c r="Z2955" s="199">
        <v>2.313727518590436E-2</v>
      </c>
      <c r="AA2955" s="201">
        <v>2.3115592098204019E-2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59897</v>
      </c>
      <c r="Y2956" s="198">
        <f>_xll.qlInterestRateIndexValueDate(IborIndex,X2956,Trigger)</f>
        <v>59901</v>
      </c>
      <c r="Z2956" s="199">
        <v>2.3135207151408935E-2</v>
      </c>
      <c r="AA2956" s="201">
        <v>2.311459736135113E-2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59904</v>
      </c>
      <c r="Y2957" s="198">
        <f>_xll.qlInterestRateIndexValueDate(IborIndex,X2957,Trigger)</f>
        <v>59908</v>
      </c>
      <c r="Z2957" s="199">
        <v>2.3134247338297366E-2</v>
      </c>
      <c r="AA2957" s="201">
        <v>2.3113755512280676E-2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59911</v>
      </c>
      <c r="Y2958" s="198">
        <f>_xll.qlInterestRateIndexValueDate(IborIndex,X2958,Trigger)</f>
        <v>59915</v>
      </c>
      <c r="Z2958" s="199">
        <v>2.3133301098369662E-2</v>
      </c>
      <c r="AA2958" s="201">
        <v>2.3112785934102931E-2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59918</v>
      </c>
      <c r="Y2959" s="198">
        <f>_xll.qlInterestRateIndexValueDate(IborIndex,X2959,Trigger)</f>
        <v>59923</v>
      </c>
      <c r="Z2959" s="199">
        <v>2.3132236301546046E-2</v>
      </c>
      <c r="AA2959" s="201">
        <v>2.3111694433133323E-2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59925</v>
      </c>
      <c r="Y2960" s="198">
        <f>_xll.qlInterestRateIndexValueDate(IborIndex,X2960,Trigger)</f>
        <v>59929</v>
      </c>
      <c r="Z2960" s="199">
        <v>2.3131449338083906E-2</v>
      </c>
      <c r="AA2960" s="201">
        <v>2.3110887419077741E-2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59932</v>
      </c>
      <c r="Y2961" s="198">
        <f>_xll.qlInterestRateIndexValueDate(IborIndex,X2961,Trigger)</f>
        <v>59936</v>
      </c>
      <c r="Z2961" s="199">
        <v>2.312918582234208E-2</v>
      </c>
      <c r="AA2961" s="201">
        <v>2.3109958481990489E-2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59939</v>
      </c>
      <c r="Y2962" s="198">
        <f>_xll.qlInterestRateIndexValueDate(IborIndex,X2962,Trigger)</f>
        <v>59943</v>
      </c>
      <c r="Z2962" s="199">
        <v>2.3128292050871455E-2</v>
      </c>
      <c r="AA2962" s="201">
        <v>2.3109043091906756E-2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59946</v>
      </c>
      <c r="Y2963" s="198">
        <f>_xll.qlInterestRateIndexValueDate(IborIndex,X2963,Trigger)</f>
        <v>59951</v>
      </c>
      <c r="Z2963" s="199">
        <v>2.3127287215845234E-2</v>
      </c>
      <c r="AA2963" s="201">
        <v>2.3108013520198867E-2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59953</v>
      </c>
      <c r="Y2964" s="198">
        <f>_xll.qlInterestRateIndexValueDate(IborIndex,X2964,Trigger)</f>
        <v>59957</v>
      </c>
      <c r="Z2964" s="199">
        <v>2.3126545222220071E-2</v>
      </c>
      <c r="AA2964" s="201">
        <v>2.3107252952989654E-2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59960</v>
      </c>
      <c r="Y2965" s="198">
        <f>_xll.qlInterestRateIndexValueDate(IborIndex,X2965,Trigger)</f>
        <v>59964</v>
      </c>
      <c r="Z2965" s="199">
        <v>2.3127057468008552E-2</v>
      </c>
      <c r="AA2965" s="201">
        <v>2.3106378203996414E-2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59967</v>
      </c>
      <c r="Y2966" s="198">
        <f>_xll.qlInterestRateIndexValueDate(IborIndex,X2966,Trigger)</f>
        <v>59971</v>
      </c>
      <c r="Z2966" s="199">
        <v>2.3126219813505371E-2</v>
      </c>
      <c r="AA2966" s="201">
        <v>2.3105517001926756E-2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59974</v>
      </c>
      <c r="Y2967" s="198">
        <f>_xll.qlInterestRateIndexValueDate(IborIndex,X2967,Trigger)</f>
        <v>59978</v>
      </c>
      <c r="Z2967" s="199">
        <v>2.3125395732168007E-2</v>
      </c>
      <c r="AA2967" s="201">
        <v>2.3104669346860618E-2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59981</v>
      </c>
      <c r="Y2968" s="198">
        <f>_xll.qlInterestRateIndexValueDate(IborIndex,X2968,Trigger)</f>
        <v>59985</v>
      </c>
      <c r="Z2968" s="199">
        <v>2.3124585223991304E-2</v>
      </c>
      <c r="AA2968" s="201">
        <v>2.3103835238877934E-2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59988</v>
      </c>
      <c r="Y2969" s="198">
        <f>_xll.qlInterestRateIndexValueDate(IborIndex,X2969,Trigger)</f>
        <v>59992</v>
      </c>
      <c r="Z2969" s="199">
        <v>2.3123101911258104E-2</v>
      </c>
      <c r="AA2969" s="201">
        <v>2.310301467789877E-2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59995</v>
      </c>
      <c r="Y2970" s="198">
        <f>_xll.qlInterestRateIndexValueDate(IborIndex,X2970,Trigger)</f>
        <v>60001</v>
      </c>
      <c r="Z2970" s="199">
        <v>2.3122096042784257E-2</v>
      </c>
      <c r="AA2970" s="201">
        <v>2.3103348561086534E-2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60002</v>
      </c>
      <c r="Y2971" s="198">
        <f>_xll.qlInterestRateIndexValueDate(IborIndex,X2971,Trigger)</f>
        <v>60006</v>
      </c>
      <c r="Z2971" s="199">
        <v>2.3121546921446523E-2</v>
      </c>
      <c r="AA2971" s="201">
        <v>2.3101414196871062E-2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60009</v>
      </c>
      <c r="Y2972" s="198">
        <f>_xll.qlInterestRateIndexValueDate(IborIndex,X2972,Trigger)</f>
        <v>60013</v>
      </c>
      <c r="Z2972" s="199">
        <v>2.3120789784959683E-2</v>
      </c>
      <c r="AA2972" s="201">
        <v>2.3100634276742582E-2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60016</v>
      </c>
      <c r="Y2973" s="198">
        <f>_xll.qlInterestRateIndexValueDate(IborIndex,X2973,Trigger)</f>
        <v>60020</v>
      </c>
      <c r="Z2973" s="199">
        <v>2.3120046220746815E-2</v>
      </c>
      <c r="AA2973" s="201">
        <v>2.3099867903777493E-2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60023</v>
      </c>
      <c r="Y2974" s="198">
        <f>_xll.qlInterestRateIndexValueDate(IborIndex,X2974,Trigger)</f>
        <v>60028</v>
      </c>
      <c r="Z2974" s="199">
        <v>2.3119904166421353E-2</v>
      </c>
      <c r="AA2974" s="201">
        <v>2.3099008637039731E-2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60030</v>
      </c>
      <c r="Y2975" s="198">
        <f>_xll.qlInterestRateIndexValueDate(IborIndex,X2975,Trigger)</f>
        <v>60034</v>
      </c>
      <c r="Z2975" s="199">
        <v>2.3119291715038837E-2</v>
      </c>
      <c r="AA2975" s="201">
        <v>2.3098375798698001E-2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60037</v>
      </c>
      <c r="Y2976" s="198">
        <f>_xll.qlInterestRateIndexValueDate(IborIndex,X2976,Trigger)</f>
        <v>60041</v>
      </c>
      <c r="Z2976" s="199">
        <v>2.3118589792054587E-2</v>
      </c>
      <c r="AA2976" s="201">
        <v>2.3097650066663533E-2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60044</v>
      </c>
      <c r="Y2977" s="198">
        <f>_xll.qlInterestRateIndexValueDate(IborIndex,X2977,Trigger)</f>
        <v>60049</v>
      </c>
      <c r="Z2977" s="199">
        <v>2.3117804214528977E-2</v>
      </c>
      <c r="AA2977" s="201">
        <v>2.3096837246772139E-2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60051</v>
      </c>
      <c r="Y2978" s="198">
        <f>_xll.qlInterestRateIndexValueDate(IborIndex,X2978,Trigger)</f>
        <v>60055</v>
      </c>
      <c r="Z2978" s="199">
        <v>2.3116531983730759E-2</v>
      </c>
      <c r="AA2978" s="201">
        <v>2.3096239243605154E-2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60058</v>
      </c>
      <c r="Y2979" s="198">
        <f>_xll.qlInterestRateIndexValueDate(IborIndex,X2979,Trigger)</f>
        <v>60062</v>
      </c>
      <c r="Z2979" s="199">
        <v>2.3115869853124416E-2</v>
      </c>
      <c r="AA2979" s="201">
        <v>2.3095554152581244E-2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60065</v>
      </c>
      <c r="Y2980" s="198">
        <f>_xll.qlInterestRateIndexValueDate(IborIndex,X2980,Trigger)</f>
        <v>60069</v>
      </c>
      <c r="Z2980" s="199">
        <v>2.3115221294770727E-2</v>
      </c>
      <c r="AA2980" s="201">
        <v>2.309488260840098E-2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60072</v>
      </c>
      <c r="Y2981" s="198">
        <f>_xll.qlInterestRateIndexValueDate(IborIndex,X2981,Trigger)</f>
        <v>60076</v>
      </c>
      <c r="Z2981" s="199">
        <v>2.3114586308669693E-2</v>
      </c>
      <c r="AA2981" s="201">
        <v>2.3094224611464043E-2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60079</v>
      </c>
      <c r="Y2982" s="198">
        <f>_xll.qlInterestRateIndexValueDate(IborIndex,X2982,Trigger)</f>
        <v>60083</v>
      </c>
      <c r="Z2982" s="199">
        <v>2.311466328995564E-2</v>
      </c>
      <c r="AA2982" s="201">
        <v>2.3093580161530625E-2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60086</v>
      </c>
      <c r="Y2983" s="198">
        <f>_xll.qlInterestRateIndexValueDate(IborIndex,X2983,Trigger)</f>
        <v>60090</v>
      </c>
      <c r="Z2983" s="199">
        <v>2.3114056378884563E-2</v>
      </c>
      <c r="AA2983" s="201">
        <v>2.3092949258280981E-2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60093</v>
      </c>
      <c r="Y2984" s="198">
        <f>_xll.qlInterestRateIndexValueDate(IborIndex,X2984,Trigger)</f>
        <v>60097</v>
      </c>
      <c r="Z2984" s="199">
        <v>2.3113463040935468E-2</v>
      </c>
      <c r="AA2984" s="201">
        <v>2.3092331902274665E-2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60100</v>
      </c>
      <c r="Y2985" s="198">
        <f>_xll.qlInterestRateIndexValueDate(IborIndex,X2985,Trigger)</f>
        <v>60104</v>
      </c>
      <c r="Z2985" s="199">
        <v>2.3112883276108356E-2</v>
      </c>
      <c r="AA2985" s="201">
        <v>2.3091728093351804E-2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60107</v>
      </c>
      <c r="Y2986" s="198">
        <f>_xll.qlInterestRateIndexValueDate(IborIndex,X2986,Trigger)</f>
        <v>60111</v>
      </c>
      <c r="Z2986" s="199">
        <v>2.3112317084392906E-2</v>
      </c>
      <c r="AA2986" s="201">
        <v>2.309113783127259E-2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60114</v>
      </c>
      <c r="Y2987" s="198">
        <f>_xll.qlInterestRateIndexValueDate(IborIndex,X2987,Trigger)</f>
        <v>60118</v>
      </c>
      <c r="Z2987" s="199">
        <v>2.3111764465799441E-2</v>
      </c>
      <c r="AA2987" s="201">
        <v>2.3090561116196895E-2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60121</v>
      </c>
      <c r="Y2988" s="198">
        <f>_xll.qlInterestRateIndexValueDate(IborIndex,X2988,Trigger)</f>
        <v>60125</v>
      </c>
      <c r="Z2988" s="199">
        <v>2.3111225420315063E-2</v>
      </c>
      <c r="AA2988" s="201">
        <v>2.3089997948204655E-2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60128</v>
      </c>
      <c r="Y2989" s="198">
        <f>_xll.qlInterestRateIndexValueDate(IborIndex,X2989,Trigger)</f>
        <v>60132</v>
      </c>
      <c r="Z2989" s="199">
        <v>2.3110699947944929E-2</v>
      </c>
      <c r="AA2989" s="201">
        <v>2.3089448327215933E-2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60135</v>
      </c>
      <c r="Y2990" s="198">
        <f>_xll.qlInterestRateIndexValueDate(IborIndex,X2990,Trigger)</f>
        <v>60140</v>
      </c>
      <c r="Z2990" s="199">
        <v>2.3110116028227191E-2</v>
      </c>
      <c r="AA2990" s="201">
        <v>2.3088836777045429E-2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60142</v>
      </c>
      <c r="Y2991" s="198">
        <f>_xll.qlInterestRateIndexValueDate(IborIndex,X2991,Trigger)</f>
        <v>60147</v>
      </c>
      <c r="Z2991" s="199">
        <v>2.3108912705935403E-2</v>
      </c>
      <c r="AA2991" s="201">
        <v>2.3088316185235769E-2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60149</v>
      </c>
      <c r="Y2992" s="198">
        <f>_xll.qlInterestRateIndexValueDate(IborIndex,X2992,Trigger)</f>
        <v>60153</v>
      </c>
      <c r="Z2992" s="199">
        <v>2.3108497229967107E-2</v>
      </c>
      <c r="AA2992" s="201">
        <v>2.3087880746031075E-2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60156</v>
      </c>
      <c r="Y2993" s="198">
        <f>_xll.qlInterestRateIndexValueDate(IborIndex,X2993,Trigger)</f>
        <v>60160</v>
      </c>
      <c r="Z2993" s="199">
        <v>2.3108025110794017E-2</v>
      </c>
      <c r="AA2993" s="201">
        <v>2.3087385312976494E-2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60163</v>
      </c>
      <c r="Y2994" s="198">
        <f>_xll.qlInterestRateIndexValueDate(IborIndex,X2994,Trigger)</f>
        <v>60167</v>
      </c>
      <c r="Z2994" s="199">
        <v>2.3107566563857596E-2</v>
      </c>
      <c r="AA2994" s="201">
        <v>2.3086903426845495E-2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60170</v>
      </c>
      <c r="Y2995" s="198">
        <f>_xll.qlInterestRateIndexValueDate(IborIndex,X2995,Trigger)</f>
        <v>60174</v>
      </c>
      <c r="Z2995" s="199">
        <v>2.3107121589141855E-2</v>
      </c>
      <c r="AA2995" s="201">
        <v>2.3086435087877888E-2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60177</v>
      </c>
      <c r="Y2996" s="198">
        <f>_xll.qlInterestRateIndexValueDate(IborIndex,X2996,Trigger)</f>
        <v>60181</v>
      </c>
      <c r="Z2996" s="199">
        <v>2.310740168832854E-2</v>
      </c>
      <c r="AA2996" s="201">
        <v>2.3085980295753927E-2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60184</v>
      </c>
      <c r="Y2997" s="198">
        <f>_xll.qlInterestRateIndexValueDate(IborIndex,X2997,Trigger)</f>
        <v>60189</v>
      </c>
      <c r="Z2997" s="199">
        <v>2.3106926353437092E-2</v>
      </c>
      <c r="AA2997" s="201">
        <v>2.3085477121691511E-2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60191</v>
      </c>
      <c r="Y2998" s="198">
        <f>_xll.qlInterestRateIndexValueDate(IborIndex,X2998,Trigger)</f>
        <v>60195</v>
      </c>
      <c r="Z2998" s="199">
        <v>2.3106581486344788E-2</v>
      </c>
      <c r="AA2998" s="201">
        <v>2.3085111352596499E-2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60198</v>
      </c>
      <c r="Y2999" s="198">
        <f>_xll.qlInterestRateIndexValueDate(IborIndex,X2999,Trigger)</f>
        <v>60202</v>
      </c>
      <c r="Z2999" s="199">
        <v>2.3106906198019916E-2</v>
      </c>
      <c r="AA2999" s="201">
        <v>2.3084697201722904E-2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60205</v>
      </c>
      <c r="Y3000" s="198">
        <f>_xll.qlInterestRateIndexValueDate(IborIndex,X3000,Trigger)</f>
        <v>60209</v>
      </c>
      <c r="Z3000" s="199">
        <v>2.3105100299001258E-2</v>
      </c>
      <c r="AA3000" s="201">
        <v>2.3084296597533083E-2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60212</v>
      </c>
      <c r="Y3001" s="198">
        <f>_xll.qlInterestRateIndexValueDate(IborIndex,X3001,Trigger)</f>
        <v>60216</v>
      </c>
      <c r="Z3001" s="199">
        <v>2.3104736757646904E-2</v>
      </c>
      <c r="AA3001" s="201">
        <v>2.3083909540426717E-2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60219</v>
      </c>
      <c r="Y3002" s="198">
        <f>_xll.qlInterestRateIndexValueDate(IborIndex,X3002,Trigger)</f>
        <v>60223</v>
      </c>
      <c r="Z3002" s="199">
        <v>2.3104386788510567E-2</v>
      </c>
      <c r="AA3002" s="201">
        <v>2.3083536030403806E-2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60226</v>
      </c>
      <c r="Y3003" s="198">
        <f>_xll.qlInterestRateIndexValueDate(IborIndex,X3003,Trigger)</f>
        <v>60230</v>
      </c>
      <c r="Z3003" s="199">
        <v>2.3104050391597575E-2</v>
      </c>
      <c r="AA3003" s="201">
        <v>2.3083176067304478E-2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60233</v>
      </c>
      <c r="Y3004" s="198">
        <f>_xll.qlInterestRateIndexValueDate(IborIndex,X3004,Trigger)</f>
        <v>60237</v>
      </c>
      <c r="Z3004" s="199">
        <v>2.3105165823620322E-2</v>
      </c>
      <c r="AA3004" s="201">
        <v>2.3082829651368542E-2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60240</v>
      </c>
      <c r="Y3005" s="198">
        <f>_xll.qlInterestRateIndexValueDate(IborIndex,X3005,Trigger)</f>
        <v>60244</v>
      </c>
      <c r="Z3005" s="199">
        <v>2.3104138331850588E-2</v>
      </c>
      <c r="AA3005" s="201">
        <v>2.308249678211638E-2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60247</v>
      </c>
      <c r="Y3006" s="198">
        <f>_xll.qlInterestRateIndexValueDate(IborIndex,X3006,Trigger)</f>
        <v>60251</v>
      </c>
      <c r="Z3006" s="199">
        <v>2.3103843602138987E-2</v>
      </c>
      <c r="AA3006" s="201">
        <v>2.3082177460107545E-2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60254</v>
      </c>
      <c r="Y3007" s="198">
        <f>_xll.qlInterestRateIndexValueDate(IborIndex,X3007,Trigger)</f>
        <v>60258</v>
      </c>
      <c r="Z3007" s="199">
        <v>2.3103562445505526E-2</v>
      </c>
      <c r="AA3007" s="201">
        <v>2.3084747102366521E-2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60265</v>
      </c>
      <c r="Y3008" s="198">
        <f>_xll.qlInterestRateIndexValueDate(IborIndex,X3008,Trigger)</f>
        <v>60267</v>
      </c>
      <c r="Z3008" s="199">
        <v>2.3102497758610063E-2</v>
      </c>
      <c r="AA3008" s="201">
        <v>2.3081379016556269E-2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60272</v>
      </c>
      <c r="Y3009" s="198">
        <f>_xll.qlInterestRateIndexValueDate(IborIndex,X3009,Trigger)</f>
        <v>60274</v>
      </c>
      <c r="Z3009" s="199">
        <v>2.3104419330394907E-2</v>
      </c>
      <c r="AA3009" s="201">
        <v>2.3082665448370676E-2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60279</v>
      </c>
      <c r="Y3010" s="198">
        <f>_xll.qlInterestRateIndexValueDate(IborIndex,X3010,Trigger)</f>
        <v>60281</v>
      </c>
      <c r="Z3010" s="199">
        <v>2.3104910097611717E-2</v>
      </c>
      <c r="AA3010" s="201">
        <v>2.3082406086905038E-2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60286</v>
      </c>
      <c r="Y3011" s="198">
        <f>_xll.qlInterestRateIndexValueDate(IborIndex,X3011,Trigger)</f>
        <v>60288</v>
      </c>
      <c r="Z3011" s="199">
        <v>2.3103963604365872E-2</v>
      </c>
      <c r="AA3011" s="201">
        <v>2.3082160274121577E-2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60293</v>
      </c>
      <c r="Y3012" s="198">
        <f>_xll.qlInterestRateIndexValueDate(IborIndex,X3012,Trigger)</f>
        <v>60295</v>
      </c>
      <c r="Z3012" s="199">
        <v>2.3101574848507056E-2</v>
      </c>
      <c r="AA3012" s="201">
        <v>2.3081928010153518E-2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60300</v>
      </c>
      <c r="Y3013" s="198">
        <f>_xll.qlInterestRateIndexValueDate(IborIndex,X3013,Trigger)</f>
        <v>60302</v>
      </c>
      <c r="Z3013" s="199">
        <v>2.3099922579175987E-2</v>
      </c>
      <c r="AA3013" s="201">
        <v>2.3081709294840991E-2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60307</v>
      </c>
      <c r="Y3014" s="198">
        <f>_xll.qlInterestRateIndexValueDate(IborIndex,X3014,Trigger)</f>
        <v>60309</v>
      </c>
      <c r="Z3014" s="199">
        <v>2.3099737439235466E-2</v>
      </c>
      <c r="AA3014" s="201">
        <v>2.3081504128290575E-2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60314</v>
      </c>
      <c r="Y3015" s="198">
        <f>_xll.qlInterestRateIndexValueDate(IborIndex,X3015,Trigger)</f>
        <v>60316</v>
      </c>
      <c r="Z3015" s="199">
        <v>2.3099565869773971E-2</v>
      </c>
      <c r="AA3015" s="201">
        <v>2.3081312510475627E-2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60321</v>
      </c>
      <c r="Y3016" s="198">
        <f>_xll.qlInterestRateIndexValueDate(IborIndex,X3016,Trigger)</f>
        <v>60323</v>
      </c>
      <c r="Z3016" s="199">
        <v>2.309940787077152E-2</v>
      </c>
      <c r="AA3016" s="201">
        <v>2.308113444142279E-2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60328</v>
      </c>
      <c r="Y3017" s="198">
        <f>_xll.qlInterestRateIndexValueDate(IborIndex,X3017,Trigger)</f>
        <v>60330</v>
      </c>
      <c r="Z3017" s="199">
        <v>2.3102922221974641E-2</v>
      </c>
      <c r="AA3017" s="201">
        <v>2.3080969921025485E-2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60335</v>
      </c>
      <c r="Y3018" s="198">
        <f>_xll.qlInterestRateIndexValueDate(IborIndex,X3018,Trigger)</f>
        <v>60337</v>
      </c>
      <c r="Z3018" s="199">
        <v>2.3102796170109938E-2</v>
      </c>
      <c r="AA3018" s="201">
        <v>2.3080818949416937E-2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60342</v>
      </c>
      <c r="Y3019" s="198">
        <f>_xll.qlInterestRateIndexValueDate(IborIndex,X3019,Trigger)</f>
        <v>60344</v>
      </c>
      <c r="Z3019" s="199">
        <v>2.3102683693064081E-2</v>
      </c>
      <c r="AA3019" s="201">
        <v>2.3080681526543856E-2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60349</v>
      </c>
      <c r="Y3020" s="198">
        <f>_xll.qlInterestRateIndexValueDate(IborIndex,X3020,Trigger)</f>
        <v>60351</v>
      </c>
      <c r="Z3020" s="199">
        <v>2.3102584790834643E-2</v>
      </c>
      <c r="AA3020" s="201">
        <v>2.3079029027313069E-2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60357</v>
      </c>
      <c r="Y3021" s="198">
        <f>_xll.qlInterestRateIndexValueDate(IborIndex,X3021,Trigger)</f>
        <v>60359</v>
      </c>
      <c r="Z3021" s="199">
        <v>2.3102488381936809E-2</v>
      </c>
      <c r="AA3021" s="201">
        <v>2.3078938621949874E-2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60364</v>
      </c>
      <c r="Y3022" s="198">
        <f>_xll.qlInterestRateIndexValueDate(IborIndex,X3022,Trigger)</f>
        <v>60366</v>
      </c>
      <c r="Z3022" s="199">
        <v>2.3101681612882896E-2</v>
      </c>
      <c r="AA3022" s="201">
        <v>2.30788457281772E-2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60371</v>
      </c>
      <c r="Y3023" s="198">
        <f>_xll.qlInterestRateIndexValueDate(IborIndex,X3023,Trigger)</f>
        <v>60373</v>
      </c>
      <c r="Z3023" s="199">
        <v>2.3101624408399246E-2</v>
      </c>
      <c r="AA3023" s="201">
        <v>2.3078766381487981E-2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60378</v>
      </c>
      <c r="Y3024" s="198">
        <f>_xll.qlInterestRateIndexValueDate(IborIndex,X3024,Trigger)</f>
        <v>60380</v>
      </c>
      <c r="Z3024" s="199">
        <v>2.310231966636923E-2</v>
      </c>
      <c r="AA3024" s="201">
        <v>2.3078700581802281E-2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60385</v>
      </c>
      <c r="Y3025" s="198">
        <f>_xll.qlInterestRateIndexValueDate(IborIndex,X3025,Trigger)</f>
        <v>60387</v>
      </c>
      <c r="Z3025" s="199">
        <v>2.3099331894251073E-2</v>
      </c>
      <c r="AA3025" s="201">
        <v>2.307864197028664E-2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60392</v>
      </c>
      <c r="Y3026" s="198">
        <f>_xll.qlInterestRateIndexValueDate(IborIndex,X3026,Trigger)</f>
        <v>60394</v>
      </c>
      <c r="Z3026" s="199">
        <v>2.3101532318241247E-2</v>
      </c>
      <c r="AA3026" s="201">
        <v>2.3078609623281565E-2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60399</v>
      </c>
      <c r="Y3027" s="198">
        <f>_xll.qlInterestRateIndexValueDate(IborIndex,X3027,Trigger)</f>
        <v>60401</v>
      </c>
      <c r="Z3027" s="199">
        <v>2.3101522915457695E-2</v>
      </c>
      <c r="AA3027" s="201">
        <v>2.3078584464606422E-2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60406</v>
      </c>
      <c r="Y3028" s="198">
        <f>_xll.qlInterestRateIndexValueDate(IborIndex,X3028,Trigger)</f>
        <v>60408</v>
      </c>
      <c r="Z3028" s="199">
        <v>2.3101519451271257E-2</v>
      </c>
      <c r="AA3028" s="201">
        <v>2.3078572300017086E-2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60413</v>
      </c>
      <c r="Y3029" s="198">
        <f>_xll.qlInterestRateIndexValueDate(IborIndex,X3029,Trigger)</f>
        <v>60415</v>
      </c>
      <c r="Z3029" s="199">
        <v>2.3101518956387124E-2</v>
      </c>
      <c r="AA3029" s="201">
        <v>2.3078571977555029E-2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60420</v>
      </c>
      <c r="Y3030" s="198">
        <f>_xll.qlInterestRateIndexValueDate(IborIndex,X3030,Trigger)</f>
        <v>60422</v>
      </c>
      <c r="Z3030" s="199">
        <v>2.3101518956389622E-2</v>
      </c>
      <c r="AA3030" s="201">
        <v>2.3078571977395157E-2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60427</v>
      </c>
      <c r="Y3031" s="198">
        <f>_xll.qlInterestRateIndexValueDate(IborIndex,X3031,Trigger)</f>
        <v>60429</v>
      </c>
      <c r="Z3031" s="199">
        <v>2.3101518956389622E-2</v>
      </c>
      <c r="AA3031" s="201">
        <v>2.3078571977475093E-2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60434</v>
      </c>
      <c r="Y3032" s="198">
        <f>_xll.qlInterestRateIndexValueDate(IborIndex,X3032,Trigger)</f>
        <v>60436</v>
      </c>
      <c r="Z3032" s="199">
        <v>2.3101518956387124E-2</v>
      </c>
      <c r="AA3032" s="201">
        <v>2.3078571977555029E-2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60441</v>
      </c>
      <c r="Y3033" s="198">
        <f>_xll.qlInterestRateIndexValueDate(IborIndex,X3033,Trigger)</f>
        <v>60443</v>
      </c>
      <c r="Z3033" s="199">
        <v>2.3101518956387124E-2</v>
      </c>
      <c r="AA3033" s="201">
        <v>2.3078571977475093E-2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60448</v>
      </c>
      <c r="Y3034" s="198">
        <f>_xll.qlInterestRateIndexValueDate(IborIndex,X3034,Trigger)</f>
        <v>60450</v>
      </c>
      <c r="Z3034" s="199">
        <v>2.3101518956387124E-2</v>
      </c>
      <c r="AA3034" s="201">
        <v>2.3078571977395157E-2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60455</v>
      </c>
      <c r="Y3035" s="198">
        <f>_xll.qlInterestRateIndexValueDate(IborIndex,X3035,Trigger)</f>
        <v>60457</v>
      </c>
      <c r="Z3035" s="199">
        <v>2.3101518956384626E-2</v>
      </c>
      <c r="AA3035" s="201">
        <v>2.3078571977475093E-2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60462</v>
      </c>
      <c r="Y3036" s="198">
        <f>_xll.qlInterestRateIndexValueDate(IborIndex,X3036,Trigger)</f>
        <v>60464</v>
      </c>
      <c r="Z3036" s="199">
        <v>2.3101518956384626E-2</v>
      </c>
      <c r="AA3036" s="201">
        <v>2.3078571977475093E-2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60469</v>
      </c>
      <c r="Y3037" s="198">
        <f>_xll.qlInterestRateIndexValueDate(IborIndex,X3037,Trigger)</f>
        <v>60471</v>
      </c>
      <c r="Z3037" s="199">
        <v>2.3101518956387124E-2</v>
      </c>
      <c r="AA3037" s="201">
        <v>2.3078571977475093E-2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60476</v>
      </c>
      <c r="Y3038" s="198">
        <f>_xll.qlInterestRateIndexValueDate(IborIndex,X3038,Trigger)</f>
        <v>60478</v>
      </c>
      <c r="Z3038" s="199">
        <v>2.3099296951962011E-2</v>
      </c>
      <c r="AA3038" s="201">
        <v>2.3078571977475093E-2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60483</v>
      </c>
      <c r="Y3039" s="198">
        <f>_xll.qlInterestRateIndexValueDate(IborIndex,X3039,Trigger)</f>
        <v>60485</v>
      </c>
      <c r="Z3039" s="199">
        <v>2.3102259687847689E-2</v>
      </c>
      <c r="AA3039" s="201">
        <v>2.3078571977475093E-2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60490</v>
      </c>
      <c r="Y3040" s="198">
        <f>_xll.qlInterestRateIndexValueDate(IborIndex,X3040,Trigger)</f>
        <v>60492</v>
      </c>
      <c r="Z3040" s="199">
        <v>2.3101518956384626E-2</v>
      </c>
      <c r="AA3040" s="201">
        <v>2.3078571977555029E-2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60497</v>
      </c>
      <c r="Y3041" s="198">
        <f>_xll.qlInterestRateIndexValueDate(IborIndex,X3041,Trigger)</f>
        <v>60499</v>
      </c>
      <c r="Z3041" s="199">
        <v>2.3101518956387124E-2</v>
      </c>
      <c r="AA3041" s="201">
        <v>2.3078571977475093E-2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60504</v>
      </c>
      <c r="Y3042" s="198">
        <f>_xll.qlInterestRateIndexValueDate(IborIndex,X3042,Trigger)</f>
        <v>60506</v>
      </c>
      <c r="Z3042" s="199">
        <v>2.3101518956384626E-2</v>
      </c>
      <c r="AA3042" s="201">
        <v>2.3078571977395157E-2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60511</v>
      </c>
      <c r="Y3043" s="198">
        <f>_xll.qlInterestRateIndexValueDate(IborIndex,X3043,Trigger)</f>
        <v>60513</v>
      </c>
      <c r="Z3043" s="199">
        <v>2.3101518956387124E-2</v>
      </c>
      <c r="AA3043" s="201">
        <v>2.3078571977475093E-2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60518</v>
      </c>
      <c r="Y3044" s="198">
        <f>_xll.qlInterestRateIndexValueDate(IborIndex,X3044,Trigger)</f>
        <v>60520</v>
      </c>
      <c r="Z3044" s="199">
        <v>2.3102259687847689E-2</v>
      </c>
      <c r="AA3044" s="201">
        <v>2.3078571977475093E-2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60525</v>
      </c>
      <c r="Y3045" s="198">
        <f>_xll.qlInterestRateIndexValueDate(IborIndex,X3045,Trigger)</f>
        <v>60527</v>
      </c>
      <c r="Z3045" s="199">
        <v>2.3101518956387124E-2</v>
      </c>
      <c r="AA3045" s="201">
        <v>2.3078571977395157E-2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60532</v>
      </c>
      <c r="Y3046" s="198">
        <f>_xll.qlInterestRateIndexValueDate(IborIndex,X3046,Trigger)</f>
        <v>60534</v>
      </c>
      <c r="Z3046" s="199">
        <v>2.3101518956384626E-2</v>
      </c>
      <c r="AA3046" s="201">
        <v>2.3078571977475093E-2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60539</v>
      </c>
      <c r="Y3047" s="198">
        <f>_xll.qlInterestRateIndexValueDate(IborIndex,X3047,Trigger)</f>
        <v>60541</v>
      </c>
      <c r="Z3047" s="199">
        <v>2.3101518956387124E-2</v>
      </c>
      <c r="AA3047" s="201">
        <v>2.3078571977555029E-2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60546</v>
      </c>
      <c r="Y3048" s="198">
        <f>_xll.qlInterestRateIndexValueDate(IborIndex,X3048,Trigger)</f>
        <v>60548</v>
      </c>
      <c r="Z3048" s="199">
        <v>2.3101518956387124E-2</v>
      </c>
      <c r="AA3048" s="201">
        <v>2.3078571977395157E-2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60553</v>
      </c>
      <c r="Y3049" s="198">
        <f>_xll.qlInterestRateIndexValueDate(IborIndex,X3049,Trigger)</f>
        <v>60555</v>
      </c>
      <c r="Z3049" s="199">
        <v>2.3101518956387124E-2</v>
      </c>
      <c r="AA3049" s="201">
        <v>2.3078571977555029E-2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60560</v>
      </c>
      <c r="Y3050" s="198">
        <f>_xll.qlInterestRateIndexValueDate(IborIndex,X3050,Trigger)</f>
        <v>60562</v>
      </c>
      <c r="Z3050" s="199">
        <v>2.3101518956384626E-2</v>
      </c>
      <c r="AA3050" s="201">
        <v>2.3078571977475093E-2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60567</v>
      </c>
      <c r="Y3051" s="198">
        <f>_xll.qlInterestRateIndexValueDate(IborIndex,X3051,Trigger)</f>
        <v>60569</v>
      </c>
      <c r="Z3051" s="199">
        <v>2.3101518956387124E-2</v>
      </c>
      <c r="AA3051" s="201">
        <v>2.3078571977475093E-2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60574</v>
      </c>
      <c r="Y3052" s="198">
        <f>_xll.qlInterestRateIndexValueDate(IborIndex,X3052,Trigger)</f>
        <v>60576</v>
      </c>
      <c r="Z3052" s="199">
        <v>2.3101518956389622E-2</v>
      </c>
      <c r="AA3052" s="201">
        <v>2.3078571977395157E-2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60581</v>
      </c>
      <c r="Y3053" s="198">
        <f>_xll.qlInterestRateIndexValueDate(IborIndex,X3053,Trigger)</f>
        <v>60583</v>
      </c>
      <c r="Z3053" s="199">
        <v>2.3101518956387124E-2</v>
      </c>
      <c r="AA3053" s="201">
        <v>2.3078571977475093E-2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60588</v>
      </c>
      <c r="Y3054" s="198">
        <f>_xll.qlInterestRateIndexValueDate(IborIndex,X3054,Trigger)</f>
        <v>60590</v>
      </c>
      <c r="Z3054" s="199">
        <v>2.3101518956387124E-2</v>
      </c>
      <c r="AA3054" s="201">
        <v>2.3078571977475093E-2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60595</v>
      </c>
      <c r="Y3055" s="198">
        <f>_xll.qlInterestRateIndexValueDate(IborIndex,X3055,Trigger)</f>
        <v>60598</v>
      </c>
      <c r="Z3055" s="199">
        <v>2.3101518956387124E-2</v>
      </c>
      <c r="AA3055" s="201">
        <v>2.3078571977555029E-2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60602</v>
      </c>
      <c r="Y3056" s="198">
        <f>_xll.qlInterestRateIndexValueDate(IborIndex,X3056,Trigger)</f>
        <v>60604</v>
      </c>
      <c r="Z3056" s="199">
        <v>2.3101518956387124E-2</v>
      </c>
      <c r="AA3056" s="201">
        <v>2.3078571977395157E-2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60609</v>
      </c>
      <c r="Y3057" s="198">
        <f>_xll.qlInterestRateIndexValueDate(IborIndex,X3057,Trigger)</f>
        <v>60611</v>
      </c>
      <c r="Z3057" s="199">
        <v>2.3101518956384626E-2</v>
      </c>
      <c r="AA3057" s="201">
        <v>2.3078571977475093E-2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60616</v>
      </c>
      <c r="Y3058" s="198">
        <f>_xll.qlInterestRateIndexValueDate(IborIndex,X3058,Trigger)</f>
        <v>60618</v>
      </c>
      <c r="Z3058" s="199">
        <v>2.3102259687847689E-2</v>
      </c>
      <c r="AA3058" s="201">
        <v>2.3078571977475093E-2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60623</v>
      </c>
      <c r="Y3059" s="198">
        <f>_xll.qlInterestRateIndexValueDate(IborIndex,X3059,Trigger)</f>
        <v>60625</v>
      </c>
      <c r="Z3059" s="199">
        <v>2.3101518956387124E-2</v>
      </c>
      <c r="AA3059" s="201">
        <v>2.3078571977475093E-2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60630</v>
      </c>
      <c r="Y3060" s="198">
        <f>_xll.qlInterestRateIndexValueDate(IborIndex,X3060,Trigger)</f>
        <v>60632</v>
      </c>
      <c r="Z3060" s="199">
        <v>2.3099296951959253E-2</v>
      </c>
      <c r="AA3060" s="201">
        <v>2.3078571977475093E-2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60637</v>
      </c>
      <c r="Y3061" s="198">
        <f>_xll.qlInterestRateIndexValueDate(IborIndex,X3061,Trigger)</f>
        <v>60639</v>
      </c>
      <c r="Z3061" s="199">
        <v>2.3101518956387124E-2</v>
      </c>
      <c r="AA3061" s="201">
        <v>2.3078571977555029E-2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60644</v>
      </c>
      <c r="Y3062" s="198">
        <f>_xll.qlInterestRateIndexValueDate(IborIndex,X3062,Trigger)</f>
        <v>60646</v>
      </c>
      <c r="Z3062" s="199">
        <v>2.310225968785011E-2</v>
      </c>
      <c r="AA3062" s="201">
        <v>2.3078571977395157E-2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60651</v>
      </c>
      <c r="Y3063" s="198">
        <f>_xll.qlInterestRateIndexValueDate(IborIndex,X3063,Trigger)</f>
        <v>60653</v>
      </c>
      <c r="Z3063" s="199">
        <v>2.3101518956389622E-2</v>
      </c>
      <c r="AA3063" s="201">
        <v>2.3078571977395157E-2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60658</v>
      </c>
      <c r="Y3064" s="198">
        <f>_xll.qlInterestRateIndexValueDate(IborIndex,X3064,Trigger)</f>
        <v>60660</v>
      </c>
      <c r="Z3064" s="199">
        <v>2.3099296951959253E-2</v>
      </c>
      <c r="AA3064" s="201">
        <v>2.3078571977475093E-2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60665</v>
      </c>
      <c r="Y3065" s="198">
        <f>_xll.qlInterestRateIndexValueDate(IborIndex,X3065,Trigger)</f>
        <v>60667</v>
      </c>
      <c r="Z3065" s="199">
        <v>2.3098556347137058E-2</v>
      </c>
      <c r="AA3065" s="201">
        <v>2.3078571977475093E-2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60672</v>
      </c>
      <c r="Y3066" s="198">
        <f>_xll.qlInterestRateIndexValueDate(IborIndex,X3066,Trigger)</f>
        <v>60674</v>
      </c>
      <c r="Z3066" s="199">
        <v>2.3098556347137058E-2</v>
      </c>
      <c r="AA3066" s="201">
        <v>2.3078571977475093E-2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60679</v>
      </c>
      <c r="Y3067" s="198">
        <f>_xll.qlInterestRateIndexValueDate(IborIndex,X3067,Trigger)</f>
        <v>60681</v>
      </c>
      <c r="Z3067" s="199">
        <v>2.3098556347139913E-2</v>
      </c>
      <c r="AA3067" s="201">
        <v>2.3078571977475093E-2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60686</v>
      </c>
      <c r="Y3068" s="198">
        <f>_xll.qlInterestRateIndexValueDate(IborIndex,X3068,Trigger)</f>
        <v>60688</v>
      </c>
      <c r="Z3068" s="199">
        <v>2.3098556347134203E-2</v>
      </c>
      <c r="AA3068" s="201">
        <v>2.3078571977555029E-2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60693</v>
      </c>
      <c r="Y3069" s="198">
        <f>_xll.qlInterestRateIndexValueDate(IborIndex,X3069,Trigger)</f>
        <v>60695</v>
      </c>
      <c r="Z3069" s="199">
        <v>2.3101518956387124E-2</v>
      </c>
      <c r="AA3069" s="201">
        <v>2.3078571977555029E-2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60700</v>
      </c>
      <c r="Y3070" s="198">
        <f>_xll.qlInterestRateIndexValueDate(IborIndex,X3070,Trigger)</f>
        <v>60702</v>
      </c>
      <c r="Z3070" s="199">
        <v>2.3102259687847689E-2</v>
      </c>
      <c r="AA3070" s="201">
        <v>2.3078571977475093E-2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60707</v>
      </c>
      <c r="Y3071" s="198">
        <f>_xll.qlInterestRateIndexValueDate(IborIndex,X3071,Trigger)</f>
        <v>60709</v>
      </c>
      <c r="Z3071" s="199">
        <v>2.3101518956384626E-2</v>
      </c>
      <c r="AA3071" s="201">
        <v>2.3078571977475093E-2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60714</v>
      </c>
      <c r="Y3072" s="198">
        <f>_xll.qlInterestRateIndexValueDate(IborIndex,X3072,Trigger)</f>
        <v>60716</v>
      </c>
      <c r="Z3072" s="199">
        <v>2.3101518956387124E-2</v>
      </c>
      <c r="AA3072" s="201">
        <v>2.3078571977475093E-2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60721</v>
      </c>
      <c r="Y3073" s="198">
        <f>_xll.qlInterestRateIndexValueDate(IborIndex,X3073,Trigger)</f>
        <v>60723</v>
      </c>
      <c r="Z3073" s="199">
        <v>2.3102259687847689E-2</v>
      </c>
      <c r="AA3073" s="201">
        <v>2.3078571977555029E-2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60728</v>
      </c>
      <c r="Y3074" s="198">
        <f>_xll.qlInterestRateIndexValueDate(IborIndex,X3074,Trigger)</f>
        <v>60730</v>
      </c>
      <c r="Z3074" s="199">
        <v>2.3101518956389622E-2</v>
      </c>
      <c r="AA3074" s="201">
        <v>2.3078571977475093E-2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60735</v>
      </c>
      <c r="Y3075" s="198">
        <f>_xll.qlInterestRateIndexValueDate(IborIndex,X3075,Trigger)</f>
        <v>60737</v>
      </c>
      <c r="Z3075" s="199">
        <v>2.3101518956384626E-2</v>
      </c>
      <c r="AA3075" s="201">
        <v>2.3078571977555029E-2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60742</v>
      </c>
      <c r="Y3076" s="198">
        <f>_xll.qlInterestRateIndexValueDate(IborIndex,X3076,Trigger)</f>
        <v>60744</v>
      </c>
      <c r="Z3076" s="199">
        <v>2.3101518956384626E-2</v>
      </c>
      <c r="AA3076" s="201">
        <v>2.3078571977475093E-2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60749</v>
      </c>
      <c r="Y3077" s="198">
        <f>_xll.qlInterestRateIndexValueDate(IborIndex,X3077,Trigger)</f>
        <v>60751</v>
      </c>
      <c r="Z3077" s="199">
        <v>2.3099296951962011E-2</v>
      </c>
      <c r="AA3077" s="201">
        <v>2.3078571977475093E-2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60756</v>
      </c>
      <c r="Y3078" s="198">
        <f>_xll.qlInterestRateIndexValueDate(IborIndex,X3078,Trigger)</f>
        <v>60758</v>
      </c>
      <c r="Z3078" s="199">
        <v>2.3101518956387124E-2</v>
      </c>
      <c r="AA3078" s="201">
        <v>2.3078571977475093E-2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60763</v>
      </c>
      <c r="Y3079" s="198">
        <f>_xll.qlInterestRateIndexValueDate(IborIndex,X3079,Trigger)</f>
        <v>60765</v>
      </c>
      <c r="Z3079" s="199">
        <v>2.3101518956384626E-2</v>
      </c>
      <c r="AA3079" s="201">
        <v>2.3078571977475093E-2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60770</v>
      </c>
      <c r="Y3080" s="198">
        <f>_xll.qlInterestRateIndexValueDate(IborIndex,X3080,Trigger)</f>
        <v>60772</v>
      </c>
      <c r="Z3080" s="199">
        <v>2.3101518956387124E-2</v>
      </c>
      <c r="AA3080" s="201">
        <v>2.3078571977555029E-2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60777</v>
      </c>
      <c r="Y3081" s="198">
        <f>_xll.qlInterestRateIndexValueDate(IborIndex,X3081,Trigger)</f>
        <v>60779</v>
      </c>
      <c r="Z3081" s="199">
        <v>2.3101518956387124E-2</v>
      </c>
      <c r="AA3081" s="201">
        <v>2.3078571977555029E-2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60784</v>
      </c>
      <c r="Y3082" s="198">
        <f>_xll.qlInterestRateIndexValueDate(IborIndex,X3082,Trigger)</f>
        <v>60786</v>
      </c>
      <c r="Z3082" s="199">
        <v>2.3102259687847689E-2</v>
      </c>
      <c r="AA3082" s="201">
        <v>2.3078571977475093E-2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60791</v>
      </c>
      <c r="Y3083" s="198">
        <f>_xll.qlInterestRateIndexValueDate(IborIndex,X3083,Trigger)</f>
        <v>60793</v>
      </c>
      <c r="Z3083" s="199">
        <v>2.3101518956384626E-2</v>
      </c>
      <c r="AA3083" s="201">
        <v>2.3078571977395157E-2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60798</v>
      </c>
      <c r="Y3084" s="198">
        <f>_xll.qlInterestRateIndexValueDate(IborIndex,X3084,Trigger)</f>
        <v>60800</v>
      </c>
      <c r="Z3084" s="199">
        <v>2.3101518956387124E-2</v>
      </c>
      <c r="AA3084" s="201">
        <v>2.3078571977475093E-2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60805</v>
      </c>
      <c r="Y3085" s="198">
        <f>_xll.qlInterestRateIndexValueDate(IborIndex,X3085,Trigger)</f>
        <v>60807</v>
      </c>
      <c r="Z3085" s="199">
        <v>2.3101518956387124E-2</v>
      </c>
      <c r="AA3085" s="201">
        <v>2.3078571977475093E-2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60812</v>
      </c>
      <c r="Y3086" s="198">
        <f>_xll.qlInterestRateIndexValueDate(IborIndex,X3086,Trigger)</f>
        <v>60814</v>
      </c>
      <c r="Z3086" s="199">
        <v>2.3101518956387124E-2</v>
      </c>
      <c r="AA3086" s="201">
        <v>2.3078571977475093E-2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60819</v>
      </c>
      <c r="Y3087" s="198">
        <f>_xll.qlInterestRateIndexValueDate(IborIndex,X3087,Trigger)</f>
        <v>60821</v>
      </c>
      <c r="Z3087" s="199">
        <v>2.3101518956387124E-2</v>
      </c>
      <c r="AA3087" s="201">
        <v>2.3078571977555029E-2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60826</v>
      </c>
      <c r="Y3088" s="198">
        <f>_xll.qlInterestRateIndexValueDate(IborIndex,X3088,Trigger)</f>
        <v>60828</v>
      </c>
      <c r="Z3088" s="199">
        <v>2.3101518956387124E-2</v>
      </c>
      <c r="AA3088" s="201">
        <v>2.3078571977395157E-2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60833</v>
      </c>
      <c r="Y3089" s="198">
        <f>_xll.qlInterestRateIndexValueDate(IborIndex,X3089,Trigger)</f>
        <v>60835</v>
      </c>
      <c r="Z3089" s="199">
        <v>2.3101518956384626E-2</v>
      </c>
      <c r="AA3089" s="201">
        <v>2.3078571977475093E-2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60840</v>
      </c>
      <c r="Y3090" s="198">
        <f>_xll.qlInterestRateIndexValueDate(IborIndex,X3090,Trigger)</f>
        <v>60842</v>
      </c>
      <c r="Z3090" s="199">
        <v>2.3102259687847689E-2</v>
      </c>
      <c r="AA3090" s="201">
        <v>2.3078571977475093E-2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60847</v>
      </c>
      <c r="Y3091" s="198">
        <f>_xll.qlInterestRateIndexValueDate(IborIndex,X3091,Trigger)</f>
        <v>60849</v>
      </c>
      <c r="Z3091" s="199">
        <v>2.310225968785011E-2</v>
      </c>
      <c r="AA3091" s="201">
        <v>2.3078571977395157E-2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60854</v>
      </c>
      <c r="Y3092" s="198">
        <f>_xll.qlInterestRateIndexValueDate(IborIndex,X3092,Trigger)</f>
        <v>60856</v>
      </c>
      <c r="Z3092" s="199">
        <v>2.3101518956387124E-2</v>
      </c>
      <c r="AA3092" s="201">
        <v>2.3078571977395157E-2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60861</v>
      </c>
      <c r="Y3093" s="198">
        <f>_xll.qlInterestRateIndexValueDate(IborIndex,X3093,Trigger)</f>
        <v>60863</v>
      </c>
      <c r="Z3093" s="199">
        <v>2.3101518956384626E-2</v>
      </c>
      <c r="AA3093" s="201">
        <v>2.3078571977555029E-2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60868</v>
      </c>
      <c r="Y3094" s="198">
        <f>_xll.qlInterestRateIndexValueDate(IborIndex,X3094,Trigger)</f>
        <v>60870</v>
      </c>
      <c r="Z3094" s="199">
        <v>2.3101518956384626E-2</v>
      </c>
      <c r="AA3094" s="201">
        <v>2.3078571977475093E-2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60875</v>
      </c>
      <c r="Y3095" s="198">
        <f>_xll.qlInterestRateIndexValueDate(IborIndex,X3095,Trigger)</f>
        <v>60877</v>
      </c>
      <c r="Z3095" s="199">
        <v>2.3101518956387124E-2</v>
      </c>
      <c r="AA3095" s="201">
        <v>2.3078571977475093E-2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60882</v>
      </c>
      <c r="Y3096" s="198">
        <f>_xll.qlInterestRateIndexValueDate(IborIndex,X3096,Trigger)</f>
        <v>60884</v>
      </c>
      <c r="Z3096" s="199">
        <v>2.310225968785011E-2</v>
      </c>
      <c r="AA3096" s="201">
        <v>2.3078571977475093E-2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60889</v>
      </c>
      <c r="Y3097" s="198">
        <f>_xll.qlInterestRateIndexValueDate(IborIndex,X3097,Trigger)</f>
        <v>60891</v>
      </c>
      <c r="Z3097" s="199">
        <v>2.3101518956384626E-2</v>
      </c>
      <c r="AA3097" s="201">
        <v>2.3078571977555029E-2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60896</v>
      </c>
      <c r="Y3098" s="198">
        <f>_xll.qlInterestRateIndexValueDate(IborIndex,X3098,Trigger)</f>
        <v>60898</v>
      </c>
      <c r="Z3098" s="199">
        <v>2.3101518956389622E-2</v>
      </c>
      <c r="AA3098" s="201">
        <v>2.3078571977475093E-2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60903</v>
      </c>
      <c r="Y3099" s="198">
        <f>_xll.qlInterestRateIndexValueDate(IborIndex,X3099,Trigger)</f>
        <v>60905</v>
      </c>
      <c r="Z3099" s="199">
        <v>2.3099296951964766E-2</v>
      </c>
      <c r="AA3099" s="201">
        <v>2.3078571977475093E-2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60910</v>
      </c>
      <c r="Y3100" s="198">
        <f>_xll.qlInterestRateIndexValueDate(IborIndex,X3100,Trigger)</f>
        <v>60912</v>
      </c>
      <c r="Z3100" s="199">
        <v>2.3101518956384626E-2</v>
      </c>
      <c r="AA3100" s="201">
        <v>2.3078571977475093E-2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60917</v>
      </c>
      <c r="Y3101" s="198">
        <f>_xll.qlInterestRateIndexValueDate(IborIndex,X3101,Trigger)</f>
        <v>60919</v>
      </c>
      <c r="Z3101" s="199">
        <v>2.3101518956387124E-2</v>
      </c>
      <c r="AA3101" s="201">
        <v>2.3078571977475093E-2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60924</v>
      </c>
      <c r="Y3102" s="198">
        <f>_xll.qlInterestRateIndexValueDate(IborIndex,X3102,Trigger)</f>
        <v>60926</v>
      </c>
      <c r="Z3102" s="199">
        <v>2.3101518956389622E-2</v>
      </c>
      <c r="AA3102" s="201">
        <v>2.3078571977395157E-2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60931</v>
      </c>
      <c r="Y3103" s="198">
        <f>_xll.qlInterestRateIndexValueDate(IborIndex,X3103,Trigger)</f>
        <v>60933</v>
      </c>
      <c r="Z3103" s="199">
        <v>2.3101518956389622E-2</v>
      </c>
      <c r="AA3103" s="201">
        <v>2.3078571977475093E-2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60938</v>
      </c>
      <c r="Y3104" s="198">
        <f>_xll.qlInterestRateIndexValueDate(IborIndex,X3104,Trigger)</f>
        <v>60940</v>
      </c>
      <c r="Z3104" s="199">
        <v>2.3101518956384626E-2</v>
      </c>
      <c r="AA3104" s="201">
        <v>2.3078571977475093E-2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60945</v>
      </c>
      <c r="Y3105" s="198">
        <f>_xll.qlInterestRateIndexValueDate(IborIndex,X3105,Trigger)</f>
        <v>60948</v>
      </c>
      <c r="Z3105" s="199">
        <v>2.3100778256584825E-2</v>
      </c>
      <c r="AA3105" s="201">
        <v>2.3078571977475093E-2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60952</v>
      </c>
      <c r="Y3106" s="198">
        <f>_xll.qlInterestRateIndexValueDate(IborIndex,X3106,Trigger)</f>
        <v>60954</v>
      </c>
      <c r="Z3106" s="199">
        <v>2.3101518956389622E-2</v>
      </c>
      <c r="AA3106" s="201">
        <v>2.3078571977395157E-2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60959</v>
      </c>
      <c r="Y3107" s="198">
        <f>_xll.qlInterestRateIndexValueDate(IborIndex,X3107,Trigger)</f>
        <v>60962</v>
      </c>
      <c r="Z3107" s="199">
        <v>2.3102259687847689E-2</v>
      </c>
      <c r="AA3107" s="201">
        <v>2.3078571977395157E-2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60966</v>
      </c>
      <c r="Y3108" s="198">
        <f>_xll.qlInterestRateIndexValueDate(IborIndex,X3108,Trigger)</f>
        <v>60968</v>
      </c>
      <c r="Z3108" s="199">
        <v>2.310225968785011E-2</v>
      </c>
      <c r="AA3108" s="201">
        <v>2.3078571977555029E-2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60973</v>
      </c>
      <c r="Y3109" s="198">
        <f>_xll.qlInterestRateIndexValueDate(IborIndex,X3109,Trigger)</f>
        <v>60975</v>
      </c>
      <c r="Z3109" s="199">
        <v>2.3101518956387124E-2</v>
      </c>
      <c r="AA3109" s="201">
        <v>2.3078571977475093E-2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60980</v>
      </c>
      <c r="Y3110" s="198">
        <f>_xll.qlInterestRateIndexValueDate(IborIndex,X3110,Trigger)</f>
        <v>60982</v>
      </c>
      <c r="Z3110" s="199">
        <v>2.310225968785011E-2</v>
      </c>
      <c r="AA3110" s="201">
        <v>2.3078571977395157E-2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60987</v>
      </c>
      <c r="Y3111" s="198">
        <f>_xll.qlInterestRateIndexValueDate(IborIndex,X3111,Trigger)</f>
        <v>60989</v>
      </c>
      <c r="Z3111" s="199">
        <v>2.3101518956384626E-2</v>
      </c>
      <c r="AA3111" s="201">
        <v>2.3078571977475093E-2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60995</v>
      </c>
      <c r="Y3112" s="198">
        <f>_xll.qlInterestRateIndexValueDate(IborIndex,X3112,Trigger)</f>
        <v>61001</v>
      </c>
      <c r="Z3112" s="199">
        <v>2.3100778256587403E-2</v>
      </c>
      <c r="AA3112" s="201">
        <v>2.3078571977475093E-2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61002</v>
      </c>
      <c r="Y3113" s="198">
        <f>_xll.qlInterestRateIndexValueDate(IborIndex,X3113,Trigger)</f>
        <v>61004</v>
      </c>
      <c r="Z3113" s="199">
        <v>2.3100778256584825E-2</v>
      </c>
      <c r="AA3113" s="201">
        <v>2.3078571977475093E-2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61009</v>
      </c>
      <c r="Y3114" s="198">
        <f>_xll.qlInterestRateIndexValueDate(IborIndex,X3114,Trigger)</f>
        <v>61011</v>
      </c>
      <c r="Z3114" s="199">
        <v>2.3100778256584825E-2</v>
      </c>
      <c r="AA3114" s="201">
        <v>2.3078571977395157E-2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61016</v>
      </c>
      <c r="Y3115" s="198">
        <f>_xll.qlInterestRateIndexValueDate(IborIndex,X3115,Trigger)</f>
        <v>61018</v>
      </c>
      <c r="Z3115" s="199">
        <v>2.3101518956387124E-2</v>
      </c>
      <c r="AA3115" s="201">
        <v>2.3078571977395157E-2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61023</v>
      </c>
      <c r="Y3116" s="198">
        <f>_xll.qlInterestRateIndexValueDate(IborIndex,X3116,Trigger)</f>
        <v>61025</v>
      </c>
      <c r="Z3116" s="199">
        <v>2.3100778256584825E-2</v>
      </c>
      <c r="AA3116" s="201">
        <v>2.3078571977475093E-2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61030</v>
      </c>
      <c r="Y3117" s="198">
        <f>_xll.qlInterestRateIndexValueDate(IborIndex,X3117,Trigger)</f>
        <v>61032</v>
      </c>
      <c r="Z3117" s="199">
        <v>2.3098556347134203E-2</v>
      </c>
      <c r="AA3117" s="201">
        <v>2.3078571977475093E-2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61037</v>
      </c>
      <c r="Y3118" s="198">
        <f>_xll.qlInterestRateIndexValueDate(IborIndex,X3118,Trigger)</f>
        <v>61039</v>
      </c>
      <c r="Z3118" s="199">
        <v>2.3098556347134203E-2</v>
      </c>
      <c r="AA3118" s="201">
        <v>2.3078571977475093E-2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61044</v>
      </c>
      <c r="Y3119" s="198">
        <f>_xll.qlInterestRateIndexValueDate(IborIndex,X3119,Trigger)</f>
        <v>61046</v>
      </c>
      <c r="Z3119" s="199">
        <v>2.3098556347137058E-2</v>
      </c>
      <c r="AA3119" s="201">
        <v>2.3078571977555029E-2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61051</v>
      </c>
      <c r="Y3120" s="198">
        <f>_xll.qlInterestRateIndexValueDate(IborIndex,X3120,Trigger)</f>
        <v>61053</v>
      </c>
      <c r="Z3120" s="199">
        <v>2.3098556347134203E-2</v>
      </c>
      <c r="AA3120" s="201">
        <v>2.3078571977555029E-2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61058</v>
      </c>
      <c r="Y3121" s="198">
        <f>_xll.qlInterestRateIndexValueDate(IborIndex,X3121,Trigger)</f>
        <v>61060</v>
      </c>
      <c r="Z3121" s="199">
        <v>2.3101518956387124E-2</v>
      </c>
      <c r="AA3121" s="201">
        <v>2.3078571977475093E-2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61065</v>
      </c>
      <c r="Y3122" s="198">
        <f>_xll.qlInterestRateIndexValueDate(IborIndex,X3122,Trigger)</f>
        <v>61067</v>
      </c>
      <c r="Z3122" s="199">
        <v>2.3100778256587403E-2</v>
      </c>
      <c r="AA3122" s="201">
        <v>2.3078571977475093E-2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61072</v>
      </c>
      <c r="Y3123" s="198">
        <f>_xll.qlInterestRateIndexValueDate(IborIndex,X3123,Trigger)</f>
        <v>61074</v>
      </c>
      <c r="Z3123" s="199">
        <v>2.3100778256587403E-2</v>
      </c>
      <c r="AA3123" s="201">
        <v>2.3078571977475093E-2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61079</v>
      </c>
      <c r="Y3124" s="198">
        <f>_xll.qlInterestRateIndexValueDate(IborIndex,X3124,Trigger)</f>
        <v>61081</v>
      </c>
      <c r="Z3124" s="199">
        <v>2.3100778256584825E-2</v>
      </c>
      <c r="AA3124" s="201">
        <v>2.3078571977475093E-2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61086</v>
      </c>
      <c r="Y3125" s="198">
        <f>_xll.qlInterestRateIndexValueDate(IborIndex,X3125,Trigger)</f>
        <v>61092</v>
      </c>
      <c r="Z3125" s="199">
        <v>2.3100037588443811E-2</v>
      </c>
      <c r="AA3125" s="201">
        <v>2.3078571977395157E-2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61093</v>
      </c>
      <c r="Y3126" s="198">
        <f>_xll.qlInterestRateIndexValueDate(IborIndex,X3126,Trigger)</f>
        <v>61095</v>
      </c>
      <c r="Z3126" s="199">
        <v>2.3100778256587403E-2</v>
      </c>
      <c r="AA3126" s="201">
        <v>2.3078571977395157E-2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61100</v>
      </c>
      <c r="Y3127" s="198">
        <f>_xll.qlInterestRateIndexValueDate(IborIndex,X3127,Trigger)</f>
        <v>61102</v>
      </c>
      <c r="Z3127" s="199">
        <v>2.3100778256584825E-2</v>
      </c>
      <c r="AA3127" s="201">
        <v>2.3078571977475093E-2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61107</v>
      </c>
      <c r="Y3128" s="198">
        <f>_xll.qlInterestRateIndexValueDate(IborIndex,X3128,Trigger)</f>
        <v>61109</v>
      </c>
      <c r="Z3128" s="199">
        <v>2.3100778256587403E-2</v>
      </c>
      <c r="AA3128" s="201">
        <v>2.3078571977475093E-2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61114</v>
      </c>
      <c r="Y3129" s="198">
        <f>_xll.qlInterestRateIndexValueDate(IborIndex,X3129,Trigger)</f>
        <v>61116</v>
      </c>
      <c r="Z3129" s="199">
        <v>2.3101518956387124E-2</v>
      </c>
      <c r="AA3129" s="201">
        <v>2.3078571977475093E-2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61121</v>
      </c>
      <c r="Y3130" s="198">
        <f>_xll.qlInterestRateIndexValueDate(IborIndex,X3130,Trigger)</f>
        <v>61123</v>
      </c>
      <c r="Z3130" s="199">
        <v>2.3100778256587403E-2</v>
      </c>
      <c r="AA3130" s="201">
        <v>2.3078571977475093E-2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61128</v>
      </c>
      <c r="Y3131" s="198">
        <f>_xll.qlInterestRateIndexValueDate(IborIndex,X3131,Trigger)</f>
        <v>61130</v>
      </c>
      <c r="Z3131" s="199">
        <v>2.3100778256584825E-2</v>
      </c>
      <c r="AA3131" s="201">
        <v>2.3078571977475093E-2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61135</v>
      </c>
      <c r="Y3132" s="198">
        <f>_xll.qlInterestRateIndexValueDate(IborIndex,X3132,Trigger)</f>
        <v>61137</v>
      </c>
      <c r="Z3132" s="199">
        <v>2.3100778256584825E-2</v>
      </c>
      <c r="AA3132" s="201">
        <v>2.3078571977475093E-2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61142</v>
      </c>
      <c r="Y3133" s="198">
        <f>_xll.qlInterestRateIndexValueDate(IborIndex,X3133,Trigger)</f>
        <v>61144</v>
      </c>
      <c r="Z3133" s="199">
        <v>2.3100778256587403E-2</v>
      </c>
      <c r="AA3133" s="201">
        <v>2.3078571977555029E-2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61149</v>
      </c>
      <c r="Y3134" s="198">
        <f>_xll.qlInterestRateIndexValueDate(IborIndex,X3134,Trigger)</f>
        <v>61151</v>
      </c>
      <c r="Z3134" s="199">
        <v>2.3101518956387124E-2</v>
      </c>
      <c r="AA3134" s="201">
        <v>2.3078571977475093E-2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61156</v>
      </c>
      <c r="Y3135" s="198">
        <f>_xll.qlInterestRateIndexValueDate(IborIndex,X3135,Trigger)</f>
        <v>61158</v>
      </c>
      <c r="Z3135" s="199">
        <v>2.3100778256587403E-2</v>
      </c>
      <c r="AA3135" s="201">
        <v>2.3078571977395157E-2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61163</v>
      </c>
      <c r="Y3136" s="198">
        <f>_xll.qlInterestRateIndexValueDate(IborIndex,X3136,Trigger)</f>
        <v>61165</v>
      </c>
      <c r="Z3136" s="199">
        <v>2.3100778256587403E-2</v>
      </c>
      <c r="AA3136" s="201">
        <v>2.3078571977475093E-2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61170</v>
      </c>
      <c r="Y3137" s="198">
        <f>_xll.qlInterestRateIndexValueDate(IborIndex,X3137,Trigger)</f>
        <v>61172</v>
      </c>
      <c r="Z3137" s="199">
        <v>2.3100778256584825E-2</v>
      </c>
      <c r="AA3137" s="201">
        <v>2.3078571977395157E-2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61177</v>
      </c>
      <c r="Y3138" s="198">
        <f>_xll.qlInterestRateIndexValueDate(IborIndex,X3138,Trigger)</f>
        <v>61179</v>
      </c>
      <c r="Z3138" s="199">
        <v>2.3100778256587403E-2</v>
      </c>
      <c r="AA3138" s="201">
        <v>2.3078571977475093E-2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61184</v>
      </c>
      <c r="Y3139" s="198">
        <f>_xll.qlInterestRateIndexValueDate(IborIndex,X3139,Trigger)</f>
        <v>61186</v>
      </c>
      <c r="Z3139" s="199">
        <v>2.3100778256587403E-2</v>
      </c>
      <c r="AA3139" s="201">
        <v>2.3078571977475093E-2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61191</v>
      </c>
      <c r="Y3140" s="198">
        <f>_xll.qlInterestRateIndexValueDate(IborIndex,X3140,Trigger)</f>
        <v>61193</v>
      </c>
      <c r="Z3140" s="199">
        <v>2.3100778256587403E-2</v>
      </c>
      <c r="AA3140" s="201">
        <v>2.3078571977475093E-2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61198</v>
      </c>
      <c r="Y3141" s="198">
        <f>_xll.qlInterestRateIndexValueDate(IborIndex,X3141,Trigger)</f>
        <v>61200</v>
      </c>
      <c r="Z3141" s="199">
        <v>2.3100778256584825E-2</v>
      </c>
      <c r="AA3141" s="201">
        <v>2.3078571977475093E-2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61205</v>
      </c>
      <c r="Y3142" s="198">
        <f>_xll.qlInterestRateIndexValueDate(IborIndex,X3142,Trigger)</f>
        <v>61207</v>
      </c>
      <c r="Z3142" s="199">
        <v>2.3102259687847689E-2</v>
      </c>
      <c r="AA3142" s="201">
        <v>2.3078571977475093E-2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61212</v>
      </c>
      <c r="Y3143" s="198">
        <f>_xll.qlInterestRateIndexValueDate(IborIndex,X3143,Trigger)</f>
        <v>61214</v>
      </c>
      <c r="Z3143" s="199">
        <v>2.3101518956389622E-2</v>
      </c>
      <c r="AA3143" s="201">
        <v>2.3078571977395157E-2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61219</v>
      </c>
      <c r="Y3144" s="198">
        <f>_xll.qlInterestRateIndexValueDate(IborIndex,X3144,Trigger)</f>
        <v>61221</v>
      </c>
      <c r="Z3144" s="199">
        <v>2.3100778256587403E-2</v>
      </c>
      <c r="AA3144" s="201">
        <v>2.3078571977475093E-2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61226</v>
      </c>
      <c r="Y3145" s="198">
        <f>_xll.qlInterestRateIndexValueDate(IborIndex,X3145,Trigger)</f>
        <v>61228</v>
      </c>
      <c r="Z3145" s="199">
        <v>2.3100778256584825E-2</v>
      </c>
      <c r="AA3145" s="201">
        <v>2.3078571977475093E-2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61233</v>
      </c>
      <c r="Y3146" s="198">
        <f>_xll.qlInterestRateIndexValueDate(IborIndex,X3146,Trigger)</f>
        <v>61235</v>
      </c>
      <c r="Z3146" s="199">
        <v>2.3100778256584825E-2</v>
      </c>
      <c r="AA3146" s="201">
        <v>2.3078571977475093E-2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61240</v>
      </c>
      <c r="Y3147" s="198">
        <f>_xll.qlInterestRateIndexValueDate(IborIndex,X3147,Trigger)</f>
        <v>61242</v>
      </c>
      <c r="Z3147" s="199">
        <v>2.3100778256587403E-2</v>
      </c>
      <c r="AA3147" s="201">
        <v>2.3078571977395157E-2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61247</v>
      </c>
      <c r="Y3148" s="198">
        <f>_xll.qlInterestRateIndexValueDate(IborIndex,X3148,Trigger)</f>
        <v>61249</v>
      </c>
      <c r="Z3148" s="199">
        <v>2.3101518956389622E-2</v>
      </c>
      <c r="AA3148" s="201">
        <v>2.3078571977395157E-2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61254</v>
      </c>
      <c r="Y3149" s="198">
        <f>_xll.qlInterestRateIndexValueDate(IborIndex,X3149,Trigger)</f>
        <v>61256</v>
      </c>
      <c r="Z3149" s="199">
        <v>2.3100778256584825E-2</v>
      </c>
      <c r="AA3149" s="201">
        <v>2.3078571977475093E-2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61261</v>
      </c>
      <c r="Y3150" s="198">
        <f>_xll.qlInterestRateIndexValueDate(IborIndex,X3150,Trigger)</f>
        <v>61263</v>
      </c>
      <c r="Z3150" s="199">
        <v>2.3100778256584825E-2</v>
      </c>
      <c r="AA3150" s="201">
        <v>2.3078571977475093E-2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61268</v>
      </c>
      <c r="Y3151" s="198">
        <f>_xll.qlInterestRateIndexValueDate(IborIndex,X3151,Trigger)</f>
        <v>61270</v>
      </c>
      <c r="Z3151" s="199">
        <v>2.3100778256587403E-2</v>
      </c>
      <c r="AA3151" s="201">
        <v>2.3078571977475093E-2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61275</v>
      </c>
      <c r="Y3152" s="198">
        <f>_xll.qlInterestRateIndexValueDate(IborIndex,X3152,Trigger)</f>
        <v>61277</v>
      </c>
      <c r="Z3152" s="199">
        <v>2.3100778256587403E-2</v>
      </c>
      <c r="AA3152" s="201">
        <v>2.3078571977475093E-2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61282</v>
      </c>
      <c r="Y3153" s="198">
        <f>_xll.qlInterestRateIndexValueDate(IborIndex,X3153,Trigger)</f>
        <v>61284</v>
      </c>
      <c r="Z3153" s="199">
        <v>2.3100778256587403E-2</v>
      </c>
      <c r="AA3153" s="201">
        <v>2.3078571977555029E-2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61289</v>
      </c>
      <c r="Y3154" s="198">
        <f>_xll.qlInterestRateIndexValueDate(IborIndex,X3154,Trigger)</f>
        <v>61291</v>
      </c>
      <c r="Z3154" s="199">
        <v>2.3100778256587403E-2</v>
      </c>
      <c r="AA3154" s="201">
        <v>2.3078571977475093E-2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61296</v>
      </c>
      <c r="Y3155" s="198">
        <f>_xll.qlInterestRateIndexValueDate(IborIndex,X3155,Trigger)</f>
        <v>61298</v>
      </c>
      <c r="Z3155" s="199">
        <v>2.3100778256587403E-2</v>
      </c>
      <c r="AA3155" s="201">
        <v>2.3078571977395157E-2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61303</v>
      </c>
      <c r="Y3156" s="198">
        <f>_xll.qlInterestRateIndexValueDate(IborIndex,X3156,Trigger)</f>
        <v>61305</v>
      </c>
      <c r="Z3156" s="199">
        <v>2.3100778256587403E-2</v>
      </c>
      <c r="AA3156" s="201">
        <v>2.3078571977475093E-2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61310</v>
      </c>
      <c r="Y3157" s="198">
        <f>_xll.qlInterestRateIndexValueDate(IborIndex,X3157,Trigger)</f>
        <v>61315</v>
      </c>
      <c r="Z3157" s="199">
        <v>2.3100037588443811E-2</v>
      </c>
      <c r="AA3157" s="201">
        <v>2.3078571977475093E-2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61317</v>
      </c>
      <c r="Y3158" s="198">
        <f>_xll.qlInterestRateIndexValueDate(IborIndex,X3158,Trigger)</f>
        <v>61319</v>
      </c>
      <c r="Z3158" s="199">
        <v>2.3100778256584825E-2</v>
      </c>
      <c r="AA3158" s="201">
        <v>2.3078571977395157E-2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61324</v>
      </c>
      <c r="Y3159" s="198">
        <f>_xll.qlInterestRateIndexValueDate(IborIndex,X3159,Trigger)</f>
        <v>61326</v>
      </c>
      <c r="Z3159" s="199">
        <v>2.3102259687847689E-2</v>
      </c>
      <c r="AA3159" s="201">
        <v>2.3078571977475093E-2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61331</v>
      </c>
      <c r="Y3160" s="198">
        <f>_xll.qlInterestRateIndexValueDate(IborIndex,X3160,Trigger)</f>
        <v>61333</v>
      </c>
      <c r="Z3160" s="199">
        <v>2.3101518956384626E-2</v>
      </c>
      <c r="AA3160" s="201">
        <v>2.3078571977475093E-2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61338</v>
      </c>
      <c r="Y3161" s="198">
        <f>_xll.qlInterestRateIndexValueDate(IborIndex,X3161,Trigger)</f>
        <v>61340</v>
      </c>
      <c r="Z3161" s="199">
        <v>2.3100778256584825E-2</v>
      </c>
      <c r="AA3161" s="201">
        <v>2.3078571977475093E-2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61345</v>
      </c>
      <c r="Y3162" s="198">
        <f>_xll.qlInterestRateIndexValueDate(IborIndex,X3162,Trigger)</f>
        <v>61347</v>
      </c>
      <c r="Z3162" s="199">
        <v>2.3101518956389622E-2</v>
      </c>
      <c r="AA3162" s="201">
        <v>2.3078571977475093E-2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61352</v>
      </c>
      <c r="Y3163" s="198">
        <f>_xll.qlInterestRateIndexValueDate(IborIndex,X3163,Trigger)</f>
        <v>61354</v>
      </c>
      <c r="Z3163" s="199">
        <v>2.3100778256584825E-2</v>
      </c>
      <c r="AA3163" s="201">
        <v>2.3078571977475093E-2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61359</v>
      </c>
      <c r="Y3164" s="198">
        <f>_xll.qlInterestRateIndexValueDate(IborIndex,X3164,Trigger)</f>
        <v>61361</v>
      </c>
      <c r="Z3164" s="199">
        <v>2.3101518956387124E-2</v>
      </c>
      <c r="AA3164" s="201">
        <v>2.3078571977475093E-2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61366</v>
      </c>
      <c r="Y3165" s="198">
        <f>_xll.qlInterestRateIndexValueDate(IborIndex,X3165,Trigger)</f>
        <v>61368</v>
      </c>
      <c r="Z3165" s="199">
        <v>2.3100778256587403E-2</v>
      </c>
      <c r="AA3165" s="201">
        <v>2.3078571977395157E-2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61373</v>
      </c>
      <c r="Y3166" s="198">
        <f>_xll.qlInterestRateIndexValueDate(IborIndex,X3166,Trigger)</f>
        <v>61375</v>
      </c>
      <c r="Z3166" s="199">
        <v>2.3100778256587403E-2</v>
      </c>
      <c r="AA3166" s="201">
        <v>2.3078571977475093E-2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61380</v>
      </c>
      <c r="Y3167" s="198">
        <f>_xll.qlInterestRateIndexValueDate(IborIndex,X3167,Trigger)</f>
        <v>61382</v>
      </c>
      <c r="Z3167" s="199">
        <v>2.3101518956384626E-2</v>
      </c>
      <c r="AA3167" s="201">
        <v>2.3078571977475093E-2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61387</v>
      </c>
      <c r="Y3168" s="198">
        <f>_xll.qlInterestRateIndexValueDate(IborIndex,X3168,Trigger)</f>
        <v>61389</v>
      </c>
      <c r="Z3168" s="199">
        <v>2.3100778256584825E-2</v>
      </c>
      <c r="AA3168" s="201">
        <v>2.3078571977475093E-2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61394</v>
      </c>
      <c r="Y3169" s="198">
        <f>_xll.qlInterestRateIndexValueDate(IborIndex,X3169,Trigger)</f>
        <v>61396</v>
      </c>
      <c r="Z3169" s="199">
        <v>2.3100778256587403E-2</v>
      </c>
      <c r="AA3169" s="201">
        <v>2.3078571977475093E-2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61401</v>
      </c>
      <c r="Y3170" s="198">
        <f>_xll.qlInterestRateIndexValueDate(IborIndex,X3170,Trigger)</f>
        <v>61403</v>
      </c>
      <c r="Z3170" s="199">
        <v>2.3100778256587403E-2</v>
      </c>
      <c r="AA3170" s="201">
        <v>2.3078571977395157E-2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61408</v>
      </c>
      <c r="Y3171" s="198">
        <f>_xll.qlInterestRateIndexValueDate(IborIndex,X3171,Trigger)</f>
        <v>61410</v>
      </c>
      <c r="Z3171" s="199">
        <v>2.3100778256584825E-2</v>
      </c>
      <c r="AA3171" s="201">
        <v>2.3078571977475093E-2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61415</v>
      </c>
      <c r="Y3172" s="198">
        <f>_xll.qlInterestRateIndexValueDate(IborIndex,X3172,Trigger)</f>
        <v>61417</v>
      </c>
      <c r="Z3172" s="199">
        <v>2.3100778256587403E-2</v>
      </c>
      <c r="AA3172" s="201">
        <v>2.3078571977395157E-2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61422</v>
      </c>
      <c r="Y3173" s="198">
        <f>_xll.qlInterestRateIndexValueDate(IborIndex,X3173,Trigger)</f>
        <v>61424</v>
      </c>
      <c r="Z3173" s="199">
        <v>2.3100778256587403E-2</v>
      </c>
      <c r="AA3173" s="201">
        <v>2.3078571977395157E-2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61429</v>
      </c>
      <c r="Y3174" s="198">
        <f>_xll.qlInterestRateIndexValueDate(IborIndex,X3174,Trigger)</f>
        <v>61431</v>
      </c>
      <c r="Z3174" s="199">
        <v>2.3100778256587403E-2</v>
      </c>
      <c r="AA3174" s="201">
        <v>2.3078571977475093E-2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61436</v>
      </c>
      <c r="Y3175" s="198">
        <f>_xll.qlInterestRateIndexValueDate(IborIndex,X3175,Trigger)</f>
        <v>61438</v>
      </c>
      <c r="Z3175" s="199">
        <v>2.3100778256587403E-2</v>
      </c>
      <c r="AA3175" s="201">
        <v>2.3078571977555029E-2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61443</v>
      </c>
      <c r="Y3176" s="198">
        <f>_xll.qlInterestRateIndexValueDate(IborIndex,X3176,Trigger)</f>
        <v>61445</v>
      </c>
      <c r="Z3176" s="199">
        <v>2.3101518956387124E-2</v>
      </c>
      <c r="AA3176" s="201">
        <v>2.3078571977395157E-2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61450</v>
      </c>
      <c r="Y3177" s="198">
        <f>_xll.qlInterestRateIndexValueDate(IborIndex,X3177,Trigger)</f>
        <v>61452</v>
      </c>
      <c r="Z3177" s="199">
        <v>2.3100778256582247E-2</v>
      </c>
      <c r="AA3177" s="201">
        <v>2.3078571977555029E-2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61457</v>
      </c>
      <c r="Y3178" s="198">
        <f>_xll.qlInterestRateIndexValueDate(IborIndex,X3178,Trigger)</f>
        <v>61459</v>
      </c>
      <c r="Z3178" s="199">
        <v>2.3101518956384626E-2</v>
      </c>
      <c r="AA3178" s="201">
        <v>2.3078571977475093E-2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61464</v>
      </c>
      <c r="Y3179" s="198">
        <f>_xll.qlInterestRateIndexValueDate(IborIndex,X3179,Trigger)</f>
        <v>61466</v>
      </c>
      <c r="Z3179" s="199">
        <v>2.3100778256584825E-2</v>
      </c>
      <c r="AA3179" s="201">
        <v>2.3078571977475093E-2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61471</v>
      </c>
      <c r="Y3180" s="198">
        <f>_xll.qlInterestRateIndexValueDate(IborIndex,X3180,Trigger)</f>
        <v>61477</v>
      </c>
      <c r="Z3180" s="199">
        <v>2.3100037588446476E-2</v>
      </c>
      <c r="AA3180" s="201">
        <v>2.3078571977475093E-2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61478</v>
      </c>
      <c r="Y3181" s="198">
        <f>_xll.qlInterestRateIndexValueDate(IborIndex,X3181,Trigger)</f>
        <v>61480</v>
      </c>
      <c r="Z3181" s="199">
        <v>2.3101518956387124E-2</v>
      </c>
      <c r="AA3181" s="201">
        <v>2.3078571977475093E-2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61485</v>
      </c>
      <c r="Y3182" s="198">
        <f>_xll.qlInterestRateIndexValueDate(IborIndex,X3182,Trigger)</f>
        <v>61487</v>
      </c>
      <c r="Z3182" s="199">
        <v>2.3100778256587403E-2</v>
      </c>
      <c r="AA3182" s="201">
        <v>2.3078571977395157E-2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61492</v>
      </c>
      <c r="Y3183" s="198">
        <f>_xll.qlInterestRateIndexValueDate(IborIndex,X3183,Trigger)</f>
        <v>61494</v>
      </c>
      <c r="Z3183" s="199">
        <v>2.3100778256587403E-2</v>
      </c>
      <c r="AA3183" s="201">
        <v>2.3078571977475093E-2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61499</v>
      </c>
      <c r="Y3184" s="198">
        <f>_xll.qlInterestRateIndexValueDate(IborIndex,X3184,Trigger)</f>
        <v>61501</v>
      </c>
      <c r="Z3184" s="199">
        <v>2.3100778256584825E-2</v>
      </c>
      <c r="AA3184" s="201">
        <v>2.3078571977395157E-2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61506</v>
      </c>
      <c r="Y3185" s="198">
        <f>_xll.qlInterestRateIndexValueDate(IborIndex,X3185,Trigger)</f>
        <v>61508</v>
      </c>
      <c r="Z3185" s="199">
        <v>2.3100778256584825E-2</v>
      </c>
      <c r="AA3185" s="201">
        <v>2.3078571977475093E-2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61513</v>
      </c>
      <c r="Y3186" s="198">
        <f>_xll.qlInterestRateIndexValueDate(IborIndex,X3186,Trigger)</f>
        <v>61515</v>
      </c>
      <c r="Z3186" s="199">
        <v>2.3100778256584825E-2</v>
      </c>
      <c r="AA3186" s="201">
        <v>2.3078571977555029E-2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61520</v>
      </c>
      <c r="Y3187" s="198">
        <f>_xll.qlInterestRateIndexValueDate(IborIndex,X3187,Trigger)</f>
        <v>61522</v>
      </c>
      <c r="Z3187" s="199">
        <v>2.3100778256584825E-2</v>
      </c>
      <c r="AA3187" s="201">
        <v>2.3078571977475093E-2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61527</v>
      </c>
      <c r="Y3188" s="198">
        <f>_xll.qlInterestRateIndexValueDate(IborIndex,X3188,Trigger)</f>
        <v>61529</v>
      </c>
      <c r="Z3188" s="199">
        <v>2.3100778256584825E-2</v>
      </c>
      <c r="AA3188" s="201">
        <v>2.3078571977475093E-2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61534</v>
      </c>
      <c r="Y3189" s="198">
        <f>_xll.qlInterestRateIndexValueDate(IborIndex,X3189,Trigger)</f>
        <v>61536</v>
      </c>
      <c r="Z3189" s="199">
        <v>2.3100778256587403E-2</v>
      </c>
      <c r="AA3189" s="201">
        <v>2.3078571977475093E-2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61541</v>
      </c>
      <c r="Y3190" s="198">
        <f>_xll.qlInterestRateIndexValueDate(IborIndex,X3190,Trigger)</f>
        <v>61543</v>
      </c>
      <c r="Z3190" s="199">
        <v>2.3101518956389622E-2</v>
      </c>
      <c r="AA3190" s="201">
        <v>2.3078571977475093E-2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61548</v>
      </c>
      <c r="Y3191" s="198">
        <f>_xll.qlInterestRateIndexValueDate(IborIndex,X3191,Trigger)</f>
        <v>61550</v>
      </c>
      <c r="Z3191" s="199">
        <v>2.3100778256587403E-2</v>
      </c>
      <c r="AA3191" s="201">
        <v>2.3078571977395157E-2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61555</v>
      </c>
      <c r="Y3192" s="198">
        <f>_xll.qlInterestRateIndexValueDate(IborIndex,X3192,Trigger)</f>
        <v>61557</v>
      </c>
      <c r="Z3192" s="199">
        <v>2.3100778256584825E-2</v>
      </c>
      <c r="AA3192" s="201">
        <v>2.3078571977475093E-2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61562</v>
      </c>
      <c r="Y3193" s="198">
        <f>_xll.qlInterestRateIndexValueDate(IborIndex,X3193,Trigger)</f>
        <v>61564</v>
      </c>
      <c r="Z3193" s="199">
        <v>2.3100778256584825E-2</v>
      </c>
      <c r="AA3193" s="201">
        <v>2.3078571977475093E-2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61569</v>
      </c>
      <c r="Y3194" s="198">
        <f>_xll.qlInterestRateIndexValueDate(IborIndex,X3194,Trigger)</f>
        <v>61571</v>
      </c>
      <c r="Z3194" s="199">
        <v>2.3101518956389622E-2</v>
      </c>
      <c r="AA3194" s="201">
        <v>2.3078571977395157E-2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61576</v>
      </c>
      <c r="Y3195" s="198">
        <f>_xll.qlInterestRateIndexValueDate(IborIndex,X3195,Trigger)</f>
        <v>61578</v>
      </c>
      <c r="Z3195" s="199">
        <v>2.3101518956387124E-2</v>
      </c>
      <c r="AA3195" s="201">
        <v>2.3078571977395157E-2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61583</v>
      </c>
      <c r="Y3196" s="198">
        <f>_xll.qlInterestRateIndexValueDate(IborIndex,X3196,Trigger)</f>
        <v>61585</v>
      </c>
      <c r="Z3196" s="199">
        <v>2.3100778256587403E-2</v>
      </c>
      <c r="AA3196" s="201">
        <v>2.3078571977475093E-2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61590</v>
      </c>
      <c r="Y3197" s="198">
        <f>_xll.qlInterestRateIndexValueDate(IborIndex,X3197,Trigger)</f>
        <v>61592</v>
      </c>
      <c r="Z3197" s="199">
        <v>2.3100778256587403E-2</v>
      </c>
      <c r="AA3197" s="201">
        <v>2.3078571977475093E-2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61597</v>
      </c>
      <c r="Y3198" s="198">
        <f>_xll.qlInterestRateIndexValueDate(IborIndex,X3198,Trigger)</f>
        <v>61599</v>
      </c>
      <c r="Z3198" s="199">
        <v>2.3100778256584825E-2</v>
      </c>
      <c r="AA3198" s="201">
        <v>2.3078571977475093E-2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61604</v>
      </c>
      <c r="Y3199" s="198">
        <f>_xll.qlInterestRateIndexValueDate(IborIndex,X3199,Trigger)</f>
        <v>61606</v>
      </c>
      <c r="Z3199" s="199">
        <v>2.3098556347137058E-2</v>
      </c>
      <c r="AA3199" s="201">
        <v>2.3078571977475093E-2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61611</v>
      </c>
      <c r="Y3200" s="198">
        <f>_xll.qlInterestRateIndexValueDate(IborIndex,X3200,Trigger)</f>
        <v>61613</v>
      </c>
      <c r="Z3200" s="199">
        <v>2.3101518956387124E-2</v>
      </c>
      <c r="AA3200" s="201">
        <v>2.3078571977475093E-2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61618</v>
      </c>
      <c r="Y3201" s="198">
        <f>_xll.qlInterestRateIndexValueDate(IborIndex,X3201,Trigger)</f>
        <v>61620</v>
      </c>
      <c r="Z3201" s="199">
        <v>2.3100778256587403E-2</v>
      </c>
      <c r="AA3201" s="201">
        <v>2.3078571977475093E-2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61625</v>
      </c>
      <c r="Y3202" s="198">
        <f>_xll.qlInterestRateIndexValueDate(IborIndex,X3202,Trigger)</f>
        <v>61627</v>
      </c>
      <c r="Z3202" s="199">
        <v>2.3100778256587403E-2</v>
      </c>
      <c r="AA3202" s="201">
        <v>2.3078571977395157E-2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61632</v>
      </c>
      <c r="Y3203" s="198">
        <f>_xll.qlInterestRateIndexValueDate(IborIndex,X3203,Trigger)</f>
        <v>61634</v>
      </c>
      <c r="Z3203" s="199">
        <v>2.310225968785011E-2</v>
      </c>
      <c r="AA3203" s="201">
        <v>2.3078571977475093E-2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61639</v>
      </c>
      <c r="Y3204" s="198">
        <f>_xll.qlInterestRateIndexValueDate(IborIndex,X3204,Trigger)</f>
        <v>61641</v>
      </c>
      <c r="Z3204" s="199">
        <v>2.3100778256582247E-2</v>
      </c>
      <c r="AA3204" s="201">
        <v>2.3078571977555029E-2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61646</v>
      </c>
      <c r="Y3205" s="198">
        <f>_xll.qlInterestRateIndexValueDate(IborIndex,X3205,Trigger)</f>
        <v>61648</v>
      </c>
      <c r="Z3205" s="199">
        <v>2.3101518956387124E-2</v>
      </c>
      <c r="AA3205" s="201">
        <v>2.3078571977475093E-2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61653</v>
      </c>
      <c r="Y3206" s="198">
        <f>_xll.qlInterestRateIndexValueDate(IborIndex,X3206,Trigger)</f>
        <v>61655</v>
      </c>
      <c r="Z3206" s="199">
        <v>2.3100778256584825E-2</v>
      </c>
      <c r="AA3206" s="201">
        <v>2.3078571977475093E-2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61660</v>
      </c>
      <c r="Y3207" s="198">
        <f>_xll.qlInterestRateIndexValueDate(IborIndex,X3207,Trigger)</f>
        <v>61662</v>
      </c>
      <c r="Z3207" s="199">
        <v>2.3100778256584825E-2</v>
      </c>
      <c r="AA3207" s="201">
        <v>2.3078571977555029E-2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61667</v>
      </c>
      <c r="Y3208" s="198">
        <f>_xll.qlInterestRateIndexValueDate(IborIndex,X3208,Trigger)</f>
        <v>61669</v>
      </c>
      <c r="Z3208" s="199">
        <v>2.3100778256584825E-2</v>
      </c>
      <c r="AA3208" s="201">
        <v>2.3078571977395157E-2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61674</v>
      </c>
      <c r="Y3209" s="198">
        <f>_xll.qlInterestRateIndexValueDate(IborIndex,X3209,Trigger)</f>
        <v>61676</v>
      </c>
      <c r="Z3209" s="199">
        <v>2.3100778256587403E-2</v>
      </c>
      <c r="AA3209" s="201">
        <v>2.3078571977395157E-2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61681</v>
      </c>
      <c r="Y3210" s="198">
        <f>_xll.qlInterestRateIndexValueDate(IborIndex,X3210,Trigger)</f>
        <v>61683</v>
      </c>
      <c r="Z3210" s="199">
        <v>2.3100778256584825E-2</v>
      </c>
      <c r="AA3210" s="201">
        <v>2.3078571977555029E-2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61688</v>
      </c>
      <c r="Y3211" s="198">
        <f>_xll.qlInterestRateIndexValueDate(IborIndex,X3211,Trigger)</f>
        <v>61690</v>
      </c>
      <c r="Z3211" s="199">
        <v>2.3100778256587403E-2</v>
      </c>
      <c r="AA3211" s="201">
        <v>2.3078571977475093E-2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61695</v>
      </c>
      <c r="Y3212" s="198">
        <f>_xll.qlInterestRateIndexValueDate(IborIndex,X3212,Trigger)</f>
        <v>61697</v>
      </c>
      <c r="Z3212" s="199">
        <v>2.3100778256587403E-2</v>
      </c>
      <c r="AA3212" s="201">
        <v>2.3078571977395157E-2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61702</v>
      </c>
      <c r="Y3213" s="198">
        <f>_xll.qlInterestRateIndexValueDate(IborIndex,X3213,Trigger)</f>
        <v>61704</v>
      </c>
      <c r="Z3213" s="199">
        <v>2.3100778256587403E-2</v>
      </c>
      <c r="AA3213" s="201">
        <v>2.3078571977475093E-2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61709</v>
      </c>
      <c r="Y3214" s="198">
        <f>_xll.qlInterestRateIndexValueDate(IborIndex,X3214,Trigger)</f>
        <v>61711</v>
      </c>
      <c r="Z3214" s="199">
        <v>2.3100778256584825E-2</v>
      </c>
      <c r="AA3214" s="201">
        <v>2.3078571977475093E-2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61716</v>
      </c>
      <c r="Y3215" s="198">
        <f>_xll.qlInterestRateIndexValueDate(IborIndex,X3215,Trigger)</f>
        <v>61718</v>
      </c>
      <c r="Z3215" s="199">
        <v>2.3101518956389622E-2</v>
      </c>
      <c r="AA3215" s="201">
        <v>2.3078571977475093E-2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61724</v>
      </c>
      <c r="Y3216" s="198">
        <f>_xll.qlInterestRateIndexValueDate(IborIndex,X3216,Trigger)</f>
        <v>61728</v>
      </c>
      <c r="Z3216" s="199">
        <v>2.3100778256584825E-2</v>
      </c>
      <c r="AA3216" s="201">
        <v>2.3078571977475093E-2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61731</v>
      </c>
      <c r="Y3217" s="198">
        <f>_xll.qlInterestRateIndexValueDate(IborIndex,X3217,Trigger)</f>
        <v>61735</v>
      </c>
      <c r="Z3217" s="199">
        <v>2.3100778256587403E-2</v>
      </c>
      <c r="AA3217" s="201">
        <v>2.3078571977395157E-2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61738</v>
      </c>
      <c r="Y3218" s="198">
        <f>_xll.qlInterestRateIndexValueDate(IborIndex,X3218,Trigger)</f>
        <v>61742</v>
      </c>
      <c r="Z3218" s="199">
        <v>2.3100778256589981E-2</v>
      </c>
      <c r="AA3218" s="201">
        <v>2.3078571977475093E-2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61745</v>
      </c>
      <c r="Y3219" s="198">
        <f>_xll.qlInterestRateIndexValueDate(IborIndex,X3219,Trigger)</f>
        <v>61750</v>
      </c>
      <c r="Z3219" s="199">
        <v>2.3100778256584825E-2</v>
      </c>
      <c r="AA3219" s="201">
        <v>2.3078571977475093E-2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61752</v>
      </c>
      <c r="Y3220" s="198">
        <f>_xll.qlInterestRateIndexValueDate(IborIndex,X3220,Trigger)</f>
        <v>61756</v>
      </c>
      <c r="Z3220" s="199">
        <v>2.3100778256584825E-2</v>
      </c>
      <c r="AA3220" s="201">
        <v>2.3078571977475093E-2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61759</v>
      </c>
      <c r="Y3221" s="198">
        <f>_xll.qlInterestRateIndexValueDate(IborIndex,X3221,Trigger)</f>
        <v>61763</v>
      </c>
      <c r="Z3221" s="199">
        <v>2.3098556347137058E-2</v>
      </c>
      <c r="AA3221" s="201">
        <v>2.3078571977475093E-2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61766</v>
      </c>
      <c r="Y3222" s="198">
        <f>_xll.qlInterestRateIndexValueDate(IborIndex,X3222,Trigger)</f>
        <v>61770</v>
      </c>
      <c r="Z3222" s="199">
        <v>2.3098556347134203E-2</v>
      </c>
      <c r="AA3222" s="201">
        <v>2.3078571977475093E-2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61773</v>
      </c>
      <c r="Y3223" s="198">
        <f>_xll.qlInterestRateIndexValueDate(IborIndex,X3223,Trigger)</f>
        <v>61778</v>
      </c>
      <c r="Z3223" s="199">
        <v>2.3098556347134203E-2</v>
      </c>
      <c r="AA3223" s="201">
        <v>2.3078571977475093E-2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61780</v>
      </c>
      <c r="Y3224" s="198">
        <f>_xll.qlInterestRateIndexValueDate(IborIndex,X3224,Trigger)</f>
        <v>61784</v>
      </c>
      <c r="Z3224" s="199">
        <v>2.3098556347134203E-2</v>
      </c>
      <c r="AA3224" s="201">
        <v>2.3078571977395157E-2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61787</v>
      </c>
      <c r="Y3225" s="198">
        <f>_xll.qlInterestRateIndexValueDate(IborIndex,X3225,Trigger)</f>
        <v>61791</v>
      </c>
      <c r="Z3225" s="199">
        <v>2.3100778256587403E-2</v>
      </c>
      <c r="AA3225" s="201">
        <v>2.3078571977475093E-2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61794</v>
      </c>
      <c r="Y3226" s="198">
        <f>_xll.qlInterestRateIndexValueDate(IborIndex,X3226,Trigger)</f>
        <v>61798</v>
      </c>
      <c r="Z3226" s="199">
        <v>2.3100778256587403E-2</v>
      </c>
      <c r="AA3226" s="201">
        <v>2.3078571977555029E-2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61801</v>
      </c>
      <c r="Y3227" s="198">
        <f>_xll.qlInterestRateIndexValueDate(IborIndex,X3227,Trigger)</f>
        <v>61805</v>
      </c>
      <c r="Z3227" s="199">
        <v>2.3100778256587403E-2</v>
      </c>
      <c r="AA3227" s="201">
        <v>2.3078571977475093E-2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61808</v>
      </c>
      <c r="Y3228" s="198">
        <f>_xll.qlInterestRateIndexValueDate(IborIndex,X3228,Trigger)</f>
        <v>61812</v>
      </c>
      <c r="Z3228" s="199">
        <v>2.3100778256584825E-2</v>
      </c>
      <c r="AA3228" s="201">
        <v>2.3078571977475093E-2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61815</v>
      </c>
      <c r="Y3229" s="198">
        <f>_xll.qlInterestRateIndexValueDate(IborIndex,X3229,Trigger)</f>
        <v>61819</v>
      </c>
      <c r="Z3229" s="199">
        <v>2.3100037588443811E-2</v>
      </c>
      <c r="AA3229" s="201">
        <v>2.3078571977555029E-2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61822</v>
      </c>
      <c r="Y3230" s="198">
        <f>_xll.qlInterestRateIndexValueDate(IborIndex,X3230,Trigger)</f>
        <v>61826</v>
      </c>
      <c r="Z3230" s="199">
        <v>2.3100037588446476E-2</v>
      </c>
      <c r="AA3230" s="201">
        <v>2.3078571977555029E-2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61829</v>
      </c>
      <c r="Y3231" s="198">
        <f>_xll.qlInterestRateIndexValueDate(IborIndex,X3231,Trigger)</f>
        <v>61835</v>
      </c>
      <c r="Z3231" s="199">
        <v>2.3100037588443811E-2</v>
      </c>
      <c r="AA3231" s="201">
        <v>2.3080051510451227E-2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61836</v>
      </c>
      <c r="Y3232" s="198">
        <f>_xll.qlInterestRateIndexValueDate(IborIndex,X3232,Trigger)</f>
        <v>61840</v>
      </c>
      <c r="Z3232" s="199">
        <v>2.3100037588443811E-2</v>
      </c>
      <c r="AA3232" s="201">
        <v>2.3078571977395157E-2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61843</v>
      </c>
      <c r="Y3233" s="198">
        <f>_xll.qlInterestRateIndexValueDate(IborIndex,X3233,Trigger)</f>
        <v>61847</v>
      </c>
      <c r="Z3233" s="199">
        <v>2.3100037588443811E-2</v>
      </c>
      <c r="AA3233" s="201">
        <v>2.3078571977555029E-2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61850</v>
      </c>
      <c r="Y3234" s="198">
        <f>_xll.qlInterestRateIndexValueDate(IborIndex,X3234,Trigger)</f>
        <v>61855</v>
      </c>
      <c r="Z3234" s="199">
        <v>2.3100778256584825E-2</v>
      </c>
      <c r="AA3234" s="201">
        <v>2.3078571977555029E-2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61857</v>
      </c>
      <c r="Y3235" s="198">
        <f>_xll.qlInterestRateIndexValueDate(IborIndex,X3235,Trigger)</f>
        <v>61861</v>
      </c>
      <c r="Z3235" s="199">
        <v>2.3100778256589981E-2</v>
      </c>
      <c r="AA3235" s="201">
        <v>2.3078571977395157E-2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61864</v>
      </c>
      <c r="Y3236" s="198">
        <f>_xll.qlInterestRateIndexValueDate(IborIndex,X3236,Trigger)</f>
        <v>61868</v>
      </c>
      <c r="Z3236" s="199">
        <v>2.3100778256584825E-2</v>
      </c>
      <c r="AA3236" s="201">
        <v>2.3078571977475093E-2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61871</v>
      </c>
      <c r="Y3237" s="198">
        <f>_xll.qlInterestRateIndexValueDate(IborIndex,X3237,Trigger)</f>
        <v>61876</v>
      </c>
      <c r="Z3237" s="199">
        <v>2.3100778256587403E-2</v>
      </c>
      <c r="AA3237" s="201">
        <v>2.3078571977475093E-2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61878</v>
      </c>
      <c r="Y3238" s="198">
        <f>_xll.qlInterestRateIndexValueDate(IborIndex,X3238,Trigger)</f>
        <v>61882</v>
      </c>
      <c r="Z3238" s="199">
        <v>2.3100037588446476E-2</v>
      </c>
      <c r="AA3238" s="201">
        <v>2.3078571977555029E-2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61885</v>
      </c>
      <c r="Y3239" s="198">
        <f>_xll.qlInterestRateIndexValueDate(IborIndex,X3239,Trigger)</f>
        <v>61889</v>
      </c>
      <c r="Z3239" s="199">
        <v>2.3100037588446476E-2</v>
      </c>
      <c r="AA3239" s="201">
        <v>2.3078571977475093E-2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61892</v>
      </c>
      <c r="Y3240" s="198">
        <f>_xll.qlInterestRateIndexValueDate(IborIndex,X3240,Trigger)</f>
        <v>61896</v>
      </c>
      <c r="Z3240" s="199">
        <v>2.3100037588446476E-2</v>
      </c>
      <c r="AA3240" s="201">
        <v>2.3078571977475093E-2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61899</v>
      </c>
      <c r="Y3241" s="198">
        <f>_xll.qlInterestRateIndexValueDate(IborIndex,X3241,Trigger)</f>
        <v>61903</v>
      </c>
      <c r="Z3241" s="199">
        <v>2.3100037588446476E-2</v>
      </c>
      <c r="AA3241" s="201">
        <v>2.3078571977475093E-2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61906</v>
      </c>
      <c r="Y3242" s="198">
        <f>_xll.qlInterestRateIndexValueDate(IborIndex,X3242,Trigger)</f>
        <v>61910</v>
      </c>
      <c r="Z3242" s="199">
        <v>2.3100778256587403E-2</v>
      </c>
      <c r="AA3242" s="201">
        <v>2.3078571977395157E-2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61913</v>
      </c>
      <c r="Y3243" s="198">
        <f>_xll.qlInterestRateIndexValueDate(IborIndex,X3243,Trigger)</f>
        <v>61917</v>
      </c>
      <c r="Z3243" s="199">
        <v>2.3100778256587403E-2</v>
      </c>
      <c r="AA3243" s="201">
        <v>2.3078571977475093E-2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61920</v>
      </c>
      <c r="Y3244" s="198">
        <f>_xll.qlInterestRateIndexValueDate(IborIndex,X3244,Trigger)</f>
        <v>61924</v>
      </c>
      <c r="Z3244" s="199">
        <v>2.3100778256584825E-2</v>
      </c>
      <c r="AA3244" s="201">
        <v>2.3078571977475093E-2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61927</v>
      </c>
      <c r="Y3245" s="198">
        <f>_xll.qlInterestRateIndexValueDate(IborIndex,X3245,Trigger)</f>
        <v>61931</v>
      </c>
      <c r="Z3245" s="199">
        <v>2.3100778256587403E-2</v>
      </c>
      <c r="AA3245" s="201">
        <v>2.3078571977475093E-2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61934</v>
      </c>
      <c r="Y3246" s="198">
        <f>_xll.qlInterestRateIndexValueDate(IborIndex,X3246,Trigger)</f>
        <v>61938</v>
      </c>
      <c r="Z3246" s="199">
        <v>2.3100778256584825E-2</v>
      </c>
      <c r="AA3246" s="201">
        <v>2.3078571977395157E-2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61941</v>
      </c>
      <c r="Y3247" s="198">
        <f>_xll.qlInterestRateIndexValueDate(IborIndex,X3247,Trigger)</f>
        <v>61945</v>
      </c>
      <c r="Z3247" s="199">
        <v>2.3100778256584825E-2</v>
      </c>
      <c r="AA3247" s="201">
        <v>2.3078571977475093E-2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61948</v>
      </c>
      <c r="Y3248" s="198">
        <f>_xll.qlInterestRateIndexValueDate(IborIndex,X3248,Trigger)</f>
        <v>61952</v>
      </c>
      <c r="Z3248" s="199">
        <v>2.3100778256584825E-2</v>
      </c>
      <c r="AA3248" s="201">
        <v>2.3078571977475093E-2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61955</v>
      </c>
      <c r="Y3249" s="198">
        <f>_xll.qlInterestRateIndexValueDate(IborIndex,X3249,Trigger)</f>
        <v>61959</v>
      </c>
      <c r="Z3249" s="199">
        <v>2.3100778256587403E-2</v>
      </c>
      <c r="AA3249" s="201">
        <v>2.3078571977555029E-2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61962</v>
      </c>
      <c r="Y3250" s="198">
        <f>_xll.qlInterestRateIndexValueDate(IborIndex,X3250,Trigger)</f>
        <v>61967</v>
      </c>
      <c r="Z3250" s="199">
        <v>2.3100778256587403E-2</v>
      </c>
      <c r="AA3250" s="201">
        <v>2.3078571977555029E-2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61969</v>
      </c>
      <c r="Y3251" s="198">
        <f>_xll.qlInterestRateIndexValueDate(IborIndex,X3251,Trigger)</f>
        <v>61974</v>
      </c>
      <c r="Z3251" s="199">
        <v>2.3100037588446476E-2</v>
      </c>
      <c r="AA3251" s="201">
        <v>2.3078571977475093E-2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61976</v>
      </c>
      <c r="Y3252" s="198">
        <f>_xll.qlInterestRateIndexValueDate(IborIndex,X3252,Trigger)</f>
        <v>61980</v>
      </c>
      <c r="Z3252" s="199">
        <v>2.3100037588446476E-2</v>
      </c>
      <c r="AA3252" s="201">
        <v>2.3078571977475093E-2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61983</v>
      </c>
      <c r="Y3253" s="198">
        <f>_xll.qlInterestRateIndexValueDate(IborIndex,X3253,Trigger)</f>
        <v>61987</v>
      </c>
      <c r="Z3253" s="199">
        <v>2.3100037588446476E-2</v>
      </c>
      <c r="AA3253" s="201">
        <v>2.3078571977395157E-2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61990</v>
      </c>
      <c r="Y3254" s="198">
        <f>_xll.qlInterestRateIndexValueDate(IborIndex,X3254,Trigger)</f>
        <v>61994</v>
      </c>
      <c r="Z3254" s="199">
        <v>2.3100037588443811E-2</v>
      </c>
      <c r="AA3254" s="201">
        <v>2.3078571977475093E-2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61997</v>
      </c>
      <c r="Y3255" s="198">
        <f>_xll.qlInterestRateIndexValueDate(IborIndex,X3255,Trigger)</f>
        <v>62001</v>
      </c>
      <c r="Z3255" s="199">
        <v>2.3100778256584825E-2</v>
      </c>
      <c r="AA3255" s="201">
        <v>2.3078571977475093E-2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62004</v>
      </c>
      <c r="Y3256" s="198">
        <f>_xll.qlInterestRateIndexValueDate(IborIndex,X3256,Trigger)</f>
        <v>62008</v>
      </c>
      <c r="Z3256" s="199">
        <v>2.3100778256584825E-2</v>
      </c>
      <c r="AA3256" s="201">
        <v>2.3078571977475093E-2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62011</v>
      </c>
      <c r="Y3257" s="198">
        <f>_xll.qlInterestRateIndexValueDate(IborIndex,X3257,Trigger)</f>
        <v>62016</v>
      </c>
      <c r="Z3257" s="199">
        <v>2.3100778256584825E-2</v>
      </c>
      <c r="AA3257" s="201">
        <v>2.3078571977555029E-2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62018</v>
      </c>
      <c r="Y3258" s="198">
        <f>_xll.qlInterestRateIndexValueDate(IborIndex,X3258,Trigger)</f>
        <v>62022</v>
      </c>
      <c r="Z3258" s="199">
        <v>2.3100778256587403E-2</v>
      </c>
      <c r="AA3258" s="201">
        <v>2.3078571977555029E-2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62025</v>
      </c>
      <c r="Y3259" s="198">
        <f>_xll.qlInterestRateIndexValueDate(IborIndex,X3259,Trigger)</f>
        <v>62029</v>
      </c>
      <c r="Z3259" s="199">
        <v>2.3101518956387124E-2</v>
      </c>
      <c r="AA3259" s="201">
        <v>2.3078571977475093E-2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62032</v>
      </c>
      <c r="Y3260" s="198">
        <f>_xll.qlInterestRateIndexValueDate(IborIndex,X3260,Trigger)</f>
        <v>62036</v>
      </c>
      <c r="Z3260" s="199">
        <v>2.3100037588446476E-2</v>
      </c>
      <c r="AA3260" s="201">
        <v>2.3078571977395157E-2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62039</v>
      </c>
      <c r="Y3261" s="198">
        <f>_xll.qlInterestRateIndexValueDate(IborIndex,X3261,Trigger)</f>
        <v>62044</v>
      </c>
      <c r="Z3261" s="199">
        <v>2.3100037588446476E-2</v>
      </c>
      <c r="AA3261" s="201">
        <v>2.3078571977475093E-2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62046</v>
      </c>
      <c r="Y3262" s="198">
        <f>_xll.qlInterestRateIndexValueDate(IborIndex,X3262,Trigger)</f>
        <v>62050</v>
      </c>
      <c r="Z3262" s="199">
        <v>2.3100037588443811E-2</v>
      </c>
      <c r="AA3262" s="201">
        <v>2.3078571977475093E-2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62053</v>
      </c>
      <c r="Y3263" s="198">
        <f>_xll.qlInterestRateIndexValueDate(IborIndex,X3263,Trigger)</f>
        <v>62057</v>
      </c>
      <c r="Z3263" s="199">
        <v>2.3101518956387124E-2</v>
      </c>
      <c r="AA3263" s="201">
        <v>2.3078571977475093E-2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62060</v>
      </c>
      <c r="Y3264" s="198">
        <f>_xll.qlInterestRateIndexValueDate(IborIndex,X3264,Trigger)</f>
        <v>62064</v>
      </c>
      <c r="Z3264" s="199">
        <v>2.3100778256584825E-2</v>
      </c>
      <c r="AA3264" s="201">
        <v>2.3078571977395157E-2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62067</v>
      </c>
      <c r="Y3265" s="198">
        <f>_xll.qlInterestRateIndexValueDate(IborIndex,X3265,Trigger)</f>
        <v>62071</v>
      </c>
      <c r="Z3265" s="199">
        <v>2.3100778256584825E-2</v>
      </c>
      <c r="AA3265" s="201">
        <v>2.3078571977395157E-2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62074</v>
      </c>
      <c r="Y3266" s="198">
        <f>_xll.qlInterestRateIndexValueDate(IborIndex,X3266,Trigger)</f>
        <v>62078</v>
      </c>
      <c r="Z3266" s="199">
        <v>2.3100778256584825E-2</v>
      </c>
      <c r="AA3266" s="201">
        <v>2.3078571977475093E-2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62081</v>
      </c>
      <c r="Y3267" s="198">
        <f>_xll.qlInterestRateIndexValueDate(IborIndex,X3267,Trigger)</f>
        <v>62085</v>
      </c>
      <c r="Z3267" s="199">
        <v>2.3100778256587403E-2</v>
      </c>
      <c r="AA3267" s="201">
        <v>2.3080051510424582E-2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62089</v>
      </c>
      <c r="Y3268" s="198">
        <f>_xll.qlInterestRateIndexValueDate(IborIndex,X3268,Trigger)</f>
        <v>62093</v>
      </c>
      <c r="Z3268" s="199">
        <v>2.3100778256587403E-2</v>
      </c>
      <c r="AA3268" s="201">
        <v>2.3080051510424582E-2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62096</v>
      </c>
      <c r="Y3269" s="198">
        <f>_xll.qlInterestRateIndexValueDate(IborIndex,X3269,Trigger)</f>
        <v>62100</v>
      </c>
      <c r="Z3269" s="199">
        <v>2.3100778256584825E-2</v>
      </c>
      <c r="AA3269" s="201">
        <v>2.3078571977395157E-2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62103</v>
      </c>
      <c r="Y3270" s="198">
        <f>_xll.qlInterestRateIndexValueDate(IborIndex,X3270,Trigger)</f>
        <v>62107</v>
      </c>
      <c r="Z3270" s="199">
        <v>2.3100778256587403E-2</v>
      </c>
      <c r="AA3270" s="201">
        <v>2.3078571977555029E-2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62110</v>
      </c>
      <c r="Y3271" s="198">
        <f>_xll.qlInterestRateIndexValueDate(IborIndex,X3271,Trigger)</f>
        <v>62114</v>
      </c>
      <c r="Z3271" s="199">
        <v>2.3100778256584825E-2</v>
      </c>
      <c r="AA3271" s="201">
        <v>2.3078571977475093E-2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62117</v>
      </c>
      <c r="Y3272" s="198">
        <f>_xll.qlInterestRateIndexValueDate(IborIndex,X3272,Trigger)</f>
        <v>62121</v>
      </c>
      <c r="Z3272" s="199">
        <v>2.3100778256584825E-2</v>
      </c>
      <c r="AA3272" s="201">
        <v>2.3078571977475093E-2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62124</v>
      </c>
      <c r="Y3273" s="198">
        <f>_xll.qlInterestRateIndexValueDate(IborIndex,X3273,Trigger)</f>
        <v>62128</v>
      </c>
      <c r="Z3273" s="199">
        <v>2.3098556347137058E-2</v>
      </c>
      <c r="AA3273" s="201">
        <v>2.3078571977475093E-2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62131</v>
      </c>
      <c r="Y3274" s="198">
        <f>_xll.qlInterestRateIndexValueDate(IborIndex,X3274,Trigger)</f>
        <v>62135</v>
      </c>
      <c r="Z3274" s="199">
        <v>2.3098556347137058E-2</v>
      </c>
      <c r="AA3274" s="201">
        <v>2.3078571977555029E-2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62138</v>
      </c>
      <c r="Y3275" s="198">
        <f>_xll.qlInterestRateIndexValueDate(IborIndex,X3275,Trigger)</f>
        <v>62142</v>
      </c>
      <c r="Z3275" s="199">
        <v>2.3098556347137058E-2</v>
      </c>
      <c r="AA3275" s="201">
        <v>2.3078571977475093E-2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62145</v>
      </c>
      <c r="Y3276" s="198">
        <f>_xll.qlInterestRateIndexValueDate(IborIndex,X3276,Trigger)</f>
        <v>62149</v>
      </c>
      <c r="Z3276" s="199">
        <v>2.3098556347137058E-2</v>
      </c>
      <c r="AA3276" s="201">
        <v>2.3078571977395157E-2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62152</v>
      </c>
      <c r="Y3277" s="198">
        <f>_xll.qlInterestRateIndexValueDate(IborIndex,X3277,Trigger)</f>
        <v>62156</v>
      </c>
      <c r="Z3277" s="199">
        <v>2.3100778256584825E-2</v>
      </c>
      <c r="AA3277" s="201">
        <v>2.3078571977395157E-2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62159</v>
      </c>
      <c r="Y3278" s="198">
        <f>_xll.qlInterestRateIndexValueDate(IborIndex,X3278,Trigger)</f>
        <v>62163</v>
      </c>
      <c r="Z3278" s="199">
        <v>2.3100778256587403E-2</v>
      </c>
      <c r="AA3278" s="201">
        <v>2.3078571977475093E-2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62166</v>
      </c>
      <c r="Y3279" s="198">
        <f>_xll.qlInterestRateIndexValueDate(IborIndex,X3279,Trigger)</f>
        <v>62170</v>
      </c>
      <c r="Z3279" s="199">
        <v>2.3100778256587403E-2</v>
      </c>
      <c r="AA3279" s="201">
        <v>2.3078571977475093E-2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62173</v>
      </c>
      <c r="Y3280" s="198">
        <f>_xll.qlInterestRateIndexValueDate(IborIndex,X3280,Trigger)</f>
        <v>62177</v>
      </c>
      <c r="Z3280" s="199">
        <v>2.3100778256587403E-2</v>
      </c>
      <c r="AA3280" s="201">
        <v>2.308153116985423E-2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62184</v>
      </c>
      <c r="Y3281" s="198">
        <f>_xll.qlInterestRateIndexValueDate(IborIndex,X3281,Trigger)</f>
        <v>62186</v>
      </c>
      <c r="Z3281" s="199">
        <v>2.3102259687847689E-2</v>
      </c>
      <c r="AA3281" s="201">
        <v>2.3078571977555029E-2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62191</v>
      </c>
      <c r="Y3282" s="198">
        <f>_xll.qlInterestRateIndexValueDate(IborIndex,X3282,Trigger)</f>
        <v>62193</v>
      </c>
      <c r="Z3282" s="199">
        <v>2.3101518956387124E-2</v>
      </c>
      <c r="AA3282" s="201">
        <v>2.3078571977475093E-2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62198</v>
      </c>
      <c r="Y3283" s="198">
        <f>_xll.qlInterestRateIndexValueDate(IborIndex,X3283,Trigger)</f>
        <v>62200</v>
      </c>
      <c r="Z3283" s="199">
        <v>2.3101518956384626E-2</v>
      </c>
      <c r="AA3283" s="201">
        <v>2.3078571977475093E-2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62205</v>
      </c>
      <c r="Y3284" s="198">
        <f>_xll.qlInterestRateIndexValueDate(IborIndex,X3284,Trigger)</f>
        <v>62207</v>
      </c>
      <c r="Z3284" s="199">
        <v>2.3102259687847689E-2</v>
      </c>
      <c r="AA3284" s="201">
        <v>2.3078571977475093E-2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62212</v>
      </c>
      <c r="Y3285" s="198">
        <f>_xll.qlInterestRateIndexValueDate(IborIndex,X3285,Trigger)</f>
        <v>62214</v>
      </c>
      <c r="Z3285" s="199">
        <v>2.3101518956389622E-2</v>
      </c>
      <c r="AA3285" s="201">
        <v>2.3078571977475093E-2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62219</v>
      </c>
      <c r="Y3286" s="198">
        <f>_xll.qlInterestRateIndexValueDate(IborIndex,X3286,Trigger)</f>
        <v>62221</v>
      </c>
      <c r="Z3286" s="199">
        <v>2.3101518956389622E-2</v>
      </c>
      <c r="AA3286" s="201">
        <v>2.3078571977475093E-2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62226</v>
      </c>
      <c r="Y3287" s="198">
        <f>_xll.qlInterestRateIndexValueDate(IborIndex,X3287,Trigger)</f>
        <v>62228</v>
      </c>
      <c r="Z3287" s="199">
        <v>2.3101518956384626E-2</v>
      </c>
      <c r="AA3287" s="201">
        <v>2.3078571977475093E-2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62233</v>
      </c>
      <c r="Y3288" s="198">
        <f>_xll.qlInterestRateIndexValueDate(IborIndex,X3288,Trigger)</f>
        <v>62235</v>
      </c>
      <c r="Z3288" s="199">
        <v>2.3101518956387124E-2</v>
      </c>
      <c r="AA3288" s="201">
        <v>2.3078571977475093E-2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62240</v>
      </c>
      <c r="Y3289" s="198">
        <f>_xll.qlInterestRateIndexValueDate(IborIndex,X3289,Trigger)</f>
        <v>62242</v>
      </c>
      <c r="Z3289" s="199">
        <v>2.3101518956387124E-2</v>
      </c>
      <c r="AA3289" s="201">
        <v>2.3078571977395157E-2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62247</v>
      </c>
      <c r="Y3290" s="198">
        <f>_xll.qlInterestRateIndexValueDate(IborIndex,X3290,Trigger)</f>
        <v>62249</v>
      </c>
      <c r="Z3290" s="199">
        <v>2.3101518956387124E-2</v>
      </c>
      <c r="AA3290" s="201">
        <v>2.3078571977395157E-2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62254</v>
      </c>
      <c r="Y3291" s="198">
        <f>_xll.qlInterestRateIndexValueDate(IborIndex,X3291,Trigger)</f>
        <v>62256</v>
      </c>
      <c r="Z3291" s="199">
        <v>2.3101518956387124E-2</v>
      </c>
      <c r="AA3291" s="201">
        <v>2.3078571977475093E-2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62261</v>
      </c>
      <c r="Y3292" s="198">
        <f>_xll.qlInterestRateIndexValueDate(IborIndex,X3292,Trigger)</f>
        <v>62263</v>
      </c>
      <c r="Z3292" s="199">
        <v>2.3101518956387124E-2</v>
      </c>
      <c r="AA3292" s="201">
        <v>2.3078571977475093E-2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62268</v>
      </c>
      <c r="Y3293" s="198">
        <f>_xll.qlInterestRateIndexValueDate(IborIndex,X3293,Trigger)</f>
        <v>62270</v>
      </c>
      <c r="Z3293" s="199">
        <v>2.3101518956387124E-2</v>
      </c>
      <c r="AA3293" s="201">
        <v>2.3078571977475093E-2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62275</v>
      </c>
      <c r="Y3294" s="198">
        <f>_xll.qlInterestRateIndexValueDate(IborIndex,X3294,Trigger)</f>
        <v>62277</v>
      </c>
      <c r="Z3294" s="199">
        <v>2.3101518956384626E-2</v>
      </c>
      <c r="AA3294" s="201">
        <v>2.3078571977475093E-2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62282</v>
      </c>
      <c r="Y3295" s="198">
        <f>_xll.qlInterestRateIndexValueDate(IborIndex,X3295,Trigger)</f>
        <v>62284</v>
      </c>
      <c r="Z3295" s="199">
        <v>2.3101518956387124E-2</v>
      </c>
      <c r="AA3295" s="201">
        <v>2.3078571977475093E-2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62289</v>
      </c>
      <c r="Y3296" s="198">
        <f>_xll.qlInterestRateIndexValueDate(IborIndex,X3296,Trigger)</f>
        <v>62291</v>
      </c>
      <c r="Z3296" s="199">
        <v>2.3101518956387124E-2</v>
      </c>
      <c r="AA3296" s="201">
        <v>2.3078571977475093E-2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62296</v>
      </c>
      <c r="Y3297" s="198">
        <f>_xll.qlInterestRateIndexValueDate(IborIndex,X3297,Trigger)</f>
        <v>62298</v>
      </c>
      <c r="Z3297" s="199">
        <v>2.310225968785011E-2</v>
      </c>
      <c r="AA3297" s="201">
        <v>2.3078571977395157E-2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62303</v>
      </c>
      <c r="Y3298" s="198">
        <f>_xll.qlInterestRateIndexValueDate(IborIndex,X3298,Trigger)</f>
        <v>62305</v>
      </c>
      <c r="Z3298" s="199">
        <v>2.3099296951962011E-2</v>
      </c>
      <c r="AA3298" s="201">
        <v>2.3078571977555029E-2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62310</v>
      </c>
      <c r="Y3299" s="198">
        <f>_xll.qlInterestRateIndexValueDate(IborIndex,X3299,Trigger)</f>
        <v>62312</v>
      </c>
      <c r="Z3299" s="199">
        <v>2.3101518956384626E-2</v>
      </c>
      <c r="AA3299" s="201">
        <v>2.3078571977475093E-2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62317</v>
      </c>
      <c r="Y3300" s="198">
        <f>_xll.qlInterestRateIndexValueDate(IborIndex,X3300,Trigger)</f>
        <v>62319</v>
      </c>
      <c r="Z3300" s="199">
        <v>2.3101518956387124E-2</v>
      </c>
      <c r="AA3300" s="201">
        <v>2.3078571977475093E-2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62324</v>
      </c>
      <c r="Y3301" s="198">
        <f>_xll.qlInterestRateIndexValueDate(IborIndex,X3301,Trigger)</f>
        <v>62326</v>
      </c>
      <c r="Z3301" s="199">
        <v>2.3101518956387124E-2</v>
      </c>
      <c r="AA3301" s="201">
        <v>2.3078571977395157E-2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62331</v>
      </c>
      <c r="Y3302" s="198">
        <f>_xll.qlInterestRateIndexValueDate(IborIndex,X3302,Trigger)</f>
        <v>62333</v>
      </c>
      <c r="Z3302" s="199">
        <v>2.3101518956384626E-2</v>
      </c>
      <c r="AA3302" s="201">
        <v>2.3078571977475093E-2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62338</v>
      </c>
      <c r="Y3303" s="198">
        <f>_xll.qlInterestRateIndexValueDate(IborIndex,X3303,Trigger)</f>
        <v>62340</v>
      </c>
      <c r="Z3303" s="199">
        <v>2.3101518956387124E-2</v>
      </c>
      <c r="AA3303" s="201">
        <v>2.3078571977475093E-2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62345</v>
      </c>
      <c r="Y3304" s="198">
        <f>_xll.qlInterestRateIndexValueDate(IborIndex,X3304,Trigger)</f>
        <v>62347</v>
      </c>
      <c r="Z3304" s="199">
        <v>2.3102259687847689E-2</v>
      </c>
      <c r="AA3304" s="201">
        <v>2.3078571977475093E-2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62352</v>
      </c>
      <c r="Y3305" s="198">
        <f>_xll.qlInterestRateIndexValueDate(IborIndex,X3305,Trigger)</f>
        <v>62354</v>
      </c>
      <c r="Z3305" s="199">
        <v>2.3101518956384626E-2</v>
      </c>
      <c r="AA3305" s="201">
        <v>2.3078571977555029E-2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62359</v>
      </c>
      <c r="Y3306" s="198">
        <f>_xll.qlInterestRateIndexValueDate(IborIndex,X3306,Trigger)</f>
        <v>62361</v>
      </c>
      <c r="Z3306" s="199">
        <v>2.3101518956384626E-2</v>
      </c>
      <c r="AA3306" s="201">
        <v>2.3078571977475093E-2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62366</v>
      </c>
      <c r="Y3307" s="198">
        <f>_xll.qlInterestRateIndexValueDate(IborIndex,X3307,Trigger)</f>
        <v>62368</v>
      </c>
      <c r="Z3307" s="199">
        <v>2.3101518956387124E-2</v>
      </c>
      <c r="AA3307" s="201">
        <v>2.3078571977475093E-2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62373</v>
      </c>
      <c r="Y3308" s="198">
        <f>_xll.qlInterestRateIndexValueDate(IborIndex,X3308,Trigger)</f>
        <v>62375</v>
      </c>
      <c r="Z3308" s="199">
        <v>2.3101518956387124E-2</v>
      </c>
      <c r="AA3308" s="201">
        <v>2.3078571977395157E-2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62380</v>
      </c>
      <c r="Y3309" s="198">
        <f>_xll.qlInterestRateIndexValueDate(IborIndex,X3309,Trigger)</f>
        <v>62382</v>
      </c>
      <c r="Z3309" s="199">
        <v>2.3101518956384626E-2</v>
      </c>
      <c r="AA3309" s="201">
        <v>2.3078571977475093E-2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62387</v>
      </c>
      <c r="Y3310" s="198">
        <f>_xll.qlInterestRateIndexValueDate(IborIndex,X3310,Trigger)</f>
        <v>62389</v>
      </c>
      <c r="Z3310" s="199">
        <v>2.3101518956387124E-2</v>
      </c>
      <c r="AA3310" s="201">
        <v>2.3078571977475093E-2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62394</v>
      </c>
      <c r="Y3311" s="198">
        <f>_xll.qlInterestRateIndexValueDate(IborIndex,X3311,Trigger)</f>
        <v>62396</v>
      </c>
      <c r="Z3311" s="199">
        <v>2.3099296951962011E-2</v>
      </c>
      <c r="AA3311" s="201">
        <v>2.3078571977395157E-2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62401</v>
      </c>
      <c r="Y3312" s="198">
        <f>_xll.qlInterestRateIndexValueDate(IborIndex,X3312,Trigger)</f>
        <v>62403</v>
      </c>
      <c r="Z3312" s="199">
        <v>2.3101518956384626E-2</v>
      </c>
      <c r="AA3312" s="201">
        <v>2.3078571977475093E-2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62408</v>
      </c>
      <c r="Y3313" s="198">
        <f>_xll.qlInterestRateIndexValueDate(IborIndex,X3313,Trigger)</f>
        <v>62410</v>
      </c>
      <c r="Z3313" s="199">
        <v>2.3101518956387124E-2</v>
      </c>
      <c r="AA3313" s="201">
        <v>2.3078571977555029E-2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62415</v>
      </c>
      <c r="Y3314" s="198">
        <f>_xll.qlInterestRateIndexValueDate(IborIndex,X3314,Trigger)</f>
        <v>62417</v>
      </c>
      <c r="Z3314" s="199">
        <v>2.3101518956387124E-2</v>
      </c>
      <c r="AA3314" s="201">
        <v>2.3078571977475093E-2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62422</v>
      </c>
      <c r="Y3315" s="198">
        <f>_xll.qlInterestRateIndexValueDate(IborIndex,X3315,Trigger)</f>
        <v>62425</v>
      </c>
      <c r="Z3315" s="199">
        <v>2.3102259687847689E-2</v>
      </c>
      <c r="AA3315" s="201">
        <v>2.3078571977475093E-2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62429</v>
      </c>
      <c r="Y3316" s="198">
        <f>_xll.qlInterestRateIndexValueDate(IborIndex,X3316,Trigger)</f>
        <v>62431</v>
      </c>
      <c r="Z3316" s="199">
        <v>2.3101518956384626E-2</v>
      </c>
      <c r="AA3316" s="201">
        <v>2.3078571977555029E-2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62436</v>
      </c>
      <c r="Y3317" s="198">
        <f>_xll.qlInterestRateIndexValueDate(IborIndex,X3317,Trigger)</f>
        <v>62438</v>
      </c>
      <c r="Z3317" s="199">
        <v>2.3101518956384626E-2</v>
      </c>
      <c r="AA3317" s="201">
        <v>2.3078571977475093E-2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62443</v>
      </c>
      <c r="Y3318" s="198">
        <f>_xll.qlInterestRateIndexValueDate(IborIndex,X3318,Trigger)</f>
        <v>62445</v>
      </c>
      <c r="Z3318" s="199">
        <v>2.3102259687847689E-2</v>
      </c>
      <c r="AA3318" s="201">
        <v>2.3078571977395157E-2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62450</v>
      </c>
      <c r="Y3319" s="198">
        <f>_xll.qlInterestRateIndexValueDate(IborIndex,X3319,Trigger)</f>
        <v>62456</v>
      </c>
      <c r="Z3319" s="199">
        <v>2.3100778256584825E-2</v>
      </c>
      <c r="AA3319" s="201">
        <v>2.3079311728135821E-2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62457</v>
      </c>
      <c r="Y3320" s="198">
        <f>_xll.qlInterestRateIndexValueDate(IborIndex,X3320,Trigger)</f>
        <v>62460</v>
      </c>
      <c r="Z3320" s="199">
        <v>2.3100778256584825E-2</v>
      </c>
      <c r="AA3320" s="201">
        <v>2.3078571977395157E-2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62464</v>
      </c>
      <c r="Y3321" s="198">
        <f>_xll.qlInterestRateIndexValueDate(IborIndex,X3321,Trigger)</f>
        <v>62466</v>
      </c>
      <c r="Z3321" s="199">
        <v>2.3101518956387124E-2</v>
      </c>
      <c r="AA3321" s="201">
        <v>2.3078571977475093E-2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62471</v>
      </c>
      <c r="Y3322" s="198">
        <f>_xll.qlInterestRateIndexValueDate(IborIndex,X3322,Trigger)</f>
        <v>62473</v>
      </c>
      <c r="Z3322" s="199">
        <v>2.3102259687847689E-2</v>
      </c>
      <c r="AA3322" s="201">
        <v>2.3078571977475093E-2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62478</v>
      </c>
      <c r="Y3323" s="198">
        <f>_xll.qlInterestRateIndexValueDate(IborIndex,X3323,Trigger)</f>
        <v>62480</v>
      </c>
      <c r="Z3323" s="199">
        <v>2.3101518956387124E-2</v>
      </c>
      <c r="AA3323" s="201">
        <v>2.3078571977475093E-2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62485</v>
      </c>
      <c r="Y3324" s="198">
        <f>_xll.qlInterestRateIndexValueDate(IborIndex,X3324,Trigger)</f>
        <v>62487</v>
      </c>
      <c r="Z3324" s="199">
        <v>2.3099296951964766E-2</v>
      </c>
      <c r="AA3324" s="201">
        <v>2.3078571977475093E-2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62492</v>
      </c>
      <c r="Y3325" s="198">
        <f>_xll.qlInterestRateIndexValueDate(IborIndex,X3325,Trigger)</f>
        <v>62494</v>
      </c>
      <c r="Z3325" s="199">
        <v>2.3098556347137058E-2</v>
      </c>
      <c r="AA3325" s="201">
        <v>2.3078571977475093E-2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62499</v>
      </c>
      <c r="Y3326" s="198">
        <f>_xll.qlInterestRateIndexValueDate(IborIndex,X3326,Trigger)</f>
        <v>62501</v>
      </c>
      <c r="Z3326" s="199">
        <v>2.3098556347137058E-2</v>
      </c>
      <c r="AA3326" s="201">
        <v>2.3078571977395157E-2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62506</v>
      </c>
      <c r="Y3327" s="198">
        <f>_xll.qlInterestRateIndexValueDate(IborIndex,X3327,Trigger)</f>
        <v>62508</v>
      </c>
      <c r="Z3327" s="199">
        <v>2.3098556347137058E-2</v>
      </c>
      <c r="AA3327" s="201">
        <v>2.3078571977475093E-2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62513</v>
      </c>
      <c r="Y3328" s="198">
        <f>_xll.qlInterestRateIndexValueDate(IborIndex,X3328,Trigger)</f>
        <v>62515</v>
      </c>
      <c r="Z3328" s="199">
        <v>2.3098556347134203E-2</v>
      </c>
      <c r="AA3328" s="201">
        <v>2.3078571977475093E-2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62520</v>
      </c>
      <c r="Y3329" s="198">
        <f>_xll.qlInterestRateIndexValueDate(IborIndex,X3329,Trigger)</f>
        <v>62522</v>
      </c>
      <c r="Z3329" s="199">
        <v>2.3101518956387124E-2</v>
      </c>
      <c r="AA3329" s="201">
        <v>2.3078571977395157E-2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62527</v>
      </c>
      <c r="Y3330" s="198">
        <f>_xll.qlInterestRateIndexValueDate(IborIndex,X3330,Trigger)</f>
        <v>62529</v>
      </c>
      <c r="Z3330" s="199">
        <v>2.3101518956387124E-2</v>
      </c>
      <c r="AA3330" s="201">
        <v>2.3078571977555029E-2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62534</v>
      </c>
      <c r="Y3331" s="198">
        <f>_xll.qlInterestRateIndexValueDate(IborIndex,X3331,Trigger)</f>
        <v>62536</v>
      </c>
      <c r="Z3331" s="199">
        <v>2.3102259687847689E-2</v>
      </c>
      <c r="AA3331" s="201">
        <v>2.3078571977475093E-2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62541</v>
      </c>
      <c r="Y3332" s="198">
        <f>_xll.qlInterestRateIndexValueDate(IborIndex,X3332,Trigger)</f>
        <v>62543</v>
      </c>
      <c r="Z3332" s="199">
        <v>2.3101518956387124E-2</v>
      </c>
      <c r="AA3332" s="201">
        <v>2.3078571977395157E-2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62548</v>
      </c>
      <c r="Y3333" s="198">
        <f>_xll.qlInterestRateIndexValueDate(IborIndex,X3333,Trigger)</f>
        <v>62550</v>
      </c>
      <c r="Z3333" s="199">
        <v>2.310225968785011E-2</v>
      </c>
      <c r="AA3333" s="201">
        <v>2.3078571977475093E-2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62555</v>
      </c>
      <c r="Y3334" s="198">
        <f>_xll.qlInterestRateIndexValueDate(IborIndex,X3334,Trigger)</f>
        <v>62557</v>
      </c>
      <c r="Z3334" s="199">
        <v>2.3101518956384626E-2</v>
      </c>
      <c r="AA3334" s="201">
        <v>2.3078571977475093E-2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62562</v>
      </c>
      <c r="Y3335" s="198">
        <f>_xll.qlInterestRateIndexValueDate(IborIndex,X3335,Trigger)</f>
        <v>62564</v>
      </c>
      <c r="Z3335" s="199">
        <v>2.3101518956384626E-2</v>
      </c>
      <c r="AA3335" s="201">
        <v>2.3078571977475093E-2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62569</v>
      </c>
      <c r="Y3336" s="198">
        <f>_xll.qlInterestRateIndexValueDate(IborIndex,X3336,Trigger)</f>
        <v>62571</v>
      </c>
      <c r="Z3336" s="199">
        <v>2.3102259687847689E-2</v>
      </c>
      <c r="AA3336" s="201">
        <v>2.3078571977475093E-2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62576</v>
      </c>
      <c r="Y3337" s="198">
        <f>_xll.qlInterestRateIndexValueDate(IborIndex,X3337,Trigger)</f>
        <v>62578</v>
      </c>
      <c r="Z3337" s="199">
        <v>2.3099296951962011E-2</v>
      </c>
      <c r="AA3337" s="201">
        <v>2.3078571977475093E-2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62583</v>
      </c>
      <c r="Y3338" s="198">
        <f>_xll.qlInterestRateIndexValueDate(IborIndex,X3338,Trigger)</f>
        <v>62585</v>
      </c>
      <c r="Z3338" s="199">
        <v>2.3101518956387124E-2</v>
      </c>
      <c r="AA3338" s="201">
        <v>2.3078571977475093E-2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62590</v>
      </c>
      <c r="Y3339" s="198">
        <f>_xll.qlInterestRateIndexValueDate(IborIndex,X3339,Trigger)</f>
        <v>62592</v>
      </c>
      <c r="Z3339" s="199">
        <v>2.3101518956387124E-2</v>
      </c>
      <c r="AA3339" s="201">
        <v>2.3078571977555029E-2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62597</v>
      </c>
      <c r="Y3340" s="198">
        <f>_xll.qlInterestRateIndexValueDate(IborIndex,X3340,Trigger)</f>
        <v>62599</v>
      </c>
      <c r="Z3340" s="199">
        <v>2.3101518956387124E-2</v>
      </c>
      <c r="AA3340" s="201">
        <v>2.3078571977475093E-2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62604</v>
      </c>
      <c r="Y3341" s="198">
        <f>_xll.qlInterestRateIndexValueDate(IborIndex,X3341,Trigger)</f>
        <v>62606</v>
      </c>
      <c r="Z3341" s="199">
        <v>2.3101518956387124E-2</v>
      </c>
      <c r="AA3341" s="201">
        <v>2.3078571977475093E-2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62611</v>
      </c>
      <c r="Y3342" s="198">
        <f>_xll.qlInterestRateIndexValueDate(IborIndex,X3342,Trigger)</f>
        <v>62613</v>
      </c>
      <c r="Z3342" s="199">
        <v>2.3101518956384626E-2</v>
      </c>
      <c r="AA3342" s="201">
        <v>2.3078571977475093E-2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62618</v>
      </c>
      <c r="Y3343" s="198">
        <f>_xll.qlInterestRateIndexValueDate(IborIndex,X3343,Trigger)</f>
        <v>62620</v>
      </c>
      <c r="Z3343" s="199">
        <v>2.3101518956387124E-2</v>
      </c>
      <c r="AA3343" s="201">
        <v>2.3078571977475093E-2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62625</v>
      </c>
      <c r="Y3344" s="198">
        <f>_xll.qlInterestRateIndexValueDate(IborIndex,X3344,Trigger)</f>
        <v>62627</v>
      </c>
      <c r="Z3344" s="199">
        <v>2.3101518956387124E-2</v>
      </c>
      <c r="AA3344" s="201">
        <v>2.3078571977475093E-2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62632</v>
      </c>
      <c r="Y3345" s="198">
        <f>_xll.qlInterestRateIndexValueDate(IborIndex,X3345,Trigger)</f>
        <v>62634</v>
      </c>
      <c r="Z3345" s="199">
        <v>2.3101518956384626E-2</v>
      </c>
      <c r="AA3345" s="201">
        <v>2.3078571977475093E-2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62639</v>
      </c>
      <c r="Y3346" s="198">
        <f>_xll.qlInterestRateIndexValueDate(IborIndex,X3346,Trigger)</f>
        <v>62641</v>
      </c>
      <c r="Z3346" s="199">
        <v>2.3101518956384626E-2</v>
      </c>
      <c r="AA3346" s="201">
        <v>2.3078571977475093E-2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62646</v>
      </c>
      <c r="Y3347" s="198">
        <f>_xll.qlInterestRateIndexValueDate(IborIndex,X3347,Trigger)</f>
        <v>62648</v>
      </c>
      <c r="Z3347" s="199">
        <v>2.3101518956387124E-2</v>
      </c>
      <c r="AA3347" s="201">
        <v>2.3078571977475093E-2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62653</v>
      </c>
      <c r="Y3348" s="198">
        <f>_xll.qlInterestRateIndexValueDate(IborIndex,X3348,Trigger)</f>
        <v>62655</v>
      </c>
      <c r="Z3348" s="199">
        <v>2.3101518956387124E-2</v>
      </c>
      <c r="AA3348" s="201">
        <v>2.3078571977475093E-2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62660</v>
      </c>
      <c r="Y3349" s="198">
        <f>_xll.qlInterestRateIndexValueDate(IborIndex,X3349,Trigger)</f>
        <v>62662</v>
      </c>
      <c r="Z3349" s="199">
        <v>2.3101518956387124E-2</v>
      </c>
      <c r="AA3349" s="201">
        <v>2.3078571977555029E-2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62667</v>
      </c>
      <c r="Y3350" s="198">
        <f>_xll.qlInterestRateIndexValueDate(IborIndex,X3350,Trigger)</f>
        <v>62669</v>
      </c>
      <c r="Z3350" s="199">
        <v>2.3099296951964766E-2</v>
      </c>
      <c r="AA3350" s="201">
        <v>2.3078571977475093E-2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62674</v>
      </c>
      <c r="Y3351" s="198">
        <f>_xll.qlInterestRateIndexValueDate(IborIndex,X3351,Trigger)</f>
        <v>62676</v>
      </c>
      <c r="Z3351" s="199">
        <v>2.3102259687847689E-2</v>
      </c>
      <c r="AA3351" s="201">
        <v>2.3078571977475093E-2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62681</v>
      </c>
      <c r="Y3352" s="198">
        <f>_xll.qlInterestRateIndexValueDate(IborIndex,X3352,Trigger)</f>
        <v>62683</v>
      </c>
      <c r="Z3352" s="199">
        <v>2.3101518956384626E-2</v>
      </c>
      <c r="AA3352" s="201">
        <v>2.3078571977475093E-2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62688</v>
      </c>
      <c r="Y3353" s="198">
        <f>_xll.qlInterestRateIndexValueDate(IborIndex,X3353,Trigger)</f>
        <v>62690</v>
      </c>
      <c r="Z3353" s="199">
        <v>2.3101518956387124E-2</v>
      </c>
      <c r="AA3353" s="201">
        <v>2.3078571977475093E-2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62695</v>
      </c>
      <c r="Y3354" s="198">
        <f>_xll.qlInterestRateIndexValueDate(IborIndex,X3354,Trigger)</f>
        <v>62697</v>
      </c>
      <c r="Z3354" s="199">
        <v>2.3101518956387124E-2</v>
      </c>
      <c r="AA3354" s="201">
        <v>2.3078571977475093E-2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62702</v>
      </c>
      <c r="Y3355" s="198">
        <f>_xll.qlInterestRateIndexValueDate(IborIndex,X3355,Trigger)</f>
        <v>62704</v>
      </c>
      <c r="Z3355" s="199">
        <v>2.3101518956387124E-2</v>
      </c>
      <c r="AA3355" s="201">
        <v>2.3078571977475093E-2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62709</v>
      </c>
      <c r="Y3356" s="198">
        <f>_xll.qlInterestRateIndexValueDate(IborIndex,X3356,Trigger)</f>
        <v>62711</v>
      </c>
      <c r="Z3356" s="199">
        <v>2.310225968785011E-2</v>
      </c>
      <c r="AA3356" s="201">
        <v>2.3078571977475093E-2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62716</v>
      </c>
      <c r="Y3357" s="198">
        <f>_xll.qlInterestRateIndexValueDate(IborIndex,X3357,Trigger)</f>
        <v>62718</v>
      </c>
      <c r="Z3357" s="199">
        <v>2.3101518956387124E-2</v>
      </c>
      <c r="AA3357" s="201">
        <v>2.3078571977475093E-2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62723</v>
      </c>
      <c r="Y3358" s="198">
        <f>_xll.qlInterestRateIndexValueDate(IborIndex,X3358,Trigger)</f>
        <v>62725</v>
      </c>
      <c r="Z3358" s="199">
        <v>2.3101518956389622E-2</v>
      </c>
      <c r="AA3358" s="201">
        <v>2.3078571977475093E-2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62730</v>
      </c>
      <c r="Y3359" s="198">
        <f>_xll.qlInterestRateIndexValueDate(IborIndex,X3359,Trigger)</f>
        <v>62732</v>
      </c>
      <c r="Z3359" s="199">
        <v>2.3101518956387124E-2</v>
      </c>
      <c r="AA3359" s="201">
        <v>2.3078571977475093E-2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62737</v>
      </c>
      <c r="Y3360" s="198">
        <f>_xll.qlInterestRateIndexValueDate(IborIndex,X3360,Trigger)</f>
        <v>62739</v>
      </c>
      <c r="Z3360" s="199">
        <v>2.3101518956387124E-2</v>
      </c>
      <c r="AA3360" s="201">
        <v>2.3078571977555029E-2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62744</v>
      </c>
      <c r="Y3361" s="198">
        <f>_xll.qlInterestRateIndexValueDate(IborIndex,X3361,Trigger)</f>
        <v>62746</v>
      </c>
      <c r="Z3361" s="199">
        <v>2.3101518956387124E-2</v>
      </c>
      <c r="AA3361" s="201">
        <v>2.3078571977475093E-2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62751</v>
      </c>
      <c r="Y3362" s="198">
        <f>_xll.qlInterestRateIndexValueDate(IborIndex,X3362,Trigger)</f>
        <v>62753</v>
      </c>
      <c r="Z3362" s="199">
        <v>2.3101518956389622E-2</v>
      </c>
      <c r="AA3362" s="201">
        <v>2.3078571977395157E-2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62758</v>
      </c>
      <c r="Y3363" s="198">
        <f>_xll.qlInterestRateIndexValueDate(IborIndex,X3363,Trigger)</f>
        <v>62760</v>
      </c>
      <c r="Z3363" s="199">
        <v>2.3101518956384626E-2</v>
      </c>
      <c r="AA3363" s="201">
        <v>2.3078571977555029E-2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62765</v>
      </c>
      <c r="Y3364" s="198">
        <f>_xll.qlInterestRateIndexValueDate(IborIndex,X3364,Trigger)</f>
        <v>62767</v>
      </c>
      <c r="Z3364" s="199">
        <v>2.3101518956384626E-2</v>
      </c>
      <c r="AA3364" s="201">
        <v>2.3078571977475093E-2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62772</v>
      </c>
      <c r="Y3365" s="198">
        <f>_xll.qlInterestRateIndexValueDate(IborIndex,X3365,Trigger)</f>
        <v>62774</v>
      </c>
      <c r="Z3365" s="199">
        <v>2.3101518956387124E-2</v>
      </c>
      <c r="AA3365" s="201">
        <v>2.3078571977395157E-2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62779</v>
      </c>
      <c r="Y3366" s="198">
        <f>_xll.qlInterestRateIndexValueDate(IborIndex,X3366,Trigger)</f>
        <v>62781</v>
      </c>
      <c r="Z3366" s="199">
        <v>2.3101518956389622E-2</v>
      </c>
      <c r="AA3366" s="201">
        <v>2.3078571977475093E-2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62786</v>
      </c>
      <c r="Y3367" s="198">
        <f>_xll.qlInterestRateIndexValueDate(IborIndex,X3367,Trigger)</f>
        <v>62789</v>
      </c>
      <c r="Z3367" s="199">
        <v>2.3101518956389622E-2</v>
      </c>
      <c r="AA3367" s="201">
        <v>2.3078571977395157E-2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62793</v>
      </c>
      <c r="Y3368" s="198">
        <f>_xll.qlInterestRateIndexValueDate(IborIndex,X3368,Trigger)</f>
        <v>62795</v>
      </c>
      <c r="Z3368" s="199">
        <v>2.3101518956387124E-2</v>
      </c>
      <c r="AA3368" s="201">
        <v>2.3078571977555029E-2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62800</v>
      </c>
      <c r="Y3369" s="198">
        <f>_xll.qlInterestRateIndexValueDate(IborIndex,X3369,Trigger)</f>
        <v>62802</v>
      </c>
      <c r="Z3369" s="199">
        <v>2.3101518956387124E-2</v>
      </c>
      <c r="AA3369" s="201">
        <v>2.3078571977395157E-2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62807</v>
      </c>
      <c r="Y3370" s="198">
        <f>_xll.qlInterestRateIndexValueDate(IborIndex,X3370,Trigger)</f>
        <v>62809</v>
      </c>
      <c r="Z3370" s="199">
        <v>2.3102259687847689E-2</v>
      </c>
      <c r="AA3370" s="201">
        <v>2.3078571977475093E-2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62814</v>
      </c>
      <c r="Y3371" s="198">
        <f>_xll.qlInterestRateIndexValueDate(IborIndex,X3371,Trigger)</f>
        <v>62816</v>
      </c>
      <c r="Z3371" s="199">
        <v>2.3101518956384626E-2</v>
      </c>
      <c r="AA3371" s="201">
        <v>2.3078571977395157E-2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62821</v>
      </c>
      <c r="Y3372" s="198">
        <f>_xll.qlInterestRateIndexValueDate(IborIndex,X3372,Trigger)</f>
        <v>62823</v>
      </c>
      <c r="Z3372" s="199">
        <v>2.3099296951964766E-2</v>
      </c>
      <c r="AA3372" s="201">
        <v>2.3078571977475093E-2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62828</v>
      </c>
      <c r="Y3373" s="198">
        <f>_xll.qlInterestRateIndexValueDate(IborIndex,X3373,Trigger)</f>
        <v>62830</v>
      </c>
      <c r="Z3373" s="199">
        <v>2.3101518956387124E-2</v>
      </c>
      <c r="AA3373" s="201">
        <v>2.3078571977395157E-2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62835</v>
      </c>
      <c r="Y3374" s="198">
        <f>_xll.qlInterestRateIndexValueDate(IborIndex,X3374,Trigger)</f>
        <v>62837</v>
      </c>
      <c r="Z3374" s="199">
        <v>2.3102259687847689E-2</v>
      </c>
      <c r="AA3374" s="201">
        <v>2.3078571977475093E-2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62842</v>
      </c>
      <c r="Y3375" s="198">
        <f>_xll.qlInterestRateIndexValueDate(IborIndex,X3375,Trigger)</f>
        <v>62844</v>
      </c>
      <c r="Z3375" s="199">
        <v>2.3101518956387124E-2</v>
      </c>
      <c r="AA3375" s="201">
        <v>2.3078571977555029E-2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62849</v>
      </c>
      <c r="Y3376" s="198">
        <f>_xll.qlInterestRateIndexValueDate(IborIndex,X3376,Trigger)</f>
        <v>62851</v>
      </c>
      <c r="Z3376" s="199">
        <v>2.3101518956387124E-2</v>
      </c>
      <c r="AA3376" s="201">
        <v>2.3078571977475093E-2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62856</v>
      </c>
      <c r="Y3377" s="198">
        <f>_xll.qlInterestRateIndexValueDate(IborIndex,X3377,Trigger)</f>
        <v>62858</v>
      </c>
      <c r="Z3377" s="199">
        <v>2.3099296951962011E-2</v>
      </c>
      <c r="AA3377" s="201">
        <v>2.3078571977475093E-2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62863</v>
      </c>
      <c r="Y3378" s="198">
        <f>_xll.qlInterestRateIndexValueDate(IborIndex,X3378,Trigger)</f>
        <v>62865</v>
      </c>
      <c r="Z3378" s="199">
        <v>2.3099296951962011E-2</v>
      </c>
      <c r="AA3378" s="201">
        <v>2.3078571977475093E-2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62870</v>
      </c>
      <c r="Y3379" s="198">
        <f>_xll.qlInterestRateIndexValueDate(IborIndex,X3379,Trigger)</f>
        <v>62872</v>
      </c>
      <c r="Z3379" s="199">
        <v>2.3099296951964766E-2</v>
      </c>
      <c r="AA3379" s="201">
        <v>2.3078571977395157E-2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62877</v>
      </c>
      <c r="Y3380" s="198">
        <f>_xll.qlInterestRateIndexValueDate(IborIndex,X3380,Trigger)</f>
        <v>62879</v>
      </c>
      <c r="Z3380" s="199">
        <v>2.3099296951962011E-2</v>
      </c>
      <c r="AA3380" s="201">
        <v>2.3078571977395157E-2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62884</v>
      </c>
      <c r="Y3381" s="198">
        <f>_xll.qlInterestRateIndexValueDate(IborIndex,X3381,Trigger)</f>
        <v>62886</v>
      </c>
      <c r="Z3381" s="199">
        <v>2.3101518956387124E-2</v>
      </c>
      <c r="AA3381" s="201">
        <v>2.3078571977475093E-2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62891</v>
      </c>
      <c r="Y3382" s="198">
        <f>_xll.qlInterestRateIndexValueDate(IborIndex,X3382,Trigger)</f>
        <v>62893</v>
      </c>
      <c r="Z3382" s="199">
        <v>2.3102259687847689E-2</v>
      </c>
      <c r="AA3382" s="201">
        <v>2.3078571977475093E-2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62898</v>
      </c>
      <c r="Y3383" s="198">
        <f>_xll.qlInterestRateIndexValueDate(IborIndex,X3383,Trigger)</f>
        <v>62900</v>
      </c>
      <c r="Z3383" s="199">
        <v>2.3101518956387124E-2</v>
      </c>
      <c r="AA3383" s="201">
        <v>2.3078571977395157E-2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62905</v>
      </c>
      <c r="Y3384" s="198">
        <f>_xll.qlInterestRateIndexValueDate(IborIndex,X3384,Trigger)</f>
        <v>62907</v>
      </c>
      <c r="Z3384" s="199">
        <v>2.3101518956387124E-2</v>
      </c>
      <c r="AA3384" s="201">
        <v>2.3078571977555029E-2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62912</v>
      </c>
      <c r="Y3385" s="198">
        <f>_xll.qlInterestRateIndexValueDate(IborIndex,X3385,Trigger)</f>
        <v>62914</v>
      </c>
      <c r="Z3385" s="199">
        <v>2.3099296951962011E-2</v>
      </c>
      <c r="AA3385" s="201">
        <v>2.3078571977395157E-2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62919</v>
      </c>
      <c r="Y3386" s="198">
        <f>_xll.qlInterestRateIndexValueDate(IborIndex,X3386,Trigger)</f>
        <v>62921</v>
      </c>
      <c r="Z3386" s="199">
        <v>2.3101518956389622E-2</v>
      </c>
      <c r="AA3386" s="201">
        <v>2.3078571977395157E-2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62926</v>
      </c>
      <c r="Y3387" s="198">
        <f>_xll.qlInterestRateIndexValueDate(IborIndex,X3387,Trigger)</f>
        <v>62928</v>
      </c>
      <c r="Z3387" s="199">
        <v>2.3101518956387124E-2</v>
      </c>
      <c r="AA3387" s="201">
        <v>2.3078571977475093E-2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62933</v>
      </c>
      <c r="Y3388" s="198">
        <f>_xll.qlInterestRateIndexValueDate(IborIndex,X3388,Trigger)</f>
        <v>62935</v>
      </c>
      <c r="Z3388" s="199">
        <v>2.3101518956384626E-2</v>
      </c>
      <c r="AA3388" s="201">
        <v>2.3078571977475093E-2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62940</v>
      </c>
      <c r="Y3389" s="198">
        <f>_xll.qlInterestRateIndexValueDate(IborIndex,X3389,Trigger)</f>
        <v>62942</v>
      </c>
      <c r="Z3389" s="199">
        <v>2.310225968785011E-2</v>
      </c>
      <c r="AA3389" s="201">
        <v>2.3078571977475093E-2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62947</v>
      </c>
      <c r="Y3390" s="198">
        <f>_xll.qlInterestRateIndexValueDate(IborIndex,X3390,Trigger)</f>
        <v>62949</v>
      </c>
      <c r="Z3390" s="199">
        <v>2.3101518956389622E-2</v>
      </c>
      <c r="AA3390" s="201">
        <v>2.3078571977395157E-2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62954</v>
      </c>
      <c r="Y3391" s="198">
        <f>_xll.qlInterestRateIndexValueDate(IborIndex,X3391,Trigger)</f>
        <v>62956</v>
      </c>
      <c r="Z3391" s="199">
        <v>2.3101518956387124E-2</v>
      </c>
      <c r="AA3391" s="201">
        <v>2.3078571977475093E-2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62961</v>
      </c>
      <c r="Y3392" s="198">
        <f>_xll.qlInterestRateIndexValueDate(IborIndex,X3392,Trigger)</f>
        <v>62963</v>
      </c>
      <c r="Z3392" s="199">
        <v>2.3101518956387124E-2</v>
      </c>
      <c r="AA3392" s="201">
        <v>2.3078571977475093E-2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62968</v>
      </c>
      <c r="Y3393" s="198">
        <f>_xll.qlInterestRateIndexValueDate(IborIndex,X3393,Trigger)</f>
        <v>62970</v>
      </c>
      <c r="Z3393" s="199">
        <v>2.3101518956387124E-2</v>
      </c>
      <c r="AA3393" s="201">
        <v>2.3078571977475093E-2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62975</v>
      </c>
      <c r="Y3394" s="198">
        <f>_xll.qlInterestRateIndexValueDate(IborIndex,X3394,Trigger)</f>
        <v>62977</v>
      </c>
      <c r="Z3394" s="199">
        <v>2.310225968785011E-2</v>
      </c>
      <c r="AA3394" s="201">
        <v>2.3078571977395157E-2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62982</v>
      </c>
      <c r="Y3395" s="198">
        <f>_xll.qlInterestRateIndexValueDate(IborIndex,X3395,Trigger)</f>
        <v>62984</v>
      </c>
      <c r="Z3395" s="199">
        <v>2.3101518956387124E-2</v>
      </c>
      <c r="AA3395" s="201">
        <v>2.3078571977475093E-2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62989</v>
      </c>
      <c r="Y3396" s="198">
        <f>_xll.qlInterestRateIndexValueDate(IborIndex,X3396,Trigger)</f>
        <v>62991</v>
      </c>
      <c r="Z3396" s="199">
        <v>2.3101518956384626E-2</v>
      </c>
      <c r="AA3396" s="201">
        <v>2.3078571977475093E-2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62996</v>
      </c>
      <c r="Y3397" s="198">
        <f>_xll.qlInterestRateIndexValueDate(IborIndex,X3397,Trigger)</f>
        <v>62998</v>
      </c>
      <c r="Z3397" s="199">
        <v>2.3101518956387124E-2</v>
      </c>
      <c r="AA3397" s="201">
        <v>2.3078571977475093E-2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63003</v>
      </c>
      <c r="Y3398" s="198">
        <f>_xll.qlInterestRateIndexValueDate(IborIndex,X3398,Trigger)</f>
        <v>63005</v>
      </c>
      <c r="Z3398" s="199">
        <v>2.3099296951964766E-2</v>
      </c>
      <c r="AA3398" s="201">
        <v>2.3078571977395157E-2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63010</v>
      </c>
      <c r="Y3399" s="198">
        <f>_xll.qlInterestRateIndexValueDate(IborIndex,X3399,Trigger)</f>
        <v>63012</v>
      </c>
      <c r="Z3399" s="199">
        <v>2.3101518956384626E-2</v>
      </c>
      <c r="AA3399" s="201">
        <v>2.3078571977475093E-2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63017</v>
      </c>
      <c r="Y3400" s="198">
        <f>_xll.qlInterestRateIndexValueDate(IborIndex,X3400,Trigger)</f>
        <v>63019</v>
      </c>
      <c r="Z3400" s="199">
        <v>2.3101518956387124E-2</v>
      </c>
      <c r="AA3400" s="201">
        <v>2.3078571977555029E-2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63024</v>
      </c>
      <c r="Y3401" s="198">
        <f>_xll.qlInterestRateIndexValueDate(IborIndex,X3401,Trigger)</f>
        <v>63026</v>
      </c>
      <c r="Z3401" s="199">
        <v>2.3101518956387124E-2</v>
      </c>
      <c r="AA3401" s="201">
        <v>2.3078571977395157E-2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63031</v>
      </c>
      <c r="Y3402" s="198">
        <f>_xll.qlInterestRateIndexValueDate(IborIndex,X3402,Trigger)</f>
        <v>63033</v>
      </c>
      <c r="Z3402" s="199">
        <v>2.310225968785011E-2</v>
      </c>
      <c r="AA3402" s="201">
        <v>2.3078571977475093E-2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63038</v>
      </c>
      <c r="Y3403" s="198">
        <f>_xll.qlInterestRateIndexValueDate(IborIndex,X3403,Trigger)</f>
        <v>63040</v>
      </c>
      <c r="Z3403" s="199">
        <v>2.3102259687847689E-2</v>
      </c>
      <c r="AA3403" s="201">
        <v>2.3078571977475093E-2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63045</v>
      </c>
      <c r="Y3404" s="198">
        <f>_xll.qlInterestRateIndexValueDate(IborIndex,X3404,Trigger)</f>
        <v>63047</v>
      </c>
      <c r="Z3404" s="199">
        <v>2.3101518956387124E-2</v>
      </c>
      <c r="AA3404" s="201">
        <v>2.3078571977475093E-2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63052</v>
      </c>
      <c r="Y3405" s="198">
        <f>_xll.qlInterestRateIndexValueDate(IborIndex,X3405,Trigger)</f>
        <v>63054</v>
      </c>
      <c r="Z3405" s="199">
        <v>2.3101518956387124E-2</v>
      </c>
      <c r="AA3405" s="201">
        <v>2.3078571977475093E-2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63059</v>
      </c>
      <c r="Y3406" s="198">
        <f>_xll.qlInterestRateIndexValueDate(IborIndex,X3406,Trigger)</f>
        <v>63061</v>
      </c>
      <c r="Z3406" s="199">
        <v>2.3101518956384626E-2</v>
      </c>
      <c r="AA3406" s="201">
        <v>2.3078571977475093E-2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63066</v>
      </c>
      <c r="Y3407" s="198">
        <f>_xll.qlInterestRateIndexValueDate(IborIndex,X3407,Trigger)</f>
        <v>63068</v>
      </c>
      <c r="Z3407" s="199">
        <v>2.3101518956387124E-2</v>
      </c>
      <c r="AA3407" s="201">
        <v>2.3078571977475093E-2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63073</v>
      </c>
      <c r="Y3408" s="198">
        <f>_xll.qlInterestRateIndexValueDate(IborIndex,X3408,Trigger)</f>
        <v>63075</v>
      </c>
      <c r="Z3408" s="199">
        <v>2.3102259687847689E-2</v>
      </c>
      <c r="AA3408" s="201">
        <v>2.3078571977395157E-2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63080</v>
      </c>
      <c r="Y3409" s="198">
        <f>_xll.qlInterestRateIndexValueDate(IborIndex,X3409,Trigger)</f>
        <v>63082</v>
      </c>
      <c r="Z3409" s="199">
        <v>2.3101518956387124E-2</v>
      </c>
      <c r="AA3409" s="201">
        <v>2.3078571977395157E-2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63087</v>
      </c>
      <c r="Y3410" s="198">
        <f>_xll.qlInterestRateIndexValueDate(IborIndex,X3410,Trigger)</f>
        <v>63089</v>
      </c>
      <c r="Z3410" s="199">
        <v>2.3101518956387124E-2</v>
      </c>
      <c r="AA3410" s="201">
        <v>2.3078571977475093E-2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63094</v>
      </c>
      <c r="Y3411" s="198">
        <f>_xll.qlInterestRateIndexValueDate(IborIndex,X3411,Trigger)</f>
        <v>63096</v>
      </c>
      <c r="Z3411" s="199">
        <v>2.3101518956384626E-2</v>
      </c>
      <c r="AA3411" s="201">
        <v>2.3078571977475093E-2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63101</v>
      </c>
      <c r="Y3412" s="198">
        <f>_xll.qlInterestRateIndexValueDate(IborIndex,X3412,Trigger)</f>
        <v>63103</v>
      </c>
      <c r="Z3412" s="199">
        <v>2.3101518956387124E-2</v>
      </c>
      <c r="AA3412" s="201">
        <v>2.3078571977395157E-2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63108</v>
      </c>
      <c r="Y3413" s="198">
        <f>_xll.qlInterestRateIndexValueDate(IborIndex,X3413,Trigger)</f>
        <v>63110</v>
      </c>
      <c r="Z3413" s="199">
        <v>2.3101518956387124E-2</v>
      </c>
      <c r="AA3413" s="201">
        <v>2.3078571977475093E-2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63115</v>
      </c>
      <c r="Y3414" s="198">
        <f>_xll.qlInterestRateIndexValueDate(IborIndex,X3414,Trigger)</f>
        <v>63117</v>
      </c>
      <c r="Z3414" s="199">
        <v>2.3101518956387124E-2</v>
      </c>
      <c r="AA3414" s="201">
        <v>2.3078571977475093E-2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63122</v>
      </c>
      <c r="Y3415" s="198">
        <f>_xll.qlInterestRateIndexValueDate(IborIndex,X3415,Trigger)</f>
        <v>63124</v>
      </c>
      <c r="Z3415" s="199">
        <v>2.3101518956389622E-2</v>
      </c>
      <c r="AA3415" s="201">
        <v>2.3078571977475093E-2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63129</v>
      </c>
      <c r="Y3416" s="198">
        <f>_xll.qlInterestRateIndexValueDate(IborIndex,X3416,Trigger)</f>
        <v>63131</v>
      </c>
      <c r="Z3416" s="199">
        <v>2.3101518956389622E-2</v>
      </c>
      <c r="AA3416" s="201">
        <v>2.3078571977395157E-2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63136</v>
      </c>
      <c r="Y3417" s="198">
        <f>_xll.qlInterestRateIndexValueDate(IborIndex,X3417,Trigger)</f>
        <v>63138</v>
      </c>
      <c r="Z3417" s="199">
        <v>2.3101518956387124E-2</v>
      </c>
      <c r="AA3417" s="201">
        <v>2.3078571977555029E-2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63143</v>
      </c>
      <c r="Y3418" s="198">
        <f>_xll.qlInterestRateIndexValueDate(IborIndex,X3418,Trigger)</f>
        <v>63145</v>
      </c>
      <c r="Z3418" s="199">
        <v>2.3101518956384626E-2</v>
      </c>
      <c r="AA3418" s="201">
        <v>2.3078571977475093E-2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63150</v>
      </c>
      <c r="Y3419" s="198">
        <f>_xll.qlInterestRateIndexValueDate(IborIndex,X3419,Trigger)</f>
        <v>63153</v>
      </c>
      <c r="Z3419" s="199">
        <v>2.310225968785011E-2</v>
      </c>
      <c r="AA3419" s="201">
        <v>2.3078571977475093E-2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63157</v>
      </c>
      <c r="Y3420" s="198">
        <f>_xll.qlInterestRateIndexValueDate(IborIndex,X3420,Trigger)</f>
        <v>63159</v>
      </c>
      <c r="Z3420" s="199">
        <v>2.310225968785011E-2</v>
      </c>
      <c r="AA3420" s="201">
        <v>2.3078571977395157E-2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63164</v>
      </c>
      <c r="Y3421" s="198">
        <f>_xll.qlInterestRateIndexValueDate(IborIndex,X3421,Trigger)</f>
        <v>63166</v>
      </c>
      <c r="Z3421" s="199">
        <v>2.3101518956387124E-2</v>
      </c>
      <c r="AA3421" s="201">
        <v>2.3078571977475093E-2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63171</v>
      </c>
      <c r="Y3422" s="198">
        <f>_xll.qlInterestRateIndexValueDate(IborIndex,X3422,Trigger)</f>
        <v>63173</v>
      </c>
      <c r="Z3422" s="199">
        <v>2.3102259687847689E-2</v>
      </c>
      <c r="AA3422" s="201">
        <v>2.3078571977555029E-2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63178</v>
      </c>
      <c r="Y3423" s="198">
        <f>_xll.qlInterestRateIndexValueDate(IborIndex,X3423,Trigger)</f>
        <v>63180</v>
      </c>
      <c r="Z3423" s="199">
        <v>2.3101518956389622E-2</v>
      </c>
      <c r="AA3423" s="201">
        <v>2.3078571977475093E-2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63186</v>
      </c>
      <c r="Y3424" s="198">
        <f>_xll.qlInterestRateIndexValueDate(IborIndex,X3424,Trigger)</f>
        <v>63188</v>
      </c>
      <c r="Z3424" s="199">
        <v>2.3101518956387124E-2</v>
      </c>
      <c r="AA3424" s="201">
        <v>2.3078571977475093E-2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63193</v>
      </c>
      <c r="Y3425" s="198">
        <f>_xll.qlInterestRateIndexValueDate(IborIndex,X3425,Trigger)</f>
        <v>63195</v>
      </c>
      <c r="Z3425" s="199">
        <v>2.3100778256584825E-2</v>
      </c>
      <c r="AA3425" s="201">
        <v>2.3078571977475093E-2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63200</v>
      </c>
      <c r="Y3426" s="198">
        <f>_xll.qlInterestRateIndexValueDate(IborIndex,X3426,Trigger)</f>
        <v>63202</v>
      </c>
      <c r="Z3426" s="199">
        <v>2.3100778256584825E-2</v>
      </c>
      <c r="AA3426" s="201">
        <v>2.3078571977475093E-2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63207</v>
      </c>
      <c r="Y3427" s="198">
        <f>_xll.qlInterestRateIndexValueDate(IborIndex,X3427,Trigger)</f>
        <v>63209</v>
      </c>
      <c r="Z3427" s="199">
        <v>2.3101518956387124E-2</v>
      </c>
      <c r="AA3427" s="201">
        <v>2.3078571977475093E-2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63214</v>
      </c>
      <c r="Y3428" s="198">
        <f>_xll.qlInterestRateIndexValueDate(IborIndex,X3428,Trigger)</f>
        <v>63216</v>
      </c>
      <c r="Z3428" s="199">
        <v>2.3100778256587403E-2</v>
      </c>
      <c r="AA3428" s="201">
        <v>2.3078571977395157E-2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63221</v>
      </c>
      <c r="Y3429" s="198">
        <f>_xll.qlInterestRateIndexValueDate(IborIndex,X3429,Trigger)</f>
        <v>63223</v>
      </c>
      <c r="Z3429" s="199">
        <v>2.3098556347134203E-2</v>
      </c>
      <c r="AA3429" s="201">
        <v>2.3078571977555029E-2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63228</v>
      </c>
      <c r="Y3430" s="198">
        <f>_xll.qlInterestRateIndexValueDate(IborIndex,X3430,Trigger)</f>
        <v>63230</v>
      </c>
      <c r="Z3430" s="199">
        <v>2.3098556347137058E-2</v>
      </c>
      <c r="AA3430" s="201">
        <v>2.3078571977475093E-2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63235</v>
      </c>
      <c r="Y3431" s="198">
        <f>_xll.qlInterestRateIndexValueDate(IborIndex,X3431,Trigger)</f>
        <v>63237</v>
      </c>
      <c r="Z3431" s="199">
        <v>2.3098556347134203E-2</v>
      </c>
      <c r="AA3431" s="201">
        <v>2.3078571977475093E-2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63242</v>
      </c>
      <c r="Y3432" s="198">
        <f>_xll.qlInterestRateIndexValueDate(IborIndex,X3432,Trigger)</f>
        <v>63244</v>
      </c>
      <c r="Z3432" s="199">
        <v>2.3101518956387124E-2</v>
      </c>
      <c r="AA3432" s="201">
        <v>2.3078571977395157E-2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63249</v>
      </c>
      <c r="Y3433" s="198">
        <f>_xll.qlInterestRateIndexValueDate(IborIndex,X3433,Trigger)</f>
        <v>63251</v>
      </c>
      <c r="Z3433" s="199">
        <v>2.3100778256587403E-2</v>
      </c>
      <c r="AA3433" s="201">
        <v>2.3078571977475093E-2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63256</v>
      </c>
      <c r="Y3434" s="198">
        <f>_xll.qlInterestRateIndexValueDate(IborIndex,X3434,Trigger)</f>
        <v>63258</v>
      </c>
      <c r="Z3434" s="199">
        <v>2.3100778256587403E-2</v>
      </c>
      <c r="AA3434" s="201">
        <v>2.3078571977475093E-2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63263</v>
      </c>
      <c r="Y3435" s="198">
        <f>_xll.qlInterestRateIndexValueDate(IborIndex,X3435,Trigger)</f>
        <v>63265</v>
      </c>
      <c r="Z3435" s="199">
        <v>2.3100778256584825E-2</v>
      </c>
      <c r="AA3435" s="201">
        <v>2.3078571977395157E-2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63270</v>
      </c>
      <c r="Y3436" s="198">
        <f>_xll.qlInterestRateIndexValueDate(IborIndex,X3436,Trigger)</f>
        <v>63276</v>
      </c>
      <c r="Z3436" s="199">
        <v>2.3100778256587403E-2</v>
      </c>
      <c r="AA3436" s="201">
        <v>2.3078571977475093E-2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63277</v>
      </c>
      <c r="Y3437" s="198">
        <f>_xll.qlInterestRateIndexValueDate(IborIndex,X3437,Trigger)</f>
        <v>63279</v>
      </c>
      <c r="Z3437" s="199">
        <v>2.3098556347137058E-2</v>
      </c>
      <c r="AA3437" s="201">
        <v>2.3078571977475093E-2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63284</v>
      </c>
      <c r="Y3438" s="198">
        <f>_xll.qlInterestRateIndexValueDate(IborIndex,X3438,Trigger)</f>
        <v>63286</v>
      </c>
      <c r="Z3438" s="199">
        <v>2.3100778256587403E-2</v>
      </c>
      <c r="AA3438" s="201">
        <v>2.3078571977475093E-2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63291</v>
      </c>
      <c r="Y3439" s="198">
        <f>_xll.qlInterestRateIndexValueDate(IborIndex,X3439,Trigger)</f>
        <v>63293</v>
      </c>
      <c r="Z3439" s="199">
        <v>2.3100778256584825E-2</v>
      </c>
      <c r="AA3439" s="201">
        <v>2.3078571977475093E-2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63298</v>
      </c>
      <c r="Y3440" s="198">
        <f>_xll.qlInterestRateIndexValueDate(IborIndex,X3440,Trigger)</f>
        <v>63300</v>
      </c>
      <c r="Z3440" s="199">
        <v>2.3100778256584825E-2</v>
      </c>
      <c r="AA3440" s="201">
        <v>2.3078571977555029E-2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63305</v>
      </c>
      <c r="Y3441" s="198">
        <f>_xll.qlInterestRateIndexValueDate(IborIndex,X3441,Trigger)</f>
        <v>63307</v>
      </c>
      <c r="Z3441" s="199">
        <v>2.3102259687847689E-2</v>
      </c>
      <c r="AA3441" s="201">
        <v>2.3078571977475093E-2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63312</v>
      </c>
      <c r="Y3442" s="198">
        <f>_xll.qlInterestRateIndexValueDate(IborIndex,X3442,Trigger)</f>
        <v>63314</v>
      </c>
      <c r="Z3442" s="199">
        <v>2.3100778256587403E-2</v>
      </c>
      <c r="AA3442" s="201">
        <v>2.3078571977475093E-2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63319</v>
      </c>
      <c r="Y3443" s="198">
        <f>_xll.qlInterestRateIndexValueDate(IborIndex,X3443,Trigger)</f>
        <v>63321</v>
      </c>
      <c r="Z3443" s="199">
        <v>2.3100778256587403E-2</v>
      </c>
      <c r="AA3443" s="201">
        <v>2.3078571977475093E-2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63326</v>
      </c>
      <c r="Y3444" s="198">
        <f>_xll.qlInterestRateIndexValueDate(IborIndex,X3444,Trigger)</f>
        <v>63328</v>
      </c>
      <c r="Z3444" s="199">
        <v>2.3100778256587403E-2</v>
      </c>
      <c r="AA3444" s="201">
        <v>2.3078571977475093E-2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63333</v>
      </c>
      <c r="Y3445" s="198">
        <f>_xll.qlInterestRateIndexValueDate(IborIndex,X3445,Trigger)</f>
        <v>63335</v>
      </c>
      <c r="Z3445" s="199">
        <v>2.3100778256587403E-2</v>
      </c>
      <c r="AA3445" s="201">
        <v>2.3078571977475093E-2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63340</v>
      </c>
      <c r="Y3446" s="198">
        <f>_xll.qlInterestRateIndexValueDate(IborIndex,X3446,Trigger)</f>
        <v>63342</v>
      </c>
      <c r="Z3446" s="199">
        <v>2.3100778256587403E-2</v>
      </c>
      <c r="AA3446" s="201">
        <v>2.3078571977395157E-2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63347</v>
      </c>
      <c r="Y3447" s="198">
        <f>_xll.qlInterestRateIndexValueDate(IborIndex,X3447,Trigger)</f>
        <v>63349</v>
      </c>
      <c r="Z3447" s="199">
        <v>2.3100778256587403E-2</v>
      </c>
      <c r="AA3447" s="201">
        <v>2.3078571977475093E-2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63354</v>
      </c>
      <c r="Y3448" s="198">
        <f>_xll.qlInterestRateIndexValueDate(IborIndex,X3448,Trigger)</f>
        <v>63356</v>
      </c>
      <c r="Z3448" s="199">
        <v>2.3100778256587403E-2</v>
      </c>
      <c r="AA3448" s="201">
        <v>2.3078571977475093E-2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63361</v>
      </c>
      <c r="Y3449" s="198">
        <f>_xll.qlInterestRateIndexValueDate(IborIndex,X3449,Trigger)</f>
        <v>63363</v>
      </c>
      <c r="Z3449" s="199">
        <v>2.3100778256584825E-2</v>
      </c>
      <c r="AA3449" s="201">
        <v>2.3078571977475093E-2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63368</v>
      </c>
      <c r="Y3450" s="198">
        <f>_xll.qlInterestRateIndexValueDate(IborIndex,X3450,Trigger)</f>
        <v>63370</v>
      </c>
      <c r="Z3450" s="199">
        <v>2.3100778256584825E-2</v>
      </c>
      <c r="AA3450" s="201">
        <v>2.3078571977395157E-2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63375</v>
      </c>
      <c r="Y3451" s="198">
        <f>_xll.qlInterestRateIndexValueDate(IborIndex,X3451,Trigger)</f>
        <v>63377</v>
      </c>
      <c r="Z3451" s="199">
        <v>2.3100778256584825E-2</v>
      </c>
      <c r="AA3451" s="201">
        <v>2.3078571977555029E-2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63382</v>
      </c>
      <c r="Y3452" s="198">
        <f>_xll.qlInterestRateIndexValueDate(IborIndex,X3452,Trigger)</f>
        <v>63384</v>
      </c>
      <c r="Z3452" s="199">
        <v>2.3100778256584825E-2</v>
      </c>
      <c r="AA3452" s="201">
        <v>2.3078571977475093E-2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63389</v>
      </c>
      <c r="Y3453" s="198">
        <f>_xll.qlInterestRateIndexValueDate(IborIndex,X3453,Trigger)</f>
        <v>63391</v>
      </c>
      <c r="Z3453" s="199">
        <v>2.3100778256587403E-2</v>
      </c>
      <c r="AA3453" s="201">
        <v>2.3078571977395157E-2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63396</v>
      </c>
      <c r="Y3454" s="198">
        <f>_xll.qlInterestRateIndexValueDate(IborIndex,X3454,Trigger)</f>
        <v>63398</v>
      </c>
      <c r="Z3454" s="199">
        <v>2.3101518956387124E-2</v>
      </c>
      <c r="AA3454" s="201">
        <v>2.3078571977395157E-2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63403</v>
      </c>
      <c r="Y3455" s="198">
        <f>_xll.qlInterestRateIndexValueDate(IborIndex,X3455,Trigger)</f>
        <v>63405</v>
      </c>
      <c r="Z3455" s="199">
        <v>2.3101518956387124E-2</v>
      </c>
      <c r="AA3455" s="201">
        <v>2.3078571977475093E-2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63410</v>
      </c>
      <c r="Y3456" s="198">
        <f>_xll.qlInterestRateIndexValueDate(IborIndex,X3456,Trigger)</f>
        <v>63412</v>
      </c>
      <c r="Z3456" s="199">
        <v>2.3100778256587403E-2</v>
      </c>
      <c r="AA3456" s="201">
        <v>2.3078571977475093E-2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63417</v>
      </c>
      <c r="Y3457" s="198">
        <f>_xll.qlInterestRateIndexValueDate(IborIndex,X3457,Trigger)</f>
        <v>63419</v>
      </c>
      <c r="Z3457" s="199">
        <v>2.3100778256587403E-2</v>
      </c>
      <c r="AA3457" s="201">
        <v>2.3078571977395157E-2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63424</v>
      </c>
      <c r="Y3458" s="198">
        <f>_xll.qlInterestRateIndexValueDate(IborIndex,X3458,Trigger)</f>
        <v>63426</v>
      </c>
      <c r="Z3458" s="199">
        <v>2.3100778256582247E-2</v>
      </c>
      <c r="AA3458" s="201">
        <v>2.3078571977395157E-2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63431</v>
      </c>
      <c r="Y3459" s="198">
        <f>_xll.qlInterestRateIndexValueDate(IborIndex,X3459,Trigger)</f>
        <v>63433</v>
      </c>
      <c r="Z3459" s="199">
        <v>2.3100778256587403E-2</v>
      </c>
      <c r="AA3459" s="201">
        <v>2.3078571977475093E-2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63438</v>
      </c>
      <c r="Y3460" s="198">
        <f>_xll.qlInterestRateIndexValueDate(IborIndex,X3460,Trigger)</f>
        <v>63440</v>
      </c>
      <c r="Z3460" s="199">
        <v>2.3101518956389622E-2</v>
      </c>
      <c r="AA3460" s="201">
        <v>2.3078571977395157E-2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63445</v>
      </c>
      <c r="Y3461" s="198">
        <f>_xll.qlInterestRateIndexValueDate(IborIndex,X3461,Trigger)</f>
        <v>63447</v>
      </c>
      <c r="Z3461" s="199">
        <v>2.3100778256587403E-2</v>
      </c>
      <c r="AA3461" s="201">
        <v>2.3078571977395157E-2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63452</v>
      </c>
      <c r="Y3462" s="198">
        <f>_xll.qlInterestRateIndexValueDate(IborIndex,X3462,Trigger)</f>
        <v>63454</v>
      </c>
      <c r="Z3462" s="199">
        <v>2.3100778256584825E-2</v>
      </c>
      <c r="AA3462" s="201">
        <v>2.3078571977475093E-2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63459</v>
      </c>
      <c r="Y3463" s="198">
        <f>_xll.qlInterestRateIndexValueDate(IborIndex,X3463,Trigger)</f>
        <v>63461</v>
      </c>
      <c r="Z3463" s="199">
        <v>2.3101518956387124E-2</v>
      </c>
      <c r="AA3463" s="201">
        <v>2.3078571977555029E-2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63466</v>
      </c>
      <c r="Y3464" s="198">
        <f>_xll.qlInterestRateIndexValueDate(IborIndex,X3464,Trigger)</f>
        <v>63468</v>
      </c>
      <c r="Z3464" s="199">
        <v>2.3100778256584825E-2</v>
      </c>
      <c r="AA3464" s="201">
        <v>2.3078571977395157E-2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63473</v>
      </c>
      <c r="Y3465" s="198">
        <f>_xll.qlInterestRateIndexValueDate(IborIndex,X3465,Trigger)</f>
        <v>63475</v>
      </c>
      <c r="Z3465" s="199">
        <v>2.3100778256587403E-2</v>
      </c>
      <c r="AA3465" s="201">
        <v>2.3078571977475093E-2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63480</v>
      </c>
      <c r="Y3466" s="198">
        <f>_xll.qlInterestRateIndexValueDate(IborIndex,X3466,Trigger)</f>
        <v>63482</v>
      </c>
      <c r="Z3466" s="199">
        <v>2.3100778256587403E-2</v>
      </c>
      <c r="AA3466" s="201">
        <v>2.3078571977475093E-2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63487</v>
      </c>
      <c r="Y3467" s="198">
        <f>_xll.qlInterestRateIndexValueDate(IborIndex,X3467,Trigger)</f>
        <v>63489</v>
      </c>
      <c r="Z3467" s="199">
        <v>2.3100778256584825E-2</v>
      </c>
      <c r="AA3467" s="201">
        <v>2.3078571977475093E-2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63494</v>
      </c>
      <c r="Y3468" s="198">
        <f>_xll.qlInterestRateIndexValueDate(IborIndex,X3468,Trigger)</f>
        <v>63496</v>
      </c>
      <c r="Z3468" s="199">
        <v>2.3100778256587403E-2</v>
      </c>
      <c r="AA3468" s="201">
        <v>2.3078571977395157E-2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63501</v>
      </c>
      <c r="Y3469" s="198">
        <f>_xll.qlInterestRateIndexValueDate(IborIndex,X3469,Trigger)</f>
        <v>63506</v>
      </c>
      <c r="Z3469" s="199">
        <v>2.3100037588446476E-2</v>
      </c>
      <c r="AA3469" s="201">
        <v>2.3078571977395157E-2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63508</v>
      </c>
      <c r="Y3470" s="198">
        <f>_xll.qlInterestRateIndexValueDate(IborIndex,X3470,Trigger)</f>
        <v>63510</v>
      </c>
      <c r="Z3470" s="199">
        <v>2.3100778256587403E-2</v>
      </c>
      <c r="AA3470" s="201">
        <v>2.3078571977475093E-2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63515</v>
      </c>
      <c r="Y3471" s="198">
        <f>_xll.qlInterestRateIndexValueDate(IborIndex,X3471,Trigger)</f>
        <v>63517</v>
      </c>
      <c r="Z3471" s="199">
        <v>2.310225968785011E-2</v>
      </c>
      <c r="AA3471" s="201">
        <v>2.3078571977395157E-2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63522</v>
      </c>
      <c r="Y3472" s="198">
        <f>_xll.qlInterestRateIndexValueDate(IborIndex,X3472,Trigger)</f>
        <v>63524</v>
      </c>
      <c r="Z3472" s="199">
        <v>2.3101518956387124E-2</v>
      </c>
      <c r="AA3472" s="201">
        <v>2.3078571977395157E-2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63529</v>
      </c>
      <c r="Y3473" s="198">
        <f>_xll.qlInterestRateIndexValueDate(IborIndex,X3473,Trigger)</f>
        <v>63531</v>
      </c>
      <c r="Z3473" s="199">
        <v>2.3100778256584825E-2</v>
      </c>
      <c r="AA3473" s="201">
        <v>2.3078571977475093E-2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63536</v>
      </c>
      <c r="Y3474" s="198">
        <f>_xll.qlInterestRateIndexValueDate(IborIndex,X3474,Trigger)</f>
        <v>63538</v>
      </c>
      <c r="Z3474" s="199">
        <v>2.3101518956387124E-2</v>
      </c>
      <c r="AA3474" s="201">
        <v>2.3078571977555029E-2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63543</v>
      </c>
      <c r="Y3475" s="198">
        <f>_xll.qlInterestRateIndexValueDate(IborIndex,X3475,Trigger)</f>
        <v>63545</v>
      </c>
      <c r="Z3475" s="199">
        <v>2.3100778256587403E-2</v>
      </c>
      <c r="AA3475" s="201">
        <v>2.3078571977475093E-2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63550</v>
      </c>
      <c r="Y3476" s="198">
        <f>_xll.qlInterestRateIndexValueDate(IborIndex,X3476,Trigger)</f>
        <v>63552</v>
      </c>
      <c r="Z3476" s="199">
        <v>2.3102259687847689E-2</v>
      </c>
      <c r="AA3476" s="201">
        <v>2.3078571977395157E-2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63557</v>
      </c>
      <c r="Y3477" s="198">
        <f>_xll.qlInterestRateIndexValueDate(IborIndex,X3477,Trigger)</f>
        <v>63559</v>
      </c>
      <c r="Z3477" s="199">
        <v>2.3100778256584825E-2</v>
      </c>
      <c r="AA3477" s="201">
        <v>2.3078571977475093E-2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63564</v>
      </c>
      <c r="Y3478" s="198">
        <f>_xll.qlInterestRateIndexValueDate(IborIndex,X3478,Trigger)</f>
        <v>63566</v>
      </c>
      <c r="Z3478" s="199">
        <v>2.3100778256584825E-2</v>
      </c>
      <c r="AA3478" s="201">
        <v>2.3078571977395157E-2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63571</v>
      </c>
      <c r="Y3479" s="198">
        <f>_xll.qlInterestRateIndexValueDate(IborIndex,X3479,Trigger)</f>
        <v>63573</v>
      </c>
      <c r="Z3479" s="199">
        <v>2.3101518956387124E-2</v>
      </c>
      <c r="AA3479" s="201">
        <v>2.3078571977475093E-2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63578</v>
      </c>
      <c r="Y3480" s="198">
        <f>_xll.qlInterestRateIndexValueDate(IborIndex,X3480,Trigger)</f>
        <v>63580</v>
      </c>
      <c r="Z3480" s="199">
        <v>2.3100778256584825E-2</v>
      </c>
      <c r="AA3480" s="201">
        <v>2.3078571977475093E-2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63585</v>
      </c>
      <c r="Y3481" s="198">
        <f>_xll.qlInterestRateIndexValueDate(IborIndex,X3481,Trigger)</f>
        <v>63587</v>
      </c>
      <c r="Z3481" s="199">
        <v>2.3098556347137058E-2</v>
      </c>
      <c r="AA3481" s="201">
        <v>2.3078571977475093E-2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63592</v>
      </c>
      <c r="Y3482" s="198">
        <f>_xll.qlInterestRateIndexValueDate(IborIndex,X3482,Trigger)</f>
        <v>63594</v>
      </c>
      <c r="Z3482" s="199">
        <v>2.3098556347137058E-2</v>
      </c>
      <c r="AA3482" s="201">
        <v>2.3078571977475093E-2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63599</v>
      </c>
      <c r="Y3483" s="198">
        <f>_xll.qlInterestRateIndexValueDate(IborIndex,X3483,Trigger)</f>
        <v>63601</v>
      </c>
      <c r="Z3483" s="199">
        <v>2.3098556347137058E-2</v>
      </c>
      <c r="AA3483" s="201">
        <v>2.3078571977475093E-2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63606</v>
      </c>
      <c r="Y3484" s="198">
        <f>_xll.qlInterestRateIndexValueDate(IborIndex,X3484,Trigger)</f>
        <v>63608</v>
      </c>
      <c r="Z3484" s="199">
        <v>2.3098556347137058E-2</v>
      </c>
      <c r="AA3484" s="201">
        <v>2.3078571977475093E-2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63613</v>
      </c>
      <c r="Y3485" s="198">
        <f>_xll.qlInterestRateIndexValueDate(IborIndex,X3485,Trigger)</f>
        <v>63615</v>
      </c>
      <c r="Z3485" s="199">
        <v>2.3100778256584825E-2</v>
      </c>
      <c r="AA3485" s="201">
        <v>2.3078571977475093E-2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63620</v>
      </c>
      <c r="Y3486" s="198">
        <f>_xll.qlInterestRateIndexValueDate(IborIndex,X3486,Trigger)</f>
        <v>63622</v>
      </c>
      <c r="Z3486" s="199">
        <v>2.3100778256587403E-2</v>
      </c>
      <c r="AA3486" s="201">
        <v>2.3078571977475093E-2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63627</v>
      </c>
      <c r="Y3487" s="198">
        <f>_xll.qlInterestRateIndexValueDate(IborIndex,X3487,Trigger)</f>
        <v>63629</v>
      </c>
      <c r="Z3487" s="199">
        <v>2.3101518956387124E-2</v>
      </c>
      <c r="AA3487" s="201">
        <v>2.3078571977475093E-2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63634</v>
      </c>
      <c r="Y3488" s="198">
        <f>_xll.qlInterestRateIndexValueDate(IborIndex,X3488,Trigger)</f>
        <v>63636</v>
      </c>
      <c r="Z3488" s="199">
        <v>2.3100778256584825E-2</v>
      </c>
      <c r="AA3488" s="201">
        <v>2.3078571977475093E-2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63641</v>
      </c>
      <c r="Y3489" s="198">
        <f>_xll.qlInterestRateIndexValueDate(IborIndex,X3489,Trigger)</f>
        <v>63643</v>
      </c>
      <c r="Z3489" s="199">
        <v>2.3100778256587403E-2</v>
      </c>
      <c r="AA3489" s="201">
        <v>2.3078571977395157E-2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63648</v>
      </c>
      <c r="Y3490" s="198">
        <f>_xll.qlInterestRateIndexValueDate(IborIndex,X3490,Trigger)</f>
        <v>63650</v>
      </c>
      <c r="Z3490" s="199">
        <v>2.3101518956387124E-2</v>
      </c>
      <c r="AA3490" s="201">
        <v>2.3078571977395157E-2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63655</v>
      </c>
      <c r="Y3491" s="198">
        <f>_xll.qlInterestRateIndexValueDate(IborIndex,X3491,Trigger)</f>
        <v>63661</v>
      </c>
      <c r="Z3491" s="199">
        <v>2.3100037588443811E-2</v>
      </c>
      <c r="AA3491" s="201">
        <v>2.3078571977475093E-2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63662</v>
      </c>
      <c r="Y3492" s="198">
        <f>_xll.qlInterestRateIndexValueDate(IborIndex,X3492,Trigger)</f>
        <v>63664</v>
      </c>
      <c r="Z3492" s="199">
        <v>2.3100778256584825E-2</v>
      </c>
      <c r="AA3492" s="201">
        <v>2.3078571977475093E-2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63669</v>
      </c>
      <c r="Y3493" s="198">
        <f>_xll.qlInterestRateIndexValueDate(IborIndex,X3493,Trigger)</f>
        <v>63671</v>
      </c>
      <c r="Z3493" s="199">
        <v>2.3101518956387124E-2</v>
      </c>
      <c r="AA3493" s="201">
        <v>2.3078571977395157E-2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63676</v>
      </c>
      <c r="Y3494" s="198">
        <f>_xll.qlInterestRateIndexValueDate(IborIndex,X3494,Trigger)</f>
        <v>63678</v>
      </c>
      <c r="Z3494" s="199">
        <v>2.3100778256584825E-2</v>
      </c>
      <c r="AA3494" s="201">
        <v>2.3078571977475093E-2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63683</v>
      </c>
      <c r="Y3495" s="198">
        <f>_xll.qlInterestRateIndexValueDate(IborIndex,X3495,Trigger)</f>
        <v>63685</v>
      </c>
      <c r="Z3495" s="199">
        <v>2.3100778256587403E-2</v>
      </c>
      <c r="AA3495" s="201">
        <v>2.3078571977475093E-2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63690</v>
      </c>
      <c r="Y3496" s="198">
        <f>_xll.qlInterestRateIndexValueDate(IborIndex,X3496,Trigger)</f>
        <v>63692</v>
      </c>
      <c r="Z3496" s="199">
        <v>2.3100778256584825E-2</v>
      </c>
      <c r="AA3496" s="201">
        <v>2.3078571977555029E-2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63697</v>
      </c>
      <c r="Y3497" s="198">
        <f>_xll.qlInterestRateIndexValueDate(IborIndex,X3497,Trigger)</f>
        <v>63699</v>
      </c>
      <c r="Z3497" s="199">
        <v>2.3100778256587403E-2</v>
      </c>
      <c r="AA3497" s="201">
        <v>2.3078571977475093E-2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63704</v>
      </c>
      <c r="Y3498" s="198">
        <f>_xll.qlInterestRateIndexValueDate(IborIndex,X3498,Trigger)</f>
        <v>63706</v>
      </c>
      <c r="Z3498" s="199">
        <v>2.3100778256587403E-2</v>
      </c>
      <c r="AA3498" s="201">
        <v>2.3078571977475093E-2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63711</v>
      </c>
      <c r="Y3499" s="198">
        <f>_xll.qlInterestRateIndexValueDate(IborIndex,X3499,Trigger)</f>
        <v>63713</v>
      </c>
      <c r="Z3499" s="199">
        <v>2.3100778256587403E-2</v>
      </c>
      <c r="AA3499" s="201">
        <v>2.3078571977475093E-2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63718</v>
      </c>
      <c r="Y3500" s="198">
        <f>_xll.qlInterestRateIndexValueDate(IborIndex,X3500,Trigger)</f>
        <v>63720</v>
      </c>
      <c r="Z3500" s="199">
        <v>2.3100778256587403E-2</v>
      </c>
      <c r="AA3500" s="201">
        <v>2.3078571977475093E-2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63725</v>
      </c>
      <c r="Y3501" s="198">
        <f>_xll.qlInterestRateIndexValueDate(IborIndex,X3501,Trigger)</f>
        <v>63727</v>
      </c>
      <c r="Z3501" s="199">
        <v>2.3100778256587403E-2</v>
      </c>
      <c r="AA3501" s="201">
        <v>2.3078571977395157E-2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63732</v>
      </c>
      <c r="Y3502" s="198">
        <f>_xll.qlInterestRateIndexValueDate(IborIndex,X3502,Trigger)</f>
        <v>63734</v>
      </c>
      <c r="Z3502" s="199">
        <v>2.3101518956387124E-2</v>
      </c>
      <c r="AA3502" s="201">
        <v>2.3078571977475093E-2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63739</v>
      </c>
      <c r="Y3503" s="198">
        <f>_xll.qlInterestRateIndexValueDate(IborIndex,X3503,Trigger)</f>
        <v>63741</v>
      </c>
      <c r="Z3503" s="199">
        <v>2.3100778256587403E-2</v>
      </c>
      <c r="AA3503" s="201">
        <v>2.3078571977475093E-2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63746</v>
      </c>
      <c r="Y3504" s="198">
        <f>_xll.qlInterestRateIndexValueDate(IborIndex,X3504,Trigger)</f>
        <v>63748</v>
      </c>
      <c r="Z3504" s="199">
        <v>2.3100778256587403E-2</v>
      </c>
      <c r="AA3504" s="201">
        <v>2.3078571977395157E-2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63753</v>
      </c>
      <c r="Y3505" s="198">
        <f>_xll.qlInterestRateIndexValueDate(IborIndex,X3505,Trigger)</f>
        <v>63755</v>
      </c>
      <c r="Z3505" s="199">
        <v>2.3100778256584825E-2</v>
      </c>
      <c r="AA3505" s="201">
        <v>2.3078571977475093E-2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63760</v>
      </c>
      <c r="Y3506" s="198">
        <f>_xll.qlInterestRateIndexValueDate(IborIndex,X3506,Trigger)</f>
        <v>63762</v>
      </c>
      <c r="Z3506" s="199">
        <v>2.3101518956384626E-2</v>
      </c>
      <c r="AA3506" s="201">
        <v>2.3078571977475093E-2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63767</v>
      </c>
      <c r="Y3507" s="198">
        <f>_xll.qlInterestRateIndexValueDate(IborIndex,X3507,Trigger)</f>
        <v>63769</v>
      </c>
      <c r="Z3507" s="199">
        <v>2.3101518956387124E-2</v>
      </c>
      <c r="AA3507" s="201">
        <v>2.3078571977475093E-2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63774</v>
      </c>
      <c r="Y3508" s="198">
        <f>_xll.qlInterestRateIndexValueDate(IborIndex,X3508,Trigger)</f>
        <v>63776</v>
      </c>
      <c r="Z3508" s="199">
        <v>2.3100778256587403E-2</v>
      </c>
      <c r="AA3508" s="201">
        <v>2.3078571977475093E-2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63781</v>
      </c>
      <c r="Y3509" s="198">
        <f>_xll.qlInterestRateIndexValueDate(IborIndex,X3509,Trigger)</f>
        <v>63783</v>
      </c>
      <c r="Z3509" s="199">
        <v>2.3100778256587403E-2</v>
      </c>
      <c r="AA3509" s="201">
        <v>2.3078571977555029E-2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63788</v>
      </c>
      <c r="Y3510" s="198">
        <f>_xll.qlInterestRateIndexValueDate(IborIndex,X3510,Trigger)</f>
        <v>63790</v>
      </c>
      <c r="Z3510" s="199">
        <v>2.3100778256587403E-2</v>
      </c>
      <c r="AA3510" s="201">
        <v>2.3078571977475093E-2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63795</v>
      </c>
      <c r="Y3511" s="198">
        <f>_xll.qlInterestRateIndexValueDate(IborIndex,X3511,Trigger)</f>
        <v>63797</v>
      </c>
      <c r="Z3511" s="199">
        <v>2.3098556347137058E-2</v>
      </c>
      <c r="AA3511" s="201">
        <v>2.3078571977475093E-2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63802</v>
      </c>
      <c r="Y3512" s="198">
        <f>_xll.qlInterestRateIndexValueDate(IborIndex,X3512,Trigger)</f>
        <v>63804</v>
      </c>
      <c r="Z3512" s="199">
        <v>2.3101518956387124E-2</v>
      </c>
      <c r="AA3512" s="201">
        <v>2.3078571977555029E-2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63809</v>
      </c>
      <c r="Y3513" s="198">
        <f>_xll.qlInterestRateIndexValueDate(IborIndex,X3513,Trigger)</f>
        <v>63811</v>
      </c>
      <c r="Z3513" s="199">
        <v>2.3100778256584825E-2</v>
      </c>
      <c r="AA3513" s="201">
        <v>2.3078571977475093E-2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63816</v>
      </c>
      <c r="Y3514" s="198">
        <f>_xll.qlInterestRateIndexValueDate(IborIndex,X3514,Trigger)</f>
        <v>63818</v>
      </c>
      <c r="Z3514" s="199">
        <v>2.3100778256587403E-2</v>
      </c>
      <c r="AA3514" s="201">
        <v>2.3078571977475093E-2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63823</v>
      </c>
      <c r="Y3515" s="198">
        <f>_xll.qlInterestRateIndexValueDate(IborIndex,X3515,Trigger)</f>
        <v>63825</v>
      </c>
      <c r="Z3515" s="199">
        <v>2.3102259687847689E-2</v>
      </c>
      <c r="AA3515" s="201">
        <v>2.3078571977395157E-2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63830</v>
      </c>
      <c r="Y3516" s="198">
        <f>_xll.qlInterestRateIndexValueDate(IborIndex,X3516,Trigger)</f>
        <v>63832</v>
      </c>
      <c r="Z3516" s="199">
        <v>2.3100778256584825E-2</v>
      </c>
      <c r="AA3516" s="201">
        <v>2.3078571977475093E-2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63837</v>
      </c>
      <c r="Y3517" s="198">
        <f>_xll.qlInterestRateIndexValueDate(IborIndex,X3517,Trigger)</f>
        <v>63839</v>
      </c>
      <c r="Z3517" s="199">
        <v>2.3101518956387124E-2</v>
      </c>
      <c r="AA3517" s="201">
        <v>2.3078571977475093E-2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63844</v>
      </c>
      <c r="Y3518" s="198">
        <f>_xll.qlInterestRateIndexValueDate(IborIndex,X3518,Trigger)</f>
        <v>63846</v>
      </c>
      <c r="Z3518" s="199">
        <v>2.3100778256587403E-2</v>
      </c>
      <c r="AA3518" s="201">
        <v>2.3078571977395157E-2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63851</v>
      </c>
      <c r="Y3519" s="198">
        <f>_xll.qlInterestRateIndexValueDate(IborIndex,X3519,Trigger)</f>
        <v>63853</v>
      </c>
      <c r="Z3519" s="199">
        <v>2.3100778256587403E-2</v>
      </c>
      <c r="AA3519" s="201">
        <v>2.3078571977475093E-2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63858</v>
      </c>
      <c r="Y3520" s="198">
        <f>_xll.qlInterestRateIndexValueDate(IborIndex,X3520,Trigger)</f>
        <v>63860</v>
      </c>
      <c r="Z3520" s="199">
        <v>2.3100778256584825E-2</v>
      </c>
      <c r="AA3520" s="201">
        <v>2.3078571977555029E-2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63865</v>
      </c>
      <c r="Y3521" s="198">
        <f>_xll.qlInterestRateIndexValueDate(IborIndex,X3521,Trigger)</f>
        <v>63867</v>
      </c>
      <c r="Z3521" s="199">
        <v>2.3100778256587403E-2</v>
      </c>
      <c r="AA3521" s="201">
        <v>2.3078571977475093E-2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63872</v>
      </c>
      <c r="Y3522" s="198">
        <f>_xll.qlInterestRateIndexValueDate(IborIndex,X3522,Trigger)</f>
        <v>63874</v>
      </c>
      <c r="Z3522" s="199">
        <v>2.3100778256587403E-2</v>
      </c>
      <c r="AA3522" s="201">
        <v>2.3078571977395157E-2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63879</v>
      </c>
      <c r="Y3523" s="198">
        <f>_xll.qlInterestRateIndexValueDate(IborIndex,X3523,Trigger)</f>
        <v>63881</v>
      </c>
      <c r="Z3523" s="199">
        <v>2.3100778256584825E-2</v>
      </c>
      <c r="AA3523" s="201">
        <v>2.3078571977475093E-2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63886</v>
      </c>
      <c r="Y3524" s="198">
        <f>_xll.qlInterestRateIndexValueDate(IborIndex,X3524,Trigger)</f>
        <v>63888</v>
      </c>
      <c r="Z3524" s="199">
        <v>2.3100778256584825E-2</v>
      </c>
      <c r="AA3524" s="201">
        <v>2.3078571977475093E-2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63893</v>
      </c>
      <c r="Y3525" s="198">
        <f>_xll.qlInterestRateIndexValueDate(IborIndex,X3525,Trigger)</f>
        <v>63895</v>
      </c>
      <c r="Z3525" s="199">
        <v>2.3100778256587403E-2</v>
      </c>
      <c r="AA3525" s="201">
        <v>2.3078571977395157E-2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63900</v>
      </c>
      <c r="Y3526" s="198">
        <f>_xll.qlInterestRateIndexValueDate(IborIndex,X3526,Trigger)</f>
        <v>63902</v>
      </c>
      <c r="Z3526" s="199">
        <v>2.3100778256584825E-2</v>
      </c>
      <c r="AA3526" s="201">
        <v>2.3078571977475093E-2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63907</v>
      </c>
      <c r="Y3527" s="198">
        <f>_xll.qlInterestRateIndexValueDate(IborIndex,X3527,Trigger)</f>
        <v>63909</v>
      </c>
      <c r="Z3527" s="199">
        <v>2.3101518956384626E-2</v>
      </c>
      <c r="AA3527" s="201">
        <v>2.3078571977475093E-2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63915</v>
      </c>
      <c r="Y3528" s="198">
        <f>_xll.qlInterestRateIndexValueDate(IborIndex,X3528,Trigger)</f>
        <v>63919</v>
      </c>
      <c r="Z3528" s="199">
        <v>2.3100778256587403E-2</v>
      </c>
      <c r="AA3528" s="201">
        <v>2.3078571977395157E-2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63922</v>
      </c>
      <c r="Y3529" s="198">
        <f>_xll.qlInterestRateIndexValueDate(IborIndex,X3529,Trigger)</f>
        <v>63926</v>
      </c>
      <c r="Z3529" s="199">
        <v>2.3100778256584825E-2</v>
      </c>
      <c r="AA3529" s="201">
        <v>2.3078571977475093E-2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63929</v>
      </c>
      <c r="Y3530" s="198">
        <f>_xll.qlInterestRateIndexValueDate(IborIndex,X3530,Trigger)</f>
        <v>63933</v>
      </c>
      <c r="Z3530" s="199">
        <v>2.3100778256587403E-2</v>
      </c>
      <c r="AA3530" s="201">
        <v>2.3078571977475093E-2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63936</v>
      </c>
      <c r="Y3531" s="198">
        <f>_xll.qlInterestRateIndexValueDate(IborIndex,X3531,Trigger)</f>
        <v>63941</v>
      </c>
      <c r="Z3531" s="199">
        <v>2.3100778256587403E-2</v>
      </c>
      <c r="AA3531" s="201">
        <v>2.3078571977475093E-2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63943</v>
      </c>
      <c r="Y3532" s="198">
        <f>_xll.qlInterestRateIndexValueDate(IborIndex,X3532,Trigger)</f>
        <v>63947</v>
      </c>
      <c r="Z3532" s="199">
        <v>2.3100778256587403E-2</v>
      </c>
      <c r="AA3532" s="201">
        <v>2.3078571977475093E-2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63950</v>
      </c>
      <c r="Y3533" s="198">
        <f>_xll.qlInterestRateIndexValueDate(IborIndex,X3533,Trigger)</f>
        <v>63954</v>
      </c>
      <c r="Z3533" s="199">
        <v>2.3098556347134203E-2</v>
      </c>
      <c r="AA3533" s="201">
        <v>2.3078571977475093E-2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63957</v>
      </c>
      <c r="Y3534" s="198">
        <f>_xll.qlInterestRateIndexValueDate(IborIndex,X3534,Trigger)</f>
        <v>63961</v>
      </c>
      <c r="Z3534" s="199">
        <v>2.3098556347137058E-2</v>
      </c>
      <c r="AA3534" s="201">
        <v>2.3078571977475093E-2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63964</v>
      </c>
      <c r="Y3535" s="198">
        <f>_xll.qlInterestRateIndexValueDate(IborIndex,X3535,Trigger)</f>
        <v>63969</v>
      </c>
      <c r="Z3535" s="199">
        <v>2.3098556347137058E-2</v>
      </c>
      <c r="AA3535" s="201">
        <v>2.3078571977395157E-2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63971</v>
      </c>
      <c r="Y3536" s="198">
        <f>_xll.qlInterestRateIndexValueDate(IborIndex,X3536,Trigger)</f>
        <v>63975</v>
      </c>
      <c r="Z3536" s="199">
        <v>2.3098556347137058E-2</v>
      </c>
      <c r="AA3536" s="201">
        <v>2.3078571977475093E-2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63978</v>
      </c>
      <c r="Y3537" s="198">
        <f>_xll.qlInterestRateIndexValueDate(IborIndex,X3537,Trigger)</f>
        <v>63982</v>
      </c>
      <c r="Z3537" s="199">
        <v>2.3100778256587403E-2</v>
      </c>
      <c r="AA3537" s="201">
        <v>2.3078571977475093E-2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63985</v>
      </c>
      <c r="Y3538" s="198">
        <f>_xll.qlInterestRateIndexValueDate(IborIndex,X3538,Trigger)</f>
        <v>63989</v>
      </c>
      <c r="Z3538" s="199">
        <v>2.3100778256584825E-2</v>
      </c>
      <c r="AA3538" s="201">
        <v>2.3078571977395157E-2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63992</v>
      </c>
      <c r="Y3539" s="198">
        <f>_xll.qlInterestRateIndexValueDate(IborIndex,X3539,Trigger)</f>
        <v>63996</v>
      </c>
      <c r="Z3539" s="199">
        <v>2.3100778256587403E-2</v>
      </c>
      <c r="AA3539" s="201">
        <v>2.3078571977475093E-2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63999</v>
      </c>
      <c r="Y3540" s="198">
        <f>_xll.qlInterestRateIndexValueDate(IborIndex,X3540,Trigger)</f>
        <v>64003</v>
      </c>
      <c r="Z3540" s="199">
        <v>2.3100778256587403E-2</v>
      </c>
      <c r="AA3540" s="201">
        <v>2.3078571977475093E-2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64006</v>
      </c>
      <c r="Y3541" s="198">
        <f>_xll.qlInterestRateIndexValueDate(IborIndex,X3541,Trigger)</f>
        <v>64010</v>
      </c>
      <c r="Z3541" s="199">
        <v>2.3100037588446476E-2</v>
      </c>
      <c r="AA3541" s="201">
        <v>2.3078571977475093E-2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64013</v>
      </c>
      <c r="Y3542" s="198">
        <f>_xll.qlInterestRateIndexValueDate(IborIndex,X3542,Trigger)</f>
        <v>64019</v>
      </c>
      <c r="Z3542" s="199">
        <v>2.3100037588443811E-2</v>
      </c>
      <c r="AA3542" s="201">
        <v>2.3080051510424582E-2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64020</v>
      </c>
      <c r="Y3543" s="198">
        <f>_xll.qlInterestRateIndexValueDate(IborIndex,X3543,Trigger)</f>
        <v>64024</v>
      </c>
      <c r="Z3543" s="199">
        <v>2.3100037588443811E-2</v>
      </c>
      <c r="AA3543" s="201">
        <v>2.3078571977475093E-2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64027</v>
      </c>
      <c r="Y3544" s="198">
        <f>_xll.qlInterestRateIndexValueDate(IborIndex,X3544,Trigger)</f>
        <v>64031</v>
      </c>
      <c r="Z3544" s="199">
        <v>2.3100037588443811E-2</v>
      </c>
      <c r="AA3544" s="201">
        <v>2.3078571977555029E-2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64034</v>
      </c>
      <c r="Y3545" s="198">
        <f>_xll.qlInterestRateIndexValueDate(IborIndex,X3545,Trigger)</f>
        <v>64038</v>
      </c>
      <c r="Z3545" s="199">
        <v>2.3100037588446476E-2</v>
      </c>
      <c r="AA3545" s="201">
        <v>2.3078571977395157E-2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64041</v>
      </c>
      <c r="Y3546" s="198">
        <f>_xll.qlInterestRateIndexValueDate(IborIndex,X3546,Trigger)</f>
        <v>64046</v>
      </c>
      <c r="Z3546" s="199">
        <v>2.3100778256584825E-2</v>
      </c>
      <c r="AA3546" s="201">
        <v>2.3078571977475093E-2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64048</v>
      </c>
      <c r="Y3547" s="198">
        <f>_xll.qlInterestRateIndexValueDate(IborIndex,X3547,Trigger)</f>
        <v>64052</v>
      </c>
      <c r="Z3547" s="199">
        <v>2.3100778256584825E-2</v>
      </c>
      <c r="AA3547" s="201">
        <v>2.3078571977475093E-2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64055</v>
      </c>
      <c r="Y3548" s="198">
        <f>_xll.qlInterestRateIndexValueDate(IborIndex,X3548,Trigger)</f>
        <v>64059</v>
      </c>
      <c r="Z3548" s="199">
        <v>2.3100778256584825E-2</v>
      </c>
      <c r="AA3548" s="201">
        <v>2.3078571977475093E-2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64062</v>
      </c>
      <c r="Y3549" s="198">
        <f>_xll.qlInterestRateIndexValueDate(IborIndex,X3549,Trigger)</f>
        <v>64067</v>
      </c>
      <c r="Z3549" s="199">
        <v>2.3100778256587403E-2</v>
      </c>
      <c r="AA3549" s="201">
        <v>2.3078571977475093E-2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64069</v>
      </c>
      <c r="Y3550" s="198">
        <f>_xll.qlInterestRateIndexValueDate(IborIndex,X3550,Trigger)</f>
        <v>64073</v>
      </c>
      <c r="Z3550" s="199">
        <v>2.3100037588443811E-2</v>
      </c>
      <c r="AA3550" s="201">
        <v>2.3078571977475093E-2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64076</v>
      </c>
      <c r="Y3551" s="198">
        <f>_xll.qlInterestRateIndexValueDate(IborIndex,X3551,Trigger)</f>
        <v>64080</v>
      </c>
      <c r="Z3551" s="199">
        <v>2.3100037588443811E-2</v>
      </c>
      <c r="AA3551" s="201">
        <v>2.3078571977475093E-2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64083</v>
      </c>
      <c r="Y3552" s="198">
        <f>_xll.qlInterestRateIndexValueDate(IborIndex,X3552,Trigger)</f>
        <v>64087</v>
      </c>
      <c r="Z3552" s="200">
        <v>2.3100037588446476E-2</v>
      </c>
      <c r="AA3552" s="202">
        <v>2.3078571977395157E-2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2014-01-14T15:19:46Z</dcterms:created>
  <dcterms:modified xsi:type="dcterms:W3CDTF">2015-05-26T14:45:51Z</dcterms:modified>
</cp:coreProperties>
</file>
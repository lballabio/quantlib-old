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-15" windowWidth="5070" windowHeight="862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externalReferences>
    <externalReference r:id="rId8"/>
  </externalReference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6" i="31"/>
  <c r="C5" i="31"/>
  <c r="C4" i="31"/>
  <c r="X11" i="31"/>
  <c r="C3" i="31"/>
  <c r="D16" i="6" l="1"/>
  <c r="C7" i="31"/>
  <c r="C8" i="31" l="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F1" i="17" l="1"/>
  <c r="G1" i="17" s="1"/>
  <c r="F3" i="17"/>
  <c r="F4" i="17"/>
  <c r="X12" i="31"/>
  <c r="X13" i="31"/>
  <c r="Y12" i="31"/>
  <c r="Y13" i="31"/>
  <c r="Y11" i="31"/>
  <c r="X14" i="31"/>
  <c r="Y14" i="31" s="1"/>
  <c r="J4" i="30"/>
  <c r="J32" i="30"/>
  <c r="J58" i="30"/>
  <c r="J9" i="30"/>
  <c r="X15" i="31"/>
  <c r="J25" i="30"/>
  <c r="J40" i="30"/>
  <c r="J42" i="30"/>
  <c r="K4" i="30"/>
  <c r="J16" i="30"/>
  <c r="J44" i="30"/>
  <c r="J28" i="30"/>
  <c r="J41" i="30"/>
  <c r="J56" i="30"/>
  <c r="Y15" i="31"/>
  <c r="J47" i="30"/>
  <c r="J57" i="30"/>
  <c r="J53" i="30"/>
  <c r="K16" i="30"/>
  <c r="K32" i="30"/>
  <c r="K44" i="30"/>
  <c r="K25" i="30"/>
  <c r="K57" i="30"/>
  <c r="K42" i="30"/>
  <c r="K9" i="30"/>
  <c r="K41" i="30"/>
  <c r="K40" i="30"/>
  <c r="K53" i="30"/>
  <c r="K28" i="30"/>
  <c r="K56" i="30"/>
  <c r="K47" i="30"/>
  <c r="K58" i="30"/>
  <c r="G4" i="17"/>
  <c r="G3" i="17"/>
  <c r="J49" i="30"/>
  <c r="J7" i="30"/>
  <c r="J12" i="30"/>
  <c r="J24" i="30"/>
  <c r="J31" i="30"/>
  <c r="J45" i="30"/>
  <c r="J29" i="30"/>
  <c r="J30" i="30"/>
  <c r="J51" i="30"/>
  <c r="J55" i="30"/>
  <c r="J19" i="30"/>
  <c r="J54" i="30"/>
  <c r="J38" i="30"/>
  <c r="J43" i="30"/>
  <c r="J11" i="30"/>
  <c r="J6" i="30"/>
  <c r="J48" i="30"/>
  <c r="J59" i="30"/>
  <c r="J33" i="30"/>
  <c r="J50" i="30"/>
  <c r="J39" i="30"/>
  <c r="J27" i="30"/>
  <c r="J18" i="30"/>
  <c r="J35" i="30"/>
  <c r="J8" i="30"/>
  <c r="J36" i="30"/>
  <c r="J52" i="30"/>
  <c r="J10" i="30"/>
  <c r="J23" i="30"/>
  <c r="J14" i="30"/>
  <c r="J37" i="30"/>
  <c r="J46" i="30"/>
  <c r="J26" i="30"/>
  <c r="J34" i="30"/>
  <c r="J15" i="30"/>
  <c r="J20" i="30"/>
  <c r="J13" i="30"/>
  <c r="J21" i="30"/>
  <c r="J22" i="30"/>
  <c r="J17" i="30"/>
  <c r="K49" i="30"/>
  <c r="K7" i="30"/>
  <c r="K12" i="30"/>
  <c r="K24" i="30"/>
  <c r="K31" i="30"/>
  <c r="K45" i="30"/>
  <c r="K29" i="30"/>
  <c r="K30" i="30"/>
  <c r="K51" i="30"/>
  <c r="K55" i="30"/>
  <c r="K19" i="30"/>
  <c r="K54" i="30"/>
  <c r="K38" i="30"/>
  <c r="K43" i="30"/>
  <c r="K11" i="30"/>
  <c r="K6" i="30"/>
  <c r="K48" i="30"/>
  <c r="K59" i="30"/>
  <c r="K33" i="30"/>
  <c r="K50" i="30"/>
  <c r="K39" i="30"/>
  <c r="K27" i="30"/>
  <c r="K18" i="30"/>
  <c r="K35" i="30"/>
  <c r="K8" i="30"/>
  <c r="K36" i="30"/>
  <c r="K52" i="30"/>
  <c r="K10" i="30"/>
  <c r="K23" i="30"/>
  <c r="K14" i="30"/>
  <c r="K37" i="30"/>
  <c r="K46" i="30"/>
  <c r="K26" i="30"/>
  <c r="K34" i="30"/>
  <c r="K15" i="30"/>
  <c r="K20" i="30"/>
  <c r="K13" i="30"/>
  <c r="K21" i="30"/>
  <c r="K22" i="30"/>
  <c r="K17" i="30"/>
  <c r="A16" i="4" l="1"/>
  <c r="A21" i="4"/>
  <c r="A20" i="4"/>
  <c r="A12" i="4"/>
  <c r="A19" i="4"/>
  <c r="A14" i="4"/>
  <c r="A33" i="4"/>
  <c r="A25" i="4"/>
  <c r="A45" i="4"/>
  <c r="A36" i="4"/>
  <c r="A13" i="4"/>
  <c r="A22" i="4"/>
  <c r="A9" i="4"/>
  <c r="A51" i="4"/>
  <c r="A35" i="4"/>
  <c r="A7" i="4"/>
  <c r="A34" i="4"/>
  <c r="A17" i="4"/>
  <c r="A26" i="4"/>
  <c r="A38" i="4"/>
  <c r="A49" i="4"/>
  <c r="A32" i="4"/>
  <c r="A58" i="4"/>
  <c r="A47" i="4"/>
  <c r="A5" i="4"/>
  <c r="A10" i="4"/>
  <c r="A42" i="4"/>
  <c r="A37" i="4"/>
  <c r="A53" i="4"/>
  <c r="A18" i="4"/>
  <c r="A54" i="4"/>
  <c r="A50" i="4"/>
  <c r="A29" i="4"/>
  <c r="A28" i="4"/>
  <c r="A44" i="4"/>
  <c r="A30" i="4"/>
  <c r="A23" i="4"/>
  <c r="A11" i="4"/>
  <c r="A6" i="4"/>
  <c r="A48" i="4"/>
  <c r="A52" i="4"/>
  <c r="A56" i="4"/>
  <c r="A46" i="4"/>
  <c r="A55" i="4"/>
  <c r="A40" i="4"/>
  <c r="A27" i="4"/>
  <c r="A43" i="4"/>
  <c r="A15" i="4"/>
  <c r="A41" i="4"/>
  <c r="A39" i="4"/>
  <c r="A24" i="4"/>
  <c r="A8" i="4"/>
  <c r="A57" i="4"/>
  <c r="A31" i="4"/>
  <c r="E8" i="31"/>
  <c r="E5" i="31"/>
  <c r="E4" i="31"/>
  <c r="E3" i="31"/>
  <c r="E9" i="31"/>
  <c r="E7" i="31"/>
  <c r="E6" i="31"/>
  <c r="A4" i="4"/>
  <c r="G2" i="17"/>
  <c r="J3" i="30"/>
  <c r="B16" i="4"/>
  <c r="B45" i="4"/>
  <c r="B34" i="4"/>
  <c r="B5" i="4"/>
  <c r="B29" i="4"/>
  <c r="B52" i="4"/>
  <c r="B41" i="4"/>
  <c r="B21" i="4"/>
  <c r="B36" i="4"/>
  <c r="B17" i="4"/>
  <c r="B10" i="4"/>
  <c r="B28" i="4"/>
  <c r="B56" i="4"/>
  <c r="B39" i="4"/>
  <c r="H4" i="17"/>
  <c r="B20" i="4"/>
  <c r="B13" i="4"/>
  <c r="B26" i="4"/>
  <c r="B42" i="4"/>
  <c r="B44" i="4"/>
  <c r="B46" i="4"/>
  <c r="B24" i="4"/>
  <c r="B12" i="4"/>
  <c r="B22" i="4"/>
  <c r="B38" i="4"/>
  <c r="B30" i="4"/>
  <c r="B55" i="4"/>
  <c r="X16" i="31"/>
  <c r="B9" i="4"/>
  <c r="B23" i="4"/>
  <c r="B40" i="4"/>
  <c r="B32" i="4"/>
  <c r="B11" i="4"/>
  <c r="B57" i="4"/>
  <c r="B33" i="4"/>
  <c r="B35" i="4"/>
  <c r="B58" i="4"/>
  <c r="B54" i="4"/>
  <c r="B6" i="4"/>
  <c r="B43" i="4"/>
  <c r="B31" i="4"/>
  <c r="B25" i="4"/>
  <c r="B47" i="4"/>
  <c r="B50" i="4"/>
  <c r="B15" i="4"/>
  <c r="B4" i="4"/>
  <c r="B37" i="4"/>
  <c r="B19" i="4"/>
  <c r="B49" i="4"/>
  <c r="B53" i="4"/>
  <c r="B8" i="4"/>
  <c r="B14" i="4"/>
  <c r="B51" i="4"/>
  <c r="B18" i="4"/>
  <c r="B27" i="4"/>
  <c r="B7" i="4"/>
  <c r="B48" i="4"/>
  <c r="Y16" i="31"/>
  <c r="A3" i="4" l="1"/>
  <c r="D1" i="9"/>
  <c r="E1" i="9" s="1"/>
  <c r="D3" i="9"/>
  <c r="X17" i="31"/>
  <c r="E3" i="9"/>
  <c r="B3" i="4"/>
  <c r="K3" i="30"/>
  <c r="H3" i="17"/>
  <c r="H2" i="17"/>
  <c r="Y17" i="31"/>
  <c r="X18" i="31"/>
  <c r="X19" i="31"/>
  <c r="Y18" i="31"/>
  <c r="X20" i="31"/>
  <c r="Y19" i="31"/>
  <c r="Y20" i="31"/>
  <c r="X21" i="31"/>
  <c r="X22" i="31"/>
  <c r="Y21" i="31"/>
  <c r="X23" i="31"/>
  <c r="Y22" i="31"/>
  <c r="X24" i="31"/>
  <c r="Y23" i="31"/>
  <c r="Y24" i="31"/>
  <c r="X25" i="31"/>
  <c r="Y25" i="31"/>
  <c r="X26" i="31"/>
  <c r="X27" i="31"/>
  <c r="Y26" i="31"/>
  <c r="X28" i="31"/>
  <c r="Y27" i="31"/>
  <c r="Y28" i="31"/>
  <c r="X29" i="31"/>
  <c r="Y29" i="31"/>
  <c r="X30" i="31"/>
  <c r="X31" i="31"/>
  <c r="Y30" i="31"/>
  <c r="Y31" i="31"/>
  <c r="X32" i="31"/>
  <c r="X33" i="31"/>
  <c r="Y32" i="31"/>
  <c r="Y33" i="31"/>
  <c r="X34" i="31"/>
  <c r="Y34" i="31"/>
  <c r="X35" i="31"/>
  <c r="X36" i="31"/>
  <c r="Y35" i="31"/>
  <c r="Y36" i="31"/>
  <c r="X37" i="31"/>
  <c r="Y37" i="31"/>
  <c r="X38" i="31"/>
  <c r="X39" i="31"/>
  <c r="Y38" i="31"/>
  <c r="Y39" i="31"/>
  <c r="X40" i="31"/>
  <c r="Y40" i="31"/>
  <c r="X41" i="31"/>
  <c r="X42" i="31"/>
  <c r="Y41" i="31"/>
  <c r="X43" i="31"/>
  <c r="Y42" i="31"/>
  <c r="Y43" i="31"/>
  <c r="X44" i="31"/>
  <c r="Y44" i="31"/>
  <c r="X45" i="31"/>
  <c r="Y45" i="31"/>
  <c r="X46" i="31"/>
  <c r="X47" i="31"/>
  <c r="Y46" i="31"/>
  <c r="X48" i="31"/>
  <c r="Y47" i="31"/>
  <c r="Y48" i="31"/>
  <c r="X49" i="31"/>
  <c r="Y49" i="31"/>
  <c r="X50" i="31"/>
  <c r="X51" i="31"/>
  <c r="Y50" i="31"/>
  <c r="Y51" i="31"/>
  <c r="X52" i="31"/>
  <c r="X53" i="31"/>
  <c r="Y52" i="31"/>
  <c r="X54" i="31"/>
  <c r="Y53" i="31"/>
  <c r="X55" i="31"/>
  <c r="Y54" i="31"/>
  <c r="Y55" i="31"/>
  <c r="X56" i="31"/>
  <c r="X57" i="31"/>
  <c r="Y56" i="31"/>
  <c r="Y57" i="31"/>
  <c r="X58" i="31"/>
  <c r="Y58" i="31"/>
  <c r="X59" i="31"/>
  <c r="Y59" i="31"/>
  <c r="X60" i="31"/>
  <c r="X61" i="31"/>
  <c r="Y60" i="31"/>
  <c r="Y61" i="31"/>
  <c r="X62" i="31"/>
  <c r="Y62" i="31"/>
  <c r="X63" i="31"/>
  <c r="X64" i="31"/>
  <c r="Y63" i="31"/>
  <c r="Y64" i="31"/>
  <c r="X65" i="31"/>
  <c r="Y65" i="31"/>
  <c r="X66" i="31"/>
  <c r="X67" i="31"/>
  <c r="Y66" i="31"/>
  <c r="Y67" i="31"/>
  <c r="X68" i="31"/>
  <c r="X69" i="31"/>
  <c r="Y68" i="31"/>
  <c r="X70" i="31"/>
  <c r="Y69" i="31"/>
  <c r="X71" i="31"/>
  <c r="Y70" i="31"/>
  <c r="Y71" i="31"/>
  <c r="X72" i="31"/>
  <c r="X73" i="31"/>
  <c r="Y72" i="31"/>
  <c r="Y73" i="31"/>
  <c r="X74" i="31"/>
  <c r="X75" i="31"/>
  <c r="Y74" i="31"/>
  <c r="Y75" i="31"/>
  <c r="X76" i="31"/>
  <c r="X77" i="31"/>
  <c r="Y76" i="31"/>
  <c r="Y77" i="31"/>
  <c r="X78" i="31"/>
  <c r="X79" i="31"/>
  <c r="Y78" i="31"/>
  <c r="X80" i="31"/>
  <c r="Y79" i="31"/>
  <c r="Y80" i="31"/>
  <c r="X81" i="31"/>
  <c r="X82" i="31"/>
  <c r="Y81" i="31"/>
  <c r="X83" i="31"/>
  <c r="Y82" i="31"/>
  <c r="Y83" i="31"/>
  <c r="X84" i="31"/>
  <c r="Y84" i="31"/>
  <c r="X85" i="31"/>
  <c r="X86" i="31"/>
  <c r="Y85" i="31"/>
  <c r="X87" i="31"/>
  <c r="Y86" i="31"/>
  <c r="Y87" i="31"/>
  <c r="X88" i="31"/>
  <c r="X89" i="31"/>
  <c r="Y88" i="31"/>
  <c r="Y89" i="31"/>
  <c r="X90" i="31"/>
  <c r="X91" i="31"/>
  <c r="Y90" i="31"/>
  <c r="Y91" i="31"/>
  <c r="X92" i="31"/>
  <c r="X93" i="31"/>
  <c r="Y92" i="31"/>
  <c r="X94" i="31"/>
  <c r="Y93" i="31"/>
  <c r="Y94" i="31"/>
  <c r="X95" i="31"/>
  <c r="Y95" i="31"/>
  <c r="X96" i="31"/>
  <c r="Y96" i="31"/>
  <c r="X97" i="31"/>
  <c r="Y97" i="31"/>
  <c r="X98" i="31"/>
  <c r="Y98" i="31"/>
  <c r="X99" i="31"/>
  <c r="Y99" i="31"/>
  <c r="X100" i="31"/>
  <c r="X101" i="31"/>
  <c r="Y100" i="31"/>
  <c r="X102" i="31"/>
  <c r="Y101" i="31"/>
  <c r="Y102" i="31"/>
  <c r="X103" i="31"/>
  <c r="Y103" i="31"/>
  <c r="X104" i="31"/>
  <c r="X105" i="31"/>
  <c r="Y104" i="31"/>
  <c r="X106" i="31"/>
  <c r="Y105" i="31"/>
  <c r="X107" i="31"/>
  <c r="Y106" i="31"/>
  <c r="Y107" i="31"/>
  <c r="X108" i="31"/>
  <c r="X109" i="31"/>
  <c r="Y108" i="31"/>
  <c r="X110" i="31"/>
  <c r="Y109" i="31"/>
  <c r="X111" i="31"/>
  <c r="Y110" i="31"/>
  <c r="Y111" i="31"/>
  <c r="X112" i="31"/>
  <c r="Y112" i="31"/>
  <c r="X113" i="31"/>
  <c r="Y113" i="31"/>
  <c r="X114" i="31"/>
  <c r="X115" i="31"/>
  <c r="Y114" i="31"/>
  <c r="Y115" i="31"/>
  <c r="X116" i="31"/>
  <c r="X117" i="31"/>
  <c r="Y116" i="31"/>
  <c r="Y117" i="31"/>
  <c r="X118" i="31"/>
  <c r="Y118" i="31"/>
  <c r="X119" i="31"/>
  <c r="Y119" i="31"/>
  <c r="X120" i="31"/>
  <c r="X121" i="31"/>
  <c r="Y120" i="31"/>
  <c r="Y121" i="31"/>
  <c r="X122" i="31"/>
  <c r="X123" i="31"/>
  <c r="Y122" i="31"/>
  <c r="Y123" i="31"/>
  <c r="X124" i="31"/>
  <c r="X125" i="31"/>
  <c r="Y124" i="31"/>
  <c r="Y125" i="31"/>
  <c r="X126" i="31"/>
  <c r="Y126" i="31"/>
  <c r="X127" i="31"/>
  <c r="X128" i="31"/>
  <c r="Y127" i="31"/>
  <c r="Y128" i="31"/>
  <c r="X129" i="31"/>
  <c r="Y129" i="31"/>
  <c r="X130" i="31"/>
  <c r="Y130" i="31"/>
  <c r="X131" i="31"/>
  <c r="Y131" i="31"/>
  <c r="X132" i="31"/>
  <c r="X133" i="31"/>
  <c r="Y132" i="31"/>
  <c r="X134" i="31"/>
  <c r="Y133" i="31"/>
  <c r="X135" i="31"/>
  <c r="Y134" i="31"/>
  <c r="X136" i="31"/>
  <c r="Y135" i="31"/>
  <c r="Y136" i="31"/>
  <c r="X137" i="31"/>
  <c r="X138" i="31"/>
  <c r="Y137" i="31"/>
  <c r="Y138" i="31"/>
  <c r="X139" i="31"/>
  <c r="X140" i="31"/>
  <c r="Y139" i="31"/>
  <c r="X141" i="31"/>
  <c r="Y140" i="31"/>
  <c r="Y141" i="31"/>
  <c r="X142" i="31"/>
  <c r="X143" i="31"/>
  <c r="Y142" i="31"/>
  <c r="Y143" i="31"/>
  <c r="X144" i="31"/>
  <c r="Y144" i="31"/>
  <c r="X145" i="31"/>
  <c r="Y145" i="31"/>
  <c r="X146" i="31"/>
  <c r="X147" i="31"/>
  <c r="Y146" i="31"/>
  <c r="Y147" i="31"/>
  <c r="X148" i="31"/>
  <c r="X149" i="31"/>
  <c r="Y148" i="31"/>
  <c r="Y149" i="31"/>
  <c r="X150" i="31"/>
  <c r="X151" i="31"/>
  <c r="Y150" i="31"/>
  <c r="X152" i="31"/>
  <c r="Y151" i="31"/>
  <c r="X153" i="31"/>
  <c r="Y152" i="31"/>
  <c r="Y153" i="31"/>
  <c r="X154" i="31"/>
  <c r="Y154" i="31"/>
  <c r="X155" i="31"/>
  <c r="X156" i="31"/>
  <c r="Y155" i="31"/>
  <c r="X157" i="31"/>
  <c r="Y156" i="31"/>
  <c r="X158" i="31"/>
  <c r="Y157" i="31"/>
  <c r="X159" i="31"/>
  <c r="Y158" i="31"/>
  <c r="Y159" i="31"/>
  <c r="X160" i="31"/>
  <c r="X161" i="31"/>
  <c r="Y160" i="31"/>
  <c r="X162" i="31"/>
  <c r="Y161" i="31"/>
  <c r="Y162" i="31"/>
  <c r="X163" i="31"/>
  <c r="Y163" i="31"/>
  <c r="X164" i="31"/>
  <c r="X165" i="31"/>
  <c r="Y164" i="31"/>
  <c r="Y165" i="31"/>
  <c r="X166" i="31"/>
  <c r="Y166" i="31"/>
  <c r="X167" i="31"/>
  <c r="X168" i="31"/>
  <c r="Y167" i="31"/>
  <c r="Y168" i="31"/>
  <c r="X169" i="31"/>
  <c r="X170" i="31"/>
  <c r="Y169" i="31"/>
  <c r="X171" i="31"/>
  <c r="Y170" i="31"/>
  <c r="X172" i="31"/>
  <c r="Y171" i="31"/>
  <c r="Y172" i="31"/>
  <c r="X173" i="31"/>
  <c r="Y173" i="31"/>
  <c r="X174" i="31"/>
  <c r="Y174" i="31"/>
  <c r="X175" i="31"/>
  <c r="Y175" i="31"/>
  <c r="X176" i="31"/>
  <c r="X177" i="31"/>
  <c r="Y176" i="31"/>
  <c r="Y177" i="31"/>
  <c r="X178" i="31"/>
  <c r="X179" i="31"/>
  <c r="Y178" i="31"/>
  <c r="Y179" i="31"/>
  <c r="X180" i="31"/>
  <c r="X181" i="31"/>
  <c r="Y180" i="31"/>
  <c r="Y181" i="31"/>
  <c r="X182" i="31"/>
  <c r="Y182" i="31"/>
  <c r="X183" i="31"/>
  <c r="X184" i="31"/>
  <c r="Y183" i="31"/>
  <c r="Y184" i="31"/>
  <c r="X185" i="31"/>
  <c r="X186" i="31"/>
  <c r="Y185" i="31"/>
  <c r="X187" i="31"/>
  <c r="Y186" i="31"/>
  <c r="X188" i="31"/>
  <c r="Y187" i="31"/>
  <c r="X189" i="31"/>
  <c r="Y188" i="31"/>
  <c r="Y189" i="31"/>
  <c r="X190" i="31"/>
  <c r="X191" i="31"/>
  <c r="Y190" i="31"/>
  <c r="X192" i="31"/>
  <c r="Y191" i="31"/>
  <c r="Y192" i="31"/>
  <c r="X193" i="31"/>
  <c r="Y193" i="31"/>
  <c r="X194" i="31"/>
  <c r="Y194" i="31"/>
  <c r="X195" i="31"/>
  <c r="Y195" i="31"/>
  <c r="X196" i="31"/>
  <c r="Y196" i="31"/>
  <c r="X197" i="31"/>
  <c r="X198" i="31"/>
  <c r="Y197" i="31"/>
  <c r="Y198" i="31"/>
  <c r="X199" i="31"/>
  <c r="X200" i="31"/>
  <c r="Y199" i="31"/>
  <c r="Y200" i="31"/>
  <c r="X201" i="31"/>
  <c r="X202" i="31"/>
  <c r="Y201" i="31"/>
  <c r="Y202" i="31"/>
  <c r="X203" i="31"/>
  <c r="Y203" i="31"/>
  <c r="X204" i="31"/>
  <c r="Y204" i="31"/>
  <c r="X205" i="31"/>
  <c r="X206" i="31"/>
  <c r="Y205" i="31"/>
  <c r="Y206" i="31"/>
  <c r="X207" i="31"/>
  <c r="X208" i="31"/>
  <c r="Y207" i="31"/>
  <c r="X209" i="31"/>
  <c r="Y208" i="31"/>
  <c r="Y209" i="31"/>
  <c r="X210" i="31"/>
  <c r="Y210" i="31"/>
  <c r="X211" i="31"/>
  <c r="Y211" i="31"/>
  <c r="X212" i="31"/>
  <c r="Y212" i="31"/>
  <c r="X213" i="31"/>
  <c r="X214" i="31"/>
  <c r="Y213" i="31"/>
  <c r="X215" i="31"/>
  <c r="Y214" i="31"/>
  <c r="Y215" i="31"/>
  <c r="X216" i="31"/>
  <c r="X217" i="31"/>
  <c r="Y216" i="31"/>
  <c r="Y217" i="31"/>
  <c r="X218" i="31"/>
  <c r="Y218" i="31"/>
  <c r="X219" i="31"/>
  <c r="Y219" i="31"/>
  <c r="X220" i="31"/>
  <c r="Y220" i="31"/>
  <c r="X221" i="31"/>
  <c r="X222" i="31"/>
  <c r="Y221" i="31"/>
  <c r="Y222" i="31"/>
  <c r="X223" i="31"/>
  <c r="X224" i="31"/>
  <c r="Y223" i="31"/>
  <c r="Y224" i="31"/>
  <c r="X225" i="31"/>
  <c r="Y225" i="31"/>
  <c r="X226" i="31"/>
  <c r="X227" i="31"/>
  <c r="Y226" i="31"/>
  <c r="X228" i="31"/>
  <c r="Y227" i="31"/>
  <c r="Y228" i="31"/>
  <c r="X229" i="31"/>
  <c r="X230" i="31"/>
  <c r="Y229" i="31"/>
  <c r="X231" i="31"/>
  <c r="Y230" i="31"/>
  <c r="Y231" i="31"/>
  <c r="X232" i="31"/>
  <c r="Y232" i="31"/>
  <c r="X233" i="31"/>
  <c r="X234" i="31"/>
  <c r="Y233" i="31"/>
  <c r="X235" i="31"/>
  <c r="Y234" i="31"/>
  <c r="Y235" i="31"/>
  <c r="X236" i="31"/>
  <c r="Y236" i="31"/>
  <c r="X237" i="31"/>
  <c r="X238" i="31"/>
  <c r="Y237" i="31"/>
  <c r="Y238" i="31"/>
  <c r="X239" i="31"/>
  <c r="Y239" i="31"/>
  <c r="X240" i="31"/>
  <c r="X241" i="31"/>
  <c r="Y240" i="31"/>
  <c r="X242" i="31"/>
  <c r="Y241" i="31"/>
  <c r="Y242" i="31"/>
  <c r="X243" i="31"/>
  <c r="Y243" i="31"/>
  <c r="X244" i="31"/>
  <c r="Y244" i="31"/>
  <c r="X245" i="31"/>
  <c r="Y245" i="31"/>
  <c r="X246" i="31"/>
  <c r="X247" i="31"/>
  <c r="Y246" i="31"/>
  <c r="Y247" i="31"/>
  <c r="X248" i="31"/>
  <c r="X249" i="31"/>
  <c r="Y248" i="31"/>
  <c r="Y249" i="31"/>
  <c r="X250" i="31"/>
  <c r="X251" i="31"/>
  <c r="Y250" i="31"/>
  <c r="X252" i="31"/>
  <c r="Y251" i="31"/>
  <c r="X253" i="31"/>
  <c r="Y252" i="31"/>
  <c r="X254" i="31"/>
  <c r="Y253" i="31"/>
  <c r="Y254" i="31"/>
  <c r="X255" i="31"/>
  <c r="Y255" i="31"/>
  <c r="X256" i="31"/>
  <c r="Y256" i="31"/>
  <c r="X257" i="31"/>
  <c r="X258" i="31"/>
  <c r="Y257" i="31"/>
  <c r="X259" i="31"/>
  <c r="Y258" i="31"/>
  <c r="Y259" i="31"/>
  <c r="X260" i="31"/>
  <c r="X261" i="31"/>
  <c r="Y260" i="31"/>
  <c r="X262" i="31"/>
  <c r="Y261" i="31"/>
  <c r="Y262" i="31"/>
  <c r="X263" i="31"/>
  <c r="Y263" i="31"/>
  <c r="X264" i="31"/>
  <c r="Y264" i="31"/>
  <c r="X265" i="31"/>
  <c r="X266" i="31"/>
  <c r="Y265" i="31"/>
  <c r="X267" i="31"/>
  <c r="Y266" i="31"/>
  <c r="X268" i="31"/>
  <c r="Y267" i="31"/>
  <c r="X269" i="31"/>
  <c r="Y268" i="31"/>
  <c r="Y269" i="31"/>
  <c r="X270" i="31"/>
  <c r="Y270" i="31"/>
  <c r="X271" i="31"/>
  <c r="Y271" i="31"/>
  <c r="X272" i="31"/>
  <c r="Y272" i="31"/>
  <c r="X273" i="31"/>
  <c r="X274" i="31"/>
  <c r="Y273" i="31"/>
  <c r="Y274" i="31"/>
  <c r="X275" i="31"/>
  <c r="Y275" i="31"/>
  <c r="X276" i="31"/>
  <c r="X277" i="31"/>
  <c r="Y276" i="31"/>
  <c r="Y277" i="31"/>
  <c r="X278" i="31"/>
  <c r="Y278" i="31"/>
  <c r="X279" i="31"/>
  <c r="Y279" i="31"/>
  <c r="X280" i="31"/>
  <c r="X281" i="31"/>
  <c r="Y280" i="31"/>
  <c r="Y281" i="31"/>
  <c r="X282" i="31"/>
  <c r="X283" i="31"/>
  <c r="Y282" i="31"/>
  <c r="X284" i="31"/>
  <c r="Y283" i="31"/>
  <c r="X285" i="31"/>
  <c r="Y284" i="31"/>
  <c r="X286" i="31"/>
  <c r="Y285" i="31"/>
  <c r="X287" i="31"/>
  <c r="Y286" i="31"/>
  <c r="Y287" i="31"/>
  <c r="X288" i="31"/>
  <c r="Y288" i="31"/>
  <c r="X289" i="31"/>
  <c r="X290" i="31"/>
  <c r="Y289" i="31"/>
  <c r="X291" i="31"/>
  <c r="Y290" i="31"/>
  <c r="X292" i="31"/>
  <c r="Y291" i="31"/>
  <c r="Y292" i="31"/>
  <c r="X293" i="31"/>
  <c r="Y293" i="31"/>
  <c r="X294" i="31"/>
  <c r="X295" i="31"/>
  <c r="Y294" i="31"/>
  <c r="X296" i="31"/>
  <c r="Y295" i="31"/>
  <c r="X297" i="31"/>
  <c r="Y296" i="31"/>
  <c r="X298" i="31"/>
  <c r="Y297" i="31"/>
  <c r="Y298" i="31"/>
  <c r="X299" i="31"/>
  <c r="X300" i="31"/>
  <c r="Y299" i="31"/>
  <c r="Y300" i="31"/>
  <c r="X301" i="31"/>
  <c r="Y301" i="31"/>
  <c r="X302" i="31"/>
  <c r="Y302" i="31"/>
  <c r="X303" i="31"/>
  <c r="Y303" i="31"/>
  <c r="X304" i="31"/>
  <c r="X305" i="31"/>
  <c r="Y304" i="31"/>
  <c r="X306" i="31"/>
  <c r="Y305" i="31"/>
  <c r="Y306" i="31"/>
  <c r="X307" i="31"/>
  <c r="X308" i="31"/>
  <c r="Y307" i="31"/>
  <c r="Y308" i="31"/>
  <c r="X309" i="31"/>
  <c r="X310" i="31"/>
  <c r="Y309" i="31"/>
  <c r="X311" i="31"/>
  <c r="Y310" i="31"/>
  <c r="Y311" i="31"/>
  <c r="X312" i="31"/>
  <c r="Y312" i="31"/>
  <c r="X313" i="31"/>
  <c r="X314" i="31"/>
  <c r="Y313" i="31"/>
  <c r="Y314" i="31"/>
  <c r="X315" i="31"/>
  <c r="X316" i="31"/>
  <c r="Y315" i="31"/>
  <c r="Y316" i="31"/>
  <c r="X317" i="31"/>
  <c r="Y317" i="31"/>
  <c r="X318" i="31"/>
  <c r="X319" i="31"/>
  <c r="Y318" i="31"/>
  <c r="X320" i="31"/>
  <c r="Y319" i="31"/>
  <c r="Y320" i="31"/>
  <c r="X321" i="31"/>
  <c r="Y321" i="31"/>
  <c r="X322" i="31"/>
  <c r="Y322" i="31"/>
  <c r="X323" i="31"/>
  <c r="Y323" i="31"/>
  <c r="X324" i="31"/>
  <c r="Y324" i="31"/>
  <c r="X325" i="31"/>
  <c r="X326" i="31"/>
  <c r="Y325" i="31"/>
  <c r="X327" i="31"/>
  <c r="Y326" i="31"/>
  <c r="Y327" i="31"/>
  <c r="X328" i="31"/>
  <c r="Y328" i="31"/>
  <c r="X329" i="31"/>
  <c r="X330" i="31"/>
  <c r="Y329" i="31"/>
  <c r="Y330" i="31"/>
  <c r="X331" i="31"/>
  <c r="Y331" i="31"/>
  <c r="X332" i="31"/>
  <c r="Y332" i="31"/>
  <c r="X333" i="31"/>
  <c r="Y333" i="31"/>
  <c r="X334" i="31"/>
  <c r="X335" i="31"/>
  <c r="Y334" i="31"/>
  <c r="Y335" i="31"/>
  <c r="X336" i="31"/>
  <c r="X337" i="31"/>
  <c r="Y336" i="31"/>
  <c r="Y337" i="31"/>
  <c r="X338" i="31"/>
  <c r="Y338" i="31"/>
  <c r="X339" i="31"/>
  <c r="Y339" i="31"/>
  <c r="X340" i="31"/>
  <c r="Y340" i="31"/>
  <c r="X341" i="31"/>
  <c r="X342" i="31"/>
  <c r="Y341" i="31"/>
  <c r="X343" i="31"/>
  <c r="Y342" i="31"/>
  <c r="X344" i="31"/>
  <c r="Y343" i="31"/>
  <c r="Y344" i="31"/>
  <c r="X345" i="31"/>
  <c r="Y345" i="31"/>
  <c r="X346" i="31"/>
  <c r="Y346" i="31"/>
  <c r="X347" i="31"/>
  <c r="Y347" i="31"/>
  <c r="X348" i="31"/>
  <c r="Y348" i="31"/>
  <c r="X349" i="31"/>
  <c r="Y349" i="31"/>
  <c r="X350" i="31"/>
  <c r="Y350" i="31"/>
  <c r="X351" i="31"/>
  <c r="X352" i="31"/>
  <c r="Y351" i="31"/>
  <c r="X353" i="31"/>
  <c r="Y352" i="31"/>
  <c r="Y353" i="31"/>
  <c r="X354" i="31"/>
  <c r="X355" i="31"/>
  <c r="Y354" i="31"/>
  <c r="Y355" i="31"/>
  <c r="X356" i="31"/>
  <c r="X357" i="31"/>
  <c r="Y356" i="31"/>
  <c r="X358" i="31"/>
  <c r="Y357" i="31"/>
  <c r="X359" i="31"/>
  <c r="Y358" i="31"/>
  <c r="Y359" i="31"/>
  <c r="X360" i="31"/>
  <c r="Y360" i="31"/>
  <c r="X361" i="31"/>
  <c r="Y361" i="31"/>
  <c r="X362" i="31"/>
  <c r="Y362" i="31"/>
  <c r="X363" i="31"/>
  <c r="Y363" i="31"/>
  <c r="X364" i="31"/>
  <c r="X365" i="31"/>
  <c r="Y364" i="31"/>
  <c r="Y365" i="31"/>
  <c r="X366" i="31"/>
  <c r="X367" i="31"/>
  <c r="Y366" i="31"/>
  <c r="Y367" i="31"/>
  <c r="X368" i="31"/>
  <c r="X369" i="31"/>
  <c r="Y368" i="31"/>
  <c r="X370" i="31"/>
  <c r="Y369" i="31"/>
  <c r="Y370" i="31"/>
  <c r="X371" i="31"/>
  <c r="Y371" i="31"/>
  <c r="X372" i="31"/>
  <c r="X373" i="31"/>
  <c r="Y372" i="31"/>
  <c r="X374" i="31"/>
  <c r="Y373" i="31"/>
  <c r="Y374" i="31"/>
  <c r="X375" i="31"/>
  <c r="X376" i="31"/>
  <c r="Y375" i="31"/>
  <c r="Y376" i="31"/>
  <c r="X377" i="31"/>
  <c r="Y377" i="31"/>
  <c r="X378" i="31"/>
  <c r="Y378" i="31"/>
  <c r="X379" i="31"/>
  <c r="Y379" i="31"/>
  <c r="X380" i="31"/>
  <c r="Y380" i="31"/>
  <c r="X381" i="31"/>
  <c r="X382" i="31"/>
  <c r="Y381" i="31"/>
  <c r="X383" i="31"/>
  <c r="Y382" i="31"/>
  <c r="X384" i="31"/>
  <c r="Y383" i="31"/>
  <c r="X385" i="31"/>
  <c r="Y384" i="31"/>
  <c r="X386" i="31"/>
  <c r="Y385" i="31"/>
  <c r="X387" i="31"/>
  <c r="Y386" i="31"/>
  <c r="X388" i="31"/>
  <c r="Y387" i="31"/>
  <c r="X389" i="31"/>
  <c r="Y388" i="31"/>
  <c r="X390" i="31"/>
  <c r="Y389" i="31"/>
  <c r="Y390" i="31"/>
  <c r="X391" i="31"/>
  <c r="X392" i="31"/>
  <c r="Y391" i="31"/>
  <c r="Y392" i="31"/>
  <c r="X393" i="31"/>
  <c r="X394" i="31"/>
  <c r="Y393" i="31"/>
  <c r="X395" i="31"/>
  <c r="Y394" i="31"/>
  <c r="Y395" i="31"/>
  <c r="X396" i="31"/>
  <c r="Y396" i="31"/>
  <c r="X397" i="31"/>
  <c r="X398" i="31"/>
  <c r="Y397" i="31"/>
  <c r="Y398" i="31"/>
  <c r="X399" i="31"/>
  <c r="Y399" i="31"/>
  <c r="X400" i="31"/>
  <c r="X401" i="31"/>
  <c r="Y400" i="31"/>
  <c r="Y401" i="31"/>
  <c r="X402" i="31"/>
  <c r="Y402" i="31"/>
  <c r="X403" i="31"/>
  <c r="Y403" i="31"/>
  <c r="X404" i="31"/>
  <c r="X405" i="31"/>
  <c r="Y404" i="31"/>
  <c r="Y405" i="31"/>
  <c r="X406" i="31"/>
  <c r="Y406" i="31"/>
  <c r="X407" i="31"/>
  <c r="X408" i="31"/>
  <c r="Y407" i="31"/>
  <c r="Y408" i="31"/>
  <c r="X409" i="31"/>
  <c r="X410" i="31"/>
  <c r="Y409" i="31"/>
  <c r="X411" i="31"/>
  <c r="Y410" i="31"/>
  <c r="Y411" i="31"/>
  <c r="X412" i="31"/>
  <c r="X413" i="31"/>
  <c r="Y412" i="31"/>
  <c r="Y413" i="31"/>
  <c r="X414" i="31"/>
  <c r="X415" i="31"/>
  <c r="Y414" i="31"/>
  <c r="Y415" i="31"/>
  <c r="X416" i="31"/>
  <c r="Y416" i="31"/>
  <c r="X417" i="31"/>
  <c r="Y417" i="31"/>
  <c r="X418" i="31"/>
  <c r="X419" i="31"/>
  <c r="Y418" i="31"/>
  <c r="Y419" i="31"/>
  <c r="X420" i="31"/>
  <c r="X421" i="31"/>
  <c r="Y420" i="31"/>
  <c r="X422" i="31"/>
  <c r="Y421" i="31"/>
  <c r="X423" i="31"/>
  <c r="Y422" i="31"/>
  <c r="X424" i="31"/>
  <c r="Y423" i="31"/>
  <c r="Y424" i="31"/>
  <c r="X425" i="31"/>
  <c r="X426" i="31"/>
  <c r="Y425" i="31"/>
  <c r="X427" i="31"/>
  <c r="Y426" i="31"/>
  <c r="X428" i="31"/>
  <c r="Y427" i="31"/>
  <c r="Y428" i="31"/>
  <c r="X429" i="31"/>
  <c r="Y429" i="31"/>
  <c r="X430" i="31"/>
  <c r="Y430" i="31"/>
  <c r="X431" i="31"/>
  <c r="Y431" i="31"/>
  <c r="X432" i="31"/>
  <c r="Y432" i="31"/>
  <c r="X433" i="31"/>
  <c r="Y433" i="31"/>
  <c r="X434" i="31"/>
  <c r="Y434" i="31"/>
  <c r="X435" i="31"/>
  <c r="X436" i="31"/>
  <c r="Y435" i="31"/>
  <c r="X437" i="31"/>
  <c r="Y436" i="31"/>
  <c r="Y437" i="31"/>
  <c r="X438" i="31"/>
  <c r="Y438" i="31"/>
  <c r="X439" i="31"/>
  <c r="Y439" i="31"/>
  <c r="X440" i="31"/>
  <c r="Y440" i="31"/>
  <c r="X441" i="31"/>
  <c r="X442" i="31"/>
  <c r="Y441" i="31"/>
  <c r="Y442" i="31"/>
  <c r="X443" i="31"/>
  <c r="Y443" i="31"/>
  <c r="X444" i="31"/>
  <c r="Y444" i="31"/>
  <c r="X445" i="31"/>
  <c r="X446" i="31"/>
  <c r="Y445" i="31"/>
  <c r="Y446" i="31"/>
  <c r="X447" i="31"/>
  <c r="Y447" i="31"/>
  <c r="X448" i="31"/>
  <c r="X449" i="31"/>
  <c r="Y448" i="31"/>
  <c r="Y449" i="31"/>
  <c r="X450" i="31"/>
  <c r="X451" i="31"/>
  <c r="Y450" i="31"/>
  <c r="X452" i="31"/>
  <c r="Y451" i="31"/>
  <c r="Y452" i="31"/>
  <c r="X453" i="31"/>
  <c r="X454" i="31"/>
  <c r="Y453" i="31"/>
  <c r="Y454" i="31"/>
  <c r="X455" i="31"/>
  <c r="Y455" i="31"/>
  <c r="X456" i="31"/>
  <c r="Y456" i="31"/>
  <c r="X457" i="31"/>
  <c r="X458" i="31"/>
  <c r="Y457" i="31"/>
  <c r="Y458" i="31"/>
  <c r="X459" i="31"/>
  <c r="Y459" i="31"/>
  <c r="X460" i="31"/>
  <c r="Y460" i="31"/>
  <c r="X461" i="31"/>
  <c r="X462" i="31"/>
  <c r="Y461" i="31"/>
  <c r="Y462" i="31"/>
  <c r="X463" i="31"/>
  <c r="X464" i="31"/>
  <c r="Y463" i="31"/>
  <c r="X465" i="31"/>
  <c r="Y464" i="31"/>
  <c r="X466" i="31"/>
  <c r="Y465" i="31"/>
  <c r="Y466" i="31"/>
  <c r="X467" i="31"/>
  <c r="Y467" i="31"/>
  <c r="X468" i="31"/>
  <c r="Y468" i="31"/>
  <c r="X469" i="31"/>
  <c r="Y469" i="31"/>
  <c r="X470" i="31"/>
  <c r="X471" i="31"/>
  <c r="Y470" i="31"/>
  <c r="Y471" i="31"/>
  <c r="X472" i="31"/>
  <c r="Y472" i="31"/>
  <c r="X473" i="31"/>
  <c r="Y473" i="31"/>
  <c r="X474" i="31"/>
  <c r="X475" i="31"/>
  <c r="Y474" i="31"/>
  <c r="Y475" i="31"/>
  <c r="X476" i="31"/>
  <c r="Y476" i="31"/>
  <c r="X477" i="31"/>
  <c r="X478" i="31"/>
  <c r="Y477" i="31"/>
  <c r="Y478" i="31"/>
  <c r="X479" i="31"/>
  <c r="X480" i="31"/>
  <c r="Y479" i="31"/>
  <c r="X481" i="31"/>
  <c r="Y480" i="31"/>
  <c r="X482" i="31"/>
  <c r="Y481" i="31"/>
  <c r="Y482" i="31"/>
  <c r="X483" i="31"/>
  <c r="X484" i="31"/>
  <c r="Y483" i="31"/>
  <c r="Y484" i="31"/>
  <c r="X485" i="31"/>
  <c r="Y485" i="31"/>
  <c r="X486" i="31"/>
  <c r="X487" i="31"/>
  <c r="Y486" i="31"/>
  <c r="Y487" i="31"/>
  <c r="X488" i="31"/>
  <c r="Y488" i="31"/>
  <c r="X489" i="31"/>
  <c r="Y489" i="31"/>
  <c r="X490" i="31"/>
  <c r="X491" i="31"/>
  <c r="Y490" i="31"/>
  <c r="Y491" i="31"/>
  <c r="X492" i="31"/>
  <c r="X493" i="31"/>
  <c r="Y492" i="31"/>
  <c r="Y493" i="31"/>
  <c r="X494" i="31"/>
  <c r="Y494" i="31"/>
  <c r="X495" i="31"/>
  <c r="Y495" i="31"/>
  <c r="X496" i="31"/>
  <c r="Y496" i="31"/>
  <c r="X497" i="31"/>
  <c r="X498" i="31"/>
  <c r="Y497" i="31"/>
  <c r="Y498" i="31"/>
  <c r="X499" i="31"/>
  <c r="Y499" i="31"/>
  <c r="X500" i="31"/>
  <c r="Y500" i="31"/>
  <c r="X501" i="31"/>
  <c r="Y501" i="31"/>
  <c r="X502" i="31"/>
  <c r="X503" i="31"/>
  <c r="Y502" i="31"/>
  <c r="X504" i="31"/>
  <c r="Y503" i="31"/>
  <c r="Y504" i="31"/>
  <c r="X505" i="31"/>
  <c r="Y505" i="31"/>
  <c r="X506" i="31"/>
  <c r="X507" i="31"/>
  <c r="Y506" i="31"/>
  <c r="X508" i="31"/>
  <c r="Y507" i="31"/>
  <c r="X509" i="31"/>
  <c r="Y508" i="31"/>
  <c r="X510" i="31"/>
  <c r="Y509" i="31"/>
  <c r="Y510" i="31"/>
  <c r="X511" i="31"/>
  <c r="X512" i="31"/>
  <c r="Y511" i="31"/>
  <c r="Y512" i="31"/>
  <c r="X513" i="31"/>
  <c r="Y513" i="31"/>
  <c r="X514" i="31"/>
  <c r="X515" i="31"/>
  <c r="Y514" i="31"/>
  <c r="Y515" i="31"/>
  <c r="X516" i="31"/>
  <c r="X517" i="31"/>
  <c r="Y516" i="31"/>
  <c r="X518" i="31"/>
  <c r="Y517" i="31"/>
  <c r="X519" i="31"/>
  <c r="Y518" i="31"/>
  <c r="Y519" i="31"/>
  <c r="X520" i="31"/>
  <c r="Y520" i="31"/>
  <c r="X521" i="31"/>
  <c r="X522" i="31"/>
  <c r="Y521" i="31"/>
  <c r="Y522" i="31"/>
  <c r="X523" i="31"/>
  <c r="X524" i="31"/>
  <c r="Y523" i="31"/>
  <c r="X525" i="31"/>
  <c r="Y524" i="31"/>
  <c r="Y525" i="31"/>
  <c r="X526" i="31"/>
  <c r="Y526" i="31"/>
  <c r="X527" i="31"/>
  <c r="X528" i="31"/>
  <c r="Y527" i="31"/>
  <c r="Y528" i="31"/>
  <c r="X529" i="31"/>
  <c r="X530" i="31"/>
  <c r="Y529" i="31"/>
  <c r="X531" i="31"/>
  <c r="Y530" i="31"/>
  <c r="X532" i="31"/>
  <c r="Y531" i="31"/>
  <c r="Y532" i="31"/>
  <c r="X533" i="31"/>
  <c r="Y533" i="31"/>
  <c r="X534" i="31"/>
  <c r="Y534" i="31"/>
  <c r="X535" i="31"/>
  <c r="X536" i="31"/>
  <c r="Y535" i="31"/>
  <c r="X537" i="31"/>
  <c r="Y536" i="31"/>
  <c r="Y537" i="31"/>
  <c r="X538" i="31"/>
  <c r="Y538" i="31"/>
  <c r="X539" i="31"/>
  <c r="Y539" i="31"/>
  <c r="X540" i="31"/>
  <c r="X541" i="31"/>
  <c r="Y540" i="31"/>
  <c r="Y541" i="31"/>
  <c r="X542" i="31"/>
  <c r="Y542" i="31"/>
  <c r="X543" i="31"/>
  <c r="X544" i="31"/>
  <c r="Y543" i="31"/>
  <c r="X545" i="31"/>
  <c r="Y544" i="31"/>
  <c r="X546" i="31"/>
  <c r="Y545" i="31"/>
  <c r="Y546" i="31"/>
  <c r="X547" i="31"/>
  <c r="Y547" i="31"/>
  <c r="X548" i="31"/>
  <c r="X549" i="31"/>
  <c r="Y548" i="31"/>
  <c r="Y549" i="31"/>
  <c r="X550" i="31"/>
  <c r="Y550" i="31"/>
  <c r="X551" i="31"/>
  <c r="X552" i="31"/>
  <c r="Y551" i="31"/>
  <c r="Y552" i="31"/>
  <c r="X553" i="31"/>
  <c r="Y553" i="31"/>
  <c r="X554" i="31"/>
  <c r="Y554" i="31"/>
  <c r="X555" i="31"/>
  <c r="Y555" i="31"/>
  <c r="X556" i="31"/>
  <c r="X557" i="31"/>
  <c r="Y556" i="31"/>
  <c r="Y557" i="31"/>
  <c r="X558" i="31"/>
  <c r="Y558" i="31"/>
  <c r="X559" i="31"/>
  <c r="X560" i="31"/>
  <c r="Y559" i="31"/>
  <c r="X561" i="31"/>
  <c r="Y560" i="31"/>
  <c r="Y561" i="31"/>
  <c r="X562" i="31"/>
  <c r="X563" i="31"/>
  <c r="Y562" i="31"/>
  <c r="X564" i="31"/>
  <c r="Y563" i="31"/>
  <c r="X565" i="31"/>
  <c r="Y564" i="31"/>
  <c r="Y565" i="31"/>
  <c r="X566" i="31"/>
  <c r="Y566" i="31"/>
  <c r="X567" i="31"/>
  <c r="Y567" i="31"/>
  <c r="X568" i="31"/>
  <c r="X569" i="31"/>
  <c r="Y568" i="31"/>
  <c r="X570" i="31"/>
  <c r="Y569" i="31"/>
  <c r="Y570" i="31"/>
  <c r="X571" i="31"/>
  <c r="Y571" i="31"/>
  <c r="X572" i="31"/>
  <c r="X573" i="31"/>
  <c r="Y572" i="31"/>
  <c r="X574" i="31"/>
  <c r="Y573" i="31"/>
  <c r="Y574" i="31"/>
  <c r="X575" i="31"/>
  <c r="X576" i="31"/>
  <c r="Y575" i="31"/>
  <c r="Y576" i="31"/>
  <c r="X577" i="31"/>
  <c r="Y577" i="31"/>
  <c r="X578" i="31"/>
  <c r="Y578" i="31"/>
  <c r="X579" i="31"/>
  <c r="Y579" i="31"/>
  <c r="X580" i="31"/>
  <c r="X581" i="31"/>
  <c r="Y580" i="31"/>
  <c r="Y581" i="31"/>
  <c r="X582" i="31"/>
  <c r="X583" i="31"/>
  <c r="Y582" i="31"/>
  <c r="X584" i="31"/>
  <c r="Y583" i="31"/>
  <c r="Y584" i="31"/>
  <c r="X585" i="31"/>
  <c r="X586" i="31"/>
  <c r="Y585" i="31"/>
  <c r="Y586" i="31"/>
  <c r="X587" i="31"/>
  <c r="Y587" i="31"/>
  <c r="X588" i="31"/>
  <c r="X589" i="31"/>
  <c r="Y588" i="31"/>
  <c r="Y589" i="31"/>
  <c r="X590" i="31"/>
  <c r="X591" i="31"/>
  <c r="Y590" i="31"/>
  <c r="X592" i="31"/>
  <c r="Y591" i="31"/>
  <c r="X593" i="31"/>
  <c r="Y592" i="31"/>
  <c r="Y593" i="31"/>
  <c r="X594" i="31"/>
  <c r="X595" i="31"/>
  <c r="Y594" i="31"/>
  <c r="X596" i="31"/>
  <c r="Y595" i="31"/>
  <c r="Y596" i="31"/>
  <c r="X597" i="31"/>
  <c r="Y597" i="31"/>
  <c r="X598" i="31"/>
  <c r="Y598" i="31"/>
  <c r="X599" i="31"/>
  <c r="Y599" i="31"/>
  <c r="X600" i="31"/>
  <c r="X601" i="31"/>
  <c r="Y600" i="31"/>
  <c r="X602" i="31"/>
  <c r="Y601" i="31"/>
  <c r="Y602" i="31"/>
  <c r="X603" i="31"/>
  <c r="Y603" i="31"/>
  <c r="X604" i="31"/>
  <c r="X605" i="31"/>
  <c r="Y604" i="31"/>
  <c r="X606" i="31"/>
  <c r="Y605" i="31"/>
  <c r="X607" i="31"/>
  <c r="Y606" i="31"/>
  <c r="X608" i="31"/>
  <c r="Y607" i="31"/>
  <c r="X609" i="31"/>
  <c r="Y608" i="31"/>
  <c r="Y609" i="31"/>
  <c r="X610" i="31"/>
  <c r="X611" i="31"/>
  <c r="Y610" i="31"/>
  <c r="X612" i="31"/>
  <c r="Y611" i="31"/>
  <c r="X613" i="31"/>
  <c r="Y612" i="31"/>
  <c r="Y613" i="31"/>
  <c r="X614" i="31"/>
  <c r="X615" i="31"/>
  <c r="Y614" i="31"/>
  <c r="Y615" i="31"/>
  <c r="X616" i="31"/>
  <c r="Y616" i="31"/>
  <c r="X617" i="31"/>
  <c r="X618" i="31"/>
  <c r="Y617" i="31"/>
  <c r="Y618" i="31"/>
  <c r="X619" i="31"/>
  <c r="Y619" i="31"/>
  <c r="X620" i="31"/>
  <c r="Y620" i="31"/>
  <c r="X621" i="31"/>
  <c r="Y621" i="31"/>
  <c r="X622" i="31"/>
  <c r="X623" i="31"/>
  <c r="Y622" i="31"/>
  <c r="X624" i="31"/>
  <c r="Y623" i="31"/>
  <c r="X625" i="31"/>
  <c r="Y624" i="31"/>
  <c r="Y625" i="31"/>
  <c r="X626" i="31"/>
  <c r="X627" i="31"/>
  <c r="Y626" i="31"/>
  <c r="X628" i="31"/>
  <c r="Y627" i="31"/>
  <c r="Y628" i="31"/>
  <c r="X629" i="31"/>
  <c r="X630" i="31"/>
  <c r="Y629" i="31"/>
  <c r="X631" i="31"/>
  <c r="Y630" i="31"/>
  <c r="X632" i="31"/>
  <c r="Y631" i="31"/>
  <c r="X633" i="31"/>
  <c r="Y632" i="31"/>
  <c r="X634" i="31"/>
  <c r="Y633" i="31"/>
  <c r="Y634" i="31"/>
  <c r="X635" i="31"/>
  <c r="Y635" i="31"/>
  <c r="X636" i="31"/>
  <c r="X637" i="31"/>
  <c r="Y636" i="31"/>
  <c r="X638" i="31"/>
  <c r="Y637" i="31"/>
  <c r="Y638" i="31"/>
  <c r="X639" i="31"/>
  <c r="X640" i="31"/>
  <c r="Y639" i="31"/>
  <c r="X641" i="31"/>
  <c r="Y640" i="31"/>
  <c r="Y641" i="31"/>
  <c r="X642" i="31"/>
  <c r="Y642" i="31"/>
  <c r="X643" i="31"/>
  <c r="X644" i="31"/>
  <c r="Y643" i="31"/>
  <c r="X645" i="31"/>
  <c r="Y644" i="31"/>
  <c r="X646" i="31"/>
  <c r="Y645" i="31"/>
  <c r="Y646" i="31"/>
  <c r="X647" i="31"/>
  <c r="X648" i="31"/>
  <c r="Y647" i="31"/>
  <c r="X649" i="31"/>
  <c r="Y648" i="31"/>
  <c r="Y649" i="31"/>
  <c r="X650" i="31"/>
  <c r="Y650" i="31"/>
  <c r="X651" i="31"/>
  <c r="X652" i="31"/>
  <c r="Y651" i="31"/>
  <c r="Y652" i="31"/>
  <c r="X653" i="31"/>
  <c r="X654" i="31"/>
  <c r="Y653" i="31"/>
  <c r="Y654" i="31"/>
  <c r="X655" i="31"/>
  <c r="X656" i="31"/>
  <c r="Y655" i="31"/>
  <c r="X657" i="31"/>
  <c r="Y656" i="31"/>
  <c r="X658" i="31"/>
  <c r="Y657" i="31"/>
  <c r="X659" i="31"/>
  <c r="Y658" i="31"/>
  <c r="X660" i="31"/>
  <c r="Y659" i="31"/>
  <c r="X661" i="31"/>
  <c r="Y660" i="31"/>
  <c r="Y661" i="31"/>
  <c r="X662" i="31"/>
  <c r="X663" i="31"/>
  <c r="Y662" i="31"/>
  <c r="X664" i="31"/>
  <c r="Y663" i="31"/>
  <c r="Y664" i="31"/>
  <c r="X665" i="31"/>
  <c r="Y665" i="31"/>
  <c r="X666" i="31"/>
  <c r="Y666" i="31"/>
  <c r="X667" i="31"/>
  <c r="Y667" i="31"/>
  <c r="X668" i="31"/>
  <c r="Y668" i="31"/>
  <c r="X669" i="31"/>
  <c r="X670" i="31"/>
  <c r="Y669" i="31"/>
  <c r="X671" i="31"/>
  <c r="Y670" i="31"/>
  <c r="X672" i="31"/>
  <c r="Y671" i="31"/>
  <c r="Y672" i="31"/>
  <c r="X673" i="31"/>
  <c r="X674" i="31"/>
  <c r="Y673" i="31"/>
  <c r="Y674" i="31"/>
  <c r="X675" i="31"/>
  <c r="X676" i="31"/>
  <c r="Y675" i="31"/>
  <c r="X677" i="31"/>
  <c r="Y676" i="31"/>
  <c r="Y677" i="31"/>
  <c r="X678" i="31"/>
  <c r="X679" i="31"/>
  <c r="Y678" i="31"/>
  <c r="Y679" i="31"/>
  <c r="X680" i="31"/>
  <c r="X681" i="31"/>
  <c r="Y680" i="31"/>
  <c r="Y681" i="31"/>
  <c r="X682" i="31"/>
  <c r="X683" i="31"/>
  <c r="Y682" i="31"/>
  <c r="X684" i="31"/>
  <c r="Y683" i="31"/>
  <c r="X685" i="31"/>
  <c r="Y684" i="31"/>
  <c r="Y685" i="31"/>
  <c r="X686" i="31"/>
  <c r="X687" i="31"/>
  <c r="Y686" i="31"/>
  <c r="Y687" i="31"/>
  <c r="X688" i="31"/>
  <c r="Y688" i="31"/>
  <c r="X689" i="31"/>
  <c r="X690" i="31"/>
  <c r="Y689" i="31"/>
  <c r="X691" i="31"/>
  <c r="Y690" i="31"/>
  <c r="Y691" i="31"/>
  <c r="X692" i="31"/>
  <c r="X693" i="31"/>
  <c r="Y692" i="31"/>
  <c r="Y693" i="31"/>
  <c r="X694" i="31"/>
  <c r="X695" i="31"/>
  <c r="Y694" i="31"/>
  <c r="X696" i="31"/>
  <c r="Y695" i="31"/>
  <c r="Y696" i="31"/>
  <c r="X697" i="31"/>
  <c r="Y697" i="31"/>
  <c r="X698" i="31"/>
  <c r="Y698" i="31"/>
  <c r="X699" i="31"/>
  <c r="Y699" i="31"/>
  <c r="X700" i="31"/>
  <c r="Y700" i="31"/>
  <c r="X701" i="31"/>
  <c r="Y701" i="31"/>
  <c r="X702" i="31"/>
  <c r="X703" i="31"/>
  <c r="Y702" i="31"/>
  <c r="Y703" i="31"/>
  <c r="X704" i="31"/>
  <c r="X705" i="31"/>
  <c r="Y704" i="31"/>
  <c r="Y705" i="31"/>
  <c r="X706" i="31"/>
  <c r="Y706" i="31"/>
  <c r="X707" i="31"/>
  <c r="Y707" i="31"/>
  <c r="X708" i="31"/>
  <c r="Y708" i="31"/>
  <c r="X709" i="31"/>
  <c r="Y709" i="31"/>
  <c r="X710" i="31"/>
  <c r="X711" i="31"/>
  <c r="Y710" i="31"/>
  <c r="X712" i="31"/>
  <c r="Y711" i="31"/>
  <c r="Y712" i="31"/>
  <c r="X713" i="31"/>
  <c r="X714" i="31"/>
  <c r="Y713" i="31"/>
  <c r="X715" i="31"/>
  <c r="Y714" i="31"/>
  <c r="X716" i="31"/>
  <c r="Y715" i="31"/>
  <c r="X717" i="31"/>
  <c r="Y716" i="31"/>
  <c r="X718" i="31"/>
  <c r="Y717" i="31"/>
  <c r="X719" i="31"/>
  <c r="Y718" i="31"/>
  <c r="Y719" i="31"/>
  <c r="X720" i="31"/>
  <c r="X721" i="31"/>
  <c r="Y720" i="31"/>
  <c r="X722" i="31"/>
  <c r="Y721" i="31"/>
  <c r="X723" i="31"/>
  <c r="Y722" i="31"/>
  <c r="Y723" i="31"/>
  <c r="X724" i="31"/>
  <c r="Y724" i="31"/>
  <c r="X725" i="31"/>
  <c r="X726" i="31"/>
  <c r="Y725" i="31"/>
  <c r="X727" i="31"/>
  <c r="Y726" i="31"/>
  <c r="Y727" i="31"/>
  <c r="X728" i="31"/>
  <c r="Y728" i="31"/>
  <c r="X729" i="31"/>
  <c r="X730" i="31"/>
  <c r="Y729" i="31"/>
  <c r="X731" i="31"/>
  <c r="Y730" i="31"/>
  <c r="X732" i="31"/>
  <c r="Y731" i="31"/>
  <c r="Y732" i="31"/>
  <c r="X733" i="31"/>
  <c r="X734" i="31"/>
  <c r="Y733" i="31"/>
  <c r="X735" i="31"/>
  <c r="Y734" i="31"/>
  <c r="Y735" i="31"/>
  <c r="X736" i="31"/>
  <c r="Y736" i="31"/>
  <c r="X737" i="31"/>
  <c r="Y737" i="31"/>
  <c r="X738" i="31"/>
  <c r="Y738" i="31"/>
  <c r="X739" i="31"/>
  <c r="X740" i="31"/>
  <c r="Y739" i="31"/>
  <c r="Y740" i="31"/>
  <c r="X741" i="31"/>
  <c r="X742" i="31"/>
  <c r="Y741" i="31"/>
  <c r="Y742" i="31"/>
  <c r="X743" i="31"/>
  <c r="Y743" i="31"/>
  <c r="X744" i="31"/>
  <c r="Y744" i="31"/>
  <c r="X745" i="31"/>
  <c r="Y745" i="31"/>
  <c r="X746" i="31"/>
  <c r="Y746" i="31"/>
  <c r="X747" i="31"/>
  <c r="Y747" i="31"/>
  <c r="X748" i="31"/>
  <c r="X749" i="31"/>
  <c r="Y748" i="31"/>
  <c r="X750" i="31"/>
  <c r="Y749" i="31"/>
  <c r="Y750" i="31"/>
  <c r="X751" i="31"/>
  <c r="X752" i="31"/>
  <c r="Y751" i="31"/>
  <c r="Y752" i="31"/>
  <c r="X753" i="31"/>
  <c r="Y753" i="31"/>
  <c r="X754" i="31"/>
  <c r="Y754" i="31"/>
  <c r="X755" i="31"/>
  <c r="X756" i="31"/>
  <c r="Y755" i="31"/>
  <c r="Y756" i="31"/>
  <c r="X757" i="31"/>
  <c r="X758" i="31"/>
  <c r="Y757" i="31"/>
  <c r="X759" i="31"/>
  <c r="Y758" i="31"/>
  <c r="Y759" i="31"/>
  <c r="X760" i="31"/>
  <c r="Y760" i="31"/>
  <c r="X761" i="31"/>
  <c r="X762" i="31"/>
  <c r="Y761" i="31"/>
  <c r="X763" i="31"/>
  <c r="Y762" i="31"/>
  <c r="Y763" i="31"/>
  <c r="X764" i="31"/>
  <c r="Y764" i="31"/>
  <c r="X765" i="31"/>
  <c r="X766" i="31"/>
  <c r="Y765" i="31"/>
  <c r="Y766" i="31"/>
  <c r="X767" i="31"/>
  <c r="X768" i="31"/>
  <c r="Y767" i="31"/>
  <c r="Y768" i="31"/>
  <c r="X769" i="31"/>
  <c r="Y769" i="31"/>
  <c r="X770" i="31"/>
  <c r="Y770" i="31"/>
  <c r="X771" i="31"/>
  <c r="Y771" i="31"/>
  <c r="X772" i="31"/>
  <c r="Y772" i="31"/>
  <c r="X773" i="31"/>
  <c r="Y773" i="31"/>
  <c r="X774" i="31"/>
  <c r="X775" i="31"/>
  <c r="Y774" i="31"/>
  <c r="Y775" i="31"/>
  <c r="X776" i="31"/>
  <c r="Y776" i="31"/>
  <c r="X777" i="31"/>
  <c r="Y777" i="31"/>
  <c r="X778" i="31"/>
  <c r="X779" i="31"/>
  <c r="Y778" i="31"/>
  <c r="Y779" i="31"/>
  <c r="X780" i="31"/>
  <c r="X781" i="31"/>
  <c r="Y780" i="31"/>
  <c r="X782" i="31"/>
  <c r="Y781" i="31"/>
  <c r="Y782" i="31"/>
  <c r="X783" i="31"/>
  <c r="X784" i="31"/>
  <c r="Y783" i="31"/>
  <c r="Y784" i="31"/>
  <c r="X785" i="31"/>
  <c r="Y785" i="31"/>
  <c r="X786" i="31"/>
  <c r="Y786" i="31"/>
  <c r="X787" i="31"/>
  <c r="Y787" i="31"/>
  <c r="X788" i="31"/>
  <c r="Y788" i="31"/>
  <c r="X789" i="31"/>
  <c r="X790" i="31"/>
  <c r="Y789" i="31"/>
  <c r="X791" i="31"/>
  <c r="Y790" i="31"/>
  <c r="Y791" i="31"/>
  <c r="X792" i="31"/>
  <c r="Y792" i="31"/>
  <c r="X793" i="31"/>
  <c r="X794" i="31"/>
  <c r="Y793" i="31"/>
  <c r="X795" i="31"/>
  <c r="Y794" i="31"/>
  <c r="Y795" i="31"/>
  <c r="X796" i="31"/>
  <c r="Y796" i="31"/>
  <c r="X797" i="31"/>
  <c r="Y797" i="31"/>
  <c r="X798" i="31"/>
  <c r="Y798" i="31"/>
  <c r="X799" i="31"/>
  <c r="Y799" i="31"/>
  <c r="X800" i="31"/>
  <c r="Y800" i="31"/>
  <c r="X801" i="31"/>
  <c r="Y801" i="31"/>
  <c r="X802" i="31"/>
  <c r="X803" i="31"/>
  <c r="Y802" i="31"/>
  <c r="X804" i="31"/>
  <c r="Y803" i="31"/>
  <c r="Y804" i="31"/>
  <c r="X805" i="31"/>
  <c r="X806" i="31"/>
  <c r="Y805" i="31"/>
  <c r="Y806" i="31"/>
  <c r="X807" i="31"/>
  <c r="Y807" i="31"/>
  <c r="X808" i="31"/>
  <c r="X809" i="31"/>
  <c r="Y808" i="31"/>
  <c r="Y809" i="31"/>
  <c r="X810" i="31"/>
  <c r="Y810" i="31"/>
  <c r="X811" i="31"/>
  <c r="X812" i="31"/>
  <c r="Y811" i="31"/>
  <c r="Y812" i="31"/>
  <c r="X813" i="31"/>
  <c r="Y813" i="31"/>
  <c r="X814" i="31"/>
  <c r="X815" i="31"/>
  <c r="Y814" i="31"/>
  <c r="Y815" i="31"/>
  <c r="X816" i="31"/>
  <c r="Y816" i="31"/>
  <c r="X817" i="31"/>
  <c r="Y817" i="31"/>
  <c r="X818" i="31"/>
  <c r="Y818" i="31"/>
  <c r="X819" i="31"/>
  <c r="X820" i="31"/>
  <c r="Y819" i="31"/>
  <c r="Y820" i="31"/>
  <c r="X821" i="31"/>
  <c r="Y821" i="31"/>
  <c r="X822" i="31"/>
  <c r="Y822" i="31"/>
  <c r="X823" i="31"/>
  <c r="X824" i="31"/>
  <c r="Y823" i="31"/>
  <c r="X825" i="31"/>
  <c r="Y824" i="31"/>
  <c r="X826" i="31"/>
  <c r="Y825" i="31"/>
  <c r="Y826" i="31"/>
  <c r="X827" i="31"/>
  <c r="X828" i="31"/>
  <c r="Y827" i="31"/>
  <c r="X829" i="31"/>
  <c r="Y828" i="31"/>
  <c r="Y829" i="31"/>
  <c r="X830" i="31"/>
  <c r="X831" i="31"/>
  <c r="Y830" i="31"/>
  <c r="Y831" i="31"/>
  <c r="X832" i="31"/>
  <c r="Y832" i="31"/>
  <c r="X833" i="31"/>
  <c r="Y833" i="31"/>
  <c r="X834" i="31"/>
  <c r="Y834" i="31"/>
  <c r="X835" i="31"/>
  <c r="X836" i="31"/>
  <c r="Y835" i="31"/>
  <c r="Y836" i="31"/>
  <c r="X837" i="31"/>
  <c r="X838" i="31"/>
  <c r="Y837" i="31"/>
  <c r="X839" i="31"/>
  <c r="Y838" i="31"/>
  <c r="X840" i="31"/>
  <c r="Y839" i="31"/>
  <c r="X841" i="31"/>
  <c r="Y840" i="31"/>
  <c r="Y841" i="31"/>
  <c r="X842" i="31"/>
  <c r="Y842" i="31"/>
  <c r="X843" i="31"/>
  <c r="X844" i="31"/>
  <c r="Y843" i="31"/>
  <c r="Y844" i="31"/>
  <c r="X845" i="31"/>
  <c r="X846" i="31"/>
  <c r="Y845" i="31"/>
  <c r="X847" i="31"/>
  <c r="Y846" i="31"/>
  <c r="Y847" i="31"/>
  <c r="X848" i="31"/>
  <c r="Y848" i="31"/>
  <c r="X849" i="31"/>
  <c r="Y849" i="31"/>
  <c r="X850" i="31"/>
  <c r="X851" i="31"/>
  <c r="Y850" i="31"/>
  <c r="X852" i="31"/>
  <c r="Y851" i="31"/>
  <c r="Y852" i="31"/>
  <c r="X853" i="31"/>
  <c r="Y853" i="31"/>
  <c r="X854" i="31"/>
  <c r="Y854" i="31"/>
  <c r="X855" i="31"/>
  <c r="X856" i="31"/>
  <c r="Y855" i="31"/>
  <c r="X857" i="31"/>
  <c r="Y856" i="31"/>
  <c r="X858" i="31"/>
  <c r="Y857" i="31"/>
  <c r="Y858" i="31"/>
  <c r="X859" i="31"/>
  <c r="X860" i="31"/>
  <c r="Y859" i="31"/>
  <c r="X861" i="31"/>
  <c r="Y860" i="31"/>
  <c r="Y861" i="31"/>
  <c r="X862" i="31"/>
  <c r="X863" i="31"/>
  <c r="Y862" i="31"/>
  <c r="Y863" i="31"/>
  <c r="X864" i="31"/>
  <c r="Y864" i="31"/>
  <c r="X865" i="31"/>
  <c r="Y865" i="31"/>
  <c r="X866" i="31"/>
  <c r="X867" i="31"/>
  <c r="Y866" i="31"/>
  <c r="X868" i="31"/>
  <c r="Y867" i="31"/>
  <c r="Y868" i="31"/>
  <c r="X869" i="31"/>
  <c r="Y869" i="31"/>
  <c r="X870" i="31"/>
  <c r="X871" i="31"/>
  <c r="Y870" i="31"/>
  <c r="X872" i="31"/>
  <c r="Y871" i="31"/>
  <c r="X873" i="31"/>
  <c r="Y872" i="31"/>
  <c r="Y873" i="31"/>
  <c r="X874" i="31"/>
  <c r="Y874" i="31"/>
  <c r="X875" i="31"/>
  <c r="X876" i="31"/>
  <c r="Y875" i="31"/>
  <c r="Y876" i="31"/>
  <c r="X877" i="31"/>
  <c r="Y877" i="31"/>
  <c r="X878" i="31"/>
  <c r="X879" i="31"/>
  <c r="Y878" i="31"/>
  <c r="Y879" i="31"/>
  <c r="X880" i="31"/>
  <c r="X881" i="31"/>
  <c r="Y880" i="31"/>
  <c r="Y881" i="31"/>
  <c r="X882" i="31"/>
  <c r="Y882" i="31"/>
  <c r="X883" i="31"/>
  <c r="Y883" i="31"/>
  <c r="X884" i="31"/>
  <c r="Y884" i="31"/>
  <c r="X885" i="31"/>
  <c r="Y885" i="31"/>
  <c r="X886" i="31"/>
  <c r="Y886" i="31"/>
  <c r="X887" i="31"/>
  <c r="X888" i="31"/>
  <c r="Y887" i="31"/>
  <c r="X889" i="31"/>
  <c r="Y888" i="31"/>
  <c r="Y889" i="31"/>
  <c r="X890" i="31"/>
  <c r="Y890" i="31"/>
  <c r="X891" i="31"/>
  <c r="X892" i="31"/>
  <c r="Y891" i="31"/>
  <c r="Y892" i="31"/>
  <c r="X893" i="31"/>
  <c r="X894" i="31"/>
  <c r="Y893" i="31"/>
  <c r="X895" i="31"/>
  <c r="Y894" i="31"/>
  <c r="X896" i="31"/>
  <c r="Y895" i="31"/>
  <c r="Y896" i="31"/>
  <c r="X897" i="31"/>
  <c r="X898" i="31"/>
  <c r="Y897" i="31"/>
  <c r="X899" i="31"/>
  <c r="Y898" i="31"/>
  <c r="Y899" i="31"/>
  <c r="X900" i="31"/>
  <c r="Y900" i="31"/>
  <c r="X901" i="31"/>
  <c r="Y901" i="31"/>
  <c r="X902" i="31"/>
  <c r="X903" i="31"/>
  <c r="Y902" i="31"/>
  <c r="Y903" i="31"/>
  <c r="X904" i="31"/>
  <c r="X905" i="31"/>
  <c r="Y904" i="31"/>
  <c r="X906" i="31"/>
  <c r="Y905" i="31"/>
  <c r="Y906" i="31"/>
  <c r="X907" i="31"/>
  <c r="Y907" i="31"/>
  <c r="X908" i="31"/>
  <c r="Y908" i="31"/>
  <c r="X909" i="31"/>
  <c r="X910" i="31"/>
  <c r="Y909" i="31"/>
  <c r="X911" i="31"/>
  <c r="Y910" i="31"/>
  <c r="X912" i="31"/>
  <c r="Y911" i="31"/>
  <c r="X913" i="31"/>
  <c r="Y912" i="31"/>
  <c r="Y913" i="31"/>
  <c r="X914" i="31"/>
  <c r="X915" i="31"/>
  <c r="Y914" i="31"/>
  <c r="Y915" i="31"/>
  <c r="X916" i="31"/>
  <c r="Y916" i="31"/>
  <c r="X917" i="31"/>
  <c r="Y917" i="31"/>
  <c r="X918" i="31"/>
  <c r="X919" i="31"/>
  <c r="Y918" i="31"/>
  <c r="Y919" i="31"/>
  <c r="X920" i="31"/>
  <c r="X921" i="31"/>
  <c r="Y920" i="31"/>
  <c r="X922" i="31"/>
  <c r="Y921" i="31"/>
  <c r="Y922" i="31"/>
  <c r="X923" i="31"/>
  <c r="Y923" i="31"/>
  <c r="X924" i="31"/>
  <c r="Y924" i="31"/>
  <c r="X925" i="31"/>
  <c r="X926" i="31"/>
  <c r="Y925" i="31"/>
  <c r="Y926" i="31"/>
  <c r="X927" i="31"/>
  <c r="X928" i="31"/>
  <c r="Y927" i="31"/>
  <c r="X929" i="31"/>
  <c r="Y928" i="31"/>
  <c r="Y929" i="31"/>
  <c r="X930" i="31"/>
  <c r="X931" i="31"/>
  <c r="Y930" i="31"/>
  <c r="X932" i="31"/>
  <c r="Y931" i="31"/>
  <c r="Y932" i="31"/>
  <c r="X933" i="31"/>
  <c r="Y933" i="31"/>
  <c r="X934" i="31"/>
  <c r="X935" i="31"/>
  <c r="Y934" i="31"/>
  <c r="X936" i="31"/>
  <c r="Y935" i="31"/>
  <c r="X937" i="31"/>
  <c r="Y936" i="31"/>
  <c r="X938" i="31"/>
  <c r="Y937" i="31"/>
  <c r="Y938" i="31"/>
  <c r="X939" i="31"/>
  <c r="Y939" i="31"/>
  <c r="X940" i="31"/>
  <c r="X941" i="31"/>
  <c r="Y940" i="31"/>
  <c r="X942" i="31"/>
  <c r="Y941" i="31"/>
  <c r="X943" i="31"/>
  <c r="Y942" i="31"/>
  <c r="X944" i="31"/>
  <c r="Y943" i="31"/>
  <c r="Y944" i="31"/>
  <c r="X945" i="31"/>
  <c r="Y945" i="31"/>
  <c r="X946" i="31"/>
  <c r="X947" i="31"/>
  <c r="Y946" i="31"/>
  <c r="Y947" i="31"/>
  <c r="X948" i="31"/>
  <c r="Y948" i="31"/>
  <c r="X949" i="31"/>
  <c r="X950" i="31"/>
  <c r="Y949" i="31"/>
  <c r="X951" i="31"/>
  <c r="Y950" i="31"/>
  <c r="Y951" i="31"/>
  <c r="X952" i="31"/>
  <c r="X953" i="31"/>
  <c r="Y952" i="31"/>
  <c r="X954" i="31"/>
  <c r="Y953" i="31"/>
  <c r="Y954" i="31"/>
  <c r="X955" i="31"/>
  <c r="Y955" i="31"/>
  <c r="X956" i="31"/>
  <c r="X957" i="31"/>
  <c r="Y956" i="31"/>
  <c r="X958" i="31"/>
  <c r="Y957" i="31"/>
  <c r="Y958" i="31"/>
  <c r="X959" i="31"/>
  <c r="X960" i="31"/>
  <c r="Y959" i="31"/>
  <c r="Y960" i="31"/>
  <c r="X961" i="31"/>
  <c r="X962" i="31"/>
  <c r="Y961" i="31"/>
  <c r="Y962" i="31"/>
  <c r="X963" i="31"/>
  <c r="Y963" i="31"/>
  <c r="X964" i="31"/>
  <c r="Y964" i="31"/>
  <c r="X965" i="31"/>
  <c r="Y965" i="31"/>
  <c r="X966" i="31"/>
  <c r="X967" i="31"/>
  <c r="Y966" i="31"/>
  <c r="Y967" i="31"/>
  <c r="X968" i="31"/>
  <c r="X969" i="31"/>
  <c r="Y968" i="31"/>
  <c r="X970" i="31"/>
  <c r="Y969" i="31"/>
  <c r="Y970" i="31"/>
  <c r="X971" i="31"/>
  <c r="Y971" i="31"/>
  <c r="X972" i="31"/>
  <c r="Y972" i="31"/>
  <c r="X973" i="31"/>
  <c r="X974" i="31"/>
  <c r="Y973" i="31"/>
  <c r="X975" i="31"/>
  <c r="Y974" i="31"/>
  <c r="X976" i="31"/>
  <c r="Y975" i="31"/>
  <c r="Y976" i="31"/>
  <c r="X977" i="31"/>
  <c r="Y977" i="31"/>
  <c r="X978" i="31"/>
  <c r="X979" i="31"/>
  <c r="Y978" i="31"/>
  <c r="Y979" i="31"/>
  <c r="X980" i="31"/>
  <c r="Y980" i="31"/>
  <c r="X981" i="31"/>
  <c r="Y981" i="31"/>
  <c r="X982" i="31"/>
  <c r="X983" i="31"/>
  <c r="Y982" i="31"/>
  <c r="Y983" i="31"/>
  <c r="X984" i="31"/>
  <c r="X985" i="31"/>
  <c r="Y984" i="31"/>
  <c r="X986" i="31"/>
  <c r="Y985" i="31"/>
  <c r="Y986" i="31"/>
  <c r="X987" i="31"/>
  <c r="Y987" i="31"/>
  <c r="X988" i="31"/>
  <c r="Y988" i="31"/>
  <c r="X989" i="31"/>
  <c r="X990" i="31"/>
  <c r="Y989" i="31"/>
  <c r="X991" i="31"/>
  <c r="Y990" i="31"/>
  <c r="X992" i="31"/>
  <c r="Y991" i="31"/>
  <c r="X993" i="31"/>
  <c r="Y992" i="31"/>
  <c r="X994" i="31"/>
  <c r="Y993" i="31"/>
  <c r="X995" i="31"/>
  <c r="Y994" i="31"/>
  <c r="Y995" i="31"/>
  <c r="X996" i="31"/>
  <c r="Y996" i="31"/>
  <c r="X997" i="31"/>
  <c r="X998" i="31"/>
  <c r="Y997" i="31"/>
  <c r="X999" i="31"/>
  <c r="Y998" i="31"/>
  <c r="Y999" i="31"/>
  <c r="X1000" i="31"/>
  <c r="X1001" i="31"/>
  <c r="Y1000" i="31"/>
  <c r="X1002" i="31"/>
  <c r="Y1001" i="31"/>
  <c r="Y1002" i="31"/>
  <c r="X1003" i="31"/>
  <c r="Y1003" i="31"/>
  <c r="X1004" i="31"/>
  <c r="Y1004" i="31"/>
  <c r="X1005" i="31"/>
  <c r="Y1005" i="31"/>
  <c r="X1006" i="31"/>
  <c r="X1007" i="31"/>
  <c r="Y1006" i="31"/>
  <c r="X1008" i="31"/>
  <c r="Y1007" i="31"/>
  <c r="X1009" i="31"/>
  <c r="Y1008" i="31"/>
  <c r="Y1009" i="31"/>
  <c r="X1010" i="31"/>
  <c r="X1011" i="31"/>
  <c r="Y1010" i="31"/>
  <c r="X1012" i="31"/>
  <c r="Y1011" i="31"/>
  <c r="Y1012" i="31"/>
  <c r="X1013" i="31"/>
  <c r="Y1013" i="31"/>
  <c r="X1014" i="31"/>
  <c r="Y1014" i="31"/>
  <c r="X1015" i="31"/>
  <c r="Y1015" i="31"/>
  <c r="X1016" i="31"/>
  <c r="X1017" i="31"/>
  <c r="Y1016" i="31"/>
  <c r="X1018" i="31"/>
  <c r="Y1017" i="31"/>
  <c r="Y1018" i="31"/>
  <c r="X1019" i="31"/>
  <c r="Y1019" i="31"/>
  <c r="X1020" i="31"/>
  <c r="Y1020" i="31"/>
  <c r="X1021" i="31"/>
  <c r="X1022" i="31"/>
  <c r="Y1021" i="31"/>
  <c r="X1023" i="31"/>
  <c r="Y1022" i="31"/>
  <c r="X1024" i="31"/>
  <c r="Y1023" i="31"/>
  <c r="Y1024" i="31"/>
  <c r="X1025" i="31"/>
  <c r="X1026" i="31"/>
  <c r="Y1025" i="31"/>
  <c r="X1027" i="31"/>
  <c r="Y1026" i="31"/>
  <c r="Y1027" i="31"/>
  <c r="X1028" i="31"/>
  <c r="Y1028" i="31"/>
  <c r="X1029" i="31"/>
  <c r="Y1029" i="31"/>
  <c r="X1030" i="31"/>
  <c r="X1031" i="31"/>
  <c r="Y1030" i="31"/>
  <c r="Y1031" i="31"/>
  <c r="X1032" i="31"/>
  <c r="X1033" i="31"/>
  <c r="Y1032" i="31"/>
  <c r="X1034" i="31"/>
  <c r="Y1033" i="31"/>
  <c r="Y1034" i="31"/>
  <c r="X1035" i="31"/>
  <c r="Y1035" i="31"/>
  <c r="X1036" i="31"/>
  <c r="Y1036" i="31"/>
  <c r="X1037" i="31"/>
  <c r="X1038" i="31"/>
  <c r="Y1037" i="31"/>
  <c r="X1039" i="31"/>
  <c r="Y1038" i="31"/>
  <c r="X1040" i="31"/>
  <c r="Y1039" i="31"/>
  <c r="X1041" i="31"/>
  <c r="Y1040" i="31"/>
  <c r="X1042" i="31"/>
  <c r="Y1041" i="31"/>
  <c r="Y1042" i="31"/>
  <c r="X1043" i="31"/>
  <c r="X1044" i="31"/>
  <c r="Y1043" i="31"/>
  <c r="Y1044" i="31"/>
  <c r="X1045" i="31"/>
  <c r="X1046" i="31"/>
  <c r="Y1045" i="31"/>
  <c r="Y1046" i="31"/>
  <c r="X1047" i="31"/>
  <c r="Y1047" i="31"/>
  <c r="X1048" i="31"/>
  <c r="X1049" i="31"/>
  <c r="Y1048" i="31"/>
  <c r="Y1049" i="31"/>
  <c r="X1050" i="31"/>
  <c r="X1051" i="31"/>
  <c r="Y1050" i="31"/>
  <c r="X1052" i="31"/>
  <c r="Y1051" i="31"/>
  <c r="Y1052" i="31"/>
  <c r="X1053" i="31"/>
  <c r="Y1053" i="31"/>
  <c r="X1054" i="31"/>
  <c r="X1055" i="31"/>
  <c r="Y1054" i="31"/>
  <c r="Y1055" i="31"/>
  <c r="X1056" i="31"/>
  <c r="X1057" i="31"/>
  <c r="Y1056" i="31"/>
  <c r="X1058" i="31"/>
  <c r="Y1057" i="31"/>
  <c r="X1059" i="31"/>
  <c r="Y1058" i="31"/>
  <c r="Y1059" i="31"/>
  <c r="X1060" i="31"/>
  <c r="X1061" i="31"/>
  <c r="Y1060" i="31"/>
  <c r="Y1061" i="31"/>
  <c r="X1062" i="31"/>
  <c r="X1063" i="31"/>
  <c r="Y1062" i="31"/>
  <c r="Y1063" i="31"/>
  <c r="X1064" i="31"/>
  <c r="X1065" i="31"/>
  <c r="Y1064" i="31"/>
  <c r="X1066" i="31"/>
  <c r="Y1065" i="31"/>
  <c r="X1067" i="31"/>
  <c r="Y1066" i="31"/>
  <c r="X1068" i="31"/>
  <c r="Y1067" i="31"/>
  <c r="X1069" i="31"/>
  <c r="Y1068" i="31"/>
  <c r="X1070" i="31"/>
  <c r="Y1069" i="31"/>
  <c r="X1071" i="31"/>
  <c r="Y1070" i="31"/>
  <c r="Y1071" i="31"/>
  <c r="X1072" i="31"/>
  <c r="X1073" i="31"/>
  <c r="Y1072" i="31"/>
  <c r="Y1073" i="31"/>
  <c r="X1074" i="31"/>
  <c r="X1075" i="31"/>
  <c r="Y1074" i="31"/>
  <c r="X1076" i="31"/>
  <c r="Y1075" i="31"/>
  <c r="X1077" i="31"/>
  <c r="Y1076" i="31"/>
  <c r="Y1077" i="31"/>
  <c r="X1078" i="31"/>
  <c r="X1079" i="31"/>
  <c r="Y1078" i="31"/>
  <c r="Y1079" i="31"/>
  <c r="X1080" i="31"/>
  <c r="X1081" i="31"/>
  <c r="Y1080" i="31"/>
  <c r="Y1081" i="31"/>
  <c r="X1082" i="31"/>
  <c r="X1083" i="31"/>
  <c r="Y1082" i="31"/>
  <c r="Y1083" i="31"/>
  <c r="X1084" i="31"/>
  <c r="Y1084" i="31"/>
  <c r="X1085" i="31"/>
  <c r="X1086" i="31"/>
  <c r="Y1085" i="31"/>
  <c r="X1087" i="31"/>
  <c r="Y1086" i="31"/>
  <c r="Y1087" i="31"/>
  <c r="X1088" i="31"/>
  <c r="Y1088" i="31"/>
  <c r="X1089" i="31"/>
  <c r="Y1089" i="31"/>
  <c r="X1090" i="31"/>
  <c r="Y1090" i="31"/>
  <c r="X1091" i="31"/>
  <c r="Y1091" i="31"/>
  <c r="X1092" i="31"/>
  <c r="X1093" i="31"/>
  <c r="Y1092" i="31"/>
  <c r="Y1093" i="31"/>
  <c r="X1094" i="31"/>
  <c r="X1095" i="31"/>
  <c r="Y1094" i="31"/>
  <c r="Y1095" i="31"/>
  <c r="X1096" i="31"/>
  <c r="Y1096" i="31"/>
  <c r="X1097" i="31"/>
  <c r="Y1097" i="31"/>
  <c r="X1098" i="31"/>
  <c r="X1099" i="31"/>
  <c r="Y1098" i="31"/>
  <c r="Y1099" i="31"/>
  <c r="X1100" i="31"/>
  <c r="X1101" i="31"/>
  <c r="Y1100" i="31"/>
  <c r="X1102" i="31"/>
  <c r="Y1101" i="31"/>
  <c r="X1103" i="31"/>
  <c r="Y1102" i="31"/>
  <c r="Y1103" i="31"/>
  <c r="X1104" i="31"/>
  <c r="Y1104" i="31"/>
  <c r="X1105" i="31"/>
  <c r="Y1105" i="31"/>
  <c r="X1106" i="31"/>
  <c r="X1107" i="31"/>
  <c r="Y1106" i="31"/>
  <c r="Y1107" i="31"/>
  <c r="X1108" i="31"/>
  <c r="Y1108" i="31"/>
  <c r="X1109" i="31"/>
  <c r="X1110" i="31"/>
  <c r="Y1109" i="31"/>
  <c r="X1111" i="31"/>
  <c r="Y1110" i="31"/>
  <c r="Y1111" i="31"/>
  <c r="X1112" i="31"/>
  <c r="X1113" i="31"/>
  <c r="Y1112" i="31"/>
  <c r="Y1113" i="31"/>
  <c r="X1114" i="31"/>
  <c r="X1115" i="31"/>
  <c r="Y1114" i="31"/>
  <c r="X1116" i="31"/>
  <c r="Y1115" i="31"/>
  <c r="Y1116" i="31"/>
  <c r="X1117" i="31"/>
  <c r="X1118" i="31"/>
  <c r="Y1117" i="31"/>
  <c r="X1119" i="31"/>
  <c r="Y1118" i="31"/>
  <c r="Y1119" i="31"/>
  <c r="X1120" i="31"/>
  <c r="Y1120" i="31"/>
  <c r="X1121" i="31"/>
  <c r="Y1121" i="31"/>
  <c r="X1122" i="31"/>
  <c r="X1123" i="31"/>
  <c r="Y1122" i="31"/>
  <c r="X1124" i="31"/>
  <c r="Y1123" i="31"/>
  <c r="X1125" i="31"/>
  <c r="Y1124" i="31"/>
  <c r="Y1125" i="31"/>
  <c r="X1126" i="31"/>
  <c r="X1127" i="31"/>
  <c r="Y1126" i="31"/>
  <c r="Y1127" i="31"/>
  <c r="X1128" i="31"/>
  <c r="Y1128" i="31"/>
  <c r="X1129" i="31"/>
  <c r="Y1129" i="31"/>
  <c r="X1130" i="31"/>
  <c r="X1131" i="31"/>
  <c r="Y1130" i="31"/>
  <c r="X1132" i="31"/>
  <c r="Y1131" i="31"/>
  <c r="Y1132" i="31"/>
  <c r="X1133" i="31"/>
  <c r="X1134" i="31"/>
  <c r="Y1133" i="31"/>
  <c r="X1135" i="31"/>
  <c r="Y1134" i="31"/>
  <c r="Y1135" i="31"/>
  <c r="X1136" i="31"/>
  <c r="Y1136" i="31"/>
  <c r="X1137" i="31"/>
  <c r="Y1137" i="31"/>
  <c r="X1138" i="31"/>
  <c r="X1139" i="31"/>
  <c r="Y1138" i="31"/>
  <c r="Y1139" i="31"/>
  <c r="X1140" i="31"/>
  <c r="X1141" i="31"/>
  <c r="Y1140" i="31"/>
  <c r="Y1141" i="31"/>
  <c r="X1142" i="31"/>
  <c r="Y1142" i="31"/>
  <c r="X1143" i="31"/>
  <c r="Y1143" i="31"/>
  <c r="X1144" i="31"/>
  <c r="X1145" i="31"/>
  <c r="Y1144" i="31"/>
  <c r="Y1145" i="31"/>
  <c r="X1146" i="31"/>
  <c r="X1147" i="31"/>
  <c r="Y1146" i="31"/>
  <c r="X1148" i="31"/>
  <c r="Y1147" i="31"/>
  <c r="Y1148" i="31"/>
  <c r="X1149" i="31"/>
  <c r="X1150" i="31"/>
  <c r="Y1149" i="31"/>
  <c r="X1151" i="31"/>
  <c r="Y1150" i="31"/>
  <c r="X1152" i="31"/>
  <c r="Y1151" i="31"/>
  <c r="Y1152" i="31"/>
  <c r="X1153" i="31"/>
  <c r="Y1153" i="31"/>
  <c r="X1154" i="31"/>
  <c r="X1155" i="31"/>
  <c r="Y1154" i="31"/>
  <c r="Y1155" i="31"/>
  <c r="X1156" i="31"/>
  <c r="Y1156" i="31"/>
  <c r="X1157" i="31"/>
  <c r="Y1157" i="31"/>
  <c r="X1158" i="31"/>
  <c r="X1159" i="31"/>
  <c r="Y1158" i="31"/>
  <c r="Y1159" i="31"/>
  <c r="X1160" i="31"/>
  <c r="Y1160" i="31"/>
  <c r="X1161" i="31"/>
  <c r="Y1161" i="31"/>
  <c r="X1162" i="31"/>
  <c r="X1163" i="31"/>
  <c r="Y1162" i="31"/>
  <c r="X1164" i="31"/>
  <c r="Y1163" i="31"/>
  <c r="X1165" i="31"/>
  <c r="Y1164" i="31"/>
  <c r="Y1165" i="31"/>
  <c r="X1166" i="31"/>
  <c r="X1167" i="31"/>
  <c r="Y1166" i="31"/>
  <c r="Y1167" i="31"/>
  <c r="X1168" i="31"/>
  <c r="Y1168" i="31"/>
  <c r="X1169" i="31"/>
  <c r="Y1169" i="31"/>
  <c r="X1170" i="31"/>
  <c r="X1171" i="31"/>
  <c r="Y1170" i="31"/>
  <c r="Y1171" i="31"/>
  <c r="X1172" i="31"/>
  <c r="X1173" i="31"/>
  <c r="Y1172" i="31"/>
  <c r="X1174" i="31"/>
  <c r="Y1173" i="31"/>
  <c r="X1175" i="31"/>
  <c r="Y1174" i="31"/>
  <c r="Y1175" i="31"/>
  <c r="X1176" i="31"/>
  <c r="X1177" i="31"/>
  <c r="Y1176" i="31"/>
  <c r="Y1177" i="31"/>
  <c r="X1178" i="31"/>
  <c r="X1179" i="31"/>
  <c r="Y1178" i="31"/>
  <c r="X1180" i="31"/>
  <c r="Y1179" i="31"/>
  <c r="Y1180" i="31"/>
  <c r="X1181" i="31"/>
  <c r="X1182" i="31"/>
  <c r="Y1181" i="31"/>
  <c r="X1183" i="31"/>
  <c r="Y1182" i="31"/>
  <c r="Y1183" i="31"/>
  <c r="X1184" i="31"/>
  <c r="X1185" i="31"/>
  <c r="Y1184" i="31"/>
  <c r="Y1185" i="31"/>
  <c r="X1186" i="31"/>
  <c r="X1187" i="31"/>
  <c r="Y1186" i="31"/>
  <c r="X1188" i="31"/>
  <c r="Y1187" i="31"/>
  <c r="X1189" i="31"/>
  <c r="Y1188" i="31"/>
  <c r="Y1189" i="31"/>
  <c r="X1190" i="31"/>
  <c r="X1191" i="31"/>
  <c r="Y1190" i="31"/>
  <c r="X1192" i="31"/>
  <c r="Y1191" i="31"/>
  <c r="Y1192" i="31"/>
  <c r="X1193" i="31"/>
  <c r="X1194" i="31"/>
  <c r="Y1193" i="31"/>
  <c r="X1195" i="31"/>
  <c r="Y1194" i="31"/>
  <c r="X1196" i="31"/>
  <c r="Y1195" i="31"/>
  <c r="X1197" i="31"/>
  <c r="Y1196" i="31"/>
  <c r="Y1197" i="31"/>
  <c r="X1198" i="31"/>
  <c r="X1199" i="31"/>
  <c r="Y1198" i="31"/>
  <c r="Y1199" i="31"/>
  <c r="X1200" i="31"/>
  <c r="Y1200" i="31"/>
  <c r="X1201" i="31"/>
  <c r="X1202" i="31"/>
  <c r="Y1201" i="31"/>
  <c r="X1203" i="31"/>
  <c r="Y1202" i="31"/>
  <c r="Y1203" i="31"/>
  <c r="X1204" i="31"/>
  <c r="X1205" i="31"/>
  <c r="Y1204" i="31"/>
  <c r="Y1205" i="31"/>
  <c r="X1206" i="31"/>
  <c r="X1207" i="31"/>
  <c r="Y1206" i="31"/>
  <c r="Y1207" i="31"/>
  <c r="X1208" i="31"/>
  <c r="X1209" i="31"/>
  <c r="Y1208" i="31"/>
  <c r="Y1209" i="31"/>
  <c r="X1210" i="31"/>
  <c r="X1211" i="31"/>
  <c r="Y1210" i="31"/>
  <c r="Y1211" i="31"/>
  <c r="X1212" i="31"/>
  <c r="Y1212" i="31"/>
  <c r="X1213" i="31"/>
  <c r="Y1213" i="31"/>
  <c r="X1214" i="31"/>
  <c r="X1215" i="31"/>
  <c r="Y1214" i="31"/>
  <c r="Y1215" i="31"/>
  <c r="X1216" i="31"/>
  <c r="Y1216" i="31"/>
  <c r="X1217" i="31"/>
  <c r="Y1217" i="31"/>
  <c r="X1218" i="31"/>
  <c r="X1219" i="31"/>
  <c r="Y1218" i="31"/>
  <c r="Y1219" i="31"/>
  <c r="X1220" i="31"/>
  <c r="Y1220" i="31"/>
  <c r="X1221" i="31"/>
  <c r="Y1221" i="31"/>
  <c r="X1222" i="31"/>
  <c r="X1223" i="31"/>
  <c r="Y1222" i="31"/>
  <c r="Y1223" i="31"/>
  <c r="X1224" i="31"/>
  <c r="Y1224" i="31"/>
  <c r="X1225" i="31"/>
  <c r="Y1225" i="31"/>
  <c r="X1226" i="31"/>
  <c r="X1227" i="31"/>
  <c r="Y1226" i="31"/>
  <c r="Y1227" i="31"/>
  <c r="X1228" i="31"/>
  <c r="X1229" i="31"/>
  <c r="Y1228" i="31"/>
  <c r="X1230" i="31"/>
  <c r="Y1229" i="31"/>
  <c r="X1231" i="31"/>
  <c r="Y1230" i="31"/>
  <c r="Y1231" i="31"/>
  <c r="X1232" i="31"/>
  <c r="Y1232" i="31"/>
  <c r="X1233" i="31"/>
  <c r="Y1233" i="31"/>
  <c r="X1234" i="31"/>
  <c r="X1235" i="31"/>
  <c r="Y1234" i="31"/>
  <c r="Y1235" i="31"/>
  <c r="X1236" i="31"/>
  <c r="Y1236" i="31"/>
  <c r="X1237" i="31"/>
  <c r="Y1237" i="31"/>
  <c r="X1238" i="31"/>
  <c r="X1239" i="31"/>
  <c r="Y1238" i="31"/>
  <c r="Y1239" i="31"/>
  <c r="X1240" i="31"/>
  <c r="X1241" i="31"/>
  <c r="Y1240" i="31"/>
  <c r="Y1241" i="31"/>
  <c r="X1242" i="31"/>
  <c r="X1243" i="31"/>
  <c r="Y1242" i="31"/>
  <c r="Y1243" i="31"/>
  <c r="X1244" i="31"/>
  <c r="Y1244" i="31"/>
  <c r="X1245" i="31"/>
  <c r="X1246" i="31"/>
  <c r="Y1245" i="31"/>
  <c r="X1247" i="31"/>
  <c r="Y1246" i="31"/>
  <c r="Y1247" i="31"/>
  <c r="X1248" i="31"/>
  <c r="Y1248" i="31"/>
  <c r="X1249" i="31"/>
  <c r="Y1249" i="31"/>
  <c r="X1250" i="31"/>
  <c r="X1251" i="31"/>
  <c r="Y1250" i="31"/>
  <c r="Y1251" i="31"/>
  <c r="X1252" i="31"/>
  <c r="X1253" i="31"/>
  <c r="Y1252" i="31"/>
  <c r="Y1253" i="31"/>
  <c r="X1254" i="31"/>
  <c r="X1255" i="31"/>
  <c r="Y1254" i="31"/>
  <c r="Y1255" i="31"/>
  <c r="X1256" i="31"/>
  <c r="Y1256" i="31"/>
  <c r="X1257" i="31"/>
  <c r="Y1257" i="31"/>
  <c r="X1258" i="31"/>
  <c r="Y1258" i="31"/>
  <c r="X1259" i="31"/>
  <c r="X1260" i="31"/>
  <c r="Y1259" i="31"/>
  <c r="Y1260" i="31"/>
  <c r="X1261" i="31"/>
  <c r="X1262" i="31"/>
  <c r="Y1261" i="31"/>
  <c r="X1263" i="31"/>
  <c r="Y1262" i="31"/>
  <c r="Y1263" i="31"/>
  <c r="X1264" i="31"/>
  <c r="Y1264" i="31"/>
  <c r="X1265" i="31"/>
  <c r="Y1265" i="31"/>
  <c r="X1266" i="31"/>
  <c r="X1267" i="31"/>
  <c r="Y1266" i="31"/>
  <c r="Y1267" i="31"/>
  <c r="X1268" i="31"/>
  <c r="X1269" i="31"/>
  <c r="Y1268" i="31"/>
  <c r="Y1269" i="31"/>
  <c r="X1270" i="31"/>
  <c r="Y1270" i="31"/>
  <c r="X1271" i="31"/>
  <c r="Y1271" i="31"/>
  <c r="X1272" i="31"/>
  <c r="X1273" i="31"/>
  <c r="Y1272" i="31"/>
  <c r="Y1273" i="31"/>
  <c r="X1274" i="31"/>
  <c r="X1275" i="31"/>
  <c r="Y1274" i="31"/>
  <c r="X1276" i="31"/>
  <c r="Y1275" i="31"/>
  <c r="Y1276" i="31"/>
  <c r="X1277" i="31"/>
  <c r="X1278" i="31"/>
  <c r="Y1277" i="31"/>
  <c r="X1279" i="31"/>
  <c r="Y1278" i="31"/>
  <c r="X1280" i="31"/>
  <c r="Y1279" i="31"/>
  <c r="Y1280" i="31"/>
  <c r="X1281" i="31"/>
  <c r="Y1281" i="31"/>
  <c r="X1282" i="31"/>
  <c r="X1283" i="31"/>
  <c r="Y1282" i="31"/>
  <c r="X1284" i="31"/>
  <c r="Y1283" i="31"/>
  <c r="Y1284" i="31"/>
  <c r="X1285" i="31"/>
  <c r="Y1285" i="31"/>
  <c r="X1286" i="31"/>
  <c r="Y1286" i="31"/>
  <c r="X1287" i="31"/>
  <c r="Y1287" i="31"/>
  <c r="X1288" i="31"/>
  <c r="Y1288" i="31"/>
  <c r="X1289" i="31"/>
  <c r="Y1289" i="31"/>
  <c r="X1290" i="31"/>
  <c r="X1291" i="31"/>
  <c r="Y1290" i="31"/>
  <c r="Y1291" i="31"/>
  <c r="X1292" i="31"/>
  <c r="Y1292" i="31"/>
  <c r="X1293" i="31"/>
  <c r="Y1293" i="31"/>
  <c r="X1294" i="31"/>
  <c r="X1295" i="31"/>
  <c r="Y1294" i="31"/>
  <c r="X1296" i="31"/>
  <c r="Y1295" i="31"/>
  <c r="Y1296" i="31"/>
  <c r="X1297" i="31"/>
  <c r="Y1297" i="31"/>
  <c r="X1298" i="31"/>
  <c r="X1299" i="31"/>
  <c r="Y1298" i="31"/>
  <c r="X1300" i="31"/>
  <c r="Y1299" i="31"/>
  <c r="X1301" i="31"/>
  <c r="Y1300" i="31"/>
  <c r="X1302" i="31"/>
  <c r="Y1301" i="31"/>
  <c r="Y1302" i="31"/>
  <c r="X1303" i="31"/>
  <c r="Y1303" i="31"/>
  <c r="X1304" i="31"/>
  <c r="Y1304" i="31"/>
  <c r="X1305" i="31"/>
  <c r="X1306" i="31"/>
  <c r="Y1305" i="31"/>
  <c r="X1307" i="31"/>
  <c r="Y1306" i="31"/>
  <c r="X1308" i="31"/>
  <c r="Y1307" i="31"/>
  <c r="Y1308" i="31"/>
  <c r="X1309" i="31"/>
  <c r="Y1309" i="31"/>
  <c r="X1310" i="31"/>
  <c r="Y1310" i="31"/>
  <c r="X1311" i="31"/>
  <c r="Y1311" i="31"/>
  <c r="X1312" i="31"/>
  <c r="Y1312" i="31"/>
  <c r="X1313" i="31"/>
  <c r="X1314" i="31"/>
  <c r="Y1313" i="31"/>
  <c r="X1315" i="31"/>
  <c r="Y1314" i="31"/>
  <c r="Y1315" i="31"/>
  <c r="X1316" i="31"/>
  <c r="Y1316" i="31"/>
  <c r="X1317" i="31"/>
  <c r="Y1317" i="31"/>
  <c r="X1318" i="31"/>
  <c r="X1319" i="31"/>
  <c r="Y1318" i="31"/>
  <c r="X1320" i="31"/>
  <c r="Y1319" i="31"/>
  <c r="X1321" i="31"/>
  <c r="Y1320" i="31"/>
  <c r="X1322" i="31"/>
  <c r="Y1321" i="31"/>
  <c r="X1323" i="31"/>
  <c r="Y1322" i="31"/>
  <c r="X1324" i="31"/>
  <c r="Y1323" i="31"/>
  <c r="Y1324" i="31"/>
  <c r="X1325" i="31"/>
  <c r="Y1325" i="31"/>
  <c r="X1326" i="31"/>
  <c r="X1327" i="31"/>
  <c r="Y1326" i="31"/>
  <c r="X1328" i="31"/>
  <c r="Y1327" i="31"/>
  <c r="Y1328" i="31"/>
  <c r="X1329" i="31"/>
  <c r="Y1329" i="31"/>
  <c r="X1330" i="31"/>
  <c r="X1331" i="31"/>
  <c r="Y1330" i="31"/>
  <c r="Y1331" i="31"/>
  <c r="X1332" i="31"/>
  <c r="Y1332" i="31"/>
  <c r="X1333" i="31"/>
  <c r="Y1333" i="31"/>
  <c r="X1334" i="31"/>
  <c r="X1335" i="31"/>
  <c r="Y1334" i="31"/>
  <c r="Y1335" i="31"/>
  <c r="X1336" i="31"/>
  <c r="X1337" i="31"/>
  <c r="Y1336" i="31"/>
  <c r="Y1337" i="31"/>
  <c r="X1338" i="31"/>
  <c r="Y1338" i="31"/>
  <c r="X1339" i="31"/>
  <c r="Y1339" i="31"/>
  <c r="X1340" i="31"/>
  <c r="Y1340" i="31"/>
  <c r="X1341" i="31"/>
  <c r="Y1341" i="31"/>
  <c r="X1342" i="31"/>
  <c r="Y1342" i="31"/>
  <c r="X1343" i="31"/>
  <c r="Y1343" i="31"/>
  <c r="X1344" i="31"/>
  <c r="X1345" i="31"/>
  <c r="Y1344" i="31"/>
  <c r="X1346" i="31"/>
  <c r="Y1345" i="31"/>
  <c r="X1347" i="31"/>
  <c r="Y1346" i="31"/>
  <c r="X1348" i="31"/>
  <c r="Y1347" i="31"/>
  <c r="Y1348" i="31"/>
  <c r="X1349" i="31"/>
  <c r="Y1349" i="31"/>
  <c r="X1350" i="31"/>
  <c r="Y1350" i="31"/>
  <c r="X1351" i="31"/>
  <c r="Y1351" i="31"/>
  <c r="X1352" i="31"/>
  <c r="X1353" i="31"/>
  <c r="Y1352" i="31"/>
  <c r="Y1353" i="31"/>
  <c r="X1354" i="31"/>
  <c r="X1355" i="31"/>
  <c r="Y1354" i="31"/>
  <c r="Y1355" i="31"/>
  <c r="X1356" i="31"/>
  <c r="Y1356" i="31"/>
  <c r="X1357" i="31"/>
  <c r="X1358" i="31"/>
  <c r="Y1357" i="31"/>
  <c r="X1359" i="31"/>
  <c r="Y1358" i="31"/>
  <c r="X1360" i="31"/>
  <c r="Y1359" i="31"/>
  <c r="X1361" i="31"/>
  <c r="Y1360" i="31"/>
  <c r="Y1361" i="31"/>
  <c r="X1362" i="31"/>
  <c r="X1363" i="31"/>
  <c r="Y1362" i="31"/>
  <c r="Y1363" i="31"/>
  <c r="X1364" i="31"/>
  <c r="X1365" i="31"/>
  <c r="Y1364" i="31"/>
  <c r="Y1365" i="31"/>
  <c r="X1366" i="31"/>
  <c r="Y1366" i="31"/>
  <c r="X1367" i="31"/>
  <c r="X1368" i="31"/>
  <c r="Y1367" i="31"/>
  <c r="Y1368" i="31"/>
  <c r="X1369" i="31"/>
  <c r="Y1369" i="31"/>
  <c r="X1370" i="31"/>
  <c r="Y1370" i="31"/>
  <c r="X1371" i="31"/>
  <c r="X1372" i="31"/>
  <c r="Y1371" i="31"/>
  <c r="Y1372" i="31"/>
  <c r="X1373" i="31"/>
  <c r="X1374" i="31"/>
  <c r="Y1373" i="31"/>
  <c r="X1375" i="31"/>
  <c r="Y1374" i="31"/>
  <c r="X1376" i="31"/>
  <c r="Y1375" i="31"/>
  <c r="X1377" i="31"/>
  <c r="Y1376" i="31"/>
  <c r="Y1377" i="31"/>
  <c r="X1378" i="31"/>
  <c r="Y1378" i="31"/>
  <c r="X1379" i="31"/>
  <c r="Y1379" i="31"/>
  <c r="X1380" i="31"/>
  <c r="Y1380" i="31"/>
  <c r="X1381" i="31"/>
  <c r="X1382" i="31"/>
  <c r="Y1381" i="31"/>
  <c r="Y1382" i="31"/>
  <c r="X1383" i="31"/>
  <c r="Y1383" i="31"/>
  <c r="X1384" i="31"/>
  <c r="X1385" i="31"/>
  <c r="Y1384" i="31"/>
  <c r="X1386" i="31"/>
  <c r="Y1385" i="31"/>
  <c r="Y1386" i="31"/>
  <c r="X1387" i="31"/>
  <c r="Y1387" i="31"/>
  <c r="X1388" i="31"/>
  <c r="Y1388" i="31"/>
  <c r="X1389" i="31"/>
  <c r="X1390" i="31"/>
  <c r="Y1389" i="31"/>
  <c r="Y1390" i="31"/>
  <c r="X1391" i="31"/>
  <c r="Y1391" i="31"/>
  <c r="X1392" i="31"/>
  <c r="Y1392" i="31"/>
  <c r="X1393" i="31"/>
  <c r="Y1393" i="31"/>
  <c r="X1394" i="31"/>
  <c r="X1395" i="31"/>
  <c r="Y1394" i="31"/>
  <c r="Y1395" i="31"/>
  <c r="X1396" i="31"/>
  <c r="Y1396" i="31"/>
  <c r="X1397" i="31"/>
  <c r="X1398" i="31"/>
  <c r="Y1397" i="31"/>
  <c r="X1399" i="31"/>
  <c r="Y1398" i="31"/>
  <c r="Y1399" i="31"/>
  <c r="X1400" i="31"/>
  <c r="Y1400" i="31"/>
  <c r="X1401" i="31"/>
  <c r="X1402" i="31"/>
  <c r="Y1401" i="31"/>
  <c r="X1403" i="31"/>
  <c r="Y1402" i="31"/>
  <c r="Y1403" i="31"/>
  <c r="X1404" i="31"/>
  <c r="Y1404" i="31"/>
  <c r="X1405" i="31"/>
  <c r="Y1405" i="31"/>
  <c r="X1406" i="31"/>
  <c r="X1407" i="31"/>
  <c r="Y1406" i="31"/>
  <c r="Y1407" i="31"/>
  <c r="X1408" i="31"/>
  <c r="Y1408" i="31"/>
  <c r="X1409" i="31"/>
  <c r="X1410" i="31"/>
  <c r="Y1409" i="31"/>
  <c r="Y1410" i="31"/>
  <c r="X1411" i="31"/>
  <c r="X1412" i="31"/>
  <c r="Y1411" i="31"/>
  <c r="Y1412" i="31"/>
  <c r="X1413" i="31"/>
  <c r="Y1413" i="31"/>
  <c r="X1414" i="31"/>
  <c r="X1415" i="31"/>
  <c r="Y1414" i="31"/>
  <c r="Y1415" i="31"/>
  <c r="X1416" i="31"/>
  <c r="Y1416" i="31"/>
  <c r="X1417" i="31"/>
  <c r="X1418" i="31"/>
  <c r="Y1417" i="31"/>
  <c r="Y1418" i="31"/>
  <c r="X1419" i="31"/>
  <c r="Y1419" i="31"/>
  <c r="X1420" i="31"/>
  <c r="Y1420" i="31"/>
  <c r="X1421" i="31"/>
  <c r="Y1421" i="31"/>
  <c r="X1422" i="31"/>
  <c r="Y1422" i="31"/>
  <c r="X1423" i="31"/>
  <c r="Y1423" i="31"/>
  <c r="X1424" i="31"/>
  <c r="X1425" i="31"/>
  <c r="Y1424" i="31"/>
  <c r="Y1425" i="31"/>
  <c r="X1426" i="31"/>
  <c r="X1427" i="31"/>
  <c r="Y1426" i="31"/>
  <c r="Y1427" i="31"/>
  <c r="X1428" i="31"/>
  <c r="Y1428" i="31"/>
  <c r="X1429" i="31"/>
  <c r="X1430" i="31"/>
  <c r="Y1429" i="31"/>
  <c r="Y1430" i="31"/>
  <c r="X1431" i="31"/>
  <c r="Y1431" i="31"/>
  <c r="X1432" i="31"/>
  <c r="Y1432" i="31"/>
  <c r="X1433" i="31"/>
  <c r="X1434" i="31"/>
  <c r="Y1433" i="31"/>
  <c r="Y1434" i="31"/>
  <c r="X1435" i="31"/>
  <c r="Y1435" i="31"/>
  <c r="X1436" i="31"/>
  <c r="X1437" i="31"/>
  <c r="Y1436" i="31"/>
  <c r="Y1437" i="31"/>
  <c r="X1438" i="31"/>
  <c r="Y1438" i="31"/>
  <c r="X1439" i="31"/>
  <c r="Y1439" i="31"/>
  <c r="X1440" i="31"/>
  <c r="X1441" i="31"/>
  <c r="Y1440" i="31"/>
  <c r="Y1441" i="31"/>
  <c r="X1442" i="31"/>
  <c r="Y1442" i="31"/>
  <c r="X1443" i="31"/>
  <c r="X1444" i="31"/>
  <c r="Y1443" i="31"/>
  <c r="X1445" i="31"/>
  <c r="Y1444" i="31"/>
  <c r="Y1445" i="31"/>
  <c r="X1446" i="31"/>
  <c r="Y1446" i="31"/>
  <c r="X1447" i="31"/>
  <c r="X1448" i="31"/>
  <c r="Y1447" i="31"/>
  <c r="Y1448" i="31"/>
  <c r="X1449" i="31"/>
  <c r="X1450" i="31"/>
  <c r="Y1449" i="31"/>
  <c r="Y1450" i="31"/>
  <c r="X1451" i="31"/>
  <c r="X1452" i="31"/>
  <c r="Y1451" i="31"/>
  <c r="X1453" i="31"/>
  <c r="Y1452" i="31"/>
  <c r="Y1453" i="31"/>
  <c r="X1454" i="31"/>
  <c r="Y1454" i="31"/>
  <c r="X1455" i="31"/>
  <c r="Y1455" i="31"/>
  <c r="X1456" i="31"/>
  <c r="X1457" i="31"/>
  <c r="Y1456" i="31"/>
  <c r="X1458" i="31"/>
  <c r="Y1457" i="31"/>
  <c r="X1459" i="31"/>
  <c r="Y1458" i="31"/>
  <c r="Y1459" i="31"/>
  <c r="X1460" i="31"/>
  <c r="Y1460" i="31"/>
  <c r="X1461" i="31"/>
  <c r="X1462" i="31"/>
  <c r="Y1461" i="31"/>
  <c r="Y1462" i="31"/>
  <c r="X1463" i="31"/>
  <c r="X1464" i="31"/>
  <c r="Y1463" i="31"/>
  <c r="Y1464" i="31"/>
  <c r="X1465" i="31"/>
  <c r="Y1465" i="31"/>
  <c r="X1466" i="31"/>
  <c r="Y1466" i="31"/>
  <c r="X1467" i="31"/>
  <c r="Y1467" i="31"/>
  <c r="X1468" i="31"/>
  <c r="Y1468" i="31"/>
  <c r="X1469" i="31"/>
  <c r="Y1469" i="31"/>
  <c r="X1470" i="31"/>
  <c r="X1471" i="31"/>
  <c r="Y1470" i="31"/>
  <c r="Y1471" i="31"/>
  <c r="X1472" i="31"/>
  <c r="X1473" i="31"/>
  <c r="Y1472" i="31"/>
  <c r="Y1473" i="31"/>
  <c r="X1474" i="31"/>
  <c r="Y1474" i="31"/>
  <c r="X1475" i="31"/>
  <c r="X1476" i="31"/>
  <c r="Y1475" i="31"/>
  <c r="Y1476" i="31"/>
  <c r="X1477" i="31"/>
  <c r="Y1477" i="31"/>
  <c r="X1478" i="31"/>
  <c r="Y1478" i="31"/>
  <c r="X1479" i="31"/>
  <c r="X1480" i="31"/>
  <c r="Y1479" i="31"/>
  <c r="Y1480" i="31"/>
  <c r="X1481" i="31"/>
  <c r="Y1481" i="31"/>
  <c r="X1482" i="31"/>
  <c r="X1483" i="31"/>
  <c r="Y1482" i="31"/>
  <c r="X1484" i="31"/>
  <c r="Y1483" i="31"/>
  <c r="X1485" i="31"/>
  <c r="Y1484" i="31"/>
  <c r="X1486" i="31"/>
  <c r="Y1485" i="31"/>
  <c r="Y1486" i="31"/>
  <c r="X1487" i="31"/>
  <c r="Y1487" i="31"/>
  <c r="X1488" i="31"/>
  <c r="Y1488" i="31"/>
  <c r="X1489" i="31"/>
  <c r="X1490" i="31"/>
  <c r="Y1489" i="31"/>
  <c r="Y1490" i="31"/>
  <c r="X1491" i="31"/>
  <c r="Y1491" i="31"/>
  <c r="X1492" i="31"/>
  <c r="X1493" i="31"/>
  <c r="Y1492" i="31"/>
  <c r="X1494" i="31"/>
  <c r="Y1493" i="31"/>
  <c r="X1495" i="31"/>
  <c r="Y1494" i="31"/>
  <c r="X1496" i="31"/>
  <c r="Y1495" i="31"/>
  <c r="Y1496" i="31"/>
  <c r="X1497" i="31"/>
  <c r="X1498" i="31"/>
  <c r="Y1497" i="31"/>
  <c r="Y1498" i="31"/>
  <c r="X1499" i="31"/>
  <c r="Y1499" i="31"/>
  <c r="X1500" i="31"/>
  <c r="X1501" i="31"/>
  <c r="Y1500" i="31"/>
  <c r="Y1501" i="31"/>
  <c r="X1502" i="31"/>
  <c r="Y1502" i="31"/>
  <c r="X1503" i="31"/>
  <c r="X1504" i="31"/>
  <c r="Y1503" i="31"/>
  <c r="X1505" i="31"/>
  <c r="Y1504" i="31"/>
  <c r="X1506" i="31"/>
  <c r="Y1505" i="31"/>
  <c r="Y1506" i="31"/>
  <c r="X1507" i="31"/>
  <c r="Y1507" i="31"/>
  <c r="X1508" i="31"/>
  <c r="Y1508" i="31"/>
  <c r="X1509" i="31"/>
  <c r="X1510" i="31"/>
  <c r="Y1509" i="31"/>
  <c r="Y1510" i="31"/>
  <c r="X1511" i="31"/>
  <c r="X1512" i="31"/>
  <c r="Y1511" i="31"/>
  <c r="X1513" i="31"/>
  <c r="Y1512" i="31"/>
  <c r="Y1513" i="31"/>
  <c r="X1514" i="31"/>
  <c r="Y1514" i="31"/>
  <c r="X1515" i="31"/>
  <c r="X1516" i="31"/>
  <c r="Y1515" i="31"/>
  <c r="X1517" i="31"/>
  <c r="Y1516" i="31"/>
  <c r="Y1517" i="31"/>
  <c r="X1518" i="31"/>
  <c r="X1519" i="31"/>
  <c r="Y1518" i="31"/>
  <c r="Y1519" i="31"/>
  <c r="X1520" i="31"/>
  <c r="Y1520" i="31"/>
  <c r="X1521" i="31"/>
  <c r="X1522" i="31"/>
  <c r="Y1521" i="31"/>
  <c r="Y1522" i="31"/>
  <c r="X1523" i="31"/>
  <c r="Y1523" i="31"/>
  <c r="X1524" i="31"/>
  <c r="X1525" i="31"/>
  <c r="Y1524" i="31"/>
  <c r="X1526" i="31"/>
  <c r="Y1525" i="31"/>
  <c r="Y1526" i="31"/>
  <c r="X1527" i="31"/>
  <c r="X1528" i="31"/>
  <c r="Y1527" i="31"/>
  <c r="Y1528" i="31"/>
  <c r="X1529" i="31"/>
  <c r="X1530" i="31"/>
  <c r="Y1529" i="31"/>
  <c r="Y1530" i="31"/>
  <c r="X1531" i="31"/>
  <c r="Y1531" i="31"/>
  <c r="X1532" i="31"/>
  <c r="X1533" i="31"/>
  <c r="Y1532" i="31"/>
  <c r="Y1533" i="31"/>
  <c r="X1534" i="31"/>
  <c r="Y1534" i="31"/>
  <c r="X1535" i="31"/>
  <c r="X1536" i="31"/>
  <c r="Y1535" i="31"/>
  <c r="Y1536" i="31"/>
  <c r="X1537" i="31"/>
  <c r="X1538" i="31"/>
  <c r="Y1537" i="31"/>
  <c r="Y1538" i="31"/>
  <c r="X1539" i="31"/>
  <c r="Y1539" i="31"/>
  <c r="X1540" i="31"/>
  <c r="Y1540" i="31"/>
  <c r="X1541" i="31"/>
  <c r="Y1541" i="31"/>
  <c r="X1542" i="31"/>
  <c r="Y1542" i="31"/>
  <c r="X1543" i="31"/>
  <c r="Y1543" i="31"/>
  <c r="X1544" i="31"/>
  <c r="Y1544" i="31"/>
  <c r="X1545" i="31"/>
  <c r="X1546" i="31"/>
  <c r="Y1545" i="31"/>
  <c r="Y1546" i="31"/>
  <c r="X1547" i="31"/>
  <c r="X1548" i="31"/>
  <c r="Y1547" i="31"/>
  <c r="Y1548" i="31"/>
  <c r="X1549" i="31"/>
  <c r="X1550" i="31"/>
  <c r="Y1549" i="31"/>
  <c r="Y1550" i="31"/>
  <c r="X1551" i="31"/>
  <c r="X1552" i="31"/>
  <c r="Y1551" i="31"/>
  <c r="Y1552" i="31"/>
  <c r="X1553" i="31"/>
  <c r="X1554" i="31"/>
  <c r="Y1553" i="31"/>
  <c r="Y1554" i="31"/>
  <c r="X1555" i="31"/>
  <c r="Y1555" i="31"/>
  <c r="X1556" i="31"/>
  <c r="X1557" i="31"/>
  <c r="Y1556" i="31"/>
  <c r="Y1557" i="31"/>
  <c r="X1558" i="31"/>
  <c r="Y1558" i="31"/>
  <c r="X1559" i="31"/>
  <c r="X1560" i="31"/>
  <c r="Y1559" i="31"/>
  <c r="Y1560" i="31"/>
  <c r="X1561" i="31"/>
  <c r="X1562" i="31"/>
  <c r="Y1561" i="31"/>
  <c r="Y1562" i="31"/>
  <c r="X1563" i="31"/>
  <c r="Y1563" i="31"/>
  <c r="X1564" i="31"/>
  <c r="Y1564" i="31"/>
  <c r="X1565" i="31"/>
  <c r="X1566" i="31"/>
  <c r="Y1565" i="31"/>
  <c r="Y1566" i="31"/>
  <c r="X1567" i="31"/>
  <c r="X1568" i="31"/>
  <c r="Y1567" i="31"/>
  <c r="Y1568" i="31"/>
  <c r="X1569" i="31"/>
  <c r="X1570" i="31"/>
  <c r="Y1569" i="31"/>
  <c r="Y1570" i="31"/>
  <c r="X1571" i="31"/>
  <c r="Y1571" i="31"/>
  <c r="X1572" i="31"/>
  <c r="X1573" i="31"/>
  <c r="Y1572" i="31"/>
  <c r="X1574" i="31"/>
  <c r="Y1573" i="31"/>
  <c r="Y1574" i="31"/>
  <c r="X1575" i="31"/>
  <c r="Y1575" i="31"/>
  <c r="X1576" i="31"/>
  <c r="Y1576" i="31"/>
  <c r="X1577" i="31"/>
  <c r="X1578" i="31"/>
  <c r="Y1577" i="31"/>
  <c r="Y1578" i="31"/>
  <c r="X1579" i="31"/>
  <c r="Y1579" i="31"/>
  <c r="X1580" i="31"/>
  <c r="Y1580" i="31"/>
  <c r="X1581" i="31"/>
  <c r="X1582" i="31"/>
  <c r="Y1581" i="31"/>
  <c r="Y1582" i="31"/>
  <c r="X1583" i="31"/>
  <c r="X1584" i="31"/>
  <c r="Y1583" i="31"/>
  <c r="Y1584" i="31"/>
  <c r="X1585" i="31"/>
  <c r="Y1585" i="31"/>
  <c r="X1586" i="31"/>
  <c r="Y1586" i="31"/>
  <c r="X1587" i="31"/>
  <c r="Y1587" i="31"/>
  <c r="X1588" i="31"/>
  <c r="X1589" i="31"/>
  <c r="Y1588" i="31"/>
  <c r="Y1589" i="31"/>
  <c r="X1590" i="31"/>
  <c r="Y1590" i="31"/>
  <c r="X1591" i="31"/>
  <c r="X1592" i="31"/>
  <c r="Y1591" i="31"/>
  <c r="X1593" i="31"/>
  <c r="Y1592" i="31"/>
  <c r="X1594" i="31"/>
  <c r="Y1593" i="31"/>
  <c r="Y1594" i="31"/>
  <c r="X1595" i="31"/>
  <c r="X1596" i="31"/>
  <c r="Y1595" i="31"/>
  <c r="Y1596" i="31"/>
  <c r="X1597" i="31"/>
  <c r="X1598" i="31"/>
  <c r="Y1597" i="31"/>
  <c r="Y1598" i="31"/>
  <c r="X1599" i="31"/>
  <c r="X1600" i="31"/>
  <c r="Y1599" i="31"/>
  <c r="X1601" i="31"/>
  <c r="Y1600" i="31"/>
  <c r="X1602" i="31"/>
  <c r="Y1601" i="31"/>
  <c r="Y1602" i="31"/>
  <c r="X1603" i="31"/>
  <c r="Y1603" i="31"/>
  <c r="X1604" i="31"/>
  <c r="X1605" i="31"/>
  <c r="Y1604" i="31"/>
  <c r="X1606" i="31"/>
  <c r="Y1605" i="31"/>
  <c r="Y1606" i="31"/>
  <c r="X1607" i="31"/>
  <c r="X1608" i="31"/>
  <c r="Y1607" i="31"/>
  <c r="X1609" i="31"/>
  <c r="Y1608" i="31"/>
  <c r="Y1609" i="31"/>
  <c r="X1610" i="31"/>
  <c r="X1611" i="31"/>
  <c r="Y1610" i="31"/>
  <c r="X1612" i="31"/>
  <c r="Y1611" i="31"/>
  <c r="X1613" i="31"/>
  <c r="Y1612" i="31"/>
  <c r="X1614" i="31"/>
  <c r="Y1613" i="31"/>
  <c r="Y1614" i="31"/>
  <c r="X1615" i="31"/>
  <c r="Y1615" i="31"/>
  <c r="X1616" i="31"/>
  <c r="Y1616" i="31"/>
  <c r="X1617" i="31"/>
  <c r="Y1617" i="31"/>
  <c r="X1618" i="31"/>
  <c r="Y1618" i="31"/>
  <c r="X1619" i="31"/>
  <c r="X1620" i="31"/>
  <c r="Y1619" i="31"/>
  <c r="X1621" i="31"/>
  <c r="Y1620" i="31"/>
  <c r="Y1621" i="31"/>
  <c r="X1622" i="31"/>
  <c r="Y1622" i="31"/>
  <c r="X1623" i="31"/>
  <c r="Y1623" i="31"/>
  <c r="X1624" i="31"/>
  <c r="X1625" i="31"/>
  <c r="Y1624" i="31"/>
  <c r="X1626" i="31"/>
  <c r="Y1625" i="31"/>
  <c r="X1627" i="31"/>
  <c r="Y1626" i="31"/>
  <c r="Y1627" i="31"/>
  <c r="X1628" i="31"/>
  <c r="Y1628" i="31"/>
  <c r="X1629" i="31"/>
  <c r="Y1629" i="31"/>
  <c r="X1630" i="31"/>
  <c r="Y1630" i="31"/>
  <c r="X1631" i="31"/>
  <c r="X1632" i="31"/>
  <c r="Y1631" i="31"/>
  <c r="X1633" i="31"/>
  <c r="Y1632" i="31"/>
  <c r="X1634" i="31"/>
  <c r="Y1633" i="31"/>
  <c r="Y1634" i="31"/>
  <c r="X1635" i="31"/>
  <c r="X1636" i="31"/>
  <c r="Y1635" i="31"/>
  <c r="X1637" i="31"/>
  <c r="Y1636" i="31"/>
  <c r="Y1637" i="31"/>
  <c r="X1638" i="31"/>
  <c r="Y1638" i="31"/>
  <c r="X1639" i="31"/>
  <c r="X1640" i="31"/>
  <c r="Y1639" i="31"/>
  <c r="X1641" i="31"/>
  <c r="Y1640" i="31"/>
  <c r="Y1641" i="31"/>
  <c r="X1642" i="31"/>
  <c r="X1643" i="31"/>
  <c r="Y1642" i="31"/>
  <c r="Y1643" i="31"/>
  <c r="X1644" i="31"/>
  <c r="X1645" i="31"/>
  <c r="Y1644" i="31"/>
  <c r="X1646" i="31"/>
  <c r="Y1645" i="31"/>
  <c r="X1647" i="31"/>
  <c r="Y1646" i="31"/>
  <c r="X1648" i="31"/>
  <c r="Y1647" i="31"/>
  <c r="Y1648" i="31"/>
  <c r="X1649" i="31"/>
  <c r="X1650" i="31"/>
  <c r="Y1649" i="31"/>
  <c r="Y1650" i="31"/>
  <c r="X1651" i="31"/>
  <c r="Y1651" i="31"/>
  <c r="X1652" i="31"/>
  <c r="Y1652" i="31"/>
  <c r="X1653" i="31"/>
  <c r="Y1653" i="31"/>
  <c r="X1654" i="31"/>
  <c r="X1655" i="31"/>
  <c r="Y1654" i="31"/>
  <c r="X1656" i="31"/>
  <c r="Y1655" i="31"/>
  <c r="X1657" i="31"/>
  <c r="Y1656" i="31"/>
  <c r="Y1657" i="31"/>
  <c r="X1658" i="31"/>
  <c r="X1659" i="31"/>
  <c r="Y1658" i="31"/>
  <c r="Y1659" i="31"/>
  <c r="X1660" i="31"/>
  <c r="Y1660" i="31"/>
  <c r="X1661" i="31"/>
  <c r="Y1661" i="31"/>
  <c r="X1662" i="31"/>
  <c r="X1663" i="31"/>
  <c r="Y1662" i="31"/>
  <c r="Y1663" i="31"/>
  <c r="X1664" i="31"/>
  <c r="Y1664" i="31"/>
  <c r="X1665" i="31"/>
  <c r="Y1665" i="31"/>
  <c r="X1666" i="31"/>
  <c r="Y1666" i="31"/>
  <c r="X1667" i="31"/>
  <c r="X1668" i="31"/>
  <c r="Y1667" i="31"/>
  <c r="Y1668" i="31"/>
  <c r="X1669" i="31"/>
  <c r="X1670" i="31"/>
  <c r="Y1669" i="31"/>
  <c r="X1671" i="31"/>
  <c r="Y1670" i="31"/>
  <c r="X1672" i="31"/>
  <c r="Y1671" i="31"/>
  <c r="X1673" i="31"/>
  <c r="Y1672" i="31"/>
  <c r="Y1673" i="31"/>
  <c r="X1674" i="31"/>
  <c r="X1675" i="31"/>
  <c r="Y1674" i="31"/>
  <c r="Y1675" i="31"/>
  <c r="X1676" i="31"/>
  <c r="X1677" i="31"/>
  <c r="Y1676" i="31"/>
  <c r="X1678" i="31"/>
  <c r="Y1677" i="31"/>
  <c r="X1679" i="31"/>
  <c r="Y1678" i="31"/>
  <c r="X1680" i="31"/>
  <c r="Y1679" i="31"/>
  <c r="X1681" i="31"/>
  <c r="Y1680" i="31"/>
  <c r="X1682" i="31"/>
  <c r="Y1681" i="31"/>
  <c r="Y1682" i="31"/>
  <c r="X1683" i="31"/>
  <c r="Y1683" i="31"/>
  <c r="X1684" i="31"/>
  <c r="Y1684" i="31"/>
  <c r="X1685" i="31"/>
  <c r="X1686" i="31"/>
  <c r="Y1685" i="31"/>
  <c r="X1687" i="31"/>
  <c r="Y1686" i="31"/>
  <c r="Y1687" i="31"/>
  <c r="X1688" i="31"/>
  <c r="Y1688" i="31"/>
  <c r="X1689" i="31"/>
  <c r="Y1689" i="31"/>
  <c r="X1690" i="31"/>
  <c r="Y1690" i="31"/>
  <c r="X1691" i="31"/>
  <c r="Y1691" i="31"/>
  <c r="X1692" i="31"/>
  <c r="X1693" i="31"/>
  <c r="Y1692" i="31"/>
  <c r="X1694" i="31"/>
  <c r="Y1693" i="31"/>
  <c r="X1695" i="31"/>
  <c r="Y1694" i="31"/>
  <c r="X1696" i="31"/>
  <c r="Y1695" i="31"/>
  <c r="X1697" i="31"/>
  <c r="Y1696" i="31"/>
  <c r="X1698" i="31"/>
  <c r="Y1697" i="31"/>
  <c r="Y1698" i="31"/>
  <c r="X1699" i="31"/>
  <c r="Y1699" i="31"/>
  <c r="X1700" i="31"/>
  <c r="Y1700" i="31"/>
  <c r="X1701" i="31"/>
  <c r="X1702" i="31"/>
  <c r="Y1701" i="31"/>
  <c r="X1703" i="31"/>
  <c r="Y1702" i="31"/>
  <c r="X1704" i="31"/>
  <c r="Y1703" i="31"/>
  <c r="Y1704" i="31"/>
  <c r="X1705" i="31"/>
  <c r="Y1705" i="31"/>
  <c r="X1706" i="31"/>
  <c r="Y1706" i="31"/>
  <c r="X1707" i="31"/>
  <c r="Y1707" i="31"/>
  <c r="X1708" i="31"/>
  <c r="X1709" i="31"/>
  <c r="Y1708" i="31"/>
  <c r="X1710" i="31"/>
  <c r="Y1709" i="31"/>
  <c r="Y1710" i="31"/>
  <c r="X1711" i="31"/>
  <c r="X1712" i="31"/>
  <c r="Y1711" i="31"/>
  <c r="X1713" i="31"/>
  <c r="Y1712" i="31"/>
  <c r="X1714" i="31"/>
  <c r="Y1713" i="31"/>
  <c r="X1715" i="31"/>
  <c r="Y1714" i="31"/>
  <c r="X1716" i="31"/>
  <c r="Y1715" i="31"/>
  <c r="X1717" i="31"/>
  <c r="Y1716" i="31"/>
  <c r="Y1717" i="31"/>
  <c r="X1718" i="31"/>
  <c r="Y1718" i="31"/>
  <c r="X1719" i="31"/>
  <c r="X1720" i="31"/>
  <c r="Y1719" i="31"/>
  <c r="X1721" i="31"/>
  <c r="Y1720" i="31"/>
  <c r="X1722" i="31"/>
  <c r="Y1721" i="31"/>
  <c r="X1723" i="31"/>
  <c r="Y1722" i="31"/>
  <c r="X1724" i="31"/>
  <c r="Y1723" i="31"/>
  <c r="Y1724" i="31"/>
  <c r="X1725" i="31"/>
  <c r="Y1725" i="31"/>
  <c r="X1726" i="31"/>
  <c r="X1727" i="31"/>
  <c r="Y1726" i="31"/>
  <c r="Y1727" i="31"/>
  <c r="X1728" i="31"/>
  <c r="Y1728" i="31"/>
  <c r="X1729" i="31"/>
  <c r="Y1729" i="31"/>
  <c r="X1730" i="31"/>
  <c r="Y1730" i="31"/>
  <c r="X1731" i="31"/>
  <c r="X1732" i="31"/>
  <c r="Y1731" i="31"/>
  <c r="X1733" i="31"/>
  <c r="Y1732" i="31"/>
  <c r="Y1733" i="31"/>
  <c r="X1734" i="31"/>
  <c r="Y1734" i="31"/>
  <c r="X1735" i="31"/>
  <c r="X1736" i="31"/>
  <c r="Y1735" i="31"/>
  <c r="Y1736" i="31"/>
  <c r="X1737" i="31"/>
  <c r="X1738" i="31"/>
  <c r="Y1737" i="31"/>
  <c r="X1739" i="31"/>
  <c r="Y1738" i="31"/>
  <c r="Y1739" i="31"/>
  <c r="X1740" i="31"/>
  <c r="X1741" i="31"/>
  <c r="Y1740" i="31"/>
  <c r="X1742" i="31"/>
  <c r="Y1741" i="31"/>
  <c r="Y1742" i="31"/>
  <c r="X1743" i="31"/>
  <c r="X1744" i="31"/>
  <c r="Y1743" i="31"/>
  <c r="Y1744" i="31"/>
  <c r="X1745" i="31"/>
  <c r="X1746" i="31"/>
  <c r="Y1745" i="31"/>
  <c r="X1747" i="31"/>
  <c r="Y1746" i="31"/>
  <c r="X1748" i="31"/>
  <c r="Y1747" i="31"/>
  <c r="X1749" i="31"/>
  <c r="Y1748" i="31"/>
  <c r="X1750" i="31"/>
  <c r="Y1749" i="31"/>
  <c r="Y1750" i="31"/>
  <c r="X1751" i="31"/>
  <c r="Y1751" i="31"/>
  <c r="X1752" i="31"/>
  <c r="X1753" i="31"/>
  <c r="Y1752" i="31"/>
  <c r="X1754" i="31"/>
  <c r="Y1753" i="31"/>
  <c r="X1755" i="31"/>
  <c r="Y1754" i="31"/>
  <c r="Y1755" i="31"/>
  <c r="X1756" i="31"/>
  <c r="X1757" i="31"/>
  <c r="Y1756" i="31"/>
  <c r="X1758" i="31"/>
  <c r="Y1757" i="31"/>
  <c r="X1759" i="31"/>
  <c r="Y1758" i="31"/>
  <c r="X1760" i="31"/>
  <c r="Y1759" i="31"/>
  <c r="Y1760" i="31"/>
  <c r="X1761" i="31"/>
  <c r="Y1761" i="31"/>
  <c r="X1762" i="31"/>
  <c r="X1763" i="31"/>
  <c r="Y1762" i="31"/>
  <c r="Y1763" i="31"/>
  <c r="X1764" i="31"/>
  <c r="X1765" i="31"/>
  <c r="Y1764" i="31"/>
  <c r="X1766" i="31"/>
  <c r="Y1765" i="31"/>
  <c r="X1767" i="31"/>
  <c r="Y1766" i="31"/>
  <c r="Y1767" i="31"/>
  <c r="X1768" i="31"/>
  <c r="Y1768" i="31"/>
  <c r="X1769" i="31"/>
  <c r="Y1769" i="31"/>
  <c r="X1770" i="31"/>
  <c r="Y1770" i="31"/>
  <c r="X1771" i="31"/>
  <c r="Y1771" i="31"/>
  <c r="X1772" i="31"/>
  <c r="Y1772" i="31"/>
  <c r="X1773" i="31"/>
  <c r="Y1773" i="31"/>
  <c r="X1774" i="31"/>
  <c r="X1775" i="31"/>
  <c r="Y1774" i="31"/>
  <c r="Y1775" i="31"/>
  <c r="X1776" i="31"/>
  <c r="Y1776" i="31"/>
  <c r="X1777" i="31"/>
  <c r="X1778" i="31"/>
  <c r="Y1777" i="31"/>
  <c r="Y1778" i="31"/>
  <c r="X1779" i="31"/>
  <c r="Y1779" i="31"/>
  <c r="X1780" i="31"/>
  <c r="Y1780" i="31"/>
  <c r="X1781" i="31"/>
  <c r="X1782" i="31"/>
  <c r="Y1781" i="31"/>
  <c r="Y1782" i="31"/>
  <c r="X1783" i="31"/>
  <c r="Y1783" i="31"/>
  <c r="X1784" i="31"/>
  <c r="Y1784" i="31"/>
  <c r="X1785" i="31"/>
  <c r="X1786" i="31"/>
  <c r="Y1785" i="31"/>
  <c r="Y1786" i="31"/>
  <c r="X1787" i="31"/>
  <c r="Y1787" i="31"/>
  <c r="X1788" i="31"/>
  <c r="Y1788" i="31"/>
  <c r="X1789" i="31"/>
  <c r="X1790" i="31"/>
  <c r="Y1789" i="31"/>
  <c r="Y1790" i="31"/>
  <c r="X1791" i="31"/>
  <c r="Y1791" i="31"/>
  <c r="X1792" i="31"/>
  <c r="X1793" i="31"/>
  <c r="Y1792" i="31"/>
  <c r="X1794" i="31"/>
  <c r="Y1793" i="31"/>
  <c r="X1795" i="31"/>
  <c r="Y1794" i="31"/>
  <c r="X1796" i="31"/>
  <c r="Y1795" i="31"/>
  <c r="Y1796" i="31"/>
  <c r="X1797" i="31"/>
  <c r="X1798" i="31"/>
  <c r="Y1797" i="31"/>
  <c r="X1799" i="31"/>
  <c r="Y1798" i="31"/>
  <c r="X1800" i="31"/>
  <c r="Y1799" i="31"/>
  <c r="Y1800" i="31"/>
  <c r="X1801" i="31"/>
  <c r="Y1801" i="31"/>
  <c r="X1802" i="31"/>
  <c r="Y1802" i="31"/>
  <c r="X1803" i="31"/>
  <c r="Y1803" i="31"/>
  <c r="X1804" i="31"/>
  <c r="X1805" i="31"/>
  <c r="Y1804" i="31"/>
  <c r="Y1805" i="31"/>
  <c r="X1806" i="31"/>
  <c r="X1807" i="31"/>
  <c r="Y1806" i="31"/>
  <c r="X1808" i="31"/>
  <c r="Y1807" i="31"/>
  <c r="Y1808" i="31"/>
  <c r="X1809" i="31"/>
  <c r="Y1809" i="31"/>
  <c r="X1810" i="31"/>
  <c r="Y1810" i="31"/>
  <c r="X1811" i="31"/>
  <c r="X1812" i="31"/>
  <c r="Y1811" i="31"/>
  <c r="Y1812" i="31"/>
  <c r="X1813" i="31"/>
  <c r="X1814" i="31"/>
  <c r="Y1813" i="31"/>
  <c r="X1815" i="31"/>
  <c r="Y1814" i="31"/>
  <c r="X1816" i="31"/>
  <c r="Y1815" i="31"/>
  <c r="X1817" i="31"/>
  <c r="Y1816" i="31"/>
  <c r="X1818" i="31"/>
  <c r="Y1817" i="31"/>
  <c r="Y1818" i="31"/>
  <c r="X1819" i="31"/>
  <c r="X1820" i="31"/>
  <c r="Y1819" i="31"/>
  <c r="Y1820" i="31"/>
  <c r="X1821" i="31"/>
  <c r="X1822" i="31"/>
  <c r="Y1821" i="31"/>
  <c r="Y1822" i="31"/>
  <c r="X1823" i="31"/>
  <c r="X1824" i="31"/>
  <c r="Y1823" i="31"/>
  <c r="Y1824" i="31"/>
  <c r="X1825" i="31"/>
  <c r="X1826" i="31"/>
  <c r="Y1825" i="31"/>
  <c r="X1827" i="31"/>
  <c r="Y1826" i="31"/>
  <c r="X1828" i="31"/>
  <c r="Y1827" i="31"/>
  <c r="Y1828" i="31"/>
  <c r="X1829" i="31"/>
  <c r="X1830" i="31"/>
  <c r="Y1829" i="31"/>
  <c r="Y1830" i="31"/>
  <c r="X1831" i="31"/>
  <c r="X1832" i="31"/>
  <c r="Y1831" i="31"/>
  <c r="Y1832" i="31"/>
  <c r="X1833" i="31"/>
  <c r="X1834" i="31"/>
  <c r="Y1833" i="31"/>
  <c r="X1835" i="31"/>
  <c r="Y1834" i="31"/>
  <c r="X1836" i="31"/>
  <c r="Y1835" i="31"/>
  <c r="Y1836" i="31"/>
  <c r="X1837" i="31"/>
  <c r="Y1837" i="31"/>
  <c r="X1838" i="31"/>
  <c r="X1839" i="31"/>
  <c r="Y1838" i="31"/>
  <c r="Y1839" i="31"/>
  <c r="X1840" i="31"/>
  <c r="Y1840" i="31"/>
  <c r="X1841" i="31"/>
  <c r="Y1841" i="31"/>
  <c r="X1842" i="31"/>
  <c r="X1843" i="31"/>
  <c r="Y1842" i="31"/>
  <c r="X1844" i="31"/>
  <c r="Y1843" i="31"/>
  <c r="Y1844" i="31"/>
  <c r="X1845" i="31"/>
  <c r="X1846" i="31"/>
  <c r="Y1845" i="31"/>
  <c r="X1847" i="31"/>
  <c r="Y1846" i="31"/>
  <c r="X1848" i="31"/>
  <c r="Y1847" i="31"/>
  <c r="X1849" i="31"/>
  <c r="Y1848" i="31"/>
  <c r="X1850" i="31"/>
  <c r="Y1849" i="31"/>
  <c r="X1851" i="31"/>
  <c r="Y1850" i="31"/>
  <c r="X1852" i="31"/>
  <c r="Y1851" i="31"/>
  <c r="Y1852" i="31"/>
  <c r="X1853" i="31"/>
  <c r="X1854" i="31"/>
  <c r="Y1853" i="31"/>
  <c r="Y1854" i="31"/>
  <c r="X1855" i="31"/>
  <c r="X1856" i="31"/>
  <c r="Y1855" i="31"/>
  <c r="Y1856" i="31"/>
  <c r="X1857" i="31"/>
  <c r="X1858" i="31"/>
  <c r="Y1857" i="31"/>
  <c r="Y1858" i="31"/>
  <c r="X1859" i="31"/>
  <c r="X1860" i="31"/>
  <c r="Y1859" i="31"/>
  <c r="Y1860" i="31"/>
  <c r="X1861" i="31"/>
  <c r="X1862" i="31"/>
  <c r="Y1861" i="31"/>
  <c r="Y1862" i="31"/>
  <c r="X1863" i="31"/>
  <c r="X1864" i="31"/>
  <c r="Y1863" i="31"/>
  <c r="Y1864" i="31"/>
  <c r="X1865" i="31"/>
  <c r="X1866" i="31"/>
  <c r="Y1865" i="31"/>
  <c r="X1867" i="31"/>
  <c r="Y1866" i="31"/>
  <c r="Y1867" i="31"/>
  <c r="X1868" i="31"/>
  <c r="Y1868" i="31"/>
  <c r="X1869" i="31"/>
  <c r="Y1869" i="31"/>
  <c r="X1870" i="31"/>
  <c r="Y1870" i="31"/>
  <c r="X1871" i="31"/>
  <c r="Y1871" i="31"/>
  <c r="X1872" i="31"/>
  <c r="Y1872" i="31"/>
  <c r="X1873" i="31"/>
  <c r="Y1873" i="31"/>
  <c r="X1874" i="31"/>
  <c r="Y1874" i="31"/>
  <c r="X1875" i="31"/>
  <c r="Y1875" i="31"/>
  <c r="X1876" i="31"/>
  <c r="Y1876" i="31"/>
  <c r="X1877" i="31"/>
  <c r="Y1877" i="31"/>
  <c r="X1878" i="31"/>
  <c r="X1879" i="31"/>
  <c r="Y1878" i="31"/>
  <c r="X1880" i="31"/>
  <c r="Y1879" i="31"/>
  <c r="X1881" i="31"/>
  <c r="Y1880" i="31"/>
  <c r="X1882" i="31"/>
  <c r="Y1881" i="31"/>
  <c r="X1883" i="31"/>
  <c r="Y1882" i="31"/>
  <c r="X1884" i="31"/>
  <c r="Y1883" i="31"/>
  <c r="Y1884" i="31"/>
  <c r="X1885" i="31"/>
  <c r="Y1885" i="31"/>
  <c r="X1886" i="31"/>
  <c r="Y1886" i="31"/>
  <c r="X1887" i="31"/>
  <c r="X1888" i="31"/>
  <c r="Y1887" i="31"/>
  <c r="Y1888" i="31"/>
  <c r="X1889" i="31"/>
  <c r="X1890" i="31"/>
  <c r="Y1889" i="31"/>
  <c r="X1891" i="31"/>
  <c r="Y1890" i="31"/>
  <c r="Y1891" i="31"/>
  <c r="X1892" i="31"/>
  <c r="Y1892" i="31"/>
  <c r="X1893" i="31"/>
  <c r="X1894" i="31"/>
  <c r="Y1893" i="31"/>
  <c r="Y1894" i="31"/>
  <c r="X1895" i="31"/>
  <c r="X1896" i="31"/>
  <c r="Y1895" i="31"/>
  <c r="Y1896" i="31"/>
  <c r="X1897" i="31"/>
  <c r="X1898" i="31"/>
  <c r="Y1897" i="31"/>
  <c r="X1899" i="31"/>
  <c r="Y1898" i="31"/>
  <c r="Y1899" i="31"/>
  <c r="X1900" i="31"/>
  <c r="X1901" i="31"/>
  <c r="Y1900" i="31"/>
  <c r="Y1901" i="31"/>
  <c r="X1902" i="31"/>
  <c r="Y1902" i="31"/>
  <c r="X1903" i="31"/>
  <c r="Y1903" i="31"/>
  <c r="X1904" i="31"/>
  <c r="Y1904" i="31"/>
  <c r="X1905" i="31"/>
  <c r="Y1905" i="31"/>
  <c r="X1906" i="31"/>
  <c r="Y1906" i="31"/>
  <c r="X1907" i="31"/>
  <c r="X1908" i="31"/>
  <c r="Y1907" i="31"/>
  <c r="Y1908" i="31"/>
  <c r="X1909" i="31"/>
  <c r="X1910" i="31"/>
  <c r="Y1909" i="31"/>
  <c r="X1911" i="31"/>
  <c r="Y1910" i="31"/>
  <c r="X1912" i="31"/>
  <c r="Y1911" i="31"/>
  <c r="X1913" i="31"/>
  <c r="Y1912" i="31"/>
  <c r="X1914" i="31"/>
  <c r="Y1913" i="31"/>
  <c r="X1915" i="31"/>
  <c r="Y1914" i="31"/>
  <c r="X1916" i="31"/>
  <c r="Y1915" i="31"/>
  <c r="Y1916" i="31"/>
  <c r="X1917" i="31"/>
  <c r="X1918" i="31"/>
  <c r="Y1917" i="31"/>
  <c r="X1919" i="31"/>
  <c r="Y1918" i="31"/>
  <c r="X1920" i="31"/>
  <c r="Y1919" i="31"/>
  <c r="Y1920" i="31"/>
  <c r="X1921" i="31"/>
  <c r="X1922" i="31"/>
  <c r="Y1921" i="31"/>
  <c r="Y1922" i="31"/>
  <c r="X1923" i="31"/>
  <c r="Y1923" i="31"/>
  <c r="X1924" i="31"/>
  <c r="Y1924" i="31"/>
  <c r="X1925" i="31"/>
  <c r="X1926" i="31"/>
  <c r="Y1925" i="31"/>
  <c r="Y1926" i="31"/>
  <c r="X1927" i="31"/>
  <c r="Y1927" i="31"/>
  <c r="X1928" i="31"/>
  <c r="Y1928" i="31"/>
  <c r="X1929" i="31"/>
  <c r="X1930" i="31"/>
  <c r="Y1929" i="31"/>
  <c r="X1931" i="31"/>
  <c r="Y1930" i="31"/>
  <c r="X1932" i="31"/>
  <c r="Y1931" i="31"/>
  <c r="Y1932" i="31"/>
  <c r="X1933" i="31"/>
  <c r="Y1933" i="31"/>
  <c r="X1934" i="31"/>
  <c r="Y1934" i="31"/>
  <c r="X1935" i="31"/>
  <c r="Y1935" i="31"/>
  <c r="X1936" i="31"/>
  <c r="Y1936" i="31"/>
  <c r="X1937" i="31"/>
  <c r="Y1937" i="31"/>
  <c r="X1938" i="31"/>
  <c r="Y1938" i="31"/>
  <c r="X1939" i="31"/>
  <c r="X1940" i="31"/>
  <c r="Y1939" i="31"/>
  <c r="Y1940" i="31"/>
  <c r="X1941" i="31"/>
  <c r="X1942" i="31"/>
  <c r="Y1941" i="31"/>
  <c r="X1943" i="31"/>
  <c r="Y1942" i="31"/>
  <c r="Y1943" i="31"/>
  <c r="X1944" i="31"/>
  <c r="X1945" i="31"/>
  <c r="Y1944" i="31"/>
  <c r="X1946" i="31"/>
  <c r="Y1945" i="31"/>
  <c r="X1947" i="31"/>
  <c r="Y1946" i="31"/>
  <c r="X1948" i="31"/>
  <c r="Y1947" i="31"/>
  <c r="Y1948" i="31"/>
  <c r="X1949" i="31"/>
  <c r="X1950" i="31"/>
  <c r="Y1949" i="31"/>
  <c r="X1951" i="31"/>
  <c r="Y1950" i="31"/>
  <c r="X1952" i="31"/>
  <c r="Y1951" i="31"/>
  <c r="X1953" i="31"/>
  <c r="Y1952" i="31"/>
  <c r="X1954" i="31"/>
  <c r="Y1953" i="31"/>
  <c r="Y1954" i="31"/>
  <c r="X1955" i="31"/>
  <c r="X1956" i="31"/>
  <c r="Y1955" i="31"/>
  <c r="X1957" i="31"/>
  <c r="Y1956" i="31"/>
  <c r="X1958" i="31"/>
  <c r="Y1957" i="31"/>
  <c r="Y1958" i="31"/>
  <c r="X1959" i="31"/>
  <c r="X1960" i="31"/>
  <c r="Y1959" i="31"/>
  <c r="X1961" i="31"/>
  <c r="Y1960" i="31"/>
  <c r="X1962" i="31"/>
  <c r="Y1961" i="31"/>
  <c r="X1963" i="31"/>
  <c r="Y1962" i="31"/>
  <c r="Y1963" i="31"/>
  <c r="X1964" i="31"/>
  <c r="X1965" i="31"/>
  <c r="Y1964" i="31"/>
  <c r="X1966" i="31"/>
  <c r="Y1965" i="31"/>
  <c r="X1967" i="31"/>
  <c r="Y1966" i="31"/>
  <c r="Y1967" i="31"/>
  <c r="X1968" i="31"/>
  <c r="X1969" i="31"/>
  <c r="Y1968" i="31"/>
  <c r="X1970" i="31"/>
  <c r="Y1969" i="31"/>
  <c r="Y1970" i="31"/>
  <c r="X1971" i="31"/>
  <c r="X1972" i="31"/>
  <c r="Y1971" i="31"/>
  <c r="X1973" i="31"/>
  <c r="Y1972" i="31"/>
  <c r="X1974" i="31"/>
  <c r="Y1973" i="31"/>
  <c r="Y1974" i="31"/>
  <c r="X1975" i="31"/>
  <c r="Y1975" i="31"/>
  <c r="X1976" i="31"/>
  <c r="X1977" i="31"/>
  <c r="Y1976" i="31"/>
  <c r="X1978" i="31"/>
  <c r="Y1977" i="31"/>
  <c r="X1979" i="31"/>
  <c r="Y1978" i="31"/>
  <c r="X1980" i="31"/>
  <c r="Y1979" i="31"/>
  <c r="X1981" i="31"/>
  <c r="Y1980" i="31"/>
  <c r="X1982" i="31"/>
  <c r="Y1981" i="31"/>
  <c r="Y1982" i="31"/>
  <c r="X1983" i="31"/>
  <c r="Y1983" i="31"/>
  <c r="X1984" i="31"/>
  <c r="X1985" i="31"/>
  <c r="Y1984" i="31"/>
  <c r="X1986" i="31"/>
  <c r="Y1985" i="31"/>
  <c r="Y1986" i="31"/>
  <c r="X1987" i="31"/>
  <c r="X1988" i="31"/>
  <c r="Y1987" i="31"/>
  <c r="X1989" i="31"/>
  <c r="Y1988" i="31"/>
  <c r="Y1989" i="31"/>
  <c r="X1990" i="31"/>
  <c r="Y1990" i="31"/>
  <c r="X1991" i="31"/>
  <c r="Y1991" i="31"/>
  <c r="X1992" i="31"/>
  <c r="X1993" i="31"/>
  <c r="Y1992" i="31"/>
  <c r="Y1993" i="31"/>
  <c r="X1994" i="31"/>
  <c r="X1995" i="31"/>
  <c r="Y1994" i="31"/>
  <c r="Y1995" i="31"/>
  <c r="X1996" i="31"/>
  <c r="X1997" i="31"/>
  <c r="Y1996" i="31"/>
  <c r="Y1997" i="31"/>
  <c r="X1998" i="31"/>
  <c r="Y1998" i="31"/>
  <c r="X1999" i="31"/>
  <c r="Y1999" i="31"/>
  <c r="X2000" i="31"/>
  <c r="Y2000" i="31"/>
  <c r="X2001" i="31"/>
  <c r="Y2001" i="31"/>
  <c r="X2002" i="31"/>
  <c r="X2003" i="31"/>
  <c r="Y2002" i="31"/>
  <c r="Y2003" i="31"/>
  <c r="X2004" i="31"/>
  <c r="X2005" i="31"/>
  <c r="Y2004" i="31"/>
  <c r="Y2005" i="31"/>
  <c r="X2006" i="31"/>
  <c r="Y2006" i="31"/>
  <c r="X2007" i="31"/>
  <c r="X2008" i="31"/>
  <c r="Y2007" i="31"/>
  <c r="X2009" i="31"/>
  <c r="Y2008" i="31"/>
  <c r="X2010" i="31"/>
  <c r="Y2009" i="31"/>
  <c r="Y2010" i="31"/>
  <c r="X2011" i="31"/>
  <c r="X2012" i="31"/>
  <c r="Y2011" i="31"/>
  <c r="X2013" i="31"/>
  <c r="Y2012" i="31"/>
  <c r="X2014" i="31"/>
  <c r="Y2013" i="31"/>
  <c r="X2015" i="31"/>
  <c r="Y2014" i="31"/>
  <c r="X2016" i="31"/>
  <c r="Y2015" i="31"/>
  <c r="Y2016" i="31"/>
  <c r="X2017" i="31"/>
  <c r="Y2017" i="31"/>
  <c r="X2018" i="31"/>
  <c r="X2019" i="31"/>
  <c r="Y2018" i="31"/>
  <c r="X2020" i="31"/>
  <c r="Y2019" i="31"/>
  <c r="X2021" i="31"/>
  <c r="Y2020" i="31"/>
  <c r="Y2021" i="31"/>
  <c r="X2022" i="31"/>
  <c r="Y2022" i="31"/>
  <c r="X2023" i="31"/>
  <c r="X2024" i="31"/>
  <c r="Y2023" i="31"/>
  <c r="Y2024" i="31"/>
  <c r="X2025" i="31"/>
  <c r="Y2025" i="31"/>
  <c r="X2026" i="31"/>
  <c r="X2027" i="31"/>
  <c r="Y2026" i="31"/>
  <c r="Y2027" i="31"/>
  <c r="X2028" i="31"/>
  <c r="X2029" i="31"/>
  <c r="Y2028" i="31"/>
  <c r="X2030" i="31"/>
  <c r="Y2029" i="31"/>
  <c r="Y2030" i="31"/>
  <c r="X2031" i="31"/>
  <c r="X2032" i="31"/>
  <c r="Y2031" i="31"/>
  <c r="Y2032" i="31"/>
  <c r="X2033" i="31"/>
  <c r="Y2033" i="31"/>
  <c r="X2034" i="31"/>
  <c r="X2035" i="31"/>
  <c r="Y2034" i="31"/>
  <c r="X2036" i="31"/>
  <c r="Y2035" i="31"/>
  <c r="X2037" i="31"/>
  <c r="Y2036" i="31"/>
  <c r="X2038" i="31"/>
  <c r="Y2037" i="31"/>
  <c r="Y2038" i="31"/>
  <c r="X2039" i="31"/>
  <c r="Y2039" i="31"/>
  <c r="X2040" i="31"/>
  <c r="Y2040" i="31"/>
  <c r="X2041" i="31"/>
  <c r="X2042" i="31"/>
  <c r="Y2041" i="31"/>
  <c r="Y2042" i="31"/>
  <c r="X2043" i="31"/>
  <c r="X2044" i="31"/>
  <c r="Y2043" i="31"/>
  <c r="X2045" i="31"/>
  <c r="Y2044" i="31"/>
  <c r="X2046" i="31"/>
  <c r="Y2045" i="31"/>
  <c r="Y2046" i="31"/>
  <c r="X2047" i="31"/>
  <c r="X2048" i="31"/>
  <c r="Y2047" i="31"/>
  <c r="X2049" i="31"/>
  <c r="Y2048" i="31"/>
  <c r="Y2049" i="31"/>
  <c r="X2050" i="31"/>
  <c r="X2051" i="31"/>
  <c r="Y2050" i="31"/>
  <c r="X2052" i="31"/>
  <c r="Y2051" i="31"/>
  <c r="X2053" i="31"/>
  <c r="Y2052" i="31"/>
  <c r="X2054" i="31"/>
  <c r="Y2053" i="31"/>
  <c r="Y2054" i="31"/>
  <c r="X2055" i="31"/>
  <c r="X2056" i="31"/>
  <c r="Y2055" i="31"/>
  <c r="Y2056" i="31"/>
  <c r="X2057" i="31"/>
  <c r="X2058" i="31"/>
  <c r="Y2057" i="31"/>
  <c r="Y2058" i="31"/>
  <c r="X2059" i="31"/>
  <c r="X2060" i="31"/>
  <c r="Y2059" i="31"/>
  <c r="X2061" i="31"/>
  <c r="Y2060" i="31"/>
  <c r="X2062" i="31"/>
  <c r="Y2061" i="31"/>
  <c r="Y2062" i="31"/>
  <c r="X2063" i="31"/>
  <c r="X2064" i="31"/>
  <c r="Y2063" i="31"/>
  <c r="Y2064" i="31"/>
  <c r="X2065" i="31"/>
  <c r="Y2065" i="31"/>
  <c r="X2066" i="31"/>
  <c r="X2067" i="31"/>
  <c r="Y2066" i="31"/>
  <c r="Y2067" i="31"/>
  <c r="X2068" i="31"/>
  <c r="X2069" i="31"/>
  <c r="Y2068" i="31"/>
  <c r="X2070" i="31"/>
  <c r="Y2069" i="31"/>
  <c r="Y2070" i="31"/>
  <c r="X2071" i="31"/>
  <c r="X2072" i="31"/>
  <c r="Y2071" i="31"/>
  <c r="Y2072" i="31"/>
  <c r="X2073" i="31"/>
  <c r="X2074" i="31"/>
  <c r="Y2073" i="31"/>
  <c r="Y2074" i="31"/>
  <c r="X2075" i="31"/>
  <c r="Y2075" i="31"/>
  <c r="X2076" i="31"/>
  <c r="X2077" i="31"/>
  <c r="Y2076" i="31"/>
  <c r="Y2077" i="31"/>
  <c r="X2078" i="31"/>
  <c r="Y2078" i="31"/>
  <c r="X2079" i="31"/>
  <c r="X2080" i="31"/>
  <c r="Y2079" i="31"/>
  <c r="X2081" i="31"/>
  <c r="Y2080" i="31"/>
  <c r="Y2081" i="31"/>
  <c r="X2082" i="31"/>
  <c r="Y2082" i="31"/>
  <c r="X2083" i="31"/>
  <c r="X2084" i="31"/>
  <c r="Y2083" i="31"/>
  <c r="X2085" i="31"/>
  <c r="Y2084" i="31"/>
  <c r="Y2085" i="31"/>
  <c r="X2086" i="31"/>
  <c r="Y2086" i="31"/>
  <c r="X2087" i="31"/>
  <c r="X2088" i="31"/>
  <c r="Y2087" i="31"/>
  <c r="Y2088" i="31"/>
  <c r="X2089" i="31"/>
  <c r="X2090" i="31"/>
  <c r="Y2089" i="31"/>
  <c r="Y2090" i="31"/>
  <c r="X2091" i="31"/>
  <c r="Y2091" i="31"/>
  <c r="X2092" i="31"/>
  <c r="X2093" i="31"/>
  <c r="Y2092" i="31"/>
  <c r="X2094" i="31"/>
  <c r="Y2093" i="31"/>
  <c r="Y2094" i="31"/>
  <c r="X2095" i="31"/>
  <c r="Y2095" i="31"/>
  <c r="X2096" i="31"/>
  <c r="Y2096" i="31"/>
  <c r="X2097" i="31"/>
  <c r="Y2097" i="31"/>
  <c r="X2098" i="31"/>
  <c r="X2099" i="31"/>
  <c r="Y2098" i="31"/>
  <c r="Y2099" i="31"/>
  <c r="X2100" i="31"/>
  <c r="X2101" i="31"/>
  <c r="Y2100" i="31"/>
  <c r="X2102" i="31"/>
  <c r="Y2101" i="31"/>
  <c r="Y2102" i="31"/>
  <c r="X2103" i="31"/>
  <c r="Y2103" i="31"/>
  <c r="X2104" i="31"/>
  <c r="Y2104" i="31"/>
  <c r="X2105" i="31"/>
  <c r="Y2105" i="31"/>
  <c r="X2106" i="31"/>
  <c r="Y2106" i="31"/>
  <c r="X2107" i="31"/>
  <c r="X2108" i="31"/>
  <c r="Y2107" i="31"/>
  <c r="X2109" i="31"/>
  <c r="Y2108" i="31"/>
  <c r="X2110" i="31"/>
  <c r="Y2109" i="31"/>
  <c r="Y2110" i="31"/>
  <c r="X2111" i="31"/>
  <c r="X2112" i="31"/>
  <c r="Y2111" i="31"/>
  <c r="X2113" i="31"/>
  <c r="Y2112" i="31"/>
  <c r="Y2113" i="31"/>
  <c r="X2114" i="31"/>
  <c r="Y2114" i="31"/>
  <c r="X2115" i="31"/>
  <c r="X2116" i="31"/>
  <c r="Y2115" i="31"/>
  <c r="X2117" i="31"/>
  <c r="Y2116" i="31"/>
  <c r="Y2117" i="31"/>
  <c r="X2118" i="31"/>
  <c r="Y2118" i="31"/>
  <c r="X2119" i="31"/>
  <c r="X2120" i="31"/>
  <c r="Y2119" i="31"/>
  <c r="Y2120" i="31"/>
  <c r="X2121" i="31"/>
  <c r="Y2121" i="31"/>
  <c r="X2122" i="31"/>
  <c r="Y2122" i="31"/>
  <c r="X2123" i="31"/>
  <c r="X2124" i="31"/>
  <c r="Y2123" i="31"/>
  <c r="X2125" i="31"/>
  <c r="Y2124" i="31"/>
  <c r="X2126" i="31"/>
  <c r="Y2125" i="31"/>
  <c r="X2127" i="31"/>
  <c r="Y2126" i="31"/>
  <c r="X2128" i="31"/>
  <c r="Y2127" i="31"/>
  <c r="Y2128" i="31"/>
  <c r="X2129" i="31"/>
  <c r="Y2129" i="31"/>
  <c r="X2130" i="31"/>
  <c r="Y2130" i="31"/>
  <c r="X2131" i="31"/>
  <c r="X2132" i="31"/>
  <c r="Y2131" i="31"/>
  <c r="Y2132" i="31"/>
  <c r="X2133" i="31"/>
  <c r="X2134" i="31"/>
  <c r="Y2133" i="31"/>
  <c r="Y2134" i="31"/>
  <c r="X2135" i="31"/>
  <c r="X2136" i="31"/>
  <c r="Y2135" i="31"/>
  <c r="Y2136" i="31"/>
  <c r="X2137" i="31"/>
  <c r="X2138" i="31"/>
  <c r="Y2137" i="31"/>
  <c r="Y2138" i="31"/>
  <c r="X2139" i="31"/>
  <c r="X2140" i="31"/>
  <c r="Y2139" i="31"/>
  <c r="Y2140" i="31"/>
  <c r="X2141" i="31"/>
  <c r="X2142" i="31"/>
  <c r="Y2141" i="31"/>
  <c r="Y2142" i="31"/>
  <c r="X2143" i="31"/>
  <c r="X2144" i="31"/>
  <c r="Y2143" i="31"/>
  <c r="X2145" i="31"/>
  <c r="Y2144" i="31"/>
  <c r="Y2145" i="31"/>
  <c r="X2146" i="31"/>
  <c r="Y2146" i="31"/>
  <c r="X2147" i="31"/>
  <c r="X2148" i="31"/>
  <c r="Y2147" i="31"/>
  <c r="X2149" i="31"/>
  <c r="Y2148" i="31"/>
  <c r="Y2149" i="31"/>
  <c r="X2150" i="31"/>
  <c r="X2151" i="31"/>
  <c r="Y2150" i="31"/>
  <c r="X2152" i="31"/>
  <c r="Y2151" i="31"/>
  <c r="Y2152" i="31"/>
  <c r="X2153" i="31"/>
  <c r="Y2153" i="31"/>
  <c r="X2154" i="31"/>
  <c r="Y2154" i="31"/>
  <c r="X2155" i="31"/>
  <c r="Y2155" i="31"/>
  <c r="X2156" i="31"/>
  <c r="X2157" i="31"/>
  <c r="Y2156" i="31"/>
  <c r="X2158" i="31"/>
  <c r="Y2157" i="31"/>
  <c r="Y2158" i="31"/>
  <c r="X2159" i="31"/>
  <c r="X2160" i="31"/>
  <c r="Y2159" i="31"/>
  <c r="Y2160" i="31"/>
  <c r="X2161" i="31"/>
  <c r="Y2161" i="31"/>
  <c r="X2162" i="31"/>
  <c r="X2163" i="31"/>
  <c r="Y2162" i="31"/>
  <c r="X2164" i="31"/>
  <c r="Y2163" i="31"/>
  <c r="X2165" i="31"/>
  <c r="Y2164" i="31"/>
  <c r="X2166" i="31"/>
  <c r="Y2165" i="31"/>
  <c r="Y2166" i="31"/>
  <c r="X2167" i="31"/>
  <c r="X2168" i="31"/>
  <c r="Y2167" i="31"/>
  <c r="Y2168" i="31"/>
  <c r="X2169" i="31"/>
  <c r="X2170" i="31"/>
  <c r="Y2169" i="31"/>
  <c r="Y2170" i="31"/>
  <c r="X2171" i="31"/>
  <c r="X2172" i="31"/>
  <c r="Y2171" i="31"/>
  <c r="X2173" i="31"/>
  <c r="Y2172" i="31"/>
  <c r="Y2173" i="31"/>
  <c r="X2174" i="31"/>
  <c r="Y2174" i="31"/>
  <c r="X2175" i="31"/>
  <c r="X2176" i="31"/>
  <c r="Y2175" i="31"/>
  <c r="X2177" i="31"/>
  <c r="Y2176" i="31"/>
  <c r="Y2177" i="31"/>
  <c r="X2178" i="31"/>
  <c r="Y2178" i="31"/>
  <c r="X2179" i="31"/>
  <c r="X2180" i="31"/>
  <c r="Y2179" i="31"/>
  <c r="X2181" i="31"/>
  <c r="Y2180" i="31"/>
  <c r="X2182" i="31"/>
  <c r="Y2181" i="31"/>
  <c r="Y2182" i="31"/>
  <c r="X2183" i="31"/>
  <c r="X2184" i="31"/>
  <c r="Y2183" i="31"/>
  <c r="Y2184" i="31"/>
  <c r="X2185" i="31"/>
  <c r="X2186" i="31"/>
  <c r="Y2185" i="31"/>
  <c r="Y2186" i="31"/>
  <c r="X2187" i="31"/>
  <c r="X2188" i="31"/>
  <c r="Y2187" i="31"/>
  <c r="X2189" i="31"/>
  <c r="Y2188" i="31"/>
  <c r="X2190" i="31"/>
  <c r="Y2189" i="31"/>
  <c r="X2191" i="31"/>
  <c r="Y2190" i="31"/>
  <c r="X2192" i="31"/>
  <c r="Y2191" i="31"/>
  <c r="X2193" i="31"/>
  <c r="Y2192" i="31"/>
  <c r="Y2193" i="31"/>
  <c r="X2194" i="31"/>
  <c r="X2195" i="31"/>
  <c r="Y2194" i="31"/>
  <c r="Y2195" i="31"/>
  <c r="X2196" i="31"/>
  <c r="X2197" i="31"/>
  <c r="Y2196" i="31"/>
  <c r="Y2197" i="31"/>
  <c r="X2198" i="31"/>
  <c r="Y2198" i="31"/>
  <c r="X2199" i="31"/>
  <c r="Y2199" i="31"/>
  <c r="X2200" i="31"/>
  <c r="Y2200" i="31"/>
  <c r="X2201" i="31"/>
  <c r="Y2201" i="31"/>
  <c r="X2202" i="31"/>
  <c r="X2203" i="31"/>
  <c r="Y2202" i="31"/>
  <c r="Y2203" i="31"/>
  <c r="X2204" i="31"/>
  <c r="X2205" i="31"/>
  <c r="Y2204" i="31"/>
  <c r="Y2205" i="31"/>
  <c r="X2206" i="31"/>
  <c r="Y2206" i="31"/>
  <c r="X2207" i="31"/>
  <c r="Y2207" i="31"/>
  <c r="X2208" i="31"/>
  <c r="X2209" i="31"/>
  <c r="Y2208" i="31"/>
  <c r="Y2209" i="31"/>
  <c r="X2210" i="31"/>
  <c r="Y2210" i="31"/>
  <c r="X2211" i="31"/>
  <c r="Y2211" i="31"/>
  <c r="X2212" i="31"/>
  <c r="X2213" i="31"/>
  <c r="Y2212" i="31"/>
  <c r="Y2213" i="31"/>
  <c r="X2214" i="31"/>
  <c r="Y2214" i="31"/>
  <c r="X2215" i="31"/>
  <c r="X2216" i="31"/>
  <c r="Y2215" i="31"/>
  <c r="Y2216" i="31"/>
  <c r="X2217" i="31"/>
  <c r="Y2217" i="31"/>
  <c r="X2218" i="31"/>
  <c r="Y2218" i="31"/>
  <c r="X2219" i="31"/>
  <c r="X2220" i="31"/>
  <c r="Y2219" i="31"/>
  <c r="X2221" i="31"/>
  <c r="Y2220" i="31"/>
  <c r="X2222" i="31"/>
  <c r="Y2221" i="31"/>
  <c r="Y2222" i="31"/>
  <c r="X2223" i="31"/>
  <c r="X2224" i="31"/>
  <c r="Y2223" i="31"/>
  <c r="X2225" i="31"/>
  <c r="Y2224" i="31"/>
  <c r="Y2225" i="31"/>
  <c r="X2226" i="31"/>
  <c r="X2227" i="31"/>
  <c r="Y2226" i="31"/>
  <c r="Y2227" i="31"/>
  <c r="X2228" i="31"/>
  <c r="X2229" i="31"/>
  <c r="Y2228" i="31"/>
  <c r="Y2229" i="31"/>
  <c r="X2230" i="31"/>
  <c r="Y2230" i="31"/>
  <c r="X2231" i="31"/>
  <c r="X2232" i="31"/>
  <c r="Y2231" i="31"/>
  <c r="Y2232" i="31"/>
  <c r="X2233" i="31"/>
  <c r="X2234" i="31"/>
  <c r="Y2233" i="31"/>
  <c r="X2235" i="31"/>
  <c r="Y2234" i="31"/>
  <c r="Y2235" i="31"/>
  <c r="X2236" i="31"/>
  <c r="Y2236" i="31"/>
  <c r="X2237" i="31"/>
  <c r="X2238" i="31"/>
  <c r="Y2237" i="31"/>
  <c r="X2239" i="31"/>
  <c r="Y2238" i="31"/>
  <c r="Y2239" i="31"/>
  <c r="X2240" i="31"/>
  <c r="Y2240" i="31"/>
  <c r="X2241" i="31"/>
  <c r="X2242" i="31"/>
  <c r="Y2241" i="31"/>
  <c r="X2243" i="31"/>
  <c r="Y2242" i="31"/>
  <c r="X2244" i="31"/>
  <c r="Y2243" i="31"/>
  <c r="Y2244" i="31"/>
  <c r="X2245" i="31"/>
  <c r="Y2245" i="31"/>
  <c r="X2246" i="31"/>
  <c r="Y2246" i="31"/>
  <c r="X2247" i="31"/>
  <c r="X2248" i="31"/>
  <c r="Y2247" i="31"/>
  <c r="X2249" i="31"/>
  <c r="Y2248" i="31"/>
  <c r="X2250" i="31"/>
  <c r="Y2249" i="31"/>
  <c r="X2251" i="31"/>
  <c r="Y2250" i="31"/>
  <c r="X2252" i="31"/>
  <c r="Y2251" i="31"/>
  <c r="Y2252" i="31"/>
  <c r="X2253" i="31"/>
  <c r="Y2253" i="31"/>
  <c r="X2254" i="31"/>
  <c r="Y2254" i="31"/>
  <c r="X2255" i="31"/>
  <c r="Y2255" i="31"/>
  <c r="X2256" i="31"/>
  <c r="Y2256" i="31"/>
  <c r="X2257" i="31"/>
  <c r="Y2257" i="31"/>
  <c r="X2258" i="31"/>
  <c r="Y2258" i="31"/>
  <c r="X2259" i="31"/>
  <c r="Y2259" i="31"/>
  <c r="X2260" i="31"/>
  <c r="Y2260" i="31"/>
  <c r="X2261" i="31"/>
  <c r="X2262" i="31"/>
  <c r="Y2261" i="31"/>
  <c r="X2263" i="31"/>
  <c r="Y2262" i="31"/>
  <c r="X2264" i="31"/>
  <c r="Y2263" i="31"/>
  <c r="Y2264" i="31"/>
  <c r="X2265" i="31"/>
  <c r="Y2265" i="31"/>
  <c r="X2266" i="31"/>
  <c r="Y2266" i="31"/>
  <c r="X2267" i="31"/>
  <c r="X2268" i="31"/>
  <c r="Y2267" i="31"/>
  <c r="Y2268" i="31"/>
  <c r="X2269" i="31"/>
  <c r="X2270" i="31"/>
  <c r="Y2269" i="31"/>
  <c r="X2271" i="31"/>
  <c r="Y2270" i="31"/>
  <c r="Y2271" i="31"/>
  <c r="X2272" i="31"/>
  <c r="Y2272" i="31"/>
  <c r="X2273" i="31"/>
  <c r="Y2273" i="31"/>
  <c r="X2274" i="31"/>
  <c r="X2275" i="31"/>
  <c r="Y2274" i="31"/>
  <c r="Y2275" i="31"/>
  <c r="X2276" i="31"/>
  <c r="Y2276" i="31"/>
  <c r="X2277" i="31"/>
  <c r="X2278" i="31"/>
  <c r="Y2277" i="31"/>
  <c r="Y2278" i="31"/>
  <c r="X2279" i="31"/>
  <c r="Y2279" i="31"/>
  <c r="X2280" i="31"/>
  <c r="Y2280" i="31"/>
  <c r="X2281" i="31"/>
  <c r="Y2281" i="31"/>
  <c r="X2282" i="31"/>
  <c r="X2283" i="31"/>
  <c r="Y2282" i="31"/>
  <c r="X2284" i="31"/>
  <c r="Y2283" i="31"/>
  <c r="Y2284" i="31"/>
  <c r="X2285" i="31"/>
  <c r="X2286" i="31"/>
  <c r="Y2285" i="31"/>
  <c r="X2287" i="31"/>
  <c r="Y2286" i="31"/>
  <c r="X2288" i="31"/>
  <c r="Y2287" i="31"/>
  <c r="Y2288" i="31"/>
  <c r="X2289" i="31"/>
  <c r="Y2289" i="31"/>
  <c r="X2290" i="31"/>
  <c r="X2291" i="31"/>
  <c r="Y2290" i="31"/>
  <c r="Y2291" i="31"/>
  <c r="X2292" i="31"/>
  <c r="Y2292" i="31"/>
  <c r="X2293" i="31"/>
  <c r="X2294" i="31"/>
  <c r="Y2293" i="31"/>
  <c r="X2295" i="31"/>
  <c r="Y2294" i="31"/>
  <c r="Y2295" i="31"/>
  <c r="X2296" i="31"/>
  <c r="Y2296" i="31"/>
  <c r="X2297" i="31"/>
  <c r="Y2297" i="31"/>
  <c r="X2298" i="31"/>
  <c r="Y2298" i="31"/>
  <c r="X2299" i="31"/>
  <c r="X2300" i="31"/>
  <c r="Y2299" i="31"/>
  <c r="Y2300" i="31"/>
  <c r="X2301" i="31"/>
  <c r="Y2301" i="31"/>
  <c r="X2302" i="31"/>
  <c r="X2303" i="31"/>
  <c r="Y2302" i="31"/>
  <c r="X2304" i="31"/>
  <c r="Y2303" i="31"/>
  <c r="Y2304" i="31"/>
  <c r="X2305" i="31"/>
  <c r="Y2305" i="31"/>
  <c r="X2306" i="31"/>
  <c r="Y2306" i="31"/>
  <c r="X2307" i="31"/>
  <c r="Y2307" i="31"/>
  <c r="X2308" i="31"/>
  <c r="Y2308" i="31"/>
  <c r="X2309" i="31"/>
  <c r="Y2309" i="31"/>
  <c r="X2310" i="31"/>
  <c r="X2311" i="31"/>
  <c r="Y2310" i="31"/>
  <c r="Y2311" i="31"/>
  <c r="X2312" i="31"/>
  <c r="X2313" i="31"/>
  <c r="Y2312" i="31"/>
  <c r="Y2313" i="31"/>
  <c r="X2314" i="31"/>
  <c r="X2315" i="31"/>
  <c r="Y2314" i="31"/>
  <c r="X2316" i="31"/>
  <c r="Y2315" i="31"/>
  <c r="Y2316" i="31"/>
  <c r="X2317" i="31"/>
  <c r="X2318" i="31"/>
  <c r="Y2317" i="31"/>
  <c r="X2319" i="31"/>
  <c r="Y2318" i="31"/>
  <c r="Y2319" i="31"/>
  <c r="X2320" i="31"/>
  <c r="Y2320" i="31"/>
  <c r="X2321" i="31"/>
  <c r="X2322" i="31"/>
  <c r="Y2321" i="31"/>
  <c r="X2323" i="31"/>
  <c r="Y2322" i="31"/>
  <c r="Y2323" i="31"/>
  <c r="X2324" i="31"/>
  <c r="Y2324" i="31"/>
  <c r="X2325" i="31"/>
  <c r="X2326" i="31"/>
  <c r="Y2325" i="31"/>
  <c r="X2327" i="31"/>
  <c r="Y2326" i="31"/>
  <c r="Y2327" i="31"/>
  <c r="X2328" i="31"/>
  <c r="Y2328" i="31"/>
  <c r="X2329" i="31"/>
  <c r="Y2329" i="31"/>
  <c r="X2330" i="31"/>
  <c r="Y2330" i="31"/>
  <c r="X2331" i="31"/>
  <c r="Y2331" i="31"/>
  <c r="X2332" i="31"/>
  <c r="Y2332" i="31"/>
  <c r="X2333" i="31"/>
  <c r="Y2333" i="31"/>
  <c r="X2334" i="31"/>
  <c r="X2335" i="31"/>
  <c r="Y2334" i="31"/>
  <c r="X2336" i="31"/>
  <c r="Y2335" i="31"/>
  <c r="Y2336" i="31"/>
  <c r="X2337" i="31"/>
  <c r="Y2337" i="31"/>
  <c r="X2338" i="31"/>
  <c r="X2339" i="31"/>
  <c r="Y2338" i="31"/>
  <c r="Y2339" i="31"/>
  <c r="X2340" i="31"/>
  <c r="Y2340" i="31"/>
  <c r="X2341" i="31"/>
  <c r="X2342" i="31"/>
  <c r="Y2341" i="31"/>
  <c r="X2343" i="31"/>
  <c r="Y2342" i="31"/>
  <c r="Y2343" i="31"/>
  <c r="X2344" i="31"/>
  <c r="Y2344" i="31"/>
  <c r="X2345" i="31"/>
  <c r="Y2345" i="31"/>
  <c r="X2346" i="31"/>
  <c r="X2347" i="31"/>
  <c r="Y2346" i="31"/>
  <c r="X2348" i="31"/>
  <c r="Y2347" i="31"/>
  <c r="Y2348" i="31"/>
  <c r="X2349" i="31"/>
  <c r="X2350" i="31"/>
  <c r="Y2349" i="31"/>
  <c r="X2351" i="31"/>
  <c r="Y2350" i="31"/>
  <c r="Y2351" i="31"/>
  <c r="X2352" i="31"/>
  <c r="Y2352" i="31"/>
  <c r="X2353" i="31"/>
  <c r="X2354" i="31"/>
  <c r="Y2353" i="31"/>
  <c r="X2355" i="31"/>
  <c r="Y2354" i="31"/>
  <c r="Y2355" i="31"/>
  <c r="X2356" i="31"/>
  <c r="Y2356" i="31"/>
  <c r="X2357" i="31"/>
  <c r="Y2357" i="31"/>
  <c r="X2358" i="31"/>
  <c r="X2359" i="31"/>
  <c r="Y2358" i="31"/>
  <c r="X2360" i="31"/>
  <c r="Y2359" i="31"/>
  <c r="Y2360" i="31"/>
  <c r="X2361" i="31"/>
  <c r="X2362" i="31"/>
  <c r="Y2361" i="31"/>
  <c r="X2363" i="31"/>
  <c r="Y2362" i="31"/>
  <c r="Y2363" i="31"/>
  <c r="X2364" i="31"/>
  <c r="Y2364" i="31"/>
  <c r="X2365" i="31"/>
  <c r="Y2365" i="31"/>
  <c r="X2366" i="31"/>
  <c r="Y2366" i="31"/>
  <c r="X2367" i="31"/>
  <c r="Y2367" i="31"/>
  <c r="X2368" i="31"/>
  <c r="Y2368" i="31"/>
  <c r="X2369" i="31"/>
  <c r="X2370" i="31"/>
  <c r="Y2369" i="31"/>
  <c r="X2371" i="31"/>
  <c r="Y2370" i="31"/>
  <c r="X2372" i="31"/>
  <c r="Y2371" i="31"/>
  <c r="Y2372" i="31"/>
  <c r="X2373" i="31"/>
  <c r="Y2373" i="31"/>
  <c r="X2374" i="31"/>
  <c r="X2375" i="31"/>
  <c r="Y2374" i="31"/>
  <c r="X2376" i="31"/>
  <c r="Y2375" i="31"/>
  <c r="Y2376" i="31"/>
  <c r="X2377" i="31"/>
  <c r="X2378" i="31"/>
  <c r="Y2377" i="31"/>
  <c r="X2379" i="31"/>
  <c r="Y2378" i="31"/>
  <c r="Y2379" i="31"/>
  <c r="X2380" i="31"/>
  <c r="Y2380" i="31"/>
  <c r="X2381" i="31"/>
  <c r="Y2381" i="31"/>
  <c r="X2382" i="31"/>
  <c r="X2383" i="31"/>
  <c r="Y2382" i="31"/>
  <c r="Y2383" i="31"/>
  <c r="X2384" i="31"/>
  <c r="Y2384" i="31"/>
  <c r="X2385" i="31"/>
  <c r="Y2385" i="31"/>
  <c r="X2386" i="31"/>
  <c r="X2387" i="31"/>
  <c r="Y2386" i="31"/>
  <c r="X2388" i="31"/>
  <c r="Y2387" i="31"/>
  <c r="Y2388" i="31"/>
  <c r="X2389" i="31"/>
  <c r="Y2389" i="31"/>
  <c r="X2390" i="31"/>
  <c r="X2391" i="31"/>
  <c r="Y2390" i="31"/>
  <c r="X2392" i="31"/>
  <c r="Y2391" i="31"/>
  <c r="X2393" i="31"/>
  <c r="Y2392" i="31"/>
  <c r="X2394" i="31"/>
  <c r="Y2393" i="31"/>
  <c r="X2395" i="31"/>
  <c r="Y2394" i="31"/>
  <c r="Y2395" i="31"/>
  <c r="X2396" i="31"/>
  <c r="X2397" i="31"/>
  <c r="Y2396" i="31"/>
  <c r="Y2397" i="31"/>
  <c r="X2398" i="31"/>
  <c r="Y2398" i="31"/>
  <c r="X2399" i="31"/>
  <c r="X2400" i="31"/>
  <c r="Y2399" i="31"/>
  <c r="Y2400" i="31"/>
  <c r="X2401" i="31"/>
  <c r="Y2401" i="31"/>
  <c r="X2402" i="31"/>
  <c r="X2403" i="31"/>
  <c r="Y2402" i="31"/>
  <c r="X2404" i="31"/>
  <c r="Y2403" i="31"/>
  <c r="X2405" i="31"/>
  <c r="Y2404" i="31"/>
  <c r="Y2405" i="31"/>
  <c r="X2406" i="31"/>
  <c r="X2407" i="31"/>
  <c r="Y2406" i="31"/>
  <c r="X2408" i="31"/>
  <c r="Y2407" i="31"/>
  <c r="X2409" i="31"/>
  <c r="Y2408" i="31"/>
  <c r="X2410" i="31"/>
  <c r="Y2409" i="31"/>
  <c r="X2411" i="31"/>
  <c r="Y2410" i="31"/>
  <c r="Y2411" i="31"/>
  <c r="X2412" i="31"/>
  <c r="X2413" i="31"/>
  <c r="Y2412" i="31"/>
  <c r="X2414" i="31"/>
  <c r="Y2413" i="31"/>
  <c r="Y2414" i="31"/>
  <c r="X2415" i="31"/>
  <c r="X2416" i="31"/>
  <c r="Y2415" i="31"/>
  <c r="Y2416" i="31"/>
  <c r="X2417" i="31"/>
  <c r="Y2417" i="31"/>
  <c r="X2418" i="31"/>
  <c r="X2419" i="31"/>
  <c r="Y2418" i="31"/>
  <c r="X2420" i="31"/>
  <c r="Y2419" i="31"/>
  <c r="X2421" i="31"/>
  <c r="Y2420" i="31"/>
  <c r="Y2421" i="31"/>
  <c r="X2422" i="31"/>
  <c r="X2423" i="31"/>
  <c r="Y2422" i="31"/>
  <c r="X2424" i="31"/>
  <c r="Y2423" i="31"/>
  <c r="X2425" i="31"/>
  <c r="Y2424" i="31"/>
  <c r="Y2425" i="31"/>
  <c r="X2426" i="31"/>
  <c r="X2427" i="31"/>
  <c r="Y2426" i="31"/>
  <c r="Y2427" i="31"/>
  <c r="X2428" i="31"/>
  <c r="X2429" i="31"/>
  <c r="Y2428" i="31"/>
  <c r="Y2429" i="31"/>
  <c r="X2430" i="31"/>
  <c r="Y2430" i="31"/>
  <c r="X2431" i="31"/>
  <c r="X2432" i="31"/>
  <c r="Y2431" i="31"/>
  <c r="Y2432" i="31"/>
  <c r="X2433" i="31"/>
  <c r="Y2433" i="31"/>
  <c r="X2434" i="31"/>
  <c r="X2435" i="31"/>
  <c r="Y2434" i="31"/>
  <c r="X2436" i="31"/>
  <c r="Y2435" i="31"/>
  <c r="X2437" i="31"/>
  <c r="Y2436" i="31"/>
  <c r="Y2437" i="31"/>
  <c r="X2438" i="31"/>
  <c r="X2439" i="31"/>
  <c r="Y2438" i="31"/>
  <c r="X2440" i="31"/>
  <c r="Y2439" i="31"/>
  <c r="X2441" i="31"/>
  <c r="Y2440" i="31"/>
  <c r="X2442" i="31"/>
  <c r="Y2441" i="31"/>
  <c r="X2443" i="31"/>
  <c r="Y2442" i="31"/>
  <c r="Y2443" i="31"/>
  <c r="X2444" i="31"/>
  <c r="X2445" i="31"/>
  <c r="Y2444" i="31"/>
  <c r="Y2445" i="31"/>
  <c r="X2446" i="31"/>
  <c r="Y2446" i="31"/>
  <c r="X2447" i="31"/>
  <c r="X2448" i="31"/>
  <c r="Y2447" i="31"/>
  <c r="Y2448" i="31"/>
  <c r="X2449" i="31"/>
  <c r="Y2449" i="31"/>
  <c r="X2450" i="31"/>
  <c r="X2451" i="31"/>
  <c r="Y2450" i="31"/>
  <c r="Y2451" i="31"/>
  <c r="X2452" i="31"/>
  <c r="X2453" i="31"/>
  <c r="Y2452" i="31"/>
  <c r="Y2453" i="31"/>
  <c r="X2454" i="31"/>
  <c r="X2455" i="31"/>
  <c r="Y2454" i="31"/>
  <c r="X2456" i="31"/>
  <c r="Y2455" i="31"/>
  <c r="Y2456" i="31"/>
  <c r="X2457" i="31"/>
  <c r="X2458" i="31"/>
  <c r="Y2457" i="31"/>
  <c r="X2459" i="31"/>
  <c r="Y2458" i="31"/>
  <c r="Y2459" i="31"/>
  <c r="X2460" i="31"/>
  <c r="X2461" i="31"/>
  <c r="Y2460" i="31"/>
  <c r="Y2461" i="31"/>
  <c r="X2462" i="31"/>
  <c r="Y2462" i="31"/>
  <c r="X2463" i="31"/>
  <c r="X2464" i="31"/>
  <c r="Y2463" i="31"/>
  <c r="Y2464" i="31"/>
  <c r="X2465" i="31"/>
  <c r="X2466" i="31"/>
  <c r="Y2465" i="31"/>
  <c r="X2467" i="31"/>
  <c r="Y2466" i="31"/>
  <c r="X2468" i="31"/>
  <c r="Y2467" i="31"/>
  <c r="X2469" i="31"/>
  <c r="Y2468" i="31"/>
  <c r="Y2469" i="31"/>
  <c r="X2470" i="31"/>
  <c r="X2471" i="31"/>
  <c r="Y2470" i="31"/>
  <c r="X2472" i="31"/>
  <c r="Y2471" i="31"/>
  <c r="X2473" i="31"/>
  <c r="Y2472" i="31"/>
  <c r="X2474" i="31"/>
  <c r="Y2473" i="31"/>
  <c r="X2475" i="31"/>
  <c r="Y2474" i="31"/>
  <c r="Y2475" i="31"/>
  <c r="X2476" i="31"/>
  <c r="X2477" i="31"/>
  <c r="Y2476" i="31"/>
  <c r="Y2477" i="31"/>
  <c r="X2478" i="31"/>
  <c r="X2479" i="31"/>
  <c r="Y2478" i="31"/>
  <c r="X2480" i="31"/>
  <c r="Y2479" i="31"/>
  <c r="Y2480" i="31"/>
  <c r="X2481" i="31"/>
  <c r="Y2481" i="31"/>
  <c r="X2482" i="31"/>
  <c r="X2483" i="31"/>
  <c r="Y2482" i="31"/>
  <c r="Y2483" i="31"/>
  <c r="X2484" i="31"/>
  <c r="Y2484" i="31"/>
  <c r="X2485" i="31"/>
  <c r="Y2485" i="31"/>
  <c r="X2486" i="31"/>
  <c r="X2487" i="31"/>
  <c r="Y2486" i="31"/>
  <c r="Y2487" i="31"/>
  <c r="X2488" i="31"/>
  <c r="Y2488" i="31"/>
  <c r="X2489" i="31"/>
  <c r="X2490" i="31"/>
  <c r="Y2489" i="31"/>
  <c r="Y2490" i="31"/>
  <c r="X2491" i="31"/>
  <c r="Y2491" i="31"/>
  <c r="X2492" i="31"/>
  <c r="Y2492" i="31"/>
  <c r="X2493" i="31"/>
  <c r="Y2493" i="31"/>
  <c r="X2494" i="31"/>
  <c r="Y2494" i="31"/>
  <c r="X2495" i="31"/>
  <c r="X2496" i="31"/>
  <c r="Y2495" i="31"/>
  <c r="Y2496" i="31"/>
  <c r="X2497" i="31"/>
  <c r="Y2497" i="31"/>
  <c r="X2498" i="31"/>
  <c r="Y2498" i="31"/>
  <c r="X2499" i="31"/>
  <c r="X2500" i="31"/>
  <c r="Y2499" i="31"/>
  <c r="Y2500" i="31"/>
  <c r="X2501" i="31"/>
  <c r="Y2501" i="31"/>
  <c r="X2502" i="31"/>
  <c r="Y2502" i="31"/>
  <c r="X2503" i="31"/>
  <c r="Y2503" i="31"/>
  <c r="X2504" i="31"/>
  <c r="Y2504" i="31"/>
  <c r="X2505" i="31"/>
  <c r="X2506" i="31"/>
  <c r="Y2505" i="31"/>
  <c r="Y2506" i="31"/>
  <c r="X2507" i="31"/>
  <c r="Y2507" i="31"/>
  <c r="X2508" i="31"/>
  <c r="X2509" i="31"/>
  <c r="Y2508" i="31"/>
  <c r="Y2509" i="31"/>
  <c r="X2510" i="31"/>
  <c r="X2511" i="31"/>
  <c r="Y2510" i="31"/>
  <c r="X2512" i="31"/>
  <c r="Y2511" i="31"/>
  <c r="X2513" i="31"/>
  <c r="Y2512" i="31"/>
  <c r="Y2513" i="31"/>
  <c r="X2514" i="31"/>
  <c r="X2515" i="31"/>
  <c r="Y2514" i="31"/>
  <c r="Y2515" i="31"/>
  <c r="X2516" i="31"/>
  <c r="Y2516" i="31"/>
  <c r="X2517" i="31"/>
  <c r="Y2517" i="31"/>
  <c r="X2518" i="31"/>
  <c r="Y2518" i="31"/>
  <c r="X2519" i="31"/>
  <c r="X2520" i="31"/>
  <c r="Y2519" i="31"/>
  <c r="Y2520" i="31"/>
  <c r="X2521" i="31"/>
  <c r="Y2521" i="31"/>
  <c r="X2522" i="31"/>
  <c r="Y2522" i="31"/>
  <c r="X2523" i="31"/>
  <c r="X2524" i="31"/>
  <c r="Y2523" i="31"/>
  <c r="Y2524" i="31"/>
  <c r="X2525" i="31"/>
  <c r="Y2525" i="31"/>
  <c r="X2526" i="31"/>
  <c r="Y2526" i="31"/>
  <c r="X2527" i="31"/>
  <c r="X2528" i="31"/>
  <c r="Y2527" i="31"/>
  <c r="Y2528" i="31"/>
  <c r="X2529" i="31"/>
  <c r="Y2529" i="31"/>
  <c r="X2530" i="31"/>
  <c r="X2531" i="31"/>
  <c r="Y2530" i="31"/>
  <c r="X2532" i="31"/>
  <c r="Y2531" i="31"/>
  <c r="X2533" i="31"/>
  <c r="Y2532" i="31"/>
  <c r="Y2533" i="31"/>
  <c r="X2534" i="31"/>
  <c r="Y2534" i="31"/>
  <c r="X2535" i="31"/>
  <c r="Y2535" i="31"/>
  <c r="X2536" i="31"/>
  <c r="Y2536" i="31"/>
  <c r="X2537" i="31"/>
  <c r="X2538" i="31"/>
  <c r="Y2537" i="31"/>
  <c r="X2539" i="31"/>
  <c r="Y2538" i="31"/>
  <c r="Y2539" i="31"/>
  <c r="X2540" i="31"/>
  <c r="Y2540" i="31"/>
  <c r="X2541" i="31"/>
  <c r="X2542" i="31"/>
  <c r="Y2541" i="31"/>
  <c r="X2543" i="31"/>
  <c r="Y2542" i="31"/>
  <c r="X2544" i="31"/>
  <c r="Y2543" i="31"/>
  <c r="X2545" i="31"/>
  <c r="Y2544" i="31"/>
  <c r="Y2545" i="31"/>
  <c r="X2546" i="31"/>
  <c r="X2547" i="31"/>
  <c r="Y2546" i="31"/>
  <c r="X2548" i="31"/>
  <c r="Y2547" i="31"/>
  <c r="Y2548" i="31"/>
  <c r="X2549" i="31"/>
  <c r="Y2549" i="31"/>
  <c r="X2550" i="31"/>
  <c r="Y2550" i="31"/>
  <c r="X2551" i="31"/>
  <c r="X2552" i="31"/>
  <c r="Y2551" i="31"/>
  <c r="Y2552" i="31"/>
  <c r="X2553" i="31"/>
  <c r="X2554" i="31"/>
  <c r="Y2553" i="31"/>
  <c r="Y2554" i="31"/>
  <c r="X2555" i="31"/>
  <c r="X2556" i="31"/>
  <c r="Y2555" i="31"/>
  <c r="X2557" i="31"/>
  <c r="Y2556" i="31"/>
  <c r="Y2557" i="31"/>
  <c r="X2558" i="31"/>
  <c r="Y2558" i="31"/>
  <c r="X2559" i="31"/>
  <c r="X2560" i="31"/>
  <c r="Y2559" i="31"/>
  <c r="Y2560" i="31"/>
  <c r="X2561" i="31"/>
  <c r="Y2561" i="31"/>
  <c r="X2562" i="31"/>
  <c r="X2563" i="31"/>
  <c r="Y2562" i="31"/>
  <c r="Y2563" i="31"/>
  <c r="X2564" i="31"/>
  <c r="X2565" i="31"/>
  <c r="Y2564" i="31"/>
  <c r="Y2565" i="31"/>
  <c r="X2566" i="31"/>
  <c r="Y2566" i="31"/>
  <c r="X2567" i="31"/>
  <c r="Y2567" i="31"/>
  <c r="X2568" i="31"/>
  <c r="Y2568" i="31"/>
  <c r="X2569" i="31"/>
  <c r="X2570" i="31"/>
  <c r="Y2569" i="31"/>
  <c r="X2571" i="31"/>
  <c r="Y2570" i="31"/>
  <c r="X2572" i="31"/>
  <c r="Y2571" i="31"/>
  <c r="Y2572" i="31"/>
  <c r="X2573" i="31"/>
  <c r="Y2573" i="31"/>
  <c r="X2574" i="31"/>
  <c r="X2575" i="31"/>
  <c r="Y2574" i="31"/>
  <c r="X2576" i="31"/>
  <c r="Y2575" i="31"/>
  <c r="X2577" i="31"/>
  <c r="Y2576" i="31"/>
  <c r="Y2577" i="31"/>
  <c r="X2578" i="31"/>
  <c r="Y2578" i="31"/>
  <c r="X2579" i="31"/>
  <c r="X2580" i="31"/>
  <c r="Y2579" i="31"/>
  <c r="X2581" i="31"/>
  <c r="Y2580" i="31"/>
  <c r="Y2581" i="31"/>
  <c r="X2582" i="31"/>
  <c r="Y2582" i="31"/>
  <c r="X2583" i="31"/>
  <c r="X2584" i="31"/>
  <c r="Y2583" i="31"/>
  <c r="X2585" i="31"/>
  <c r="Y2584" i="31"/>
  <c r="X2586" i="31"/>
  <c r="Y2585" i="31"/>
  <c r="Y2586" i="31"/>
  <c r="X2587" i="31"/>
  <c r="Y2587" i="31"/>
  <c r="X2588" i="31"/>
  <c r="X2589" i="31"/>
  <c r="Y2588" i="31"/>
  <c r="Y2589" i="31"/>
  <c r="X2590" i="31"/>
  <c r="Y2590" i="31"/>
  <c r="X2591" i="31"/>
  <c r="X2592" i="31"/>
  <c r="Y2591" i="31"/>
  <c r="Y2592" i="31"/>
  <c r="X2593" i="31"/>
  <c r="X2594" i="31"/>
  <c r="Y2593" i="31"/>
  <c r="X2595" i="31"/>
  <c r="Y2594" i="31"/>
  <c r="X2596" i="31"/>
  <c r="Y2595" i="31"/>
  <c r="Y2596" i="31"/>
  <c r="X2597" i="31"/>
  <c r="Y2597" i="31"/>
  <c r="X2598" i="31"/>
  <c r="Y2598" i="31"/>
  <c r="X2599" i="31"/>
  <c r="Y2599" i="31"/>
  <c r="X2600" i="31"/>
  <c r="Y2600" i="31"/>
  <c r="X2601" i="31"/>
  <c r="X2602" i="31"/>
  <c r="Y2601" i="31"/>
  <c r="Y2602" i="31"/>
  <c r="X2603" i="31"/>
  <c r="X2604" i="31"/>
  <c r="Y2603" i="31"/>
  <c r="Y2604" i="31"/>
  <c r="X2605" i="31"/>
  <c r="Y2605" i="31"/>
  <c r="X2606" i="31"/>
  <c r="Y2606" i="31"/>
  <c r="X2607" i="31"/>
  <c r="X2608" i="31"/>
  <c r="Y2607" i="31"/>
  <c r="X2609" i="31"/>
  <c r="Y2608" i="31"/>
  <c r="Y2609" i="31"/>
  <c r="X2610" i="31"/>
  <c r="Y2610" i="31"/>
  <c r="X2611" i="31"/>
  <c r="Y2611" i="31"/>
  <c r="X2612" i="31"/>
  <c r="X2613" i="31"/>
  <c r="Y2612" i="31"/>
  <c r="Y2613" i="31"/>
  <c r="X2614" i="31"/>
  <c r="Y2614" i="31"/>
  <c r="X2615" i="31"/>
  <c r="Y2615" i="31"/>
  <c r="X2616" i="31"/>
  <c r="X2617" i="31"/>
  <c r="Y2616" i="31"/>
  <c r="X2618" i="31"/>
  <c r="Y2617" i="31"/>
  <c r="Y2618" i="31"/>
  <c r="X2619" i="31"/>
  <c r="Y2619" i="31"/>
  <c r="X2620" i="31"/>
  <c r="Y2620" i="31"/>
  <c r="X2621" i="31"/>
  <c r="X2622" i="31"/>
  <c r="Y2621" i="31"/>
  <c r="Y2622" i="31"/>
  <c r="X2623" i="31"/>
  <c r="X2624" i="31"/>
  <c r="Y2623" i="31"/>
  <c r="Y2624" i="31"/>
  <c r="X2625" i="31"/>
  <c r="Y2625" i="31"/>
  <c r="X2626" i="31"/>
  <c r="X2627" i="31"/>
  <c r="Y2626" i="31"/>
  <c r="X2628" i="31"/>
  <c r="Y2627" i="31"/>
  <c r="Y2628" i="31"/>
  <c r="X2629" i="31"/>
  <c r="Y2629" i="31"/>
  <c r="X2630" i="31"/>
  <c r="Y2630" i="31"/>
  <c r="X2631" i="31"/>
  <c r="Y2631" i="31"/>
  <c r="X2632" i="31"/>
  <c r="Y2632" i="31"/>
  <c r="X2633" i="31"/>
  <c r="X2634" i="31"/>
  <c r="Y2633" i="31"/>
  <c r="X2635" i="31"/>
  <c r="Y2634" i="31"/>
  <c r="Y2635" i="31"/>
  <c r="X2636" i="31"/>
  <c r="X2637" i="31"/>
  <c r="Y2636" i="31"/>
  <c r="Y2637" i="31"/>
  <c r="X2638" i="31"/>
  <c r="X2639" i="31"/>
  <c r="Y2638" i="31"/>
  <c r="X2640" i="31"/>
  <c r="Y2639" i="31"/>
  <c r="X2641" i="31"/>
  <c r="Y2640" i="31"/>
  <c r="Y2641" i="31"/>
  <c r="X2642" i="31"/>
  <c r="X2643" i="31"/>
  <c r="Y2642" i="31"/>
  <c r="Y2643" i="31"/>
  <c r="X2644" i="31"/>
  <c r="Y2644" i="31"/>
  <c r="X2645" i="31"/>
  <c r="Y2645" i="31"/>
  <c r="X2646" i="31"/>
  <c r="Y2646" i="31"/>
  <c r="X2647" i="31"/>
  <c r="X2648" i="31"/>
  <c r="Y2647" i="31"/>
  <c r="Y2648" i="31"/>
  <c r="X2649" i="31"/>
  <c r="Y2649" i="31"/>
  <c r="X2650" i="31"/>
  <c r="Y2650" i="31"/>
  <c r="X2651" i="31"/>
  <c r="X2652" i="31"/>
  <c r="Y2651" i="31"/>
  <c r="X2653" i="31"/>
  <c r="Y2652" i="31"/>
  <c r="Y2653" i="31"/>
  <c r="X2654" i="31"/>
  <c r="Y2654" i="31"/>
  <c r="X2655" i="31"/>
  <c r="X2656" i="31"/>
  <c r="Y2655" i="31"/>
  <c r="Y2656" i="31"/>
  <c r="X2657" i="31"/>
  <c r="Y2657" i="31"/>
  <c r="X2658" i="31"/>
  <c r="Y2658" i="31"/>
  <c r="X2659" i="31"/>
  <c r="X2660" i="31"/>
  <c r="Y2659" i="31"/>
  <c r="X2661" i="31"/>
  <c r="Y2660" i="31"/>
  <c r="Y2661" i="31"/>
  <c r="X2662" i="31"/>
  <c r="Y2662" i="31"/>
  <c r="X2663" i="31"/>
  <c r="Y2663" i="31"/>
  <c r="X2664" i="31"/>
  <c r="X2665" i="31"/>
  <c r="Y2664" i="31"/>
  <c r="X2666" i="31"/>
  <c r="Y2665" i="31"/>
  <c r="X2667" i="31"/>
  <c r="Y2666" i="31"/>
  <c r="Y2667" i="31"/>
  <c r="X2668" i="31"/>
  <c r="Y2668" i="31"/>
  <c r="X2669" i="31"/>
  <c r="X2670" i="31"/>
  <c r="Y2669" i="31"/>
  <c r="X2671" i="31"/>
  <c r="Y2670" i="31"/>
  <c r="X2672" i="31"/>
  <c r="Y2671" i="31"/>
  <c r="X2673" i="31"/>
  <c r="Y2672" i="31"/>
  <c r="X2674" i="31"/>
  <c r="Y2673" i="31"/>
  <c r="X2675" i="31"/>
  <c r="Y2674" i="31"/>
  <c r="X2676" i="31"/>
  <c r="Y2675" i="31"/>
  <c r="X2677" i="31"/>
  <c r="Y2676" i="31"/>
  <c r="Y2677" i="31"/>
  <c r="X2678" i="31"/>
  <c r="Y2678" i="31"/>
  <c r="X2679" i="31"/>
  <c r="X2680" i="31"/>
  <c r="Y2679" i="31"/>
  <c r="Y2680" i="31"/>
  <c r="X2681" i="31"/>
  <c r="X2682" i="31"/>
  <c r="Y2681" i="31"/>
  <c r="Y2682" i="31"/>
  <c r="X2683" i="31"/>
  <c r="Y2683" i="31"/>
  <c r="X2684" i="31"/>
  <c r="X2685" i="31"/>
  <c r="Y2684" i="31"/>
  <c r="Y2685" i="31"/>
  <c r="X2686" i="31"/>
  <c r="Y2686" i="31"/>
  <c r="X2687" i="31"/>
  <c r="X2688" i="31"/>
  <c r="Y2687" i="31"/>
  <c r="Y2688" i="31"/>
  <c r="X2689" i="31"/>
  <c r="Y2689" i="31"/>
  <c r="X2690" i="31"/>
  <c r="X2691" i="31"/>
  <c r="Y2690" i="31"/>
  <c r="Y2691" i="31"/>
  <c r="X2692" i="31"/>
  <c r="X2693" i="31"/>
  <c r="Y2692" i="31"/>
  <c r="Y2693" i="31"/>
  <c r="X2694" i="31"/>
  <c r="Y2694" i="31"/>
  <c r="X2695" i="31"/>
  <c r="Y2695" i="31"/>
  <c r="X2696" i="31"/>
  <c r="Y2696" i="31"/>
  <c r="X2697" i="31"/>
  <c r="X2698" i="31"/>
  <c r="Y2697" i="31"/>
  <c r="X2699" i="31"/>
  <c r="Y2698" i="31"/>
  <c r="X2700" i="31"/>
  <c r="Y2699" i="31"/>
  <c r="Y2700" i="31"/>
  <c r="X2701" i="31"/>
  <c r="X2702" i="31"/>
  <c r="Y2701" i="31"/>
  <c r="Y2702" i="31"/>
  <c r="X2703" i="31"/>
  <c r="Y2703" i="31"/>
  <c r="X2704" i="31"/>
  <c r="X2705" i="31"/>
  <c r="Y2704" i="31"/>
  <c r="Y2705" i="31"/>
  <c r="X2706" i="31"/>
  <c r="Y2706" i="31"/>
  <c r="X2707" i="31"/>
  <c r="X2708" i="31"/>
  <c r="Y2707" i="31"/>
  <c r="X2709" i="31"/>
  <c r="Y2708" i="31"/>
  <c r="X2710" i="31"/>
  <c r="Y2709" i="31"/>
  <c r="Y2710" i="31"/>
  <c r="X2711" i="31"/>
  <c r="X2712" i="31"/>
  <c r="Y2711" i="31"/>
  <c r="X2713" i="31"/>
  <c r="Y2712" i="31"/>
  <c r="X2714" i="31"/>
  <c r="Y2713" i="31"/>
  <c r="Y2714" i="31"/>
  <c r="X2715" i="31"/>
  <c r="Y2715" i="31"/>
  <c r="X2716" i="31"/>
  <c r="Y2716" i="31"/>
  <c r="X2717" i="31"/>
  <c r="Y2717" i="31"/>
  <c r="X2718" i="31"/>
  <c r="Y2718" i="31"/>
  <c r="X2719" i="31"/>
  <c r="X2720" i="31"/>
  <c r="Y2719" i="31"/>
  <c r="Y2720" i="31"/>
  <c r="X2721" i="31"/>
  <c r="X2722" i="31"/>
  <c r="Y2721" i="31"/>
  <c r="X2723" i="31"/>
  <c r="Y2722" i="31"/>
  <c r="X2724" i="31"/>
  <c r="Y2723" i="31"/>
  <c r="Y2724" i="31"/>
  <c r="X2725" i="31"/>
  <c r="Y2725" i="31"/>
  <c r="X2726" i="31"/>
  <c r="Y2726" i="31"/>
  <c r="X2727" i="31"/>
  <c r="Y2727" i="31"/>
  <c r="X2728" i="31"/>
  <c r="Y2728" i="31"/>
  <c r="X2729" i="31"/>
  <c r="X2730" i="31"/>
  <c r="Y2729" i="31"/>
  <c r="Y2730" i="31"/>
  <c r="X2731" i="31"/>
  <c r="Y2731" i="31"/>
  <c r="X2732" i="31"/>
  <c r="Y2732" i="31"/>
  <c r="X2733" i="31"/>
  <c r="Y2733" i="31"/>
  <c r="X2734" i="31"/>
  <c r="X2735" i="31"/>
  <c r="Y2734" i="31"/>
  <c r="X2736" i="31"/>
  <c r="Y2735" i="31"/>
  <c r="Y2736" i="31"/>
  <c r="X2737" i="31"/>
  <c r="Y2737" i="31"/>
  <c r="X2738" i="31"/>
  <c r="X2739" i="31"/>
  <c r="Y2738" i="31"/>
  <c r="Y2739" i="31"/>
  <c r="X2740" i="31"/>
  <c r="Y2740" i="31"/>
  <c r="X2741" i="31"/>
  <c r="X2742" i="31"/>
  <c r="Y2741" i="31"/>
  <c r="X2743" i="31"/>
  <c r="Y2742" i="31"/>
  <c r="X2744" i="31"/>
  <c r="Y2743" i="31"/>
  <c r="X2745" i="31"/>
  <c r="Y2744" i="31"/>
  <c r="Y2745" i="31"/>
  <c r="X2746" i="31"/>
  <c r="Y2746" i="31"/>
  <c r="X2747" i="31"/>
  <c r="X2748" i="31"/>
  <c r="Y2747" i="31"/>
  <c r="Y2748" i="31"/>
  <c r="X2749" i="31"/>
  <c r="X2750" i="31"/>
  <c r="Y2749" i="31"/>
  <c r="Y2750" i="31"/>
  <c r="X2751" i="31"/>
  <c r="X2752" i="31"/>
  <c r="Y2751" i="31"/>
  <c r="Y2752" i="31"/>
  <c r="X2753" i="31"/>
  <c r="X2754" i="31"/>
  <c r="Y2753" i="31"/>
  <c r="X2755" i="31"/>
  <c r="Y2754" i="31"/>
  <c r="Y2755" i="31"/>
  <c r="X2756" i="31"/>
  <c r="Y2756" i="31"/>
  <c r="X2757" i="31"/>
  <c r="X2758" i="31"/>
  <c r="Y2757" i="31"/>
  <c r="Y2758" i="31"/>
  <c r="X2759" i="31"/>
  <c r="Y2759" i="31"/>
  <c r="X2760" i="31"/>
  <c r="Y2760" i="31"/>
  <c r="X2761" i="31"/>
  <c r="X2762" i="31"/>
  <c r="Y2761" i="31"/>
  <c r="X2763" i="31"/>
  <c r="Y2762" i="31"/>
  <c r="Y2763" i="31"/>
  <c r="X2764" i="31"/>
  <c r="X2765" i="31"/>
  <c r="Y2764" i="31"/>
  <c r="Y2765" i="31"/>
  <c r="X2766" i="31"/>
  <c r="Y2766" i="31"/>
  <c r="X2767" i="31"/>
  <c r="X2768" i="31"/>
  <c r="Y2767" i="31"/>
  <c r="Y2768" i="31"/>
  <c r="X2769" i="31"/>
  <c r="X2770" i="31"/>
  <c r="Y2769" i="31"/>
  <c r="X2771" i="31"/>
  <c r="Y2770" i="31"/>
  <c r="X2772" i="31"/>
  <c r="Y2771" i="31"/>
  <c r="Y2772" i="31"/>
  <c r="X2773" i="31"/>
  <c r="Y2773" i="31"/>
  <c r="X2774" i="31"/>
  <c r="X2775" i="31"/>
  <c r="Y2774" i="31"/>
  <c r="Y2775" i="31"/>
  <c r="X2776" i="31"/>
  <c r="Y2776" i="31"/>
  <c r="X2777" i="31"/>
  <c r="X2778" i="31"/>
  <c r="Y2777" i="31"/>
  <c r="Y2778" i="31"/>
  <c r="X2779" i="31"/>
  <c r="X2780" i="31"/>
  <c r="Y2779" i="31"/>
  <c r="Y2780" i="31"/>
  <c r="X2781" i="31"/>
  <c r="X2782" i="31"/>
  <c r="Y2781" i="31"/>
  <c r="Y2782" i="31"/>
  <c r="X2783" i="31"/>
  <c r="Y2783" i="31"/>
  <c r="X2784" i="31"/>
  <c r="Y2784" i="31"/>
  <c r="X2785" i="31"/>
  <c r="X2786" i="31"/>
  <c r="Y2785" i="31"/>
  <c r="Y2786" i="31"/>
  <c r="X2787" i="31"/>
  <c r="Y2787" i="31"/>
  <c r="X2788" i="31"/>
  <c r="Y2788" i="31"/>
  <c r="X2789" i="31"/>
  <c r="Y2789" i="31"/>
  <c r="X2790" i="31"/>
  <c r="X2791" i="31"/>
  <c r="Y2790" i="31"/>
  <c r="X2792" i="31"/>
  <c r="Y2791" i="31"/>
  <c r="Y2792" i="31"/>
  <c r="X2793" i="31"/>
  <c r="Y2793" i="31"/>
  <c r="X2794" i="31"/>
  <c r="Y2794" i="31"/>
  <c r="X2795" i="31"/>
  <c r="X2796" i="31"/>
  <c r="Y2795" i="31"/>
  <c r="X2797" i="31"/>
  <c r="Y2796" i="31"/>
  <c r="Y2797" i="31"/>
  <c r="X2798" i="31"/>
  <c r="Y2798" i="31"/>
  <c r="X2799" i="31"/>
  <c r="Y2799" i="31"/>
  <c r="X2800" i="31"/>
  <c r="Y2800" i="31"/>
  <c r="X2801" i="31"/>
  <c r="X2802" i="31"/>
  <c r="Y2801" i="31"/>
  <c r="X2803" i="31"/>
  <c r="Y2802" i="31"/>
  <c r="X2804" i="31"/>
  <c r="Y2803" i="31"/>
  <c r="Y2804" i="31"/>
  <c r="X2805" i="31"/>
  <c r="Y2805" i="31"/>
  <c r="X2806" i="31"/>
  <c r="X2807" i="31"/>
  <c r="Y2806" i="31"/>
  <c r="X2808" i="31"/>
  <c r="Y2807" i="31"/>
  <c r="Y2808" i="31"/>
  <c r="X2809" i="31"/>
  <c r="Y2809" i="31"/>
  <c r="X2810" i="31"/>
  <c r="Y2810" i="31"/>
  <c r="X2811" i="31"/>
  <c r="X2812" i="31"/>
  <c r="Y2811" i="31"/>
  <c r="Y2812" i="31"/>
  <c r="X2813" i="31"/>
  <c r="X2814" i="31"/>
  <c r="Y2813" i="31"/>
  <c r="Y2814" i="31"/>
  <c r="X2815" i="31"/>
  <c r="Y2815" i="31"/>
  <c r="X2816" i="31"/>
  <c r="Y2816" i="31"/>
  <c r="X2817" i="31"/>
  <c r="X2818" i="31"/>
  <c r="Y2817" i="31"/>
  <c r="X2819" i="31"/>
  <c r="Y2818" i="31"/>
  <c r="Y2819" i="31"/>
  <c r="X2820" i="31"/>
  <c r="Y2820" i="31"/>
  <c r="X2821" i="31"/>
  <c r="Y2821" i="31"/>
  <c r="X2822" i="31"/>
  <c r="X2823" i="31"/>
  <c r="Y2822" i="31"/>
  <c r="X2824" i="31"/>
  <c r="Y2823" i="31"/>
  <c r="Y2824" i="31"/>
  <c r="X2825" i="31"/>
  <c r="Y2825" i="31"/>
  <c r="X2826" i="31"/>
  <c r="Y2826" i="31"/>
  <c r="X2827" i="31"/>
  <c r="X2828" i="31"/>
  <c r="Y2827" i="31"/>
  <c r="Y2828" i="31"/>
  <c r="X2829" i="31"/>
  <c r="X2830" i="31"/>
  <c r="Y2829" i="31"/>
  <c r="X2831" i="31"/>
  <c r="Y2830" i="31"/>
  <c r="Y2831" i="31"/>
  <c r="X2832" i="31"/>
  <c r="Y2832" i="31"/>
  <c r="X2833" i="31"/>
  <c r="Y2833" i="31"/>
  <c r="X2834" i="31"/>
  <c r="Y2834" i="31"/>
  <c r="X2835" i="31"/>
  <c r="Y2835" i="31"/>
  <c r="X2836" i="31"/>
  <c r="Y2836" i="31"/>
  <c r="X2837" i="31"/>
  <c r="X2838" i="31"/>
  <c r="Y2837" i="31"/>
  <c r="X2839" i="31"/>
  <c r="Y2838" i="31"/>
  <c r="X2840" i="31"/>
  <c r="Y2839" i="31"/>
  <c r="X2841" i="31"/>
  <c r="Y2840" i="31"/>
  <c r="X2842" i="31"/>
  <c r="Y2841" i="31"/>
  <c r="Y2842" i="31"/>
  <c r="X2843" i="31"/>
  <c r="Y2843" i="31"/>
  <c r="X2844" i="31"/>
  <c r="Y2844" i="31"/>
  <c r="X2845" i="31"/>
  <c r="Y2845" i="31"/>
  <c r="X2846" i="31"/>
  <c r="Y2846" i="31"/>
  <c r="X2847" i="31"/>
  <c r="X2848" i="31"/>
  <c r="Y2847" i="31"/>
  <c r="Y2848" i="31"/>
  <c r="X2849" i="31"/>
  <c r="X2850" i="31"/>
  <c r="Y2849" i="31"/>
  <c r="X2851" i="31"/>
  <c r="Y2850" i="31"/>
  <c r="X2852" i="31"/>
  <c r="Y2851" i="31"/>
  <c r="Y2852" i="31"/>
  <c r="X2853" i="31"/>
  <c r="X2854" i="31"/>
  <c r="Y2853" i="31"/>
  <c r="Y2854" i="31"/>
  <c r="X2855" i="31"/>
  <c r="X2856" i="31"/>
  <c r="Y2855" i="31"/>
  <c r="Y2856" i="31"/>
  <c r="X2857" i="31"/>
  <c r="X2858" i="31"/>
  <c r="Y2857" i="31"/>
  <c r="Y2858" i="31"/>
  <c r="X2859" i="31"/>
  <c r="Y2859" i="31"/>
  <c r="X2860" i="31"/>
  <c r="Y2860" i="31"/>
  <c r="X2861" i="31"/>
  <c r="X2862" i="31"/>
  <c r="Y2861" i="31"/>
  <c r="X2863" i="31"/>
  <c r="Y2862" i="31"/>
  <c r="Y2863" i="31"/>
  <c r="X2864" i="31"/>
  <c r="Y2864" i="31"/>
  <c r="X2865" i="31"/>
  <c r="Y2865" i="31"/>
  <c r="X2866" i="31"/>
  <c r="Y2866" i="31"/>
  <c r="X2867" i="31"/>
  <c r="Y2867" i="31"/>
  <c r="X2868" i="31"/>
  <c r="Y2868" i="31"/>
  <c r="X2869" i="31"/>
  <c r="Y2869" i="31"/>
  <c r="X2870" i="31"/>
  <c r="X2871" i="31"/>
  <c r="Y2870" i="31"/>
  <c r="Y2871" i="31"/>
  <c r="X2872" i="31"/>
  <c r="Y2872" i="31"/>
  <c r="X2873" i="31"/>
  <c r="Y2873" i="31"/>
  <c r="X2874" i="31"/>
  <c r="Y2874" i="31"/>
  <c r="X2875" i="31"/>
  <c r="Y2875" i="31"/>
  <c r="X2876" i="31"/>
  <c r="Y2876" i="31"/>
  <c r="X2877" i="31"/>
  <c r="Y2877" i="31"/>
  <c r="X2878" i="31"/>
  <c r="Y2878" i="31"/>
  <c r="X2879" i="31"/>
  <c r="X2880" i="31"/>
  <c r="Y2879" i="31"/>
  <c r="Y2880" i="31"/>
  <c r="X2881" i="31"/>
  <c r="X2882" i="31"/>
  <c r="Y2881" i="31"/>
  <c r="Y2882" i="31"/>
  <c r="X2883" i="31"/>
  <c r="Y2883" i="31"/>
  <c r="X2884" i="31"/>
  <c r="Y2884" i="31"/>
  <c r="X2885" i="31"/>
  <c r="X2886" i="31"/>
  <c r="Y2885" i="31"/>
  <c r="Y2886" i="31"/>
  <c r="X2887" i="31"/>
  <c r="X2888" i="31"/>
  <c r="Y2887" i="31"/>
  <c r="X2889" i="31"/>
  <c r="Y2888" i="31"/>
  <c r="X2890" i="31"/>
  <c r="Y2889" i="31"/>
  <c r="X2891" i="31"/>
  <c r="Y2890" i="31"/>
  <c r="Y2891" i="31"/>
  <c r="X2892" i="31"/>
  <c r="X2893" i="31"/>
  <c r="Y2892" i="31"/>
  <c r="X2894" i="31"/>
  <c r="Y2893" i="31"/>
  <c r="X2895" i="31"/>
  <c r="Y2894" i="31"/>
  <c r="Y2895" i="31"/>
  <c r="X2896" i="31"/>
  <c r="Y2896" i="31"/>
  <c r="X2897" i="31"/>
  <c r="X2898" i="31"/>
  <c r="Y2897" i="31"/>
  <c r="Y2898" i="31"/>
  <c r="X2899" i="31"/>
  <c r="Y2899" i="31"/>
  <c r="X2900" i="31"/>
  <c r="Y2900" i="31"/>
  <c r="X2901" i="31"/>
  <c r="X2902" i="31"/>
  <c r="Y2901" i="31"/>
  <c r="X2903" i="31"/>
  <c r="Y2902" i="31"/>
  <c r="Y2903" i="31"/>
  <c r="X2904" i="31"/>
  <c r="Y2904" i="31"/>
  <c r="X2905" i="31"/>
  <c r="Y2905" i="31"/>
  <c r="X2906" i="31"/>
  <c r="Y2906" i="31"/>
  <c r="X2907" i="31"/>
  <c r="Y2907" i="31"/>
  <c r="X2908" i="31"/>
  <c r="Y2908" i="31"/>
  <c r="X2909" i="31"/>
  <c r="Y2909" i="31"/>
  <c r="X2910" i="31"/>
  <c r="Y2910" i="31"/>
  <c r="X2911" i="31"/>
  <c r="X2912" i="31"/>
  <c r="Y2911" i="31"/>
  <c r="Y2912" i="31"/>
  <c r="X2913" i="31"/>
  <c r="Y2913" i="31"/>
  <c r="X2914" i="31"/>
  <c r="X2915" i="31"/>
  <c r="Y2914" i="31"/>
  <c r="Y2915" i="31"/>
  <c r="X2916" i="31"/>
  <c r="Y2916" i="31"/>
  <c r="X2917" i="31"/>
  <c r="Y2917" i="31"/>
  <c r="X2918" i="31"/>
  <c r="Y2918" i="31"/>
  <c r="X2919" i="31"/>
  <c r="X2920" i="31"/>
  <c r="Y2919" i="31"/>
  <c r="X2921" i="31"/>
  <c r="Y2920" i="31"/>
  <c r="X2922" i="31"/>
  <c r="Y2921" i="31"/>
  <c r="X2923" i="31"/>
  <c r="Y2922" i="31"/>
  <c r="Y2923" i="31"/>
  <c r="X2924" i="31"/>
  <c r="X2925" i="31"/>
  <c r="Y2924" i="31"/>
  <c r="X2926" i="31"/>
  <c r="Y2925" i="31"/>
  <c r="Y2926" i="31"/>
  <c r="X2927" i="31"/>
  <c r="Y2927" i="31"/>
  <c r="X2928" i="31"/>
  <c r="Y2928" i="31"/>
  <c r="X2929" i="31"/>
  <c r="X2930" i="31"/>
  <c r="Y2929" i="31"/>
  <c r="Y2930" i="31"/>
  <c r="X2931" i="31"/>
  <c r="Y2931" i="31"/>
  <c r="X2932" i="31"/>
  <c r="Y2932" i="31"/>
  <c r="X2933" i="31"/>
  <c r="Y2933" i="31"/>
  <c r="X2934" i="31"/>
  <c r="X2935" i="31"/>
  <c r="Y2934" i="31"/>
  <c r="X2936" i="31"/>
  <c r="Y2935" i="31"/>
  <c r="Y2936" i="31"/>
  <c r="X2937" i="31"/>
  <c r="Y2937" i="31"/>
  <c r="X2938" i="31"/>
  <c r="X2939" i="31"/>
  <c r="Y2938" i="31"/>
  <c r="Y2939" i="31"/>
  <c r="X2940" i="31"/>
  <c r="Y2940" i="31"/>
  <c r="X2941" i="31"/>
  <c r="Y2941" i="31"/>
  <c r="X2942" i="31"/>
  <c r="X2943" i="31"/>
  <c r="Y2942" i="31"/>
  <c r="X2944" i="31"/>
  <c r="Y2943" i="31"/>
  <c r="Y2944" i="31"/>
  <c r="X2945" i="31"/>
  <c r="Y2945" i="31"/>
  <c r="X2946" i="31"/>
  <c r="X2947" i="31"/>
  <c r="Y2946" i="31"/>
  <c r="X2948" i="31"/>
  <c r="Y2947" i="31"/>
  <c r="Y2948" i="31"/>
  <c r="X2949" i="31"/>
  <c r="X2950" i="31"/>
  <c r="Y2949" i="31"/>
  <c r="Y2950" i="31"/>
  <c r="X2951" i="31"/>
  <c r="X2952" i="31"/>
  <c r="Y2951" i="31"/>
  <c r="Y2952" i="31"/>
  <c r="X2953" i="31"/>
  <c r="X2954" i="31"/>
  <c r="Y2953" i="31"/>
  <c r="X2955" i="31"/>
  <c r="Y2954" i="31"/>
  <c r="Y2955" i="31"/>
  <c r="X2956" i="31"/>
  <c r="Y2956" i="31"/>
  <c r="X2957" i="31"/>
  <c r="Y2957" i="31"/>
  <c r="X2958" i="31"/>
  <c r="Y2958" i="31"/>
  <c r="X2959" i="31"/>
  <c r="Y2959" i="31"/>
  <c r="X2960" i="31"/>
  <c r="X2961" i="31"/>
  <c r="Y2960" i="31"/>
  <c r="X2962" i="31"/>
  <c r="Y2961" i="31"/>
  <c r="X2963" i="31"/>
  <c r="Y2962" i="31"/>
  <c r="X2964" i="31"/>
  <c r="Y2963" i="31"/>
  <c r="X2965" i="31"/>
  <c r="Y2964" i="31"/>
  <c r="Y2965" i="31"/>
  <c r="X2966" i="31"/>
  <c r="X2967" i="31"/>
  <c r="Y2966" i="31"/>
  <c r="X2968" i="31"/>
  <c r="Y2967" i="31"/>
  <c r="X2969" i="31"/>
  <c r="Y2968" i="31"/>
  <c r="Y2969" i="31"/>
  <c r="X2970" i="31"/>
  <c r="X2971" i="31"/>
  <c r="Y2970" i="31"/>
  <c r="X2972" i="31"/>
  <c r="Y2971" i="31"/>
  <c r="Y2972" i="31"/>
  <c r="X2973" i="31"/>
  <c r="X2974" i="31"/>
  <c r="Y2973" i="31"/>
  <c r="Y2974" i="31"/>
  <c r="X2975" i="31"/>
  <c r="Y2975" i="31"/>
  <c r="X2976" i="31"/>
  <c r="Y2976" i="31"/>
  <c r="X2977" i="31"/>
  <c r="Y2977" i="31"/>
  <c r="X2978" i="31"/>
  <c r="Y2978" i="31"/>
  <c r="X2979" i="31"/>
  <c r="Y2979" i="31"/>
  <c r="X2980" i="31"/>
  <c r="Y2980" i="31"/>
  <c r="X2981" i="31"/>
  <c r="X2982" i="31"/>
  <c r="Y2981" i="31"/>
  <c r="Y2982" i="31"/>
  <c r="X2983" i="31"/>
  <c r="Y2983" i="31"/>
  <c r="X2984" i="31"/>
  <c r="Y2984" i="31"/>
  <c r="X2985" i="31"/>
  <c r="Y2985" i="31"/>
  <c r="X2986" i="31"/>
  <c r="Y2986" i="31"/>
  <c r="X2987" i="31"/>
  <c r="X2988" i="31"/>
  <c r="Y2987" i="31"/>
  <c r="X2989" i="31"/>
  <c r="Y2988" i="31"/>
  <c r="X2990" i="31"/>
  <c r="Y2989" i="31"/>
  <c r="X2991" i="31"/>
  <c r="Y2990" i="31"/>
  <c r="X2992" i="31"/>
  <c r="Y2991" i="31"/>
  <c r="Y2992" i="31"/>
  <c r="X2993" i="31"/>
  <c r="X2994" i="31"/>
  <c r="Y2993" i="31"/>
  <c r="X2995" i="31"/>
  <c r="Y2994" i="31"/>
  <c r="X2996" i="31"/>
  <c r="Y2995" i="31"/>
  <c r="Y2996" i="31"/>
  <c r="X2997" i="31"/>
  <c r="Y2997" i="31"/>
  <c r="X2998" i="31"/>
  <c r="X2999" i="31"/>
  <c r="Y2998" i="31"/>
  <c r="X3000" i="31"/>
  <c r="Y2999" i="31"/>
  <c r="Y3000" i="31"/>
  <c r="X3001" i="31"/>
  <c r="X3002" i="31"/>
  <c r="Y3001" i="31"/>
  <c r="Y3002" i="31"/>
  <c r="X3003" i="31"/>
  <c r="X3004" i="31"/>
  <c r="Y3003" i="31"/>
  <c r="Y3004" i="31"/>
  <c r="X3005" i="31"/>
  <c r="Y3005" i="31"/>
  <c r="X3006" i="31"/>
  <c r="X3007" i="31"/>
  <c r="Y3006" i="31"/>
  <c r="Y3007" i="31"/>
  <c r="X3008" i="31"/>
  <c r="Y3008" i="31"/>
  <c r="X3009" i="31"/>
  <c r="Y3009" i="31"/>
  <c r="X3010" i="31"/>
  <c r="X3011" i="31"/>
  <c r="Y3010" i="31"/>
  <c r="X3012" i="31"/>
  <c r="Y3011" i="31"/>
  <c r="Y3012" i="31"/>
  <c r="X3013" i="31"/>
  <c r="Y3013" i="31"/>
  <c r="X3014" i="31"/>
  <c r="Y3014" i="31"/>
  <c r="X3015" i="31"/>
  <c r="X3016" i="31"/>
  <c r="Y3015" i="31"/>
  <c r="X3017" i="31"/>
  <c r="Y3016" i="31"/>
  <c r="Y3017" i="31"/>
  <c r="X3018" i="31"/>
  <c r="Y3018" i="31"/>
  <c r="X3019" i="31"/>
  <c r="X3020" i="31"/>
  <c r="Y3019" i="31"/>
  <c r="X3021" i="31"/>
  <c r="Y3020" i="31"/>
  <c r="Y3021" i="31"/>
  <c r="X3022" i="31"/>
  <c r="X3023" i="31"/>
  <c r="Y3022" i="31"/>
  <c r="X3024" i="31"/>
  <c r="Y3023" i="31"/>
  <c r="Y3024" i="31"/>
  <c r="X3025" i="31"/>
  <c r="X3026" i="31"/>
  <c r="Y3025" i="31"/>
  <c r="Y3026" i="31"/>
  <c r="X3027" i="31"/>
  <c r="X3028" i="31"/>
  <c r="Y3027" i="31"/>
  <c r="Y3028" i="31"/>
  <c r="X3029" i="31"/>
  <c r="Y3029" i="31"/>
  <c r="X3030" i="31"/>
  <c r="X3031" i="31"/>
  <c r="Y3030" i="31"/>
  <c r="X3032" i="31"/>
  <c r="Y3031" i="31"/>
  <c r="Y3032" i="31"/>
  <c r="X3033" i="31"/>
  <c r="X3034" i="31"/>
  <c r="Y3033" i="31"/>
  <c r="X3035" i="31"/>
  <c r="Y3034" i="31"/>
  <c r="X3036" i="31"/>
  <c r="Y3035" i="31"/>
  <c r="Y3036" i="31"/>
  <c r="X3037" i="31"/>
  <c r="Y3037" i="31"/>
  <c r="X3038" i="31"/>
  <c r="Y3038" i="31"/>
  <c r="X3039" i="31"/>
  <c r="Y3039" i="31"/>
  <c r="X3040" i="31"/>
  <c r="Y3040" i="31"/>
  <c r="X3041" i="31"/>
  <c r="X3042" i="31"/>
  <c r="Y3041" i="31"/>
  <c r="X3043" i="31"/>
  <c r="Y3042" i="31"/>
  <c r="Y3043" i="31"/>
  <c r="X3044" i="31"/>
  <c r="Y3044" i="31"/>
  <c r="X3045" i="31"/>
  <c r="Y3045" i="31"/>
  <c r="X3046" i="31"/>
  <c r="Y3046" i="31"/>
  <c r="X3047" i="31"/>
  <c r="Y3047" i="31"/>
  <c r="X3048" i="31"/>
  <c r="Y3048" i="31"/>
  <c r="X3049" i="31"/>
  <c r="Y3049" i="31"/>
  <c r="X3050" i="31"/>
  <c r="X3051" i="31"/>
  <c r="Y3050" i="31"/>
  <c r="X3052" i="31"/>
  <c r="Y3051" i="31"/>
  <c r="X3053" i="31"/>
  <c r="Y3052" i="31"/>
  <c r="X3054" i="31"/>
  <c r="Y3053" i="31"/>
  <c r="Y3054" i="31"/>
  <c r="X3055" i="31"/>
  <c r="X3056" i="31"/>
  <c r="Y3055" i="31"/>
  <c r="Y3056" i="31"/>
  <c r="X3057" i="31"/>
  <c r="X3058" i="31"/>
  <c r="Y3057" i="31"/>
  <c r="Y3058" i="31"/>
  <c r="X3059" i="31"/>
  <c r="X3060" i="31"/>
  <c r="Y3059" i="31"/>
  <c r="Y3060" i="31"/>
  <c r="X3061" i="31"/>
  <c r="Y3061" i="31"/>
  <c r="X3062" i="31"/>
  <c r="X3063" i="31"/>
  <c r="Y3062" i="31"/>
  <c r="Y3063" i="31"/>
  <c r="X3064" i="31"/>
  <c r="X3065" i="31"/>
  <c r="Y3064" i="31"/>
  <c r="Y3065" i="31"/>
  <c r="X3066" i="31"/>
  <c r="Y3066" i="31"/>
  <c r="X3067" i="31"/>
  <c r="Y3067" i="31"/>
  <c r="X3068" i="31"/>
  <c r="Y3068" i="31"/>
  <c r="X3069" i="31"/>
  <c r="Y3069" i="31"/>
  <c r="X3070" i="31"/>
  <c r="Y3070" i="31"/>
  <c r="X3071" i="31"/>
  <c r="X3072" i="31"/>
  <c r="Y3071" i="31"/>
  <c r="Y3072" i="31"/>
  <c r="X3073" i="31"/>
  <c r="X3074" i="31"/>
  <c r="Y3073" i="31"/>
  <c r="X3075" i="31"/>
  <c r="Y3074" i="31"/>
  <c r="X3076" i="31"/>
  <c r="Y3075" i="31"/>
  <c r="Y3076" i="31"/>
  <c r="X3077" i="31"/>
  <c r="X3078" i="31"/>
  <c r="Y3077" i="31"/>
  <c r="X3079" i="31"/>
  <c r="Y3078" i="31"/>
  <c r="X3080" i="31"/>
  <c r="Y3079" i="31"/>
  <c r="X3081" i="31"/>
  <c r="Y3080" i="31"/>
  <c r="X3082" i="31"/>
  <c r="Y3081" i="31"/>
  <c r="X3083" i="31"/>
  <c r="Y3082" i="31"/>
  <c r="Y3083" i="31"/>
  <c r="X3084" i="31"/>
  <c r="X3085" i="31"/>
  <c r="Y3084" i="31"/>
  <c r="X3086" i="31"/>
  <c r="Y3085" i="31"/>
  <c r="Y3086" i="31"/>
  <c r="X3087" i="31"/>
  <c r="Y3087" i="31"/>
  <c r="X3088" i="31"/>
  <c r="X3089" i="31"/>
  <c r="Y3088" i="31"/>
  <c r="X3090" i="31"/>
  <c r="Y3089" i="31"/>
  <c r="X3091" i="31"/>
  <c r="Y3090" i="31"/>
  <c r="Y3091" i="31"/>
  <c r="X3092" i="31"/>
  <c r="Y3092" i="31"/>
  <c r="X3093" i="31"/>
  <c r="Y3093" i="31"/>
  <c r="X3094" i="31"/>
  <c r="Y3094" i="31"/>
  <c r="X3095" i="31"/>
  <c r="Y3095" i="31"/>
  <c r="X3096" i="31"/>
  <c r="Y3096" i="31"/>
  <c r="X3097" i="31"/>
  <c r="X3098" i="31"/>
  <c r="Y3097" i="31"/>
  <c r="Y3098" i="31"/>
  <c r="X3099" i="31"/>
  <c r="Y3099" i="31"/>
  <c r="X3100" i="31"/>
  <c r="Y3100" i="31"/>
  <c r="X3101" i="31"/>
  <c r="X3102" i="31"/>
  <c r="Y3101" i="31"/>
  <c r="X3103" i="31"/>
  <c r="Y3102" i="31"/>
  <c r="X3104" i="31"/>
  <c r="Y3103" i="31"/>
  <c r="Y3104" i="31"/>
  <c r="X3105" i="31"/>
  <c r="Y3105" i="31"/>
  <c r="X3106" i="31"/>
  <c r="Y3106" i="31"/>
  <c r="X3107" i="31"/>
  <c r="Y3107" i="31"/>
  <c r="X3108" i="31"/>
  <c r="Y3108" i="31"/>
  <c r="X3109" i="31"/>
  <c r="X3110" i="31"/>
  <c r="Y3109" i="31"/>
  <c r="Y3110" i="31"/>
  <c r="X3111" i="31"/>
  <c r="Y3111" i="31"/>
  <c r="X3112" i="31"/>
  <c r="Y3112" i="31"/>
  <c r="X3113" i="31"/>
  <c r="Y3113" i="31"/>
  <c r="X3114" i="31"/>
  <c r="X3115" i="31"/>
  <c r="Y3114" i="31"/>
  <c r="X3116" i="31"/>
  <c r="Y3115" i="31"/>
  <c r="Y3116" i="31"/>
  <c r="X3117" i="31"/>
  <c r="Y3117" i="31"/>
  <c r="X3118" i="31"/>
  <c r="Y3118" i="31"/>
  <c r="X3119" i="31"/>
  <c r="Y3119" i="31"/>
  <c r="X3120" i="31"/>
  <c r="X3121" i="31"/>
  <c r="Y3120" i="31"/>
  <c r="X3122" i="31"/>
  <c r="Y3121" i="31"/>
  <c r="Y3122" i="31"/>
  <c r="X3123" i="31"/>
  <c r="Y3123" i="31"/>
  <c r="X3124" i="31"/>
  <c r="Y3124" i="31"/>
  <c r="X3125" i="31"/>
  <c r="Y3125" i="31"/>
  <c r="X3126" i="31"/>
  <c r="Y3126" i="31"/>
  <c r="X3127" i="31"/>
  <c r="X3128" i="31"/>
  <c r="Y3127" i="31"/>
  <c r="Y3128" i="31"/>
  <c r="X3129" i="31"/>
  <c r="X3130" i="31"/>
  <c r="Y3129" i="31"/>
  <c r="X3131" i="31"/>
  <c r="Y3130" i="31"/>
  <c r="X3132" i="31"/>
  <c r="Y3131" i="31"/>
  <c r="X3133" i="31"/>
  <c r="Y3132" i="31"/>
  <c r="Y3133" i="31"/>
  <c r="X3134" i="31"/>
  <c r="X3135" i="31"/>
  <c r="Y3134" i="31"/>
  <c r="Y3135" i="31"/>
  <c r="X3136" i="31"/>
  <c r="X3137" i="31"/>
  <c r="Y3136" i="31"/>
  <c r="X3138" i="31"/>
  <c r="Y3137" i="31"/>
  <c r="Y3138" i="31"/>
  <c r="X3139" i="31"/>
  <c r="Y3139" i="31"/>
  <c r="X3140" i="31"/>
  <c r="Y3140" i="31"/>
  <c r="X3141" i="31"/>
  <c r="X3142" i="31"/>
  <c r="Y3141" i="31"/>
  <c r="Y3142" i="31"/>
  <c r="X3143" i="31"/>
  <c r="Y3143" i="31"/>
  <c r="X3144" i="31"/>
  <c r="X3145" i="31"/>
  <c r="Y3144" i="31"/>
  <c r="X3146" i="31"/>
  <c r="Y3145" i="31"/>
  <c r="Y3146" i="31"/>
  <c r="X3147" i="31"/>
  <c r="Y3147" i="31"/>
  <c r="X3148" i="31"/>
  <c r="X3149" i="31"/>
  <c r="Y3148" i="31"/>
  <c r="X3150" i="31"/>
  <c r="Y3149" i="31"/>
  <c r="X3151" i="31"/>
  <c r="Y3150" i="31"/>
  <c r="Y3151" i="31"/>
  <c r="X3152" i="31"/>
  <c r="Y3152" i="31"/>
  <c r="X3153" i="31"/>
  <c r="X3154" i="31"/>
  <c r="Y3153" i="31"/>
  <c r="X3155" i="31"/>
  <c r="Y3154" i="31"/>
  <c r="Y3155" i="31"/>
  <c r="X3156" i="31"/>
  <c r="X3157" i="31"/>
  <c r="Y3156" i="31"/>
  <c r="X3158" i="31"/>
  <c r="Y3157" i="31"/>
  <c r="X3159" i="31"/>
  <c r="Y3158" i="31"/>
  <c r="X3160" i="31"/>
  <c r="Y3159" i="31"/>
  <c r="X3161" i="31"/>
  <c r="Y3160" i="31"/>
  <c r="X3162" i="31"/>
  <c r="Y3161" i="31"/>
  <c r="Y3162" i="31"/>
  <c r="X3163" i="31"/>
  <c r="Y3163" i="31"/>
  <c r="X3164" i="31"/>
  <c r="Y3164" i="31"/>
  <c r="X3165" i="31"/>
  <c r="Y3165" i="31"/>
  <c r="X3166" i="31"/>
  <c r="X3167" i="31"/>
  <c r="Y3166" i="31"/>
  <c r="Y3167" i="31"/>
  <c r="X3168" i="31"/>
  <c r="X3169" i="31"/>
  <c r="Y3168" i="31"/>
  <c r="X3170" i="31"/>
  <c r="Y3169" i="31"/>
  <c r="Y3170" i="31"/>
  <c r="X3171" i="31"/>
  <c r="X3172" i="31"/>
  <c r="Y3171" i="31"/>
  <c r="X3173" i="31"/>
  <c r="Y3172" i="31"/>
  <c r="Y3173" i="31"/>
  <c r="X3174" i="31"/>
  <c r="X3175" i="31"/>
  <c r="Y3174" i="31"/>
  <c r="Y3175" i="31"/>
  <c r="X3176" i="31"/>
  <c r="Y3176" i="31"/>
  <c r="X3177" i="31"/>
  <c r="X3178" i="31"/>
  <c r="Y3177" i="31"/>
  <c r="X3179" i="31"/>
  <c r="Y3178" i="31"/>
  <c r="Y3179" i="31"/>
  <c r="X3180" i="31"/>
  <c r="X3181" i="31"/>
  <c r="Y3180" i="31"/>
  <c r="Y3181" i="31"/>
  <c r="X3182" i="31"/>
  <c r="X3183" i="31"/>
  <c r="Y3182" i="31"/>
  <c r="Y3183" i="31"/>
  <c r="X3184" i="31"/>
  <c r="Y3184" i="31"/>
  <c r="X3185" i="31"/>
  <c r="Y3185" i="31"/>
  <c r="X3186" i="31"/>
  <c r="X3187" i="31"/>
  <c r="Y3186" i="31"/>
  <c r="Y3187" i="31"/>
  <c r="X3188" i="31"/>
  <c r="X3189" i="31"/>
  <c r="Y3188" i="31"/>
  <c r="X3190" i="31"/>
  <c r="Y3189" i="31"/>
  <c r="X3191" i="31"/>
  <c r="Y3190" i="31"/>
  <c r="Y3191" i="31"/>
  <c r="X3192" i="31"/>
  <c r="X3193" i="31"/>
  <c r="Y3192" i="31"/>
  <c r="X3194" i="31"/>
  <c r="Y3193" i="31"/>
  <c r="Y3194" i="31"/>
  <c r="X3195" i="31"/>
  <c r="Y3195" i="31"/>
  <c r="X3196" i="31"/>
  <c r="Y3196" i="31"/>
  <c r="X3197" i="31"/>
  <c r="Y3197" i="31"/>
  <c r="X3198" i="31"/>
  <c r="X3199" i="31"/>
  <c r="Y3198" i="31"/>
  <c r="Y3199" i="31"/>
  <c r="X3200" i="31"/>
  <c r="X3201" i="31"/>
  <c r="Y3200" i="31"/>
  <c r="X3202" i="31"/>
  <c r="Y3201" i="31"/>
  <c r="X3203" i="31"/>
  <c r="Y3202" i="31"/>
  <c r="X3204" i="31"/>
  <c r="Y3203" i="31"/>
  <c r="Y3204" i="31"/>
  <c r="X3205" i="31"/>
  <c r="Y3205" i="31"/>
  <c r="X3206" i="31"/>
  <c r="X3207" i="31"/>
  <c r="Y3206" i="31"/>
  <c r="X3208" i="31"/>
  <c r="Y3207" i="31"/>
  <c r="X3209" i="31"/>
  <c r="Y3208" i="31"/>
  <c r="X3210" i="31"/>
  <c r="Y3209" i="31"/>
  <c r="Y3210" i="31"/>
  <c r="X3211" i="31"/>
  <c r="Y3211" i="31"/>
  <c r="X3212" i="31"/>
  <c r="X3213" i="31"/>
  <c r="Y3212" i="31"/>
  <c r="X3214" i="31"/>
  <c r="Y3213" i="31"/>
  <c r="X3215" i="31"/>
  <c r="Y3214" i="31"/>
  <c r="Y3215" i="31"/>
  <c r="X3216" i="31"/>
  <c r="Y3216" i="31"/>
  <c r="X3217" i="31"/>
  <c r="Y3217" i="31"/>
  <c r="X3218" i="31"/>
  <c r="X3219" i="31"/>
  <c r="Y3218" i="31"/>
  <c r="Y3219" i="31"/>
  <c r="X3220" i="31"/>
  <c r="X3221" i="31"/>
  <c r="Y3220" i="31"/>
  <c r="X3222" i="31"/>
  <c r="Y3221" i="31"/>
  <c r="Y3222" i="31"/>
  <c r="X3223" i="31"/>
  <c r="Y3223" i="31"/>
  <c r="X3224" i="31"/>
  <c r="X3225" i="31"/>
  <c r="Y3224" i="31"/>
  <c r="Y3225" i="31"/>
  <c r="X3226" i="31"/>
  <c r="Y3226" i="31"/>
  <c r="X3227" i="31"/>
  <c r="Y3227" i="31"/>
  <c r="X3228" i="31"/>
  <c r="Y3228" i="31"/>
  <c r="X3229" i="31"/>
  <c r="Y3229" i="31"/>
  <c r="X3230" i="31"/>
  <c r="Y3230" i="31"/>
  <c r="X3231" i="31"/>
  <c r="Y3231" i="31"/>
  <c r="X3232" i="31"/>
  <c r="X3233" i="31"/>
  <c r="Y3232" i="31"/>
  <c r="X3234" i="31"/>
  <c r="Y3233" i="31"/>
  <c r="X3235" i="31"/>
  <c r="Y3234" i="31"/>
  <c r="X3236" i="31"/>
  <c r="Y3235" i="31"/>
  <c r="Y3236" i="31"/>
  <c r="X3237" i="31"/>
  <c r="Y3237" i="31"/>
  <c r="X3238" i="31"/>
  <c r="Y3238" i="31"/>
  <c r="X3239" i="31"/>
  <c r="Y3239" i="31"/>
  <c r="X3240" i="31"/>
  <c r="X3241" i="31"/>
  <c r="Y3240" i="31"/>
  <c r="Y3241" i="31"/>
  <c r="X3242" i="31"/>
  <c r="Y3242" i="31"/>
  <c r="X3243" i="31"/>
  <c r="Y3243" i="31"/>
  <c r="X3244" i="31"/>
  <c r="X3245" i="31"/>
  <c r="Y3244" i="31"/>
  <c r="Y3245" i="31"/>
  <c r="X3246" i="31"/>
  <c r="Y3246" i="31"/>
  <c r="X3247" i="31"/>
  <c r="Y3247" i="31"/>
  <c r="X3248" i="31"/>
  <c r="Y3248" i="31"/>
  <c r="X3249" i="31"/>
  <c r="Y3249" i="31"/>
  <c r="X3250" i="31"/>
  <c r="X3251" i="31"/>
  <c r="Y3250" i="31"/>
  <c r="Y3251" i="31"/>
  <c r="X3252" i="31"/>
  <c r="X3253" i="31"/>
  <c r="Y3252" i="31"/>
  <c r="X3254" i="31"/>
  <c r="Y3253" i="31"/>
  <c r="X3255" i="31"/>
  <c r="Y3254" i="31"/>
  <c r="Y3255" i="31"/>
  <c r="X3256" i="31"/>
  <c r="Y3256" i="31"/>
  <c r="X3257" i="31"/>
  <c r="X3258" i="31"/>
  <c r="Y3257" i="31"/>
  <c r="Y3258" i="31"/>
  <c r="X3259" i="31"/>
  <c r="Y3259" i="31"/>
  <c r="X3260" i="31"/>
  <c r="Y3260" i="31"/>
  <c r="X3261" i="31"/>
  <c r="Y3261" i="31"/>
  <c r="X3262" i="31"/>
  <c r="Y3262" i="31"/>
  <c r="X3263" i="31"/>
  <c r="Y3263" i="31"/>
  <c r="X3264" i="31"/>
  <c r="Y3264" i="31"/>
  <c r="X3265" i="31"/>
  <c r="Y3265" i="31"/>
  <c r="X3266" i="31"/>
  <c r="X3267" i="31"/>
  <c r="Y3266" i="31"/>
  <c r="Y3267" i="31"/>
  <c r="X3268" i="31"/>
  <c r="X3269" i="31"/>
  <c r="Y3268" i="31"/>
  <c r="Y3269" i="31"/>
  <c r="X3270" i="31"/>
  <c r="X3271" i="31"/>
  <c r="Y3270" i="31"/>
  <c r="Y3271" i="31"/>
  <c r="X3272" i="31"/>
  <c r="Y3272" i="31"/>
  <c r="X3273" i="31"/>
  <c r="Y3273" i="31"/>
  <c r="X3274" i="31"/>
  <c r="X3275" i="31"/>
  <c r="Y3274" i="31"/>
  <c r="Y3275" i="31"/>
  <c r="X3276" i="31"/>
  <c r="X3277" i="31"/>
  <c r="Y3276" i="31"/>
  <c r="X3278" i="31"/>
  <c r="Y3277" i="31"/>
  <c r="Y3278" i="31"/>
  <c r="X3279" i="31"/>
  <c r="Y3279" i="31"/>
  <c r="X3280" i="31"/>
  <c r="X3281" i="31"/>
  <c r="Y3280" i="31"/>
  <c r="X3282" i="31"/>
  <c r="Y3281" i="31"/>
  <c r="Y3282" i="31"/>
  <c r="X3283" i="31"/>
  <c r="Y3283" i="31"/>
  <c r="X3284" i="31"/>
  <c r="Y3284" i="31"/>
  <c r="X3285" i="31"/>
  <c r="X3286" i="31"/>
  <c r="Y3285" i="31"/>
  <c r="Y3286" i="31"/>
  <c r="X3287" i="31"/>
  <c r="Y3287" i="31"/>
  <c r="X3288" i="31"/>
  <c r="Y3288" i="31"/>
  <c r="X3289" i="31"/>
  <c r="X3290" i="31"/>
  <c r="Y3289" i="31"/>
  <c r="Y3290" i="31"/>
  <c r="X3291" i="31"/>
  <c r="Y3291" i="31"/>
  <c r="X3292" i="31"/>
  <c r="X3293" i="31"/>
  <c r="Y3292" i="31"/>
  <c r="X3294" i="31"/>
  <c r="Y3293" i="31"/>
  <c r="X3295" i="31"/>
  <c r="Y3294" i="31"/>
  <c r="Y3295" i="31"/>
  <c r="X3296" i="31"/>
  <c r="X3297" i="31"/>
  <c r="Y3296" i="31"/>
  <c r="Y3297" i="31"/>
  <c r="X3298" i="31"/>
  <c r="X3299" i="31"/>
  <c r="Y3298" i="31"/>
  <c r="Y3299" i="31"/>
  <c r="X3300" i="31"/>
  <c r="Y3300" i="31"/>
  <c r="X3301" i="31"/>
  <c r="X3302" i="31"/>
  <c r="Y3301" i="31"/>
  <c r="X3303" i="31"/>
  <c r="Y3302" i="31"/>
  <c r="Y3303" i="31"/>
  <c r="X3304" i="31"/>
  <c r="X3305" i="31"/>
  <c r="Y3304" i="31"/>
  <c r="X3306" i="31"/>
  <c r="Y3305" i="31"/>
  <c r="X3307" i="31"/>
  <c r="Y3306" i="31"/>
  <c r="Y3307" i="31"/>
  <c r="X3308" i="31"/>
  <c r="Y3308" i="31"/>
  <c r="X3309" i="31"/>
  <c r="Y3309" i="31"/>
  <c r="X3310" i="31"/>
  <c r="Y3310" i="31"/>
  <c r="X3311" i="31"/>
  <c r="Y3311" i="31"/>
  <c r="X3312" i="31"/>
  <c r="X3313" i="31"/>
  <c r="Y3312" i="31"/>
  <c r="X3314" i="31"/>
  <c r="Y3313" i="31"/>
  <c r="Y3314" i="31"/>
  <c r="X3315" i="31"/>
  <c r="Y3315" i="31"/>
  <c r="X3316" i="31"/>
  <c r="X3317" i="31"/>
  <c r="Y3316" i="31"/>
  <c r="Y3317" i="31"/>
  <c r="X3318" i="31"/>
  <c r="X3319" i="31"/>
  <c r="Y3318" i="31"/>
  <c r="Y3319" i="31"/>
  <c r="X3320" i="31"/>
  <c r="X3321" i="31"/>
  <c r="Y3320" i="31"/>
  <c r="Y3321" i="31"/>
  <c r="X3322" i="31"/>
  <c r="X3323" i="31"/>
  <c r="Y3322" i="31"/>
  <c r="Y3323" i="31"/>
  <c r="X3324" i="31"/>
  <c r="X3325" i="31"/>
  <c r="Y3324" i="31"/>
  <c r="X3326" i="31"/>
  <c r="Y3325" i="31"/>
  <c r="X3327" i="31"/>
  <c r="Y3326" i="31"/>
  <c r="Y3327" i="31"/>
  <c r="X3328" i="31"/>
  <c r="X3329" i="31"/>
  <c r="Y3328" i="31"/>
  <c r="X3330" i="31"/>
  <c r="Y3329" i="31"/>
  <c r="Y3330" i="31"/>
  <c r="X3331" i="31"/>
  <c r="Y3331" i="31"/>
  <c r="X3332" i="31"/>
  <c r="X3333" i="31"/>
  <c r="Y3332" i="31"/>
  <c r="Y3333" i="31"/>
  <c r="X3334" i="31"/>
  <c r="X3335" i="31"/>
  <c r="Y3334" i="31"/>
  <c r="Y3335" i="31"/>
  <c r="X3336" i="31"/>
  <c r="X3337" i="31"/>
  <c r="Y3336" i="31"/>
  <c r="Y3337" i="31"/>
  <c r="X3338" i="31"/>
  <c r="X3339" i="31"/>
  <c r="Y3338" i="31"/>
  <c r="Y3339" i="31"/>
  <c r="X3340" i="31"/>
  <c r="Y3340" i="31"/>
  <c r="X3341" i="31"/>
  <c r="Y3341" i="31"/>
  <c r="X3342" i="31"/>
  <c r="X3343" i="31"/>
  <c r="Y3342" i="31"/>
  <c r="Y3343" i="31"/>
  <c r="X3344" i="31"/>
  <c r="X3345" i="31"/>
  <c r="Y3344" i="31"/>
  <c r="X3346" i="31"/>
  <c r="Y3345" i="31"/>
  <c r="Y3346" i="31"/>
  <c r="X3347" i="31"/>
  <c r="X3348" i="31"/>
  <c r="Y3347" i="31"/>
  <c r="Y3348" i="31"/>
  <c r="X3349" i="31"/>
  <c r="Y3349" i="31"/>
  <c r="X3350" i="31"/>
  <c r="X3351" i="31"/>
  <c r="Y3350" i="31"/>
  <c r="Y3351" i="31"/>
  <c r="X3352" i="31"/>
  <c r="X3353" i="31"/>
  <c r="Y3352" i="31"/>
  <c r="X3354" i="31"/>
  <c r="Y3353" i="31"/>
  <c r="Y3354" i="31"/>
  <c r="X3355" i="31"/>
  <c r="X3356" i="31"/>
  <c r="Y3355" i="31"/>
  <c r="X3357" i="31"/>
  <c r="Y3356" i="31"/>
  <c r="X3358" i="31"/>
  <c r="Y3357" i="31"/>
  <c r="Y3358" i="31"/>
  <c r="X3359" i="31"/>
  <c r="Y3359" i="31"/>
  <c r="X3360" i="31"/>
  <c r="Y3360" i="31"/>
  <c r="X3361" i="31"/>
  <c r="Y3361" i="31"/>
  <c r="X3362" i="31"/>
  <c r="X3363" i="31"/>
  <c r="Y3362" i="31"/>
  <c r="X3364" i="31"/>
  <c r="Y3363" i="31"/>
  <c r="Y3364" i="31"/>
  <c r="X3365" i="31"/>
  <c r="X3366" i="31"/>
  <c r="Y3365" i="31"/>
  <c r="X3367" i="31"/>
  <c r="Y3366" i="31"/>
  <c r="X3368" i="31"/>
  <c r="Y3367" i="31"/>
  <c r="X3369" i="31"/>
  <c r="Y3368" i="31"/>
  <c r="Y3369" i="31"/>
  <c r="X3370" i="31"/>
  <c r="X3371" i="31"/>
  <c r="Y3370" i="31"/>
  <c r="X3372" i="31"/>
  <c r="Y3371" i="31"/>
  <c r="X3373" i="31"/>
  <c r="Y3372" i="31"/>
  <c r="X3374" i="31"/>
  <c r="Y3373" i="31"/>
  <c r="X3375" i="31"/>
  <c r="Y3374" i="31"/>
  <c r="Y3375" i="31"/>
  <c r="X3376" i="31"/>
  <c r="X3377" i="31"/>
  <c r="Y3376" i="31"/>
  <c r="Y3377" i="31"/>
  <c r="X3378" i="31"/>
  <c r="X3379" i="31"/>
  <c r="Y3378" i="31"/>
  <c r="X3380" i="31"/>
  <c r="Y3379" i="31"/>
  <c r="Y3380" i="31"/>
  <c r="X3381" i="31"/>
  <c r="Y3381" i="31"/>
  <c r="X3382" i="31"/>
  <c r="Y3382" i="31"/>
  <c r="X3383" i="31"/>
  <c r="Y3383" i="31"/>
  <c r="X3384" i="31"/>
  <c r="X3385" i="31"/>
  <c r="Y3384" i="31"/>
  <c r="X3386" i="31"/>
  <c r="Y3385" i="31"/>
  <c r="Y3386" i="31"/>
  <c r="X3387" i="31"/>
  <c r="Y3387" i="31"/>
  <c r="X3388" i="31"/>
  <c r="X3389" i="31"/>
  <c r="Y3388" i="31"/>
  <c r="Y3389" i="31"/>
  <c r="X3390" i="31"/>
  <c r="X3391" i="31"/>
  <c r="Y3390" i="31"/>
  <c r="Y3391" i="31"/>
  <c r="X3392" i="31"/>
  <c r="X3393" i="31"/>
  <c r="Y3392" i="31"/>
  <c r="X3394" i="31"/>
  <c r="Y3393" i="31"/>
  <c r="X3395" i="31"/>
  <c r="Y3394" i="31"/>
  <c r="X3396" i="31"/>
  <c r="Y3395" i="31"/>
  <c r="X3397" i="31"/>
  <c r="Y3396" i="31"/>
  <c r="Y3397" i="31"/>
  <c r="X3398" i="31"/>
  <c r="X3399" i="31"/>
  <c r="Y3398" i="31"/>
  <c r="X3400" i="31"/>
  <c r="Y3399" i="31"/>
  <c r="Y3400" i="31"/>
  <c r="X3401" i="31"/>
  <c r="X3402" i="31"/>
  <c r="Y3401" i="31"/>
  <c r="X3403" i="31"/>
  <c r="Y3402" i="31"/>
  <c r="X3404" i="31"/>
  <c r="Y3403" i="31"/>
  <c r="X3405" i="31"/>
  <c r="Y3404" i="31"/>
  <c r="Y3405" i="31"/>
  <c r="X3406" i="31"/>
  <c r="Y3406" i="31"/>
  <c r="X3407" i="31"/>
  <c r="Y3407" i="31"/>
  <c r="X3408" i="31"/>
  <c r="Y3408" i="31"/>
  <c r="X3409" i="31"/>
  <c r="X3410" i="31"/>
  <c r="Y3409" i="31"/>
  <c r="Y3410" i="31"/>
  <c r="X3411" i="31"/>
  <c r="X3412" i="31"/>
  <c r="Y3411" i="31"/>
  <c r="X3413" i="31"/>
  <c r="Y3412" i="31"/>
  <c r="X3414" i="31"/>
  <c r="Y3413" i="31"/>
  <c r="X3415" i="31"/>
  <c r="Y3414" i="31"/>
  <c r="Y3415" i="31"/>
  <c r="X3416" i="31"/>
  <c r="X3417" i="31"/>
  <c r="Y3416" i="31"/>
  <c r="Y3417" i="31"/>
  <c r="X3418" i="31"/>
  <c r="X3419" i="31"/>
  <c r="Y3418" i="31"/>
  <c r="X3420" i="31"/>
  <c r="Y3419" i="31"/>
  <c r="X3421" i="31"/>
  <c r="Y3420" i="31"/>
  <c r="X3422" i="31"/>
  <c r="Y3421" i="31"/>
  <c r="X3423" i="31"/>
  <c r="Y3422" i="31"/>
  <c r="X3424" i="31"/>
  <c r="Y3423" i="31"/>
  <c r="Y3424" i="31"/>
  <c r="X3425" i="31"/>
  <c r="X3426" i="31"/>
  <c r="Y3425" i="31"/>
  <c r="X3427" i="31"/>
  <c r="Y3426" i="31"/>
  <c r="Y3427" i="31"/>
  <c r="X3428" i="31"/>
  <c r="Y3428" i="31"/>
  <c r="X3429" i="31"/>
  <c r="X3430" i="31"/>
  <c r="Y3429" i="31"/>
  <c r="X3431" i="31"/>
  <c r="Y3430" i="31"/>
  <c r="X3432" i="31"/>
  <c r="Y3431" i="31"/>
  <c r="X3433" i="31"/>
  <c r="Y3432" i="31"/>
  <c r="X3434" i="31"/>
  <c r="Y3433" i="31"/>
  <c r="Y3434" i="31"/>
  <c r="X3435" i="31"/>
  <c r="Y3435" i="31"/>
  <c r="X3436" i="31"/>
  <c r="X3437" i="31"/>
  <c r="Y3436" i="31"/>
  <c r="Y3437" i="31"/>
  <c r="X3438" i="31"/>
  <c r="X3439" i="31"/>
  <c r="Y3438" i="31"/>
  <c r="Y3439" i="31"/>
  <c r="X3440" i="31"/>
  <c r="Y3440" i="31"/>
  <c r="X3441" i="31"/>
  <c r="Y3441" i="31"/>
  <c r="X3442" i="31"/>
  <c r="X3443" i="31"/>
  <c r="Y3442" i="31"/>
  <c r="Y3443" i="31"/>
  <c r="X3444" i="31"/>
  <c r="Y3444" i="31"/>
  <c r="X3445" i="31"/>
  <c r="Y3445" i="31"/>
  <c r="X3446" i="31"/>
  <c r="Y3446" i="31"/>
  <c r="X3447" i="31"/>
  <c r="X3448" i="31"/>
  <c r="Y3447" i="31"/>
  <c r="Y3448" i="31"/>
  <c r="X3449" i="31"/>
  <c r="X3450" i="31"/>
  <c r="Y3449" i="31"/>
  <c r="X3451" i="31"/>
  <c r="Y3450" i="31"/>
  <c r="Y3451" i="31"/>
  <c r="X3452" i="31"/>
  <c r="X3453" i="31"/>
  <c r="Y3452" i="31"/>
  <c r="X3454" i="31"/>
  <c r="Y3453" i="31"/>
  <c r="X3455" i="31"/>
  <c r="Y3454" i="31"/>
  <c r="Y3455" i="31"/>
  <c r="X3456" i="31"/>
  <c r="X3457" i="31"/>
  <c r="Y3456" i="31"/>
  <c r="X3458" i="31"/>
  <c r="Y3457" i="31"/>
  <c r="Y3458" i="31"/>
  <c r="X3459" i="31"/>
  <c r="X3460" i="31"/>
  <c r="Y3459" i="31"/>
  <c r="X3461" i="31"/>
  <c r="Y3460" i="31"/>
  <c r="X3462" i="31"/>
  <c r="Y3461" i="31"/>
  <c r="X3463" i="31"/>
  <c r="Y3462" i="31"/>
  <c r="X3464" i="31"/>
  <c r="Y3463" i="31"/>
  <c r="X3465" i="31"/>
  <c r="Y3464" i="31"/>
  <c r="Y3465" i="31"/>
  <c r="X3466" i="31"/>
  <c r="Y3466" i="31"/>
  <c r="X3467" i="31"/>
  <c r="Y3467" i="31"/>
  <c r="X3468" i="31"/>
  <c r="Y3468" i="31"/>
  <c r="X3469" i="31"/>
  <c r="X3470" i="31"/>
  <c r="Y3469" i="31"/>
  <c r="Y3470" i="31"/>
  <c r="X3471" i="31"/>
  <c r="Y3471" i="31"/>
  <c r="X3472" i="31"/>
  <c r="Y3472" i="31"/>
  <c r="X3473" i="31"/>
  <c r="Y3473" i="31"/>
  <c r="X3474" i="31"/>
  <c r="Y3474" i="31"/>
  <c r="X3475" i="31"/>
  <c r="Y3475" i="31"/>
  <c r="X3476" i="31"/>
  <c r="Y3476" i="31"/>
  <c r="X3477" i="31"/>
  <c r="X3478" i="31"/>
  <c r="Y3477" i="31"/>
  <c r="X3479" i="31"/>
  <c r="Y3478" i="31"/>
  <c r="X3480" i="31"/>
  <c r="Y3479" i="31"/>
  <c r="Y3480" i="31"/>
  <c r="X3481" i="31"/>
  <c r="X3482" i="31"/>
  <c r="Y3481" i="31"/>
  <c r="Y3482" i="31"/>
  <c r="X3483" i="31"/>
  <c r="Y3483" i="31"/>
  <c r="X3484" i="31"/>
  <c r="X3485" i="31"/>
  <c r="Y3484" i="31"/>
  <c r="Y3485" i="31"/>
  <c r="X3486" i="31"/>
  <c r="X3487" i="31"/>
  <c r="Y3486" i="31"/>
  <c r="X3488" i="31"/>
  <c r="Y3487" i="31"/>
  <c r="X3489" i="31"/>
  <c r="Y3488" i="31"/>
  <c r="Y3489" i="31"/>
  <c r="X3490" i="31"/>
  <c r="X3491" i="31"/>
  <c r="Y3490" i="31"/>
  <c r="Y3491" i="31"/>
  <c r="X3492" i="31"/>
  <c r="X3493" i="31"/>
  <c r="Y3492" i="31"/>
  <c r="X3494" i="31"/>
  <c r="Y3493" i="31"/>
  <c r="X3495" i="31"/>
  <c r="Y3494" i="31"/>
  <c r="Y3495" i="31"/>
  <c r="X3496" i="31"/>
  <c r="Y3496" i="31"/>
  <c r="X3497" i="31"/>
  <c r="X3498" i="31"/>
  <c r="Y3497" i="31"/>
  <c r="X3499" i="31"/>
  <c r="Y3498" i="31"/>
  <c r="Y3499" i="31"/>
  <c r="X3500" i="31"/>
  <c r="Y3500" i="31"/>
  <c r="X3501" i="31"/>
  <c r="Y3501" i="31"/>
  <c r="X3502" i="31"/>
  <c r="X3503" i="31"/>
  <c r="Y3502" i="31"/>
  <c r="X3504" i="31"/>
  <c r="Y3503" i="31"/>
  <c r="X3505" i="31"/>
  <c r="Y3504" i="31"/>
  <c r="X3506" i="31"/>
  <c r="Y3505" i="31"/>
  <c r="Y3506" i="31"/>
  <c r="X3507" i="31"/>
  <c r="Y3507" i="31"/>
  <c r="X3508" i="31"/>
  <c r="X3509" i="31"/>
  <c r="Y3508" i="31"/>
  <c r="Y3509" i="31"/>
  <c r="X3510" i="31"/>
  <c r="X3511" i="31"/>
  <c r="Y3510" i="31"/>
  <c r="Y3511" i="31"/>
  <c r="X3512" i="31"/>
  <c r="X3513" i="31"/>
  <c r="Y3512" i="31"/>
  <c r="X3514" i="31"/>
  <c r="Y3513" i="31"/>
  <c r="Y3514" i="31"/>
  <c r="X3515" i="31"/>
  <c r="Y3515" i="31"/>
  <c r="X3516" i="31"/>
  <c r="X3517" i="31"/>
  <c r="Y3516" i="31"/>
  <c r="X3518" i="31"/>
  <c r="Y3517" i="31"/>
  <c r="Y3518" i="31"/>
  <c r="X3519" i="31"/>
  <c r="Y3519" i="31"/>
  <c r="X3520" i="31"/>
  <c r="X3521" i="31"/>
  <c r="Y3520" i="31"/>
  <c r="X3522" i="31"/>
  <c r="Y3521" i="31"/>
  <c r="Y3522" i="31"/>
  <c r="X3523" i="31"/>
  <c r="Y3523" i="31"/>
  <c r="X3524" i="31"/>
  <c r="Y3524" i="31"/>
  <c r="X3525" i="31"/>
  <c r="Y3525" i="31"/>
  <c r="X3526" i="31"/>
  <c r="X3527" i="31"/>
  <c r="Y3526" i="31"/>
  <c r="X3528" i="31"/>
  <c r="Y3527" i="31"/>
  <c r="Y3528" i="31"/>
  <c r="X3529" i="31"/>
  <c r="Y3529" i="31"/>
  <c r="X3530" i="31"/>
  <c r="X3531" i="31"/>
  <c r="Y3530" i="31"/>
  <c r="X3532" i="31"/>
  <c r="Y3531" i="31"/>
  <c r="Y3532" i="31"/>
  <c r="X3533" i="31"/>
  <c r="X3534" i="31"/>
  <c r="Y3533" i="31"/>
  <c r="X3535" i="31"/>
  <c r="Y3534" i="31"/>
  <c r="X3536" i="31"/>
  <c r="Y3535" i="31"/>
  <c r="Y3536" i="31"/>
  <c r="X3537" i="31"/>
  <c r="Y3537" i="31"/>
  <c r="X3538" i="31"/>
  <c r="X3539" i="31"/>
  <c r="Y3538" i="31"/>
  <c r="X3540" i="31"/>
  <c r="Y3539" i="31"/>
  <c r="Y3540" i="31"/>
  <c r="X3541" i="31"/>
  <c r="X3542" i="31"/>
  <c r="Y3541" i="31"/>
  <c r="X3543" i="31"/>
  <c r="Y3542" i="31"/>
  <c r="Y3543" i="31"/>
  <c r="X3544" i="31"/>
  <c r="E2" i="9" l="1"/>
  <c r="Y3544" i="31"/>
  <c r="A2" i="4" l="1"/>
  <c r="D9" i="6"/>
  <c r="D22" i="6"/>
  <c r="E22" i="6"/>
  <c r="B1" i="6"/>
  <c r="B2" i="4"/>
  <c r="D21" i="6"/>
  <c r="F3" i="9"/>
  <c r="F2" i="9"/>
  <c r="E21" i="6" l="1"/>
  <c r="C15" i="4"/>
  <c r="H12" i="4"/>
  <c r="C19" i="4"/>
  <c r="I31" i="4"/>
  <c r="C20" i="4"/>
  <c r="I14" i="4"/>
  <c r="D2" i="5" a="1"/>
  <c r="I4" i="4"/>
  <c r="H37" i="4"/>
  <c r="C58" i="4"/>
  <c r="C16" i="4"/>
  <c r="I57" i="4"/>
  <c r="C47" i="4"/>
  <c r="H54" i="4"/>
  <c r="H23" i="4"/>
  <c r="I45" i="4"/>
  <c r="C50" i="4"/>
  <c r="I21" i="4"/>
  <c r="D51" i="4"/>
  <c r="H31" i="4"/>
  <c r="H30" i="4"/>
  <c r="H42" i="4"/>
  <c r="D25" i="4"/>
  <c r="D5" i="4"/>
  <c r="D49" i="4"/>
  <c r="D22" i="4"/>
  <c r="H22" i="4"/>
  <c r="D36" i="4"/>
  <c r="I3" i="4"/>
  <c r="C2" i="4"/>
  <c r="D46" i="4"/>
  <c r="H16" i="4"/>
  <c r="I52" i="4"/>
  <c r="C7" i="4"/>
  <c r="D21" i="4"/>
  <c r="H2" i="4"/>
  <c r="D48" i="4"/>
  <c r="C44" i="4"/>
  <c r="I19" i="4"/>
  <c r="H17" i="4"/>
  <c r="D52" i="4"/>
  <c r="I37" i="4"/>
  <c r="H21" i="4"/>
  <c r="I10" i="4"/>
  <c r="H56" i="4"/>
  <c r="C35" i="4"/>
  <c r="C53" i="4"/>
  <c r="I39" i="4"/>
  <c r="I35" i="4"/>
  <c r="H58" i="4"/>
  <c r="I41" i="4"/>
  <c r="D8" i="4"/>
  <c r="D54" i="4"/>
  <c r="C5" i="4"/>
  <c r="I29" i="4"/>
  <c r="H40" i="4"/>
  <c r="H44" i="4"/>
  <c r="H38" i="4"/>
  <c r="D41" i="4"/>
  <c r="C11" i="4"/>
  <c r="D9" i="4"/>
  <c r="H27" i="4"/>
  <c r="D47" i="4"/>
  <c r="D6" i="4"/>
  <c r="H53" i="4"/>
  <c r="C13" i="4"/>
  <c r="I42" i="4"/>
  <c r="C43" i="4"/>
  <c r="I44" i="4"/>
  <c r="C48" i="4"/>
  <c r="H35" i="4"/>
  <c r="H50" i="4"/>
  <c r="I12" i="4"/>
  <c r="D19" i="4"/>
  <c r="C36" i="4"/>
  <c r="I34" i="4"/>
  <c r="I22" i="4"/>
  <c r="I18" i="4"/>
  <c r="I32" i="4"/>
  <c r="C27" i="4"/>
  <c r="H9" i="4"/>
  <c r="C23" i="4"/>
  <c r="C4" i="4"/>
  <c r="D28" i="4"/>
  <c r="D17" i="4"/>
  <c r="C42" i="4"/>
  <c r="D58" i="4"/>
  <c r="D15" i="4"/>
  <c r="C45" i="4"/>
  <c r="D55" i="4"/>
  <c r="H34" i="4"/>
  <c r="I36" i="4"/>
  <c r="H33" i="4"/>
  <c r="D30" i="4"/>
  <c r="I28" i="4"/>
  <c r="C46" i="4"/>
  <c r="D26" i="4"/>
  <c r="C18" i="4"/>
  <c r="D12" i="4"/>
  <c r="D39" i="4"/>
  <c r="I6" i="4"/>
  <c r="H19" i="4"/>
  <c r="C55" i="4"/>
  <c r="C9" i="4"/>
  <c r="D31" i="4"/>
  <c r="C49" i="4"/>
  <c r="H11" i="4"/>
  <c r="D24" i="4"/>
  <c r="I25" i="4"/>
  <c r="I54" i="4"/>
  <c r="H3" i="4"/>
  <c r="H24" i="4"/>
  <c r="I49" i="4"/>
  <c r="C30" i="4"/>
  <c r="H13" i="4"/>
  <c r="D40" i="4"/>
  <c r="C22" i="4"/>
  <c r="D53" i="4"/>
  <c r="I23" i="4"/>
  <c r="I15" i="4"/>
  <c r="C21" i="4"/>
  <c r="H18" i="4"/>
  <c r="C40" i="4"/>
  <c r="D27" i="4"/>
  <c r="I30" i="4"/>
  <c r="C41" i="4"/>
  <c r="C32" i="4"/>
  <c r="H20" i="4"/>
  <c r="D32" i="4"/>
  <c r="H4" i="4"/>
  <c r="H32" i="4"/>
  <c r="D18" i="4"/>
  <c r="H8" i="4"/>
  <c r="I13" i="4"/>
  <c r="H57" i="4"/>
  <c r="C17" i="4"/>
  <c r="H43" i="4"/>
  <c r="D45" i="4"/>
  <c r="H52" i="4"/>
  <c r="D35" i="4"/>
  <c r="H49" i="4"/>
  <c r="I26" i="4"/>
  <c r="C26" i="4"/>
  <c r="D11" i="4"/>
  <c r="I24" i="4"/>
  <c r="D13" i="4"/>
  <c r="I27" i="4"/>
  <c r="H28" i="4"/>
  <c r="D20" i="4"/>
  <c r="I2" i="4"/>
  <c r="H46" i="4"/>
  <c r="H36" i="4"/>
  <c r="I8" i="4"/>
  <c r="I40" i="4"/>
  <c r="C6" i="4"/>
  <c r="I20" i="4"/>
  <c r="H29" i="4"/>
  <c r="D42" i="4"/>
  <c r="D38" i="4"/>
  <c r="I16" i="4"/>
  <c r="D56" i="4"/>
  <c r="C33" i="4"/>
  <c r="D33" i="4"/>
  <c r="C29" i="4"/>
  <c r="D37" i="4"/>
  <c r="I46" i="4"/>
  <c r="I33" i="4"/>
  <c r="I11" i="4"/>
  <c r="C12" i="4"/>
  <c r="I55" i="4"/>
  <c r="D29" i="4"/>
  <c r="D23" i="4"/>
  <c r="I9" i="4"/>
  <c r="D10" i="4"/>
  <c r="C56" i="4"/>
  <c r="I47" i="4"/>
  <c r="C3" i="4"/>
  <c r="H10" i="4"/>
  <c r="C38" i="4"/>
  <c r="D50" i="4"/>
  <c r="C57" i="4"/>
  <c r="C34" i="4"/>
  <c r="H6" i="4"/>
  <c r="D43" i="4"/>
  <c r="C10" i="4"/>
  <c r="C51" i="4"/>
  <c r="D14" i="4"/>
  <c r="C52" i="4"/>
  <c r="I58" i="4"/>
  <c r="H55" i="4"/>
  <c r="H47" i="4"/>
  <c r="C25" i="4"/>
  <c r="I53" i="4"/>
  <c r="H14" i="4"/>
  <c r="H15" i="4"/>
  <c r="H39" i="4"/>
  <c r="I48" i="4"/>
  <c r="I51" i="4"/>
  <c r="I50" i="4"/>
  <c r="D44" i="4"/>
  <c r="I43" i="4"/>
  <c r="I17" i="4"/>
  <c r="H5" i="4"/>
  <c r="D34" i="4"/>
  <c r="D57" i="4"/>
  <c r="I7" i="4"/>
  <c r="C39" i="4"/>
  <c r="C28" i="4"/>
  <c r="C24" i="4"/>
  <c r="I5" i="4"/>
  <c r="H48" i="4"/>
  <c r="H7" i="4"/>
  <c r="C54" i="4"/>
  <c r="I38" i="4"/>
  <c r="H51" i="4"/>
  <c r="H41" i="4"/>
  <c r="D16" i="4"/>
  <c r="C37" i="4"/>
  <c r="I56" i="4"/>
  <c r="C14" i="4"/>
  <c r="D7" i="4"/>
  <c r="H25" i="4"/>
  <c r="H26" i="4"/>
  <c r="C31" i="4"/>
  <c r="H45" i="4"/>
  <c r="C8" i="4"/>
  <c r="D38" i="5" l="1"/>
  <c r="D96" i="5"/>
  <c r="D7" i="5"/>
  <c r="D116" i="5"/>
  <c r="D97" i="5"/>
  <c r="D32" i="5"/>
  <c r="D109" i="5"/>
  <c r="D17" i="5"/>
  <c r="D108" i="5"/>
  <c r="D89" i="5"/>
  <c r="D107" i="5"/>
  <c r="D70" i="5"/>
  <c r="D84" i="5"/>
  <c r="D58" i="5"/>
  <c r="D95" i="5"/>
  <c r="D53" i="5"/>
  <c r="D80" i="5"/>
  <c r="D113" i="5"/>
  <c r="D125" i="5"/>
  <c r="D63" i="5"/>
  <c r="D87" i="5"/>
  <c r="D62" i="5"/>
  <c r="D28" i="5"/>
  <c r="D33" i="5"/>
  <c r="D69" i="5"/>
  <c r="D22" i="5"/>
  <c r="D3" i="5"/>
  <c r="D55" i="5"/>
  <c r="D86" i="5"/>
  <c r="D114" i="5"/>
  <c r="D122" i="5"/>
  <c r="D67" i="5"/>
  <c r="D105" i="5"/>
  <c r="D92" i="5"/>
  <c r="D111" i="5"/>
  <c r="D46" i="5"/>
  <c r="D64" i="5"/>
  <c r="D104" i="5"/>
  <c r="D123" i="5"/>
  <c r="D29" i="5"/>
  <c r="D93" i="5"/>
  <c r="D61" i="5"/>
  <c r="D59" i="5"/>
  <c r="D15" i="5"/>
  <c r="D79" i="5"/>
  <c r="D44" i="5"/>
  <c r="D65" i="5"/>
  <c r="D8" i="5"/>
  <c r="D41" i="5"/>
  <c r="D74" i="5"/>
  <c r="D124" i="5"/>
  <c r="D54" i="5"/>
  <c r="D48" i="5"/>
  <c r="D73" i="5"/>
  <c r="D5" i="5"/>
  <c r="D45" i="5"/>
  <c r="D78" i="5"/>
  <c r="D57" i="5"/>
  <c r="D20" i="5"/>
  <c r="D4" i="5"/>
  <c r="D88" i="5"/>
  <c r="D34" i="5"/>
  <c r="D119" i="5"/>
  <c r="D126" i="5"/>
  <c r="D49" i="5"/>
  <c r="D42" i="5"/>
  <c r="D100" i="5"/>
  <c r="D18" i="5"/>
  <c r="D112" i="5"/>
  <c r="D110" i="5"/>
  <c r="D31" i="5"/>
  <c r="D35" i="5"/>
  <c r="D40" i="5"/>
  <c r="D66" i="5"/>
  <c r="D76" i="5"/>
  <c r="D16" i="5"/>
  <c r="D27" i="5"/>
  <c r="D99" i="5"/>
  <c r="D71" i="5"/>
  <c r="D36" i="5"/>
  <c r="D13" i="5"/>
  <c r="D24" i="5"/>
  <c r="D60" i="5"/>
  <c r="D75" i="5"/>
  <c r="D85" i="5"/>
  <c r="D37" i="5"/>
  <c r="D23" i="5"/>
  <c r="D68" i="5"/>
  <c r="D103" i="5"/>
  <c r="D115" i="5"/>
  <c r="D50" i="5"/>
  <c r="D72" i="5"/>
  <c r="D26" i="5"/>
  <c r="D102" i="5"/>
  <c r="D118" i="5"/>
  <c r="D91" i="5"/>
  <c r="D12" i="5"/>
  <c r="D10" i="5"/>
  <c r="D81" i="5"/>
  <c r="D19" i="5"/>
  <c r="D14" i="5"/>
  <c r="D39" i="5"/>
  <c r="D25" i="5"/>
  <c r="D9" i="5"/>
  <c r="D98" i="5"/>
  <c r="D117" i="5"/>
  <c r="D6" i="5"/>
  <c r="D30" i="5"/>
  <c r="D94" i="5"/>
  <c r="D101" i="5"/>
  <c r="D11" i="5"/>
  <c r="D21" i="5"/>
  <c r="D2" i="5"/>
  <c r="D106" i="5"/>
  <c r="D121" i="5"/>
  <c r="D51" i="5"/>
  <c r="D77" i="5"/>
  <c r="D83" i="5"/>
  <c r="D56" i="5"/>
  <c r="D52" i="5"/>
  <c r="D90" i="5"/>
  <c r="D47" i="5"/>
  <c r="D82" i="5"/>
  <c r="D43" i="5"/>
  <c r="D120" i="5"/>
  <c r="E87" i="5"/>
  <c r="E64" i="5"/>
  <c r="H75" i="5"/>
  <c r="F3" i="5"/>
  <c r="E115" i="5"/>
  <c r="E92" i="5"/>
  <c r="H70" i="5"/>
  <c r="G73" i="5"/>
  <c r="I92" i="5"/>
  <c r="F74" i="5"/>
  <c r="G118" i="5"/>
  <c r="I112" i="5"/>
  <c r="F12" i="5"/>
  <c r="F84" i="5"/>
  <c r="I103" i="5"/>
  <c r="F80" i="5"/>
  <c r="G20" i="5"/>
  <c r="E93" i="5"/>
  <c r="E94" i="5"/>
  <c r="I87" i="5"/>
  <c r="F13" i="5"/>
  <c r="H29" i="5"/>
  <c r="G112" i="5"/>
  <c r="H83" i="5"/>
  <c r="I113" i="5"/>
  <c r="H104" i="5"/>
  <c r="I102" i="5"/>
  <c r="E38" i="5"/>
  <c r="I74" i="5"/>
  <c r="E117" i="5"/>
  <c r="F90" i="5"/>
  <c r="I120" i="5"/>
  <c r="F43" i="5"/>
  <c r="G38" i="5"/>
  <c r="H40" i="5"/>
  <c r="H116" i="5"/>
  <c r="H10" i="5"/>
  <c r="E45" i="5"/>
  <c r="E7" i="5"/>
  <c r="G26" i="5"/>
  <c r="H76" i="5"/>
  <c r="G67" i="5"/>
  <c r="E80" i="5"/>
  <c r="H35" i="5"/>
  <c r="G66" i="5"/>
  <c r="H51" i="5"/>
  <c r="E8" i="5"/>
  <c r="I66" i="5"/>
  <c r="F8" i="5"/>
  <c r="F70" i="5"/>
  <c r="E73" i="5"/>
  <c r="H15" i="5"/>
  <c r="I58" i="5"/>
  <c r="I11" i="5"/>
  <c r="I61" i="5"/>
  <c r="G28" i="5"/>
  <c r="H109" i="5"/>
  <c r="F2" i="5"/>
  <c r="E88" i="5"/>
  <c r="E39" i="5"/>
  <c r="F30" i="5"/>
  <c r="F113" i="5"/>
  <c r="E22" i="5"/>
  <c r="F122" i="5"/>
  <c r="I82" i="5"/>
  <c r="E78" i="5"/>
  <c r="E98" i="5"/>
  <c r="F36" i="5"/>
  <c r="F10" i="5"/>
  <c r="G99" i="5"/>
  <c r="I23" i="5"/>
  <c r="E3" i="5"/>
  <c r="I84" i="5"/>
  <c r="I109" i="5"/>
  <c r="F111" i="5"/>
  <c r="H126" i="5"/>
  <c r="I64" i="5"/>
  <c r="F44" i="5"/>
  <c r="I126" i="5"/>
  <c r="I75" i="5"/>
  <c r="I10" i="5"/>
  <c r="I57" i="5"/>
  <c r="H84" i="5"/>
  <c r="E30" i="5"/>
  <c r="E13" i="5"/>
  <c r="F50" i="5"/>
  <c r="I33" i="5"/>
  <c r="F29" i="5"/>
  <c r="I36" i="5"/>
  <c r="G76" i="5"/>
  <c r="G94" i="5"/>
  <c r="E41" i="5"/>
  <c r="H16" i="5"/>
  <c r="H97" i="5"/>
  <c r="H59" i="5"/>
  <c r="G110" i="5"/>
  <c r="F98" i="5"/>
  <c r="H95" i="5"/>
  <c r="H32" i="5"/>
  <c r="G126" i="5"/>
  <c r="G30" i="5"/>
  <c r="F105" i="5"/>
  <c r="G13" i="5"/>
  <c r="F69" i="5"/>
  <c r="H53" i="5"/>
  <c r="F62" i="5"/>
  <c r="I6" i="5"/>
  <c r="H55" i="5"/>
  <c r="E62" i="5"/>
  <c r="F101" i="5"/>
  <c r="F79" i="5"/>
  <c r="G11" i="5"/>
  <c r="E110" i="5"/>
  <c r="G45" i="5"/>
  <c r="E125" i="5"/>
  <c r="F121" i="5"/>
  <c r="G86" i="5"/>
  <c r="I89" i="5"/>
  <c r="H74" i="5"/>
  <c r="G78" i="5"/>
  <c r="E4" i="5"/>
  <c r="F112" i="5"/>
  <c r="I118" i="5"/>
  <c r="I105" i="5"/>
  <c r="E89" i="5"/>
  <c r="I111" i="5"/>
  <c r="F92" i="5"/>
  <c r="I43" i="5"/>
  <c r="E42" i="5"/>
  <c r="I110" i="5"/>
  <c r="G39" i="5"/>
  <c r="I101" i="5"/>
  <c r="H50" i="5"/>
  <c r="I67" i="5"/>
  <c r="H20" i="5"/>
  <c r="E70" i="5"/>
  <c r="E65" i="5"/>
  <c r="H39" i="5"/>
  <c r="H87" i="5"/>
  <c r="H68" i="5"/>
  <c r="F63" i="5"/>
  <c r="H56" i="5"/>
  <c r="M11" i="31" a="1"/>
  <c r="G65" i="5"/>
  <c r="H45" i="5"/>
  <c r="E66" i="5"/>
  <c r="I97" i="5"/>
  <c r="G25" i="5"/>
  <c r="F17" i="5"/>
  <c r="I83" i="5"/>
  <c r="I12" i="5"/>
  <c r="G117" i="5"/>
  <c r="H108" i="5"/>
  <c r="I24" i="5"/>
  <c r="H64" i="5"/>
  <c r="H31" i="5"/>
  <c r="E100" i="5"/>
  <c r="F57" i="5"/>
  <c r="E21" i="5"/>
  <c r="E36" i="5"/>
  <c r="E47" i="5"/>
  <c r="H117" i="5"/>
  <c r="E59" i="5"/>
  <c r="I15" i="5"/>
  <c r="E96" i="5"/>
  <c r="I94" i="5"/>
  <c r="G96" i="5"/>
  <c r="F95" i="5"/>
  <c r="E111" i="5"/>
  <c r="E14" i="5"/>
  <c r="F11" i="5"/>
  <c r="D14" i="6"/>
  <c r="J15" i="31" s="1"/>
  <c r="H82" i="5"/>
  <c r="F20" i="5"/>
  <c r="I86" i="5"/>
  <c r="I53" i="5"/>
  <c r="H23" i="5"/>
  <c r="E23" i="5"/>
  <c r="I121" i="5"/>
  <c r="F103" i="5"/>
  <c r="E104" i="5"/>
  <c r="G71" i="5"/>
  <c r="H27" i="5"/>
  <c r="D30" i="6"/>
  <c r="I19" i="5"/>
  <c r="E55" i="5"/>
  <c r="I76" i="5"/>
  <c r="H92" i="5"/>
  <c r="I98" i="5"/>
  <c r="E44" i="5"/>
  <c r="G121" i="5"/>
  <c r="H86" i="5"/>
  <c r="H112" i="5"/>
  <c r="G63" i="5"/>
  <c r="F73" i="5"/>
  <c r="I117" i="5"/>
  <c r="G54" i="5"/>
  <c r="E90" i="5"/>
  <c r="F64" i="5"/>
  <c r="I27" i="5"/>
  <c r="G62" i="5"/>
  <c r="H63" i="5"/>
  <c r="E27" i="5"/>
  <c r="E97" i="5"/>
  <c r="E86" i="5"/>
  <c r="F61" i="5"/>
  <c r="H67" i="5"/>
  <c r="F115" i="5"/>
  <c r="G37" i="5"/>
  <c r="E119" i="5"/>
  <c r="G61" i="5"/>
  <c r="H60" i="5"/>
  <c r="E123" i="5"/>
  <c r="E120" i="5"/>
  <c r="F104" i="5"/>
  <c r="H12" i="5"/>
  <c r="I85" i="5"/>
  <c r="H44" i="5"/>
  <c r="I95" i="5"/>
  <c r="I70" i="5"/>
  <c r="F67" i="5"/>
  <c r="I54" i="5"/>
  <c r="F19" i="5"/>
  <c r="G74" i="5"/>
  <c r="I63" i="5"/>
  <c r="G102" i="5"/>
  <c r="G79" i="5"/>
  <c r="I35" i="5"/>
  <c r="I14" i="5"/>
  <c r="H34" i="5"/>
  <c r="G70" i="5"/>
  <c r="I13" i="5"/>
  <c r="E12" i="5"/>
  <c r="F97" i="5"/>
  <c r="G58" i="5"/>
  <c r="G113" i="5"/>
  <c r="F52" i="5"/>
  <c r="I59" i="5"/>
  <c r="I55" i="5"/>
  <c r="H52" i="5"/>
  <c r="I17" i="5"/>
  <c r="I8" i="5"/>
  <c r="I16" i="5"/>
  <c r="F16" i="5"/>
  <c r="F48" i="5"/>
  <c r="G2" i="5"/>
  <c r="H47" i="5"/>
  <c r="E17" i="5"/>
  <c r="E106" i="5"/>
  <c r="I77" i="5"/>
  <c r="I34" i="5"/>
  <c r="H105" i="5"/>
  <c r="G36" i="5"/>
  <c r="E34" i="5"/>
  <c r="H49" i="5"/>
  <c r="I125" i="5"/>
  <c r="H8" i="5"/>
  <c r="G60" i="5"/>
  <c r="G40" i="5"/>
  <c r="H79" i="5"/>
  <c r="H62" i="5"/>
  <c r="G27" i="5"/>
  <c r="H69" i="5"/>
  <c r="H54" i="5"/>
  <c r="E118" i="5"/>
  <c r="E95" i="5"/>
  <c r="E99" i="5"/>
  <c r="H93" i="5"/>
  <c r="H13" i="5"/>
  <c r="H24" i="5"/>
  <c r="G115" i="5"/>
  <c r="H91" i="5"/>
  <c r="G16" i="5"/>
  <c r="I41" i="5"/>
  <c r="F40" i="5"/>
  <c r="H115" i="5"/>
  <c r="F114" i="5"/>
  <c r="G24" i="5"/>
  <c r="G31" i="5"/>
  <c r="E102" i="5"/>
  <c r="F60" i="5"/>
  <c r="G89" i="5"/>
  <c r="F39" i="5"/>
  <c r="I107" i="5"/>
  <c r="I88" i="5"/>
  <c r="G100" i="5"/>
  <c r="G106" i="5"/>
  <c r="E113" i="5"/>
  <c r="H114" i="5"/>
  <c r="E50" i="5"/>
  <c r="I122" i="5"/>
  <c r="E18" i="5"/>
  <c r="E67" i="5"/>
  <c r="I79" i="5"/>
  <c r="E74" i="5"/>
  <c r="I28" i="5"/>
  <c r="G103" i="5"/>
  <c r="G14" i="5"/>
  <c r="E28" i="5"/>
  <c r="F116" i="5"/>
  <c r="G9" i="5"/>
  <c r="H22" i="5"/>
  <c r="H101" i="5"/>
  <c r="H121" i="5"/>
  <c r="G35" i="5"/>
  <c r="F14" i="5"/>
  <c r="D15" i="6"/>
  <c r="F119" i="5"/>
  <c r="F72" i="5"/>
  <c r="I20" i="5"/>
  <c r="F93" i="5"/>
  <c r="C27" i="6"/>
  <c r="I38" i="5"/>
  <c r="H30" i="5"/>
  <c r="F102" i="5"/>
  <c r="H25" i="5"/>
  <c r="H90" i="5"/>
  <c r="H7" i="5"/>
  <c r="F125" i="5"/>
  <c r="H125" i="5"/>
  <c r="G92" i="5"/>
  <c r="G105" i="5"/>
  <c r="F41" i="5"/>
  <c r="H36" i="5"/>
  <c r="H99" i="5"/>
  <c r="F123" i="5"/>
  <c r="F49" i="5"/>
  <c r="I56" i="5"/>
  <c r="F15" i="5"/>
  <c r="E81" i="5"/>
  <c r="F110" i="5"/>
  <c r="F89" i="5"/>
  <c r="G56" i="5"/>
  <c r="H110" i="5"/>
  <c r="G42" i="5"/>
  <c r="I2" i="5"/>
  <c r="F99" i="5"/>
  <c r="I106" i="5"/>
  <c r="I78" i="5"/>
  <c r="G91" i="5"/>
  <c r="H21" i="5"/>
  <c r="F37" i="5"/>
  <c r="G19" i="5"/>
  <c r="E71" i="5"/>
  <c r="H2" i="5"/>
  <c r="F68" i="5"/>
  <c r="F77" i="5"/>
  <c r="H14" i="5"/>
  <c r="G48" i="5"/>
  <c r="H28" i="5"/>
  <c r="G107" i="5"/>
  <c r="I119" i="5"/>
  <c r="G90" i="5"/>
  <c r="I37" i="5"/>
  <c r="G6" i="5"/>
  <c r="H48" i="5"/>
  <c r="F27" i="5"/>
  <c r="H111" i="5"/>
  <c r="H100" i="5"/>
  <c r="E31" i="5"/>
  <c r="F5" i="5"/>
  <c r="H102" i="5"/>
  <c r="H6" i="5"/>
  <c r="F18" i="5"/>
  <c r="I7" i="5"/>
  <c r="I99" i="5"/>
  <c r="E63" i="5"/>
  <c r="H11" i="5"/>
  <c r="H18" i="5"/>
  <c r="G52" i="5"/>
  <c r="F54" i="5"/>
  <c r="F75" i="5"/>
  <c r="F76" i="5"/>
  <c r="E53" i="5"/>
  <c r="F83" i="5"/>
  <c r="F94" i="5"/>
  <c r="H77" i="5"/>
  <c r="I45" i="5"/>
  <c r="I100" i="5"/>
  <c r="I73" i="5"/>
  <c r="E15" i="5"/>
  <c r="I25" i="5"/>
  <c r="E25" i="5"/>
  <c r="H43" i="5"/>
  <c r="I96" i="5"/>
  <c r="H71" i="5"/>
  <c r="I31" i="5"/>
  <c r="F22" i="5"/>
  <c r="I29" i="5"/>
  <c r="F38" i="5"/>
  <c r="I42" i="5"/>
  <c r="G22" i="5"/>
  <c r="E77" i="5"/>
  <c r="E126" i="5"/>
  <c r="E76" i="5"/>
  <c r="F6" i="5"/>
  <c r="I91" i="5"/>
  <c r="F86" i="5"/>
  <c r="E54" i="5"/>
  <c r="F9" i="5"/>
  <c r="E79" i="5"/>
  <c r="G123" i="5"/>
  <c r="G98" i="5"/>
  <c r="G46" i="5"/>
  <c r="H122" i="5"/>
  <c r="H81" i="5"/>
  <c r="I49" i="5"/>
  <c r="G69" i="5"/>
  <c r="H41" i="5"/>
  <c r="G93" i="5"/>
  <c r="F23" i="5"/>
  <c r="I48" i="5"/>
  <c r="F88" i="5"/>
  <c r="G104" i="5"/>
  <c r="H9" i="5"/>
  <c r="G95" i="5"/>
  <c r="H120" i="5"/>
  <c r="I46" i="5"/>
  <c r="G87" i="5"/>
  <c r="H113" i="5"/>
  <c r="I93" i="5"/>
  <c r="H46" i="5"/>
  <c r="I60" i="5"/>
  <c r="F71" i="5"/>
  <c r="H57" i="5"/>
  <c r="I32" i="5"/>
  <c r="F35" i="5"/>
  <c r="F66" i="5"/>
  <c r="G44" i="5"/>
  <c r="E108" i="5"/>
  <c r="F82" i="5"/>
  <c r="E20" i="5"/>
  <c r="E121" i="5"/>
  <c r="I51" i="5"/>
  <c r="G82" i="5"/>
  <c r="G81" i="5"/>
  <c r="E107" i="5"/>
  <c r="F28" i="5"/>
  <c r="F53" i="5"/>
  <c r="E114" i="5"/>
  <c r="H124" i="5"/>
  <c r="G114" i="5"/>
  <c r="F117" i="5"/>
  <c r="G5" i="5"/>
  <c r="H85" i="5"/>
  <c r="G111" i="5"/>
  <c r="E112" i="5"/>
  <c r="E16" i="5"/>
  <c r="I123" i="5"/>
  <c r="F106" i="5"/>
  <c r="I4" i="5"/>
  <c r="G8" i="5"/>
  <c r="H66" i="5"/>
  <c r="G3" i="5"/>
  <c r="E85" i="5"/>
  <c r="G7" i="5"/>
  <c r="G72" i="5"/>
  <c r="H73" i="5"/>
  <c r="E29" i="5"/>
  <c r="H88" i="5"/>
  <c r="E52" i="5"/>
  <c r="F55" i="5"/>
  <c r="G50" i="5"/>
  <c r="E57" i="5"/>
  <c r="E56" i="5"/>
  <c r="F42" i="5"/>
  <c r="H17" i="5"/>
  <c r="I65" i="5"/>
  <c r="H103" i="5"/>
  <c r="F47" i="5"/>
  <c r="E46" i="5"/>
  <c r="F120" i="5"/>
  <c r="E33" i="5"/>
  <c r="I5" i="5"/>
  <c r="F32" i="5"/>
  <c r="F4" i="5"/>
  <c r="F87" i="5"/>
  <c r="F33" i="5"/>
  <c r="H65" i="5"/>
  <c r="H89" i="5"/>
  <c r="F59" i="5"/>
  <c r="G21" i="5"/>
  <c r="H3" i="5"/>
  <c r="F81" i="5"/>
  <c r="I21" i="5"/>
  <c r="E48" i="5"/>
  <c r="I40" i="5"/>
  <c r="I124" i="5"/>
  <c r="I114" i="5"/>
  <c r="G101" i="5"/>
  <c r="I108" i="5"/>
  <c r="I81" i="5"/>
  <c r="H42" i="5"/>
  <c r="I22" i="5"/>
  <c r="F108" i="5"/>
  <c r="G57" i="5"/>
  <c r="I71" i="5"/>
  <c r="I69" i="5"/>
  <c r="E91" i="5"/>
  <c r="F78" i="5"/>
  <c r="G33" i="5"/>
  <c r="G77" i="5"/>
  <c r="G43" i="5"/>
  <c r="H4" i="5"/>
  <c r="F46" i="5"/>
  <c r="I116" i="5"/>
  <c r="H78" i="5"/>
  <c r="F100" i="5"/>
  <c r="G51" i="5"/>
  <c r="I72" i="5"/>
  <c r="H26" i="5"/>
  <c r="G64" i="5"/>
  <c r="I52" i="5"/>
  <c r="F51" i="5"/>
  <c r="E69" i="5"/>
  <c r="E5" i="5"/>
  <c r="I3" i="5"/>
  <c r="I90" i="5"/>
  <c r="G119" i="5"/>
  <c r="E26" i="5"/>
  <c r="F96" i="5"/>
  <c r="H96" i="5"/>
  <c r="G122" i="5"/>
  <c r="F85" i="5"/>
  <c r="E19" i="5"/>
  <c r="G124" i="5"/>
  <c r="E122" i="5"/>
  <c r="H106" i="5"/>
  <c r="F124" i="5"/>
  <c r="E10" i="5"/>
  <c r="H38" i="5"/>
  <c r="G120" i="5"/>
  <c r="H33" i="5"/>
  <c r="G125" i="5"/>
  <c r="H80" i="5"/>
  <c r="G29" i="5"/>
  <c r="F7" i="5"/>
  <c r="G47" i="5"/>
  <c r="F45" i="5"/>
  <c r="I30" i="5"/>
  <c r="F65" i="5"/>
  <c r="I80" i="5"/>
  <c r="E35" i="5"/>
  <c r="E60" i="5"/>
  <c r="H94" i="5"/>
  <c r="E9" i="5"/>
  <c r="E124" i="5"/>
  <c r="J1" i="5" a="1"/>
  <c r="E75" i="5"/>
  <c r="G32" i="5"/>
  <c r="E116" i="5"/>
  <c r="E49" i="5"/>
  <c r="G83" i="5"/>
  <c r="E72" i="5"/>
  <c r="H98" i="5"/>
  <c r="H19" i="5"/>
  <c r="F107" i="5"/>
  <c r="G12" i="5"/>
  <c r="E105" i="5"/>
  <c r="E58" i="5"/>
  <c r="G116" i="5"/>
  <c r="G18" i="5"/>
  <c r="F56" i="5"/>
  <c r="H119" i="5"/>
  <c r="I9" i="5"/>
  <c r="G109" i="5"/>
  <c r="E84" i="5"/>
  <c r="G15" i="5"/>
  <c r="G108" i="5"/>
  <c r="H5" i="5"/>
  <c r="I26" i="5"/>
  <c r="G88" i="5"/>
  <c r="F58" i="5"/>
  <c r="E24" i="5"/>
  <c r="G75" i="5"/>
  <c r="F25" i="5"/>
  <c r="E51" i="5"/>
  <c r="H118" i="5"/>
  <c r="G55" i="5"/>
  <c r="F91" i="5"/>
  <c r="F34" i="5"/>
  <c r="E61" i="5"/>
  <c r="I44" i="5"/>
  <c r="F126" i="5"/>
  <c r="G85" i="5"/>
  <c r="E40" i="5"/>
  <c r="E82" i="5"/>
  <c r="E68" i="5"/>
  <c r="I50" i="5"/>
  <c r="G84" i="5"/>
  <c r="E11" i="5"/>
  <c r="G97" i="5"/>
  <c r="G80" i="5"/>
  <c r="I68" i="5"/>
  <c r="E37" i="5"/>
  <c r="G10" i="5"/>
  <c r="D31" i="6"/>
  <c r="F21" i="5"/>
  <c r="I62" i="5"/>
  <c r="G34" i="5"/>
  <c r="G17" i="5"/>
  <c r="E83" i="5"/>
  <c r="H72" i="5"/>
  <c r="I39" i="5"/>
  <c r="F26" i="5"/>
  <c r="E101" i="5"/>
  <c r="E109" i="5"/>
  <c r="H58" i="5"/>
  <c r="E6" i="5"/>
  <c r="E103" i="5"/>
  <c r="I47" i="5"/>
  <c r="G49" i="5"/>
  <c r="H123" i="5"/>
  <c r="G53" i="5"/>
  <c r="I104" i="5"/>
  <c r="H107" i="5"/>
  <c r="G4" i="5"/>
  <c r="F118" i="5"/>
  <c r="H37" i="5"/>
  <c r="G23" i="5"/>
  <c r="G41" i="5"/>
  <c r="I18" i="5"/>
  <c r="F109" i="5"/>
  <c r="F31" i="5"/>
  <c r="E43" i="5"/>
  <c r="F24" i="5"/>
  <c r="G68" i="5"/>
  <c r="H61" i="5"/>
  <c r="G59" i="5"/>
  <c r="I115" i="5"/>
  <c r="E2" i="5"/>
  <c r="E32" i="5"/>
  <c r="J113" i="5" l="1"/>
  <c r="J96" i="5"/>
  <c r="J94" i="5"/>
  <c r="J31" i="5"/>
  <c r="J108" i="5"/>
  <c r="J114" i="5"/>
  <c r="J48" i="5"/>
  <c r="J33" i="5"/>
  <c r="J59" i="5"/>
  <c r="J5" i="5"/>
  <c r="J118" i="5"/>
  <c r="J13" i="5"/>
  <c r="J115" i="5"/>
  <c r="J98" i="5"/>
  <c r="J111" i="5"/>
  <c r="J123" i="5"/>
  <c r="J86" i="5"/>
  <c r="J68" i="5"/>
  <c r="J122" i="5"/>
  <c r="J51" i="5"/>
  <c r="J34" i="5"/>
  <c r="J110" i="5"/>
  <c r="J36" i="5"/>
  <c r="J57" i="5"/>
  <c r="J70" i="5"/>
  <c r="J88" i="5"/>
  <c r="J125" i="5"/>
  <c r="J9" i="5"/>
  <c r="J66" i="5"/>
  <c r="J101" i="5"/>
  <c r="J17" i="5"/>
  <c r="J38" i="5"/>
  <c r="J83" i="5"/>
  <c r="J107" i="5"/>
  <c r="J120" i="5"/>
  <c r="J44" i="5"/>
  <c r="J29" i="5"/>
  <c r="J75" i="5"/>
  <c r="J77" i="5"/>
  <c r="J40" i="5"/>
  <c r="J7" i="5"/>
  <c r="J85" i="5"/>
  <c r="J26" i="5"/>
  <c r="J72" i="5"/>
  <c r="J104" i="5"/>
  <c r="J73" i="5"/>
  <c r="J15" i="5"/>
  <c r="J97" i="5"/>
  <c r="J105" i="5"/>
  <c r="J106" i="5"/>
  <c r="J22" i="5"/>
  <c r="J32" i="5"/>
  <c r="J41" i="5"/>
  <c r="J53" i="5"/>
  <c r="J84" i="5"/>
  <c r="J2" i="5"/>
  <c r="J10" i="5"/>
  <c r="J16" i="5"/>
  <c r="J47" i="5"/>
  <c r="J28" i="5"/>
  <c r="J19" i="5"/>
  <c r="J20" i="5"/>
  <c r="J27" i="5"/>
  <c r="J11" i="5"/>
  <c r="J90" i="5"/>
  <c r="J121" i="5"/>
  <c r="J126" i="5"/>
  <c r="J12" i="5"/>
  <c r="J45" i="5"/>
  <c r="J14" i="5"/>
  <c r="J63" i="5"/>
  <c r="J1" i="5"/>
  <c r="J24" i="5"/>
  <c r="J116" i="5"/>
  <c r="J37" i="5"/>
  <c r="J25" i="5"/>
  <c r="J87" i="5"/>
  <c r="J21" i="5"/>
  <c r="J4" i="5"/>
  <c r="J103" i="5"/>
  <c r="J6" i="5"/>
  <c r="J69" i="5"/>
  <c r="J3" i="5"/>
  <c r="J49" i="5"/>
  <c r="J89" i="5"/>
  <c r="J74" i="5"/>
  <c r="J64" i="5"/>
  <c r="J100" i="5"/>
  <c r="J8" i="5"/>
  <c r="J52" i="5"/>
  <c r="J102" i="5"/>
  <c r="J42" i="5"/>
  <c r="J109" i="5"/>
  <c r="J56" i="5"/>
  <c r="J54" i="5"/>
  <c r="J58" i="5"/>
  <c r="J43" i="5"/>
  <c r="J91" i="5"/>
  <c r="J35" i="5"/>
  <c r="J67" i="5"/>
  <c r="J39" i="5"/>
  <c r="J82" i="5"/>
  <c r="J23" i="5"/>
  <c r="J65" i="5"/>
  <c r="J95" i="5"/>
  <c r="J30" i="5"/>
  <c r="J50" i="5"/>
  <c r="J117" i="5"/>
  <c r="J79" i="5"/>
  <c r="J71" i="5"/>
  <c r="J46" i="5"/>
  <c r="J92" i="5"/>
  <c r="J61" i="5"/>
  <c r="J60" i="5"/>
  <c r="J124" i="5"/>
  <c r="J93" i="5"/>
  <c r="J55" i="5"/>
  <c r="J112" i="5"/>
  <c r="J81" i="5"/>
  <c r="J99" i="5"/>
  <c r="J62" i="5"/>
  <c r="J80" i="5"/>
  <c r="J18" i="5"/>
  <c r="J119" i="5"/>
  <c r="J76" i="5"/>
  <c r="J78" i="5"/>
  <c r="M56" i="31"/>
  <c r="M49" i="31"/>
  <c r="M18" i="31"/>
  <c r="M32" i="31"/>
  <c r="M28" i="31"/>
  <c r="M45" i="31"/>
  <c r="M31" i="31"/>
  <c r="M59" i="31"/>
  <c r="M53" i="31"/>
  <c r="M12" i="31"/>
  <c r="M46" i="31"/>
  <c r="M23" i="31"/>
  <c r="M13" i="31"/>
  <c r="M19" i="31"/>
  <c r="M36" i="31"/>
  <c r="M30" i="31"/>
  <c r="M16" i="31"/>
  <c r="M34" i="31"/>
  <c r="M51" i="31"/>
  <c r="M14" i="31"/>
  <c r="M24" i="31"/>
  <c r="M58" i="31"/>
  <c r="M26" i="31"/>
  <c r="M54" i="31"/>
  <c r="M25" i="31"/>
  <c r="M22" i="31"/>
  <c r="M64" i="31"/>
  <c r="M62" i="31"/>
  <c r="M21" i="31"/>
  <c r="M63" i="31"/>
  <c r="M37" i="31"/>
  <c r="M50" i="31"/>
  <c r="M42" i="31"/>
  <c r="M27" i="31"/>
  <c r="M52" i="31"/>
  <c r="M39" i="31"/>
  <c r="M35" i="31"/>
  <c r="M55" i="31"/>
  <c r="M29" i="31"/>
  <c r="M61" i="31"/>
  <c r="M38" i="31"/>
  <c r="M41" i="31"/>
  <c r="M20" i="31"/>
  <c r="M43" i="31"/>
  <c r="M33" i="31"/>
  <c r="M47" i="31"/>
  <c r="M40" i="31"/>
  <c r="M44" i="31"/>
  <c r="M60" i="31"/>
  <c r="M15" i="31"/>
  <c r="M17" i="31"/>
  <c r="M11" i="31"/>
  <c r="M48" i="31"/>
  <c r="M57" i="31"/>
  <c r="P54" i="31"/>
  <c r="N16" i="31"/>
  <c r="N59" i="31"/>
  <c r="N28" i="31"/>
  <c r="N30" i="31"/>
  <c r="P14" i="31"/>
  <c r="O61" i="31"/>
  <c r="O19" i="31"/>
  <c r="N52" i="31"/>
  <c r="O49" i="31"/>
  <c r="N62" i="31"/>
  <c r="O25" i="31"/>
  <c r="O46" i="31"/>
  <c r="P34" i="31"/>
  <c r="P61" i="31"/>
  <c r="O37" i="31"/>
  <c r="N23" i="31"/>
  <c r="P35" i="31"/>
  <c r="N13" i="31"/>
  <c r="P30" i="31"/>
  <c r="D29" i="6"/>
  <c r="O13" i="31"/>
  <c r="P33" i="31"/>
  <c r="O17" i="31"/>
  <c r="N33" i="31"/>
  <c r="N32" i="31"/>
  <c r="O31" i="31"/>
  <c r="O34" i="31"/>
  <c r="N20" i="31"/>
  <c r="O41" i="31"/>
  <c r="N38" i="31"/>
  <c r="N49" i="31"/>
  <c r="P32" i="31"/>
  <c r="N26" i="31"/>
  <c r="O27" i="31"/>
  <c r="P37" i="31"/>
  <c r="N27" i="31"/>
  <c r="N61" i="31"/>
  <c r="P20" i="31"/>
  <c r="P36" i="31"/>
  <c r="P38" i="31"/>
  <c r="P29" i="31"/>
  <c r="N47" i="31"/>
  <c r="O53" i="31"/>
  <c r="P51" i="31"/>
  <c r="N48" i="31"/>
  <c r="O44" i="31"/>
  <c r="P22" i="31"/>
  <c r="N63" i="31"/>
  <c r="O23" i="31"/>
  <c r="P24" i="31"/>
  <c r="N17" i="31"/>
  <c r="N36" i="31"/>
  <c r="O11" i="31"/>
  <c r="P21" i="31"/>
  <c r="Z9" i="31"/>
  <c r="O21" i="31"/>
  <c r="P60" i="31"/>
  <c r="O63" i="31"/>
  <c r="N42" i="31"/>
  <c r="O22" i="31"/>
  <c r="P25" i="31"/>
  <c r="P46" i="31"/>
  <c r="N56" i="31"/>
  <c r="O26" i="31"/>
  <c r="O28" i="31"/>
  <c r="P52" i="31"/>
  <c r="P50" i="31"/>
  <c r="N37" i="31"/>
  <c r="P42" i="31"/>
  <c r="O58" i="31"/>
  <c r="P53" i="31"/>
  <c r="N12" i="31"/>
  <c r="N39" i="31"/>
  <c r="N31" i="31"/>
  <c r="O40" i="31"/>
  <c r="O50" i="31"/>
  <c r="N22" i="31"/>
  <c r="N60" i="31"/>
  <c r="N58" i="31"/>
  <c r="C28" i="6"/>
  <c r="P26" i="31"/>
  <c r="N34" i="31"/>
  <c r="O45" i="31"/>
  <c r="P15" i="31"/>
  <c r="O60" i="31"/>
  <c r="O20" i="31"/>
  <c r="P28" i="31"/>
  <c r="N53" i="31"/>
  <c r="N44" i="31"/>
  <c r="P18" i="31"/>
  <c r="O47" i="31"/>
  <c r="P17" i="31"/>
  <c r="N25" i="31"/>
  <c r="N51" i="31"/>
  <c r="O30" i="31"/>
  <c r="O14" i="31"/>
  <c r="N54" i="31"/>
  <c r="O16" i="31"/>
  <c r="O56" i="31"/>
  <c r="O52" i="31"/>
  <c r="N15" i="31"/>
  <c r="N43" i="31"/>
  <c r="O35" i="31"/>
  <c r="N55" i="31"/>
  <c r="P39" i="31"/>
  <c r="P40" i="31"/>
  <c r="N19" i="31"/>
  <c r="P49" i="31"/>
  <c r="N46" i="31"/>
  <c r="O33" i="31"/>
  <c r="O64" i="31"/>
  <c r="N45" i="31"/>
  <c r="P55" i="31"/>
  <c r="O57" i="31"/>
  <c r="O42" i="31"/>
  <c r="O12" i="31"/>
  <c r="N21" i="31"/>
  <c r="N41" i="31"/>
  <c r="O38" i="31"/>
  <c r="P11" i="31"/>
  <c r="O51" i="31"/>
  <c r="P19" i="31"/>
  <c r="P58" i="31"/>
  <c r="N57" i="31"/>
  <c r="P59" i="31"/>
  <c r="N14" i="31"/>
  <c r="N35" i="31"/>
  <c r="N64" i="31"/>
  <c r="O39" i="31"/>
  <c r="P43" i="31"/>
  <c r="O24" i="31"/>
  <c r="P31" i="31"/>
  <c r="P56" i="31"/>
  <c r="N50" i="31"/>
  <c r="P47" i="31"/>
  <c r="O36" i="31"/>
  <c r="N11" i="31"/>
  <c r="P44" i="31"/>
  <c r="N40" i="31"/>
  <c r="O43" i="31"/>
  <c r="P16" i="31"/>
  <c r="O59" i="31"/>
  <c r="P41" i="31"/>
  <c r="P62" i="31"/>
  <c r="P12" i="31"/>
  <c r="O32" i="31"/>
  <c r="P27" i="31"/>
  <c r="P57" i="31"/>
  <c r="N18" i="31"/>
  <c r="P64" i="31"/>
  <c r="O54" i="31"/>
  <c r="P23" i="31"/>
  <c r="O55" i="31"/>
  <c r="O18" i="31"/>
  <c r="N24" i="31"/>
  <c r="O62" i="31"/>
  <c r="P45" i="31"/>
  <c r="O48" i="31"/>
  <c r="O15" i="31"/>
  <c r="O29" i="31"/>
  <c r="P48" i="31"/>
  <c r="P63" i="31"/>
  <c r="P13" i="31"/>
  <c r="N29" i="31"/>
  <c r="Q49" i="31" l="1"/>
  <c r="Q44" i="31"/>
  <c r="Q59" i="31"/>
  <c r="Q15" i="31"/>
  <c r="Q31" i="31"/>
  <c r="Q62" i="31"/>
  <c r="Q14" i="31"/>
  <c r="Q39" i="31"/>
  <c r="Q18" i="31"/>
  <c r="Q21" i="31"/>
  <c r="Q11" i="31"/>
  <c r="Q50" i="31"/>
  <c r="Q26" i="31"/>
  <c r="Q43" i="31"/>
  <c r="Q27" i="31"/>
  <c r="Q46" i="31"/>
  <c r="Q22" i="31"/>
  <c r="Q51" i="31"/>
  <c r="Q47" i="31"/>
  <c r="Q37" i="31"/>
  <c r="Q33" i="31"/>
  <c r="Q60" i="31"/>
  <c r="Q34" i="31"/>
  <c r="Q16" i="31"/>
  <c r="Q63" i="31"/>
  <c r="Q28" i="31"/>
  <c r="Q42" i="31"/>
  <c r="Q61" i="31"/>
  <c r="Q12" i="31"/>
  <c r="Q20" i="31"/>
  <c r="Q48" i="31"/>
  <c r="Q36" i="31"/>
  <c r="Q23" i="31"/>
  <c r="Q32" i="31"/>
  <c r="Q35" i="31"/>
  <c r="Q19" i="31"/>
  <c r="Q25" i="31"/>
  <c r="Q58" i="31"/>
  <c r="Q30" i="31"/>
  <c r="Q29" i="31"/>
  <c r="Q41" i="31"/>
  <c r="Q64" i="31"/>
  <c r="Q13" i="31"/>
  <c r="Q45" i="31"/>
  <c r="Q54" i="31"/>
  <c r="Q57" i="31"/>
  <c r="Q56" i="31"/>
  <c r="Q24" i="31"/>
  <c r="Q52" i="31"/>
  <c r="Q53" i="31"/>
  <c r="Q55" i="31"/>
  <c r="Q40" i="31"/>
  <c r="Q17" i="31"/>
  <c r="Q38" i="31"/>
  <c r="R22" i="31"/>
  <c r="R44" i="31"/>
  <c r="R18" i="31"/>
  <c r="R41" i="31"/>
  <c r="R53" i="31"/>
  <c r="S53" i="31" s="1"/>
  <c r="R50" i="31"/>
  <c r="S50" i="31" s="1"/>
  <c r="R11" i="31"/>
  <c r="R61" i="31"/>
  <c r="R17" i="31"/>
  <c r="R19" i="31"/>
  <c r="R13" i="31"/>
  <c r="S41" i="31"/>
  <c r="Z11" i="31" a="1"/>
  <c r="R59" i="31"/>
  <c r="R30" i="31"/>
  <c r="R58" i="31"/>
  <c r="R23" i="31"/>
  <c r="S23" i="31" s="1"/>
  <c r="R21" i="31"/>
  <c r="R38" i="31"/>
  <c r="R31" i="31"/>
  <c r="R64" i="31"/>
  <c r="R28" i="31"/>
  <c r="R33" i="31"/>
  <c r="R42" i="31"/>
  <c r="S33" i="31"/>
  <c r="R15" i="31"/>
  <c r="R63" i="31"/>
  <c r="S63" i="31" s="1"/>
  <c r="R49" i="31"/>
  <c r="R48" i="31"/>
  <c r="R12" i="31"/>
  <c r="R40" i="31"/>
  <c r="R43" i="31"/>
  <c r="R52" i="31"/>
  <c r="S52" i="31" s="1"/>
  <c r="R51" i="31"/>
  <c r="S51" i="31" s="1"/>
  <c r="R32" i="31"/>
  <c r="R47" i="31"/>
  <c r="R35" i="31"/>
  <c r="R55" i="31"/>
  <c r="R37" i="31"/>
  <c r="R45" i="31"/>
  <c r="R26" i="31"/>
  <c r="R25" i="31"/>
  <c r="R54" i="31"/>
  <c r="S54" i="31" s="1"/>
  <c r="R62" i="31"/>
  <c r="R60" i="31"/>
  <c r="R20" i="31"/>
  <c r="R57" i="31"/>
  <c r="R14" i="31"/>
  <c r="R27" i="31"/>
  <c r="R34" i="31"/>
  <c r="R56" i="31"/>
  <c r="S56" i="31" s="1"/>
  <c r="R39" i="31"/>
  <c r="R46" i="31"/>
  <c r="R16" i="31"/>
  <c r="R36" i="31"/>
  <c r="R29" i="31"/>
  <c r="R24" i="31"/>
  <c r="Z3464" i="31" l="1"/>
  <c r="Z2952" i="31"/>
  <c r="Z3249" i="31"/>
  <c r="Z3284" i="31"/>
  <c r="Z3168" i="31"/>
  <c r="Z3465" i="31"/>
  <c r="Z3404" i="31"/>
  <c r="Z3061" i="31"/>
  <c r="Z2517" i="31"/>
  <c r="Z2855" i="31"/>
  <c r="Z2187" i="31"/>
  <c r="Z1675" i="31"/>
  <c r="Z3525" i="31"/>
  <c r="Z2749" i="31"/>
  <c r="Z3319" i="31"/>
  <c r="Z2442" i="31"/>
  <c r="Z1907" i="31"/>
  <c r="Z3485" i="31"/>
  <c r="Z3279" i="31"/>
  <c r="Z1887" i="31"/>
  <c r="Z1207" i="31"/>
  <c r="Z695" i="31"/>
  <c r="Z183" i="31"/>
  <c r="Z2553" i="31"/>
  <c r="Z2223" i="31"/>
  <c r="Z1375" i="31"/>
  <c r="Z863" i="31"/>
  <c r="Z351" i="31"/>
  <c r="Z3231" i="31"/>
  <c r="Z1195" i="31"/>
  <c r="Z171" i="31"/>
  <c r="Z2231" i="31"/>
  <c r="Z867" i="31"/>
  <c r="Z3534" i="31"/>
  <c r="Z2584" i="31"/>
  <c r="Z2014" i="31"/>
  <c r="Z1502" i="31"/>
  <c r="Z990" i="31"/>
  <c r="Z3098" i="31"/>
  <c r="Z2308" i="31"/>
  <c r="Z2993" i="31"/>
  <c r="Z1639" i="31"/>
  <c r="Z3192" i="31"/>
  <c r="Z3489" i="31"/>
  <c r="Z3524" i="31"/>
  <c r="Z3408" i="31"/>
  <c r="Z2896" i="31"/>
  <c r="Z3193" i="31"/>
  <c r="Z3541" i="31"/>
  <c r="Z2757" i="31"/>
  <c r="Z3335" i="31"/>
  <c r="Z2452" i="31"/>
  <c r="Z1915" i="31"/>
  <c r="Z3244" i="31"/>
  <c r="Z2989" i="31"/>
  <c r="Z2477" i="31"/>
  <c r="Z2775" i="31"/>
  <c r="Z2147" i="31"/>
  <c r="Z1635" i="31"/>
  <c r="Z2697" i="31"/>
  <c r="Z2372" i="31"/>
  <c r="Z1447" i="31"/>
  <c r="Z935" i="31"/>
  <c r="Z423" i="31"/>
  <c r="Z3069" i="31"/>
  <c r="Z2863" i="31"/>
  <c r="Z1679" i="31"/>
  <c r="Z1103" i="31"/>
  <c r="Z591" i="31"/>
  <c r="Z3309" i="31"/>
  <c r="Z1799" i="31"/>
  <c r="Z651" i="31"/>
  <c r="Z2497" i="31"/>
  <c r="Z1347" i="31"/>
  <c r="Z323" i="31"/>
  <c r="Z2990" i="31"/>
  <c r="Z2254" i="31"/>
  <c r="Z1742" i="31"/>
  <c r="Z1230" i="31"/>
  <c r="Z718" i="31"/>
  <c r="Z2614" i="31"/>
  <c r="Z2036" i="31"/>
  <c r="Z2682" i="31"/>
  <c r="Z3368" i="31"/>
  <c r="Z2856" i="31"/>
  <c r="Z3153" i="31"/>
  <c r="Z3188" i="31"/>
  <c r="Z3072" i="31"/>
  <c r="Z3369" i="31"/>
  <c r="Z3084" i="31"/>
  <c r="Z2933" i="31"/>
  <c r="Z2421" i="31"/>
  <c r="Z2687" i="31"/>
  <c r="Z2091" i="31"/>
  <c r="Z1579" i="31"/>
  <c r="Z3333" i="31"/>
  <c r="Z2653" i="31"/>
  <c r="Z3127" i="31"/>
  <c r="Z2323" i="31"/>
  <c r="Z1811" i="31"/>
  <c r="Z3101" i="31"/>
  <c r="Z2895" i="31"/>
  <c r="Z1695" i="31"/>
  <c r="Z1111" i="31"/>
  <c r="Z599" i="31"/>
  <c r="Z2964" i="31"/>
  <c r="Z2361" i="31"/>
  <c r="Z2031" i="31"/>
  <c r="Z1279" i="31"/>
  <c r="Z767" i="31"/>
  <c r="Z255" i="31"/>
  <c r="Z2554" i="31"/>
  <c r="Z1003" i="31"/>
  <c r="Z3405" i="31"/>
  <c r="Z1847" i="31"/>
  <c r="Z675" i="31"/>
  <c r="Z3342" i="31"/>
  <c r="Z2456" i="31"/>
  <c r="Z1918" i="31"/>
  <c r="Z1406" i="31"/>
  <c r="Z894" i="31"/>
  <c r="Z2906" i="31"/>
  <c r="Z2212" i="31"/>
  <c r="Z2609" i="31"/>
  <c r="Z1403" i="31"/>
  <c r="Z3096" i="31"/>
  <c r="Z3393" i="31"/>
  <c r="Z3428" i="31"/>
  <c r="Z3312" i="31"/>
  <c r="Z2800" i="31"/>
  <c r="Z3097" i="31"/>
  <c r="Z3349" i="31"/>
  <c r="Z2661" i="31"/>
  <c r="Z3143" i="31"/>
  <c r="Z2331" i="31"/>
  <c r="Z1819" i="31"/>
  <c r="Z3004" i="31"/>
  <c r="Z2893" i="31"/>
  <c r="Z2381" i="31"/>
  <c r="Z2634" i="31"/>
  <c r="Z2051" i="31"/>
  <c r="Z3484" i="31"/>
  <c r="Z2505" i="31"/>
  <c r="Z2175" i="31"/>
  <c r="Z1351" i="31"/>
  <c r="Z839" i="31"/>
  <c r="Z327" i="31"/>
  <c r="Z2841" i="31"/>
  <c r="Z2564" i="31"/>
  <c r="Z1519" i="31"/>
  <c r="Z1007" i="31"/>
  <c r="Z495" i="31"/>
  <c r="Z2769" i="31"/>
  <c r="Z1483" i="31"/>
  <c r="Z459" i="31"/>
  <c r="Z3071" i="31"/>
  <c r="Z1155" i="31"/>
  <c r="Z147" i="31"/>
  <c r="Z2798" i="31"/>
  <c r="Z2158" i="31"/>
  <c r="Z1646" i="31"/>
  <c r="Z1134" i="31"/>
  <c r="Z3386" i="31"/>
  <c r="Z2486" i="31"/>
  <c r="Z1940" i="31"/>
  <c r="Z2215" i="31"/>
  <c r="Z859" i="31"/>
  <c r="Z2849" i="31"/>
  <c r="Z1523" i="31"/>
  <c r="Z499" i="31"/>
  <c r="Z3166" i="31"/>
  <c r="Z2342" i="31"/>
  <c r="Z1830" i="31"/>
  <c r="Z1318" i="31"/>
  <c r="Z806" i="31"/>
  <c r="Z2731" i="31"/>
  <c r="Z2124" i="31"/>
  <c r="Z2590" i="31"/>
  <c r="Z1506" i="31"/>
  <c r="Z3106" i="31"/>
  <c r="Z2202" i="31"/>
  <c r="Z1178" i="31"/>
  <c r="Z2544" i="31"/>
  <c r="Z1704" i="31"/>
  <c r="Z1192" i="31"/>
  <c r="Z680" i="31"/>
  <c r="Z168" i="31"/>
  <c r="Z2483" i="31"/>
  <c r="Z1426" i="31"/>
  <c r="Z111" i="31"/>
  <c r="Z2122" i="31"/>
  <c r="Z1098" i="31"/>
  <c r="Z2438" i="31"/>
  <c r="Z1664" i="31"/>
  <c r="Z1152" i="31"/>
  <c r="Z827" i="31"/>
  <c r="Z2785" i="31"/>
  <c r="Z1491" i="31"/>
  <c r="Z467" i="31"/>
  <c r="Z3134" i="31"/>
  <c r="Z2326" i="31"/>
  <c r="Z1814" i="31"/>
  <c r="Z1302" i="31"/>
  <c r="Z790" i="31"/>
  <c r="Z2710" i="31"/>
  <c r="Z2108" i="31"/>
  <c r="Z2547" i="31"/>
  <c r="Z1474" i="31"/>
  <c r="Z159" i="31"/>
  <c r="Z2170" i="31"/>
  <c r="Z1146" i="31"/>
  <c r="Z2502" i="31"/>
  <c r="Z1688" i="31"/>
  <c r="Z1176" i="31"/>
  <c r="Z664" i="31"/>
  <c r="Z152" i="31"/>
  <c r="Z2440" i="31"/>
  <c r="Z1394" i="31"/>
  <c r="Z79" i="31"/>
  <c r="Z2090" i="31"/>
  <c r="Z1066" i="31"/>
  <c r="Z2395" i="31"/>
  <c r="Z1648" i="31"/>
  <c r="Z1136" i="31"/>
  <c r="Z624" i="31"/>
  <c r="Z112" i="31"/>
  <c r="Z1540" i="31"/>
  <c r="Z516" i="31"/>
  <c r="Z2029" i="31"/>
  <c r="Z341" i="31"/>
  <c r="Z1689" i="31"/>
  <c r="Z1884" i="31"/>
  <c r="Z860" i="31"/>
  <c r="Z2891" i="31"/>
  <c r="Z685" i="31"/>
  <c r="Z2386" i="31"/>
  <c r="Z514" i="31"/>
  <c r="Z505" i="31"/>
  <c r="Z539" i="31"/>
  <c r="Z3263" i="31"/>
  <c r="Z1203" i="31"/>
  <c r="Z179" i="31"/>
  <c r="Z2846" i="31"/>
  <c r="Z2182" i="31"/>
  <c r="Z1670" i="31"/>
  <c r="Z1158" i="31"/>
  <c r="Z3434" i="31"/>
  <c r="Z2518" i="31"/>
  <c r="Z1964" i="31"/>
  <c r="Z2210" i="31"/>
  <c r="Z1186" i="31"/>
  <c r="Z3270" i="31"/>
  <c r="Z1882" i="31"/>
  <c r="Z858" i="31"/>
  <c r="Z2176" i="31"/>
  <c r="Z1544" i="31"/>
  <c r="Z1032" i="31"/>
  <c r="Z520" i="31"/>
  <c r="Z119" i="31"/>
  <c r="Z2130" i="31"/>
  <c r="Z1106" i="31"/>
  <c r="Z3110" i="31"/>
  <c r="Z1802" i="31"/>
  <c r="Z778" i="31"/>
  <c r="Z2096" i="31"/>
  <c r="Z1504" i="31"/>
  <c r="Z992" i="31"/>
  <c r="Z507" i="31"/>
  <c r="Z3135" i="31"/>
  <c r="Z1171" i="31"/>
  <c r="Z155" i="31"/>
  <c r="Z2814" i="31"/>
  <c r="Z2166" i="31"/>
  <c r="Z1654" i="31"/>
  <c r="Z1142" i="31"/>
  <c r="Z3402" i="31"/>
  <c r="Z2496" i="31"/>
  <c r="Z1948" i="31"/>
  <c r="Z2178" i="31"/>
  <c r="Z1154" i="31"/>
  <c r="Z3206" i="31"/>
  <c r="Z1850" i="31"/>
  <c r="Z826" i="31"/>
  <c r="Z2144" i="31"/>
  <c r="Z1528" i="31"/>
  <c r="Z1016" i="31"/>
  <c r="Z504" i="31"/>
  <c r="Z87" i="31"/>
  <c r="Z2098" i="31"/>
  <c r="Z1074" i="31"/>
  <c r="Z3046" i="31"/>
  <c r="Z1770" i="31"/>
  <c r="Z746" i="31"/>
  <c r="Z2064" i="31"/>
  <c r="Z1488" i="31"/>
  <c r="Z976" i="31"/>
  <c r="Z464" i="31"/>
  <c r="Z2619" i="31"/>
  <c r="Z1220" i="31"/>
  <c r="Z196" i="31"/>
  <c r="Z3400" i="31"/>
  <c r="Z2888" i="31"/>
  <c r="Z3185" i="31"/>
  <c r="Z3220" i="31"/>
  <c r="Z3104" i="31"/>
  <c r="Z3401" i="31"/>
  <c r="Z3148" i="31"/>
  <c r="Z2965" i="31"/>
  <c r="Z2453" i="31"/>
  <c r="Z2730" i="31"/>
  <c r="Z2123" i="31"/>
  <c r="Z1611" i="31"/>
  <c r="Z3397" i="31"/>
  <c r="Z2685" i="31"/>
  <c r="Z3191" i="31"/>
  <c r="Z2356" i="31"/>
  <c r="Z1843" i="31"/>
  <c r="Z3229" i="31"/>
  <c r="Z3023" i="31"/>
  <c r="Z1759" i="31"/>
  <c r="Z1143" i="31"/>
  <c r="Z631" i="31"/>
  <c r="Z3092" i="31"/>
  <c r="Z2425" i="31"/>
  <c r="Z2095" i="31"/>
  <c r="Z1311" i="31"/>
  <c r="Z799" i="31"/>
  <c r="Z287" i="31"/>
  <c r="Z2724" i="31"/>
  <c r="Z1067" i="31"/>
  <c r="Z2852" i="31"/>
  <c r="Z1975" i="31"/>
  <c r="Z739" i="31"/>
  <c r="Z3406" i="31"/>
  <c r="Z2499" i="31"/>
  <c r="Z1950" i="31"/>
  <c r="Z1438" i="31"/>
  <c r="Z926" i="31"/>
  <c r="Z2970" i="31"/>
  <c r="Z2244" i="31"/>
  <c r="Z2737" i="31"/>
  <c r="Z1467" i="31"/>
  <c r="Z3128" i="31"/>
  <c r="Z3425" i="31"/>
  <c r="Z3460" i="31"/>
  <c r="Z3344" i="31"/>
  <c r="Z2832" i="31"/>
  <c r="Z3129" i="31"/>
  <c r="Z3413" i="31"/>
  <c r="Z2693" i="31"/>
  <c r="Z3207" i="31"/>
  <c r="Z2367" i="31"/>
  <c r="Z1851" i="31"/>
  <c r="Z3068" i="31"/>
  <c r="Z2925" i="31"/>
  <c r="Z2413" i="31"/>
  <c r="Z2676" i="31"/>
  <c r="Z2083" i="31"/>
  <c r="Z1571" i="31"/>
  <c r="Z2569" i="31"/>
  <c r="Z2239" i="31"/>
  <c r="Z1383" i="31"/>
  <c r="Z871" i="31"/>
  <c r="Z359" i="31"/>
  <c r="Z2905" i="31"/>
  <c r="Z2650" i="31"/>
  <c r="Z1551" i="31"/>
  <c r="Z1039" i="31"/>
  <c r="Z527" i="31"/>
  <c r="Z2897" i="31"/>
  <c r="Z1547" i="31"/>
  <c r="Z523" i="31"/>
  <c r="Z3327" i="31"/>
  <c r="Z1219" i="31"/>
  <c r="Z195" i="31"/>
  <c r="Z2862" i="31"/>
  <c r="Z2190" i="31"/>
  <c r="Z1678" i="31"/>
  <c r="Z1166" i="31"/>
  <c r="Z3450" i="31"/>
  <c r="Z2528" i="31"/>
  <c r="Z1972" i="31"/>
  <c r="Z2343" i="31"/>
  <c r="Z3304" i="31"/>
  <c r="Z2792" i="31"/>
  <c r="Z3089" i="31"/>
  <c r="Z3520" i="31"/>
  <c r="Z3008" i="31"/>
  <c r="Z3305" i="31"/>
  <c r="Z2956" i="31"/>
  <c r="Z2869" i="31"/>
  <c r="Z2357" i="31"/>
  <c r="Z2602" i="31"/>
  <c r="Z2027" i="31"/>
  <c r="Z3388" i="31"/>
  <c r="Z3205" i="31"/>
  <c r="Z2589" i="31"/>
  <c r="Z2999" i="31"/>
  <c r="Z2259" i="31"/>
  <c r="Z1747" i="31"/>
  <c r="Z2921" i="31"/>
  <c r="Z2671" i="31"/>
  <c r="Z1567" i="31"/>
  <c r="Z1047" i="31"/>
  <c r="Z535" i="31"/>
  <c r="Z3517" i="31"/>
  <c r="Z3311" i="31"/>
  <c r="Z1903" i="31"/>
  <c r="Z1215" i="31"/>
  <c r="Z703" i="31"/>
  <c r="Z191" i="31"/>
  <c r="Z2247" i="31"/>
  <c r="Z875" i="31"/>
  <c r="Z2945" i="31"/>
  <c r="Z1591" i="31"/>
  <c r="Z547" i="31"/>
  <c r="Z3214" i="31"/>
  <c r="Z2371" i="31"/>
  <c r="Z1854" i="31"/>
  <c r="Z1342" i="31"/>
  <c r="Z830" i="31"/>
  <c r="Z2778" i="31"/>
  <c r="Z2148" i="31"/>
  <c r="Z2353" i="31"/>
  <c r="Z3544" i="31"/>
  <c r="Z3032" i="31"/>
  <c r="Z3329" i="31"/>
  <c r="Z3364" i="31"/>
  <c r="Z3248" i="31"/>
  <c r="Z2736" i="31"/>
  <c r="Z3033" i="31"/>
  <c r="Z3221" i="31"/>
  <c r="Z2597" i="31"/>
  <c r="Z3015" i="31"/>
  <c r="Z2267" i="31"/>
  <c r="Z1755" i="31"/>
  <c r="Z2876" i="31"/>
  <c r="Z2829" i="31"/>
  <c r="Z3479" i="31"/>
  <c r="Z2548" i="31"/>
  <c r="Z1987" i="31"/>
  <c r="Z2996" i="31"/>
  <c r="Z2377" i="31"/>
  <c r="Z2047" i="31"/>
  <c r="Z1287" i="31"/>
  <c r="Z775" i="31"/>
  <c r="Z263" i="31"/>
  <c r="Z2713" i="31"/>
  <c r="Z2394" i="31"/>
  <c r="Z1455" i="31"/>
  <c r="Z943" i="31"/>
  <c r="Z431" i="31"/>
  <c r="Z2513" i="31"/>
  <c r="Z1355" i="31"/>
  <c r="Z331" i="31"/>
  <c r="Z2618" i="31"/>
  <c r="Z1027" i="31"/>
  <c r="Z83" i="31"/>
  <c r="Z2691" i="31"/>
  <c r="Z2094" i="31"/>
  <c r="Z1582" i="31"/>
  <c r="Z1070" i="31"/>
  <c r="Z3258" i="31"/>
  <c r="Z2400" i="31"/>
  <c r="Z2820" i="31"/>
  <c r="Z1959" i="31"/>
  <c r="Z731" i="31"/>
  <c r="Z2593" i="31"/>
  <c r="Z1395" i="31"/>
  <c r="Z371" i="31"/>
  <c r="Z3038" i="31"/>
  <c r="Z2278" i="31"/>
  <c r="Z1766" i="31"/>
  <c r="Z1254" i="31"/>
  <c r="Z742" i="31"/>
  <c r="Z2646" i="31"/>
  <c r="Z2060" i="31"/>
  <c r="Z2419" i="31"/>
  <c r="Z1378" i="31"/>
  <c r="Z63" i="31"/>
  <c r="Z2074" i="31"/>
  <c r="Z1050" i="31"/>
  <c r="Z2374" i="31"/>
  <c r="Z1640" i="31"/>
  <c r="Z1128" i="31"/>
  <c r="Z616" i="31"/>
  <c r="Z104" i="31"/>
  <c r="Z2322" i="31"/>
  <c r="Z1298" i="31"/>
  <c r="Z3494" i="31"/>
  <c r="Z1994" i="31"/>
  <c r="Z970" i="31"/>
  <c r="Z2288" i="31"/>
  <c r="Z1600" i="31"/>
  <c r="Z1088" i="31"/>
  <c r="Z699" i="31"/>
  <c r="Z2529" i="31"/>
  <c r="Z1363" i="31"/>
  <c r="Z339" i="31"/>
  <c r="Z3006" i="31"/>
  <c r="Z2262" i="31"/>
  <c r="Z1750" i="31"/>
  <c r="Z1238" i="31"/>
  <c r="Z726" i="31"/>
  <c r="Z2624" i="31"/>
  <c r="Z2044" i="31"/>
  <c r="Z2376" i="31"/>
  <c r="Z1346" i="31"/>
  <c r="Z31" i="31"/>
  <c r="Z2042" i="31"/>
  <c r="Z1018" i="31"/>
  <c r="Z2336" i="31"/>
  <c r="Z1624" i="31"/>
  <c r="Z1112" i="31"/>
  <c r="Z600" i="31"/>
  <c r="Z88" i="31"/>
  <c r="Z2290" i="31"/>
  <c r="Z1266" i="31"/>
  <c r="Z3430" i="31"/>
  <c r="Z1962" i="31"/>
  <c r="Z938" i="31"/>
  <c r="Z2256" i="31"/>
  <c r="Z1584" i="31"/>
  <c r="Z1072" i="31"/>
  <c r="Z560" i="31"/>
  <c r="Z48" i="31"/>
  <c r="Z1412" i="31"/>
  <c r="Z388" i="31"/>
  <c r="Z1773" i="31"/>
  <c r="Z213" i="31"/>
  <c r="Z1433" i="31"/>
  <c r="Z1756" i="31"/>
  <c r="Z732" i="31"/>
  <c r="Z2498" i="31"/>
  <c r="Z557" i="31"/>
  <c r="Z2121" i="31"/>
  <c r="Z386" i="31"/>
  <c r="Z249" i="31"/>
  <c r="Z411" i="31"/>
  <c r="Z2751" i="31"/>
  <c r="Z1075" i="31"/>
  <c r="Z107" i="31"/>
  <c r="Z2723" i="31"/>
  <c r="Z2118" i="31"/>
  <c r="Z1606" i="31"/>
  <c r="Z1094" i="31"/>
  <c r="Z3306" i="31"/>
  <c r="Z2432" i="31"/>
  <c r="Z71" i="31"/>
  <c r="Z2082" i="31"/>
  <c r="Z1058" i="31"/>
  <c r="Z3014" i="31"/>
  <c r="Z1754" i="31"/>
  <c r="Z730" i="31"/>
  <c r="Z2048" i="31"/>
  <c r="Z1480" i="31"/>
  <c r="Z968" i="31"/>
  <c r="Z456" i="31"/>
  <c r="Z3510" i="31"/>
  <c r="Z2002" i="31"/>
  <c r="Z978" i="31"/>
  <c r="Z2854" i="31"/>
  <c r="Z1674" i="31"/>
  <c r="Z3442" i="31"/>
  <c r="Z1968" i="31"/>
  <c r="Z1440" i="31"/>
  <c r="Z928" i="31"/>
  <c r="Z379" i="31"/>
  <c r="Z2660" i="31"/>
  <c r="Z1043" i="31"/>
  <c r="Z91" i="31"/>
  <c r="Z2702" i="31"/>
  <c r="Z2102" i="31"/>
  <c r="Z1590" i="31"/>
  <c r="Z1078" i="31"/>
  <c r="Z3274" i="31"/>
  <c r="Z2411" i="31"/>
  <c r="Z39" i="31"/>
  <c r="Z2050" i="31"/>
  <c r="Z1026" i="31"/>
  <c r="Z2950" i="31"/>
  <c r="Z1722" i="31"/>
  <c r="Z3538" i="31"/>
  <c r="Z2016" i="31"/>
  <c r="Z1464" i="31"/>
  <c r="Z952" i="31"/>
  <c r="Z440" i="31"/>
  <c r="Z3446" i="31"/>
  <c r="Z1970" i="31"/>
  <c r="Z946" i="31"/>
  <c r="Z2790" i="31"/>
  <c r="Z1642" i="31"/>
  <c r="Z3378" i="31"/>
  <c r="Z1936" i="31"/>
  <c r="Z1424" i="31"/>
  <c r="Z912" i="31"/>
  <c r="Z400" i="31"/>
  <c r="Z2296" i="31"/>
  <c r="Z1092" i="31"/>
  <c r="Z3336" i="31"/>
  <c r="Z2824" i="31"/>
  <c r="Z3121" i="31"/>
  <c r="Z3156" i="31"/>
  <c r="Z3040" i="31"/>
  <c r="Z3337" i="31"/>
  <c r="Z3020" i="31"/>
  <c r="Z2901" i="31"/>
  <c r="Z2389" i="31"/>
  <c r="Z2644" i="31"/>
  <c r="Z2059" i="31"/>
  <c r="Z3516" i="31"/>
  <c r="Z3269" i="31"/>
  <c r="Z2621" i="31"/>
  <c r="Z3063" i="31"/>
  <c r="Z2291" i="31"/>
  <c r="Z1779" i="31"/>
  <c r="Z2985" i="31"/>
  <c r="Z2767" i="31"/>
  <c r="Z1631" i="31"/>
  <c r="Z1079" i="31"/>
  <c r="Z567" i="31"/>
  <c r="Z2836" i="31"/>
  <c r="Z3439" i="31"/>
  <c r="Z1967" i="31"/>
  <c r="Z1247" i="31"/>
  <c r="Z735" i="31"/>
  <c r="Z223" i="31"/>
  <c r="Z2383" i="31"/>
  <c r="Z939" i="31"/>
  <c r="Z3149" i="31"/>
  <c r="Z1719" i="31"/>
  <c r="Z611" i="31"/>
  <c r="Z3278" i="31"/>
  <c r="Z2414" i="31"/>
  <c r="Z1886" i="31"/>
  <c r="Z1374" i="31"/>
  <c r="Z862" i="31"/>
  <c r="Z2842" i="31"/>
  <c r="Z2180" i="31"/>
  <c r="Z2481" i="31"/>
  <c r="Z1339" i="31"/>
  <c r="Z3064" i="31"/>
  <c r="Z3361" i="31"/>
  <c r="Z3396" i="31"/>
  <c r="Z3280" i="31"/>
  <c r="Z2768" i="31"/>
  <c r="Z3065" i="31"/>
  <c r="Z3285" i="31"/>
  <c r="Z2629" i="31"/>
  <c r="Z3079" i="31"/>
  <c r="Z2299" i="31"/>
  <c r="Z1787" i="31"/>
  <c r="Z2940" i="31"/>
  <c r="Z2861" i="31"/>
  <c r="Z3543" i="31"/>
  <c r="Z2591" i="31"/>
  <c r="Z2019" i="31"/>
  <c r="Z3124" i="31"/>
  <c r="Z2441" i="31"/>
  <c r="Z2111" i="31"/>
  <c r="Z1319" i="31"/>
  <c r="Z807" i="31"/>
  <c r="Z295" i="31"/>
  <c r="Z2777" i="31"/>
  <c r="Z2479" i="31"/>
  <c r="Z1487" i="31"/>
  <c r="Z975" i="31"/>
  <c r="Z463" i="31"/>
  <c r="Z2641" i="31"/>
  <c r="Z1419" i="31"/>
  <c r="Z395" i="31"/>
  <c r="Z2815" i="31"/>
  <c r="Z1091" i="31"/>
  <c r="Z115" i="31"/>
  <c r="Z2734" i="31"/>
  <c r="Z2126" i="31"/>
  <c r="Z1614" i="31"/>
  <c r="Z1102" i="31"/>
  <c r="Z3322" i="31"/>
  <c r="Z2443" i="31"/>
  <c r="Z3076" i="31"/>
  <c r="Z2087" i="31"/>
  <c r="Z3240" i="31"/>
  <c r="Z3537" i="31"/>
  <c r="Z3025" i="31"/>
  <c r="Z3208" i="31"/>
  <c r="Z3505" i="31"/>
  <c r="Z3540" i="31"/>
  <c r="Z3424" i="31"/>
  <c r="Z2912" i="31"/>
  <c r="Z3209" i="31"/>
  <c r="Z2764" i="31"/>
  <c r="Z2773" i="31"/>
  <c r="Z3367" i="31"/>
  <c r="Z2474" i="31"/>
  <c r="Z1931" i="31"/>
  <c r="Z3308" i="31"/>
  <c r="Z3013" i="31"/>
  <c r="Z2493" i="31"/>
  <c r="Z2807" i="31"/>
  <c r="Z2163" i="31"/>
  <c r="Z1651" i="31"/>
  <c r="Z2729" i="31"/>
  <c r="Z2415" i="31"/>
  <c r="Z1463" i="31"/>
  <c r="Z951" i="31"/>
  <c r="Z439" i="31"/>
  <c r="Z3133" i="31"/>
  <c r="Z2927" i="31"/>
  <c r="Z1711" i="31"/>
  <c r="Z1119" i="31"/>
  <c r="Z607" i="31"/>
  <c r="Z3437" i="31"/>
  <c r="Z1863" i="31"/>
  <c r="Z683" i="31"/>
  <c r="Z2561" i="31"/>
  <c r="Z1379" i="31"/>
  <c r="Z355" i="31"/>
  <c r="Z3022" i="31"/>
  <c r="Z2270" i="31"/>
  <c r="Z1758" i="31"/>
  <c r="Z1246" i="31"/>
  <c r="Z734" i="31"/>
  <c r="Z2635" i="31"/>
  <c r="Z2052" i="31"/>
  <c r="Z2783" i="31"/>
  <c r="Z3448" i="31"/>
  <c r="Z2936" i="31"/>
  <c r="Z3233" i="31"/>
  <c r="Z3268" i="31"/>
  <c r="Z3152" i="31"/>
  <c r="Z3449" i="31"/>
  <c r="Z3340" i="31"/>
  <c r="Z3029" i="31"/>
  <c r="Z2501" i="31"/>
  <c r="Z2823" i="31"/>
  <c r="Z2171" i="31"/>
  <c r="Z1659" i="31"/>
  <c r="Z3493" i="31"/>
  <c r="Z2733" i="31"/>
  <c r="Z3287" i="31"/>
  <c r="Z2420" i="31"/>
  <c r="Z1891" i="31"/>
  <c r="Z3421" i="31"/>
  <c r="Z3215" i="31"/>
  <c r="Z1855" i="31"/>
  <c r="Z1191" i="31"/>
  <c r="Z679" i="31"/>
  <c r="Z167" i="31"/>
  <c r="Z2521" i="31"/>
  <c r="Z2191" i="31"/>
  <c r="Z1359" i="31"/>
  <c r="Z847" i="31"/>
  <c r="Z335" i="31"/>
  <c r="Z3103" i="31"/>
  <c r="Z1163" i="31"/>
  <c r="Z3420" i="31"/>
  <c r="Z2167" i="31"/>
  <c r="Z835" i="31"/>
  <c r="Z3502" i="31"/>
  <c r="Z2563" i="31"/>
  <c r="Z1998" i="31"/>
  <c r="Z1486" i="31"/>
  <c r="Z974" i="31"/>
  <c r="Z3066" i="31"/>
  <c r="Z2292" i="31"/>
  <c r="Z2929" i="31"/>
  <c r="Z1575" i="31"/>
  <c r="Z3112" i="31"/>
  <c r="Z3409" i="31"/>
  <c r="Z3144" i="31"/>
  <c r="Z3476" i="31"/>
  <c r="Z2848" i="31"/>
  <c r="Z3445" i="31"/>
  <c r="Z3239" i="31"/>
  <c r="Z1867" i="31"/>
  <c r="Z2941" i="31"/>
  <c r="Z2698" i="31"/>
  <c r="Z1587" i="31"/>
  <c r="Z2271" i="31"/>
  <c r="Z887" i="31"/>
  <c r="Z2937" i="31"/>
  <c r="Z1583" i="31"/>
  <c r="Z543" i="31"/>
  <c r="Z1607" i="31"/>
  <c r="Z3455" i="31"/>
  <c r="Z227" i="31"/>
  <c r="Z2206" i="31"/>
  <c r="Z1182" i="31"/>
  <c r="Z2550" i="31"/>
  <c r="Z2426" i="31"/>
  <c r="Z2872" i="31"/>
  <c r="Z3204" i="31"/>
  <c r="Z3385" i="31"/>
  <c r="Z2949" i="31"/>
  <c r="Z2708" i="31"/>
  <c r="Z1595" i="31"/>
  <c r="Z2669" i="31"/>
  <c r="Z2339" i="31"/>
  <c r="Z3165" i="31"/>
  <c r="Z1727" i="31"/>
  <c r="Z615" i="31"/>
  <c r="Z2393" i="31"/>
  <c r="Z1295" i="31"/>
  <c r="Z271" i="31"/>
  <c r="Z1035" i="31"/>
  <c r="Z1911" i="31"/>
  <c r="Z3374" i="31"/>
  <c r="Z1934" i="31"/>
  <c r="Z910" i="31"/>
  <c r="Z2228" i="31"/>
  <c r="Z1435" i="31"/>
  <c r="Z3345" i="31"/>
  <c r="Z3456" i="31"/>
  <c r="Z2816" i="31"/>
  <c r="Z3532" i="31"/>
  <c r="Z2805" i="31"/>
  <c r="Z3175" i="31"/>
  <c r="Z2219" i="31"/>
  <c r="Z3436" i="31"/>
  <c r="Z2909" i="31"/>
  <c r="Z3383" i="31"/>
  <c r="Z2195" i="31"/>
  <c r="Z1555" i="31"/>
  <c r="Z3407" i="31"/>
  <c r="Z1495" i="31"/>
  <c r="Z855" i="31"/>
  <c r="Z215" i="31"/>
  <c r="Z3055" i="31"/>
  <c r="Z1535" i="31"/>
  <c r="Z895" i="31"/>
  <c r="Z2884" i="31"/>
  <c r="Z1515" i="31"/>
  <c r="Z235" i="31"/>
  <c r="Z1443" i="31"/>
  <c r="Z163" i="31"/>
  <c r="Z2627" i="31"/>
  <c r="Z1790" i="31"/>
  <c r="Z1150" i="31"/>
  <c r="Z3162" i="31"/>
  <c r="Z2084" i="31"/>
  <c r="Z2279" i="31"/>
  <c r="Z3224" i="31"/>
  <c r="Z3265" i="31"/>
  <c r="Z3172" i="31"/>
  <c r="Z2928" i="31"/>
  <c r="Z3468" i="31"/>
  <c r="Z2917" i="31"/>
  <c r="Z3399" i="31"/>
  <c r="Z2203" i="31"/>
  <c r="Z1563" i="31"/>
  <c r="Z3045" i="31"/>
  <c r="Z3351" i="31"/>
  <c r="Z2307" i="31"/>
  <c r="Z1667" i="31"/>
  <c r="Z3343" i="31"/>
  <c r="Z1663" i="31"/>
  <c r="Z967" i="31"/>
  <c r="Z199" i="31"/>
  <c r="Z3503" i="31"/>
  <c r="Z1743" i="31"/>
  <c r="Z879" i="31"/>
  <c r="Z239" i="31"/>
  <c r="Z1927" i="31"/>
  <c r="Z203" i="31"/>
  <c r="Z1783" i="31"/>
  <c r="Z387" i="31"/>
  <c r="Z2606" i="31"/>
  <c r="Z1902" i="31"/>
  <c r="Z1262" i="31"/>
  <c r="Z3130" i="31"/>
  <c r="Z2196" i="31"/>
  <c r="Z2911" i="31"/>
  <c r="Z603" i="31"/>
  <c r="Z2575" i="31"/>
  <c r="Z755" i="31"/>
  <c r="Z2910" i="31"/>
  <c r="Z2086" i="31"/>
  <c r="Z1446" i="31"/>
  <c r="Z3498" i="31"/>
  <c r="Z2390" i="31"/>
  <c r="Z3030" i="31"/>
  <c r="Z1250" i="31"/>
  <c r="Z2886" i="31"/>
  <c r="Z1434" i="31"/>
  <c r="Z2240" i="31"/>
  <c r="Z1448" i="31"/>
  <c r="Z808" i="31"/>
  <c r="Z40" i="31"/>
  <c r="Z1938" i="31"/>
  <c r="Z3458" i="31"/>
  <c r="Z1866" i="31"/>
  <c r="Z3314" i="31"/>
  <c r="Z1792" i="31"/>
  <c r="Z1024" i="31"/>
  <c r="Z315" i="31"/>
  <c r="Z1943" i="31"/>
  <c r="Z211" i="31"/>
  <c r="Z2659" i="31"/>
  <c r="Z1942" i="31"/>
  <c r="Z1174" i="31"/>
  <c r="Z3210" i="31"/>
  <c r="Z2236" i="31"/>
  <c r="Z2242" i="31"/>
  <c r="Z962" i="31"/>
  <c r="Z2451" i="31"/>
  <c r="Z890" i="31"/>
  <c r="Z1952" i="31"/>
  <c r="Z1304" i="31"/>
  <c r="Z536" i="31"/>
  <c r="Z3318" i="31"/>
  <c r="Z1650" i="31"/>
  <c r="Z3174" i="31"/>
  <c r="Z1578" i="31"/>
  <c r="Z2738" i="31"/>
  <c r="Z1520" i="31"/>
  <c r="Z880" i="31"/>
  <c r="Z240" i="31"/>
  <c r="Z1284" i="31"/>
  <c r="Z12" i="31"/>
  <c r="Z597" i="31"/>
  <c r="Z1177" i="31"/>
  <c r="Z1372" i="31"/>
  <c r="Z92" i="31"/>
  <c r="Z429" i="31"/>
  <c r="Z1353" i="31"/>
  <c r="Z1317" i="31"/>
  <c r="Z283" i="31"/>
  <c r="Z1879" i="31"/>
  <c r="Z435" i="31"/>
  <c r="Z2638" i="31"/>
  <c r="Z1926" i="31"/>
  <c r="Z1286" i="31"/>
  <c r="Z3178" i="31"/>
  <c r="Z2220" i="31"/>
  <c r="Z2504" i="31"/>
  <c r="Z930" i="31"/>
  <c r="Z2408" i="31"/>
  <c r="Z1114" i="31"/>
  <c r="Z1928" i="31"/>
  <c r="Z1288" i="31"/>
  <c r="Z648" i="31"/>
  <c r="Z3254" i="31"/>
  <c r="Z1618" i="31"/>
  <c r="Z47" i="31"/>
  <c r="Z1546" i="31"/>
  <c r="Z2694" i="31"/>
  <c r="Z1632" i="31"/>
  <c r="Z1275" i="31"/>
  <c r="Z3341" i="31"/>
  <c r="Z1427" i="31"/>
  <c r="Z27" i="31"/>
  <c r="Z2446" i="31"/>
  <c r="Z1782" i="31"/>
  <c r="Z1014" i="31"/>
  <c r="Z2890" i="31"/>
  <c r="Z2076" i="31"/>
  <c r="Z1922" i="31"/>
  <c r="Z3426" i="31"/>
  <c r="Z2106" i="31"/>
  <c r="Z3282" i="31"/>
  <c r="Z1784" i="31"/>
  <c r="Z1144" i="31"/>
  <c r="Z376" i="31"/>
  <c r="Z2696" i="31"/>
  <c r="Z1330" i="31"/>
  <c r="Z2600" i="31"/>
  <c r="Z1258" i="31"/>
  <c r="Z2320" i="31"/>
  <c r="Z1360" i="31"/>
  <c r="Z720" i="31"/>
  <c r="Z80" i="31"/>
  <c r="Z964" i="31"/>
  <c r="Z2795" i="31"/>
  <c r="Z661" i="31"/>
  <c r="Z2329" i="31"/>
  <c r="Z2512" i="31"/>
  <c r="Z1180" i="31"/>
  <c r="Z156" i="31"/>
  <c r="Z1309" i="31"/>
  <c r="Z3491" i="31"/>
  <c r="Z969" i="31"/>
  <c r="Z1589" i="31"/>
  <c r="Z288" i="31"/>
  <c r="Z868" i="31"/>
  <c r="Z693" i="31"/>
  <c r="Z2598" i="31"/>
  <c r="Z188" i="31"/>
  <c r="Z13" i="31"/>
  <c r="Z1717" i="31"/>
  <c r="Z1697" i="31"/>
  <c r="Z174" i="31"/>
  <c r="Z433" i="31"/>
  <c r="Z1556" i="31"/>
  <c r="Z532" i="31"/>
  <c r="Z1805" i="31"/>
  <c r="Z229" i="31"/>
  <c r="Z1465" i="31"/>
  <c r="Z1612" i="31"/>
  <c r="Z2089" i="31"/>
  <c r="Z256" i="31"/>
  <c r="Z804" i="31"/>
  <c r="Z629" i="31"/>
  <c r="Z2427" i="31"/>
  <c r="Z124" i="31"/>
  <c r="Z3363" i="31"/>
  <c r="Z1445" i="31"/>
  <c r="Z1633" i="31"/>
  <c r="Z142" i="31"/>
  <c r="Z369" i="31"/>
  <c r="Z1524" i="31"/>
  <c r="Z500" i="31"/>
  <c r="Z1997" i="31"/>
  <c r="Z325" i="31"/>
  <c r="Z1657" i="31"/>
  <c r="Z1836" i="31"/>
  <c r="Z812" i="31"/>
  <c r="Z2711" i="31"/>
  <c r="Z637" i="31"/>
  <c r="Z2281" i="31"/>
  <c r="Z466" i="31"/>
  <c r="Z409" i="31"/>
  <c r="Z1409" i="31"/>
  <c r="Z30" i="31"/>
  <c r="Z145" i="31"/>
  <c r="Z3515" i="31"/>
  <c r="Z550" i="31"/>
  <c r="Z2439" i="31"/>
  <c r="Z1605" i="31"/>
  <c r="Z2069" i="31"/>
  <c r="Z122" i="31"/>
  <c r="Z721" i="31"/>
  <c r="Z1073" i="31"/>
  <c r="Z780" i="31"/>
  <c r="Z2045" i="31"/>
  <c r="Z93" i="31"/>
  <c r="Z1193" i="31"/>
  <c r="Z1509" i="31"/>
  <c r="Z1857" i="31"/>
  <c r="Z254" i="31"/>
  <c r="Z337" i="31"/>
  <c r="Z218" i="31"/>
  <c r="Z422" i="31"/>
  <c r="Z2704" i="31"/>
  <c r="Z228" i="31"/>
  <c r="Z53" i="31"/>
  <c r="Z1596" i="31"/>
  <c r="Z2141" i="31"/>
  <c r="Z1801" i="31"/>
  <c r="Z57" i="31"/>
  <c r="Z1057" i="31"/>
  <c r="Z2487" i="31"/>
  <c r="Z2662" i="31"/>
  <c r="Z1236" i="31"/>
  <c r="Z212" i="31"/>
  <c r="Z1165" i="31"/>
  <c r="Z3203" i="31"/>
  <c r="Z825" i="31"/>
  <c r="Z1292" i="31"/>
  <c r="Z2716" i="31"/>
  <c r="Z64" i="31"/>
  <c r="Z420" i="31"/>
  <c r="Z245" i="31"/>
  <c r="Z1788" i="31"/>
  <c r="Z2583" i="31"/>
  <c r="Z2185" i="31"/>
  <c r="Z313" i="31"/>
  <c r="Z1249" i="31"/>
  <c r="Z2907" i="31"/>
  <c r="Z3010" i="31"/>
  <c r="Z1332" i="31"/>
  <c r="Z308" i="31"/>
  <c r="Z1613" i="31"/>
  <c r="Z133" i="31"/>
  <c r="Z1273" i="31"/>
  <c r="Z1644" i="31"/>
  <c r="Z620" i="31"/>
  <c r="Z2237" i="31"/>
  <c r="Z445" i="31"/>
  <c r="Z1897" i="31"/>
  <c r="Z274" i="31"/>
  <c r="Z25" i="31"/>
  <c r="Z1025" i="31"/>
  <c r="Z2444" i="31"/>
  <c r="Z362" i="31"/>
  <c r="Z901" i="31"/>
  <c r="Z586" i="31"/>
  <c r="Z1649" i="31"/>
  <c r="Z385" i="31"/>
  <c r="Z678" i="31"/>
  <c r="Z1285" i="31"/>
  <c r="Z326" i="31"/>
  <c r="Z118" i="31"/>
  <c r="Z716" i="31"/>
  <c r="Z1917" i="31"/>
  <c r="Z157" i="31"/>
  <c r="Z1065" i="31"/>
  <c r="Z1253" i="31"/>
  <c r="Z1729" i="31"/>
  <c r="Z190" i="31"/>
  <c r="Z209" i="31"/>
  <c r="Z90" i="31"/>
  <c r="Z3099" i="31"/>
  <c r="Z1861" i="31"/>
  <c r="Z186" i="31"/>
  <c r="Z1329" i="31"/>
  <c r="Z1265" i="31"/>
  <c r="Z294" i="31"/>
  <c r="Z1973" i="31"/>
  <c r="Z2423" i="31"/>
  <c r="Z442" i="31"/>
  <c r="Z3080" i="31"/>
  <c r="Z3412" i="31"/>
  <c r="Z2784" i="31"/>
  <c r="Z3317" i="31"/>
  <c r="Z3111" i="31"/>
  <c r="Z1803" i="31"/>
  <c r="Z2877" i="31"/>
  <c r="Z2612" i="31"/>
  <c r="Z3228" i="31"/>
  <c r="Z2143" i="31"/>
  <c r="Z823" i="31"/>
  <c r="Z2809" i="31"/>
  <c r="Z1503" i="31"/>
  <c r="Z479" i="31"/>
  <c r="Z1451" i="31"/>
  <c r="Z2943" i="31"/>
  <c r="Z131" i="31"/>
  <c r="Z2142" i="31"/>
  <c r="Z1118" i="31"/>
  <c r="Z2464" i="31"/>
  <c r="Z2151" i="31"/>
  <c r="Z2808" i="31"/>
  <c r="Z3536" i="31"/>
  <c r="Z3321" i="31"/>
  <c r="Z2885" i="31"/>
  <c r="Z2623" i="31"/>
  <c r="Z3452" i="31"/>
  <c r="Z2605" i="31"/>
  <c r="Z2275" i="31"/>
  <c r="Z2953" i="31"/>
  <c r="Z1599" i="31"/>
  <c r="Z551" i="31"/>
  <c r="Z3375" i="31"/>
  <c r="Z1231" i="31"/>
  <c r="Z207" i="31"/>
  <c r="Z907" i="31"/>
  <c r="Z1655" i="31"/>
  <c r="Z3246" i="31"/>
  <c r="Z1870" i="31"/>
  <c r="Z846" i="31"/>
  <c r="Z2164" i="31"/>
  <c r="Z3496" i="31"/>
  <c r="Z3281" i="31"/>
  <c r="Z3392" i="31"/>
  <c r="Z2752" i="31"/>
  <c r="Z3276" i="31"/>
  <c r="Z2741" i="31"/>
  <c r="Z3047" i="31"/>
  <c r="Z2155" i="31"/>
  <c r="Z3180" i="31"/>
  <c r="Z2845" i="31"/>
  <c r="Z3255" i="31"/>
  <c r="Z2131" i="31"/>
  <c r="Z3060" i="31"/>
  <c r="Z3151" i="31"/>
  <c r="Z1431" i="31"/>
  <c r="Z791" i="31"/>
  <c r="Z3356" i="31"/>
  <c r="Z2799" i="31"/>
  <c r="Z1471" i="31"/>
  <c r="Z831" i="31"/>
  <c r="Z3181" i="31"/>
  <c r="Z1387" i="31"/>
  <c r="Z3108" i="31"/>
  <c r="Z1315" i="31"/>
  <c r="Z99" i="31"/>
  <c r="Z2542" i="31"/>
  <c r="Z1726" i="31"/>
  <c r="Z1086" i="31"/>
  <c r="Z3034" i="31"/>
  <c r="Z2020" i="31"/>
  <c r="Z2023" i="31"/>
  <c r="Z3160" i="31"/>
  <c r="Z3201" i="31"/>
  <c r="Z3504" i="31"/>
  <c r="Z2864" i="31"/>
  <c r="Z3212" i="31"/>
  <c r="Z2853" i="31"/>
  <c r="Z3271" i="31"/>
  <c r="Z2139" i="31"/>
  <c r="Z3324" i="31"/>
  <c r="Z2957" i="31"/>
  <c r="Z3223" i="31"/>
  <c r="Z2243" i="31"/>
  <c r="Z1603" i="31"/>
  <c r="Z3087" i="31"/>
  <c r="Z1543" i="31"/>
  <c r="Z903" i="31"/>
  <c r="Z3164" i="31"/>
  <c r="Z3247" i="31"/>
  <c r="Z1615" i="31"/>
  <c r="Z815" i="31"/>
  <c r="Z175" i="31"/>
  <c r="Z1671" i="31"/>
  <c r="Z2980" i="31"/>
  <c r="Z1539" i="31"/>
  <c r="Z259" i="31"/>
  <c r="Z2520" i="31"/>
  <c r="Z1838" i="31"/>
  <c r="Z1198" i="31"/>
  <c r="Z3002" i="31"/>
  <c r="Z2132" i="31"/>
  <c r="Z2511" i="31"/>
  <c r="Z475" i="31"/>
  <c r="Z2263" i="31"/>
  <c r="Z627" i="31"/>
  <c r="Z2782" i="31"/>
  <c r="Z2022" i="31"/>
  <c r="Z1382" i="31"/>
  <c r="Z3370" i="31"/>
  <c r="Z2316" i="31"/>
  <c r="Z2774" i="31"/>
  <c r="Z1122" i="31"/>
  <c r="Z2664" i="31"/>
  <c r="Z1306" i="31"/>
  <c r="Z2112" i="31"/>
  <c r="Z1384" i="31"/>
  <c r="Z744" i="31"/>
  <c r="Z55" i="31"/>
  <c r="Z1810" i="31"/>
  <c r="Z3202" i="31"/>
  <c r="Z1738" i="31"/>
  <c r="Z3058" i="31"/>
  <c r="Z1728" i="31"/>
  <c r="Z960" i="31"/>
  <c r="Z187" i="31"/>
  <c r="Z1687" i="31"/>
  <c r="Z123" i="31"/>
  <c r="Z2574" i="31"/>
  <c r="Z1878" i="31"/>
  <c r="Z1110" i="31"/>
  <c r="Z3082" i="31"/>
  <c r="Z2172" i="31"/>
  <c r="Z2114" i="31"/>
  <c r="Z834" i="31"/>
  <c r="Z2298" i="31"/>
  <c r="Z762" i="31"/>
  <c r="Z1880" i="31"/>
  <c r="Z1240" i="31"/>
  <c r="Z472" i="31"/>
  <c r="Z3062" i="31"/>
  <c r="Z1522" i="31"/>
  <c r="Z2918" i="31"/>
  <c r="Z1450" i="31"/>
  <c r="Z2566" i="31"/>
  <c r="Z1456" i="31"/>
  <c r="Z816" i="31"/>
  <c r="Z176" i="31"/>
  <c r="Z1156" i="31"/>
  <c r="Z3051" i="31"/>
  <c r="Z469" i="31"/>
  <c r="Z921" i="31"/>
  <c r="Z1244" i="31"/>
  <c r="Z3403" i="31"/>
  <c r="Z301" i="31"/>
  <c r="Z1097" i="31"/>
  <c r="Z805" i="31"/>
  <c r="Z3196" i="31"/>
  <c r="Z1623" i="31"/>
  <c r="Z307" i="31"/>
  <c r="Z2552" i="31"/>
  <c r="Z1862" i="31"/>
  <c r="Z1222" i="31"/>
  <c r="Z3050" i="31"/>
  <c r="Z2156" i="31"/>
  <c r="Z2338" i="31"/>
  <c r="Z802" i="31"/>
  <c r="Z2266" i="31"/>
  <c r="Z986" i="31"/>
  <c r="Z1864" i="31"/>
  <c r="Z1224" i="31"/>
  <c r="Z584" i="31"/>
  <c r="Z2998" i="31"/>
  <c r="Z1490" i="31"/>
  <c r="Z3366" i="31"/>
  <c r="Z1418" i="31"/>
  <c r="Z2523" i="31"/>
  <c r="Z1568" i="31"/>
  <c r="Z1147" i="31"/>
  <c r="Z2913" i="31"/>
  <c r="Z1299" i="31"/>
  <c r="Z3454" i="31"/>
  <c r="Z2360" i="31"/>
  <c r="Z1718" i="31"/>
  <c r="Z950" i="31"/>
  <c r="Z2762" i="31"/>
  <c r="Z2012" i="31"/>
  <c r="Z1794" i="31"/>
  <c r="Z3170" i="31"/>
  <c r="Z1978" i="31"/>
  <c r="Z3026" i="31"/>
  <c r="Z1720" i="31"/>
  <c r="Z1080" i="31"/>
  <c r="Z312" i="31"/>
  <c r="Z2526" i="31"/>
  <c r="Z1202" i="31"/>
  <c r="Z2430" i="31"/>
  <c r="Z1130" i="31"/>
  <c r="Z2192" i="31"/>
  <c r="Z1296" i="31"/>
  <c r="Z656" i="31"/>
  <c r="Z16" i="31"/>
  <c r="Z836" i="31"/>
  <c r="Z2434" i="31"/>
  <c r="Z533" i="31"/>
  <c r="Z2073" i="31"/>
  <c r="Z2216" i="31"/>
  <c r="Z1052" i="31"/>
  <c r="Z28" i="31"/>
  <c r="Z1053" i="31"/>
  <c r="Z2979" i="31"/>
  <c r="Z713" i="31"/>
  <c r="Z1061" i="31"/>
  <c r="Z160" i="31"/>
  <c r="Z612" i="31"/>
  <c r="Z437" i="31"/>
  <c r="Z2024" i="31"/>
  <c r="Z3275" i="31"/>
  <c r="Z2642" i="31"/>
  <c r="Z697" i="31"/>
  <c r="Z1441" i="31"/>
  <c r="Z46" i="31"/>
  <c r="Z177" i="31"/>
  <c r="Z1428" i="31"/>
  <c r="Z404" i="31"/>
  <c r="Z1549" i="31"/>
  <c r="Z101" i="31"/>
  <c r="Z1209" i="31"/>
  <c r="Z1484" i="31"/>
  <c r="Z242" i="31"/>
  <c r="Z128" i="31"/>
  <c r="Z548" i="31"/>
  <c r="Z373" i="31"/>
  <c r="Z1916" i="31"/>
  <c r="Z3019" i="31"/>
  <c r="Z2471" i="31"/>
  <c r="Z569" i="31"/>
  <c r="Z1377" i="31"/>
  <c r="Z14" i="31"/>
  <c r="Z113" i="31"/>
  <c r="Z1396" i="31"/>
  <c r="Z372" i="31"/>
  <c r="Z1741" i="31"/>
  <c r="Z197" i="31"/>
  <c r="Z1401" i="31"/>
  <c r="Z1708" i="31"/>
  <c r="Z684" i="31"/>
  <c r="Z2370" i="31"/>
  <c r="Z509" i="31"/>
  <c r="Z2025" i="31"/>
  <c r="Z338" i="31"/>
  <c r="Z153" i="31"/>
  <c r="Z1153" i="31"/>
  <c r="Z2615" i="31"/>
  <c r="Z490" i="31"/>
  <c r="Z1413" i="31"/>
  <c r="Z2037" i="31"/>
  <c r="Z1905" i="31"/>
  <c r="Z641" i="31"/>
  <c r="Z449" i="31"/>
  <c r="Z1813" i="31"/>
  <c r="Z454" i="31"/>
  <c r="Z374" i="31"/>
  <c r="Z652" i="31"/>
  <c r="Z1533" i="31"/>
  <c r="Z3427" i="31"/>
  <c r="Z690" i="31"/>
  <c r="Z997" i="31"/>
  <c r="Z1601" i="31"/>
  <c r="Z126" i="31"/>
  <c r="Z81" i="31"/>
  <c r="Z3131" i="31"/>
  <c r="Z864" i="31"/>
  <c r="Z2104" i="31"/>
  <c r="Z3435" i="31"/>
  <c r="Z2755" i="31"/>
  <c r="Z1340" i="31"/>
  <c r="Z1629" i="31"/>
  <c r="Z1289" i="31"/>
  <c r="Z3155" i="31"/>
  <c r="Z801" i="31"/>
  <c r="Z2197" i="31"/>
  <c r="Z2328" i="31"/>
  <c r="Z1108" i="31"/>
  <c r="Z84" i="31"/>
  <c r="Z909" i="31"/>
  <c r="Z2706" i="31"/>
  <c r="Z2850" i="31"/>
  <c r="Z1164" i="31"/>
  <c r="Z2530" i="31"/>
  <c r="Z2534" i="31"/>
  <c r="Z164" i="31"/>
  <c r="Z3523" i="31"/>
  <c r="Z1532" i="31"/>
  <c r="Z2013" i="31"/>
  <c r="Z1673" i="31"/>
  <c r="Z3539" i="31"/>
  <c r="Z993" i="31"/>
  <c r="Z2402" i="31"/>
  <c r="Z2576" i="31"/>
  <c r="Z1204" i="31"/>
  <c r="Z180" i="31"/>
  <c r="Z1357" i="31"/>
  <c r="Z74" i="31"/>
  <c r="Z1017" i="31"/>
  <c r="Z1516" i="31"/>
  <c r="Z492" i="31"/>
  <c r="Z1981" i="31"/>
  <c r="Z317" i="31"/>
  <c r="Z1641" i="31"/>
  <c r="Z146" i="31"/>
  <c r="Z3091" i="31"/>
  <c r="Z769" i="31"/>
  <c r="Z2165" i="31"/>
  <c r="Z106" i="31"/>
  <c r="Z297" i="31"/>
  <c r="Z330" i="31"/>
  <c r="Z1137" i="31"/>
  <c r="Z585" i="31"/>
  <c r="Z166" i="31"/>
  <c r="Z489" i="31"/>
  <c r="Z70" i="31"/>
  <c r="Z1493" i="31"/>
  <c r="Z588" i="31"/>
  <c r="Z1661" i="31"/>
  <c r="Z29" i="31"/>
  <c r="Z809" i="31"/>
  <c r="Z757" i="31"/>
  <c r="Z1473" i="31"/>
  <c r="Z62" i="31"/>
  <c r="Z554" i="31"/>
  <c r="Z1685" i="31"/>
  <c r="Z522" i="31"/>
  <c r="Z257" i="31"/>
  <c r="Z1029" i="31"/>
  <c r="Z3227" i="31"/>
  <c r="Z470" i="31"/>
  <c r="Z570" i="31"/>
  <c r="Z2193" i="31"/>
  <c r="Z853" i="31"/>
  <c r="Z2875" i="31"/>
  <c r="Z3016" i="31"/>
  <c r="Z3348" i="31"/>
  <c r="Z3529" i="31"/>
  <c r="Z3189" i="31"/>
  <c r="Z2983" i="31"/>
  <c r="Z1739" i="31"/>
  <c r="Z2813" i="31"/>
  <c r="Z2527" i="31"/>
  <c r="Z2932" i="31"/>
  <c r="Z2015" i="31"/>
  <c r="Z759" i="31"/>
  <c r="Z2681" i="31"/>
  <c r="Z1439" i="31"/>
  <c r="Z415" i="31"/>
  <c r="Z1323" i="31"/>
  <c r="Z2532" i="31"/>
  <c r="Z67" i="31"/>
  <c r="Z2078" i="31"/>
  <c r="Z1054" i="31"/>
  <c r="Z2379" i="31"/>
  <c r="Z1895" i="31"/>
  <c r="Z2744" i="31"/>
  <c r="Z3472" i="31"/>
  <c r="Z3257" i="31"/>
  <c r="Z2821" i="31"/>
  <c r="Z2538" i="31"/>
  <c r="Z3500" i="31"/>
  <c r="Z2541" i="31"/>
  <c r="Z2760" i="31"/>
  <c r="Z3232" i="31"/>
  <c r="Z2709" i="31"/>
  <c r="Z1995" i="31"/>
  <c r="Z2365" i="31"/>
  <c r="Z2857" i="31"/>
  <c r="Z1271" i="31"/>
  <c r="Z2692" i="31"/>
  <c r="Z671" i="31"/>
  <c r="Z427" i="31"/>
  <c r="Z3150" i="31"/>
  <c r="Z1566" i="31"/>
  <c r="Z1988" i="31"/>
  <c r="Z3000" i="31"/>
  <c r="Z3024" i="31"/>
  <c r="Z2565" i="31"/>
  <c r="Z1979" i="31"/>
  <c r="Z3159" i="31"/>
  <c r="Z1699" i="31"/>
  <c r="Z1511" i="31"/>
  <c r="Z3028" i="31"/>
  <c r="Z1807" i="31"/>
  <c r="Z3012" i="31"/>
  <c r="Z3533" i="31"/>
  <c r="Z451" i="31"/>
  <c r="Z1806" i="31"/>
  <c r="Z2938" i="31"/>
  <c r="Z3167" i="31"/>
  <c r="Z3217" i="31"/>
  <c r="Z3200" i="31"/>
  <c r="Z3113" i="31"/>
  <c r="Z2677" i="31"/>
  <c r="Z2516" i="31"/>
  <c r="Z1707" i="31"/>
  <c r="Z2781" i="31"/>
  <c r="Z2655" i="31"/>
  <c r="Z1683" i="31"/>
  <c r="Z2500" i="31"/>
  <c r="Z1239" i="31"/>
  <c r="Z343" i="31"/>
  <c r="Z2607" i="31"/>
  <c r="Z1151" i="31"/>
  <c r="Z383" i="31"/>
  <c r="Z1259" i="31"/>
  <c r="Z3199" i="31"/>
  <c r="Z419" i="31"/>
  <c r="Z2302" i="31"/>
  <c r="Z1534" i="31"/>
  <c r="Z3418" i="31"/>
  <c r="Z1956" i="31"/>
  <c r="Z3480" i="31"/>
  <c r="Z3521" i="31"/>
  <c r="Z3440" i="31"/>
  <c r="Z3353" i="31"/>
  <c r="Z3093" i="31"/>
  <c r="Z2887" i="31"/>
  <c r="Z1947" i="31"/>
  <c r="Z3301" i="31"/>
  <c r="Z3095" i="31"/>
  <c r="Z1923" i="31"/>
  <c r="Z2761" i="31"/>
  <c r="Z1479" i="31"/>
  <c r="Z583" i="31"/>
  <c r="Z2585" i="31"/>
  <c r="Z1391" i="31"/>
  <c r="Z623" i="31"/>
  <c r="Z2468" i="31"/>
  <c r="Z3277" i="31"/>
  <c r="Z899" i="31"/>
  <c r="Z3054" i="31"/>
  <c r="Z1774" i="31"/>
  <c r="Z878" i="31"/>
  <c r="Z2324" i="31"/>
  <c r="Z1703" i="31"/>
  <c r="Z2916" i="31"/>
  <c r="Z1011" i="31"/>
  <c r="Z2680" i="31"/>
  <c r="Z1702" i="31"/>
  <c r="Z934" i="31"/>
  <c r="Z2252" i="31"/>
  <c r="Z2018" i="31"/>
  <c r="Z3398" i="31"/>
  <c r="Z922" i="31"/>
  <c r="Z1832" i="31"/>
  <c r="Z936" i="31"/>
  <c r="Z3382" i="31"/>
  <c r="Z1170" i="31"/>
  <c r="Z2387" i="31"/>
  <c r="Z2802" i="31"/>
  <c r="Z1408" i="31"/>
  <c r="Z571" i="31"/>
  <c r="Z1235" i="31"/>
  <c r="Z3390" i="31"/>
  <c r="Z2070" i="31"/>
  <c r="Z1046" i="31"/>
  <c r="Z2539" i="31"/>
  <c r="Z2966" i="31"/>
  <c r="Z706" i="31"/>
  <c r="Z1658" i="31"/>
  <c r="Z2208" i="31"/>
  <c r="Z1048" i="31"/>
  <c r="Z280" i="31"/>
  <c r="Z1906" i="31"/>
  <c r="Z2686" i="31"/>
  <c r="Z810" i="31"/>
  <c r="Z1776" i="31"/>
  <c r="Z752" i="31"/>
  <c r="Z2168" i="31"/>
  <c r="Z260" i="31"/>
  <c r="Z85" i="31"/>
  <c r="Z2344" i="31"/>
  <c r="Z348" i="31"/>
  <c r="Z173" i="31"/>
  <c r="Z258" i="31"/>
  <c r="Z795" i="31"/>
  <c r="Z1459" i="31"/>
  <c r="Z3358" i="31"/>
  <c r="Z2054" i="31"/>
  <c r="Z1030" i="31"/>
  <c r="Z2688" i="31"/>
  <c r="Z2902" i="31"/>
  <c r="Z3490" i="31"/>
  <c r="Z1626" i="31"/>
  <c r="Z2459" i="31"/>
  <c r="Z1160" i="31"/>
  <c r="Z264" i="31"/>
  <c r="Z1874" i="31"/>
  <c r="Z2643" i="31"/>
  <c r="Z1034" i="31"/>
  <c r="Z1760" i="31"/>
  <c r="Z1019" i="31"/>
  <c r="Z2327" i="31"/>
  <c r="Z403" i="31"/>
  <c r="Z2294" i="31"/>
  <c r="Z1398" i="31"/>
  <c r="Z3146" i="31"/>
  <c r="Z3350" i="31"/>
  <c r="Z1410" i="31"/>
  <c r="Z2366" i="31"/>
  <c r="Z2770" i="31"/>
  <c r="Z1400" i="31"/>
  <c r="Z632" i="31"/>
  <c r="Z2355" i="31"/>
  <c r="Z3266" i="31"/>
  <c r="Z1514" i="31"/>
  <c r="Z1872" i="31"/>
  <c r="Z1104" i="31"/>
  <c r="Z208" i="31"/>
  <c r="Z708" i="31"/>
  <c r="Z1645" i="31"/>
  <c r="Z3139" i="31"/>
  <c r="Z1960" i="31"/>
  <c r="Z668" i="31"/>
  <c r="Z1821" i="31"/>
  <c r="Z2556" i="31"/>
  <c r="Z322" i="31"/>
  <c r="Z544" i="31"/>
  <c r="Z356" i="31"/>
  <c r="Z2407" i="31"/>
  <c r="Z700" i="31"/>
  <c r="Z2057" i="31"/>
  <c r="Z2899" i="31"/>
  <c r="Z430" i="31"/>
  <c r="Z2882" i="31"/>
  <c r="Z1044" i="31"/>
  <c r="Z2317" i="31"/>
  <c r="Z3459" i="31"/>
  <c r="Z2640" i="31"/>
  <c r="Z2173" i="31"/>
  <c r="Z2946" i="31"/>
  <c r="Z2690" i="31"/>
  <c r="Z1241" i="31"/>
  <c r="Z2269" i="31"/>
  <c r="Z905" i="31"/>
  <c r="Z2145" i="31"/>
  <c r="Z2572" i="31"/>
  <c r="Z2136" i="31"/>
  <c r="Z756" i="31"/>
  <c r="Z1485" i="31"/>
  <c r="Z2819" i="31"/>
  <c r="Z2248" i="31"/>
  <c r="Z556" i="31"/>
  <c r="Z1597" i="31"/>
  <c r="Z3043" i="31"/>
  <c r="Z210" i="31"/>
  <c r="Z2460" i="31"/>
  <c r="Z286" i="31"/>
  <c r="Z234" i="31"/>
  <c r="Z2652" i="31"/>
  <c r="Z393" i="31"/>
  <c r="Z129" i="31"/>
  <c r="Z2181" i="31"/>
  <c r="Z1745" i="31"/>
  <c r="Z2213" i="31"/>
  <c r="Z140" i="31"/>
  <c r="Z477" i="31"/>
  <c r="Z562" i="31"/>
  <c r="Z89" i="31"/>
  <c r="Z510" i="31"/>
  <c r="Z426" i="31"/>
  <c r="Z2482" i="31"/>
  <c r="Z224" i="31"/>
  <c r="Z2519" i="31"/>
  <c r="Z1113" i="31"/>
  <c r="Z60" i="31"/>
  <c r="Z777" i="31"/>
  <c r="Z2081" i="31"/>
  <c r="Z110" i="31"/>
  <c r="Z2072" i="31"/>
  <c r="Z724" i="31"/>
  <c r="Z1677" i="31"/>
  <c r="Z2364" i="31"/>
  <c r="Z1804" i="31"/>
  <c r="Z221" i="31"/>
  <c r="Z1976" i="31"/>
  <c r="Z1837" i="31"/>
  <c r="Z2786" i="31"/>
  <c r="Z1501" i="31"/>
  <c r="Z418" i="31"/>
  <c r="Z1761" i="31"/>
  <c r="Z2133" i="31"/>
  <c r="Z1844" i="31"/>
  <c r="Z564" i="31"/>
  <c r="Z1101" i="31"/>
  <c r="Z2297" i="31"/>
  <c r="Z1900" i="31"/>
  <c r="Z364" i="31"/>
  <c r="Z1213" i="31"/>
  <c r="Z2428" i="31"/>
  <c r="Z3483" i="31"/>
  <c r="Z2049" i="31"/>
  <c r="Z94" i="31"/>
  <c r="Z1477" i="31"/>
  <c r="Z1809" i="31"/>
  <c r="Z2803" i="31"/>
  <c r="Z3187" i="31"/>
  <c r="Z417" i="31"/>
  <c r="Z977" i="31"/>
  <c r="Z65" i="31"/>
  <c r="Z76" i="31"/>
  <c r="Z413" i="31"/>
  <c r="Z626" i="31"/>
  <c r="Z3475" i="31"/>
  <c r="Z446" i="31"/>
  <c r="Z298" i="31"/>
  <c r="Z2867" i="31"/>
  <c r="Z598" i="31"/>
  <c r="Z3251" i="31"/>
  <c r="Z394" i="31"/>
  <c r="Z566" i="31"/>
  <c r="Z266" i="31"/>
  <c r="Z310" i="31"/>
  <c r="Z3387" i="31"/>
  <c r="Z3059" i="31"/>
  <c r="Z54" i="31"/>
  <c r="Z1105" i="31"/>
  <c r="Z2739" i="31"/>
  <c r="Z2209" i="31"/>
  <c r="Z3313" i="31"/>
  <c r="Z3145" i="31"/>
  <c r="Z3495" i="31"/>
  <c r="Z2972" i="31"/>
  <c r="Z2227" i="31"/>
  <c r="Z3535" i="31"/>
  <c r="Z375" i="31"/>
  <c r="Z1839" i="31"/>
  <c r="Z2705" i="31"/>
  <c r="Z1507" i="31"/>
  <c r="Z3482" i="31"/>
  <c r="Z3295" i="31"/>
  <c r="Z3105" i="31"/>
  <c r="Z3001" i="31"/>
  <c r="Z3463" i="31"/>
  <c r="Z2506" i="31"/>
  <c r="Z3471" i="31"/>
  <c r="Z2649" i="31"/>
  <c r="Z2311" i="31"/>
  <c r="Z2648" i="31"/>
  <c r="Z2358" i="31"/>
  <c r="Z3380" i="31"/>
  <c r="Z3509" i="31"/>
  <c r="Z2283" i="31"/>
  <c r="Z2908" i="31"/>
  <c r="Z2399" i="31"/>
  <c r="Z2079" i="31"/>
  <c r="Z3005" i="31"/>
  <c r="Z959" i="31"/>
  <c r="Z619" i="31"/>
  <c r="Z3470" i="31"/>
  <c r="Z1214" i="31"/>
  <c r="Z2865" i="31"/>
  <c r="Z3073" i="31"/>
  <c r="Z3161" i="31"/>
  <c r="Z2580" i="31"/>
  <c r="Z2701" i="31"/>
  <c r="Z1731" i="31"/>
  <c r="Z1159" i="31"/>
  <c r="Z2735" i="31"/>
  <c r="Z303" i="31"/>
  <c r="Z1099" i="31"/>
  <c r="Z515" i="31"/>
  <c r="Z1454" i="31"/>
  <c r="Z2004" i="31"/>
  <c r="Z3007" i="31"/>
  <c r="Z2424" i="31"/>
  <c r="Z3114" i="31"/>
  <c r="Z1634" i="31"/>
  <c r="Z3218" i="31"/>
  <c r="Z488" i="31"/>
  <c r="Z786" i="31"/>
  <c r="Z2032" i="31"/>
  <c r="Z3085" i="31"/>
  <c r="Z2750" i="31"/>
  <c r="Z854" i="31"/>
  <c r="Z1858" i="31"/>
  <c r="Z1274" i="31"/>
  <c r="Z856" i="31"/>
  <c r="Z1010" i="31"/>
  <c r="Z2994" i="31"/>
  <c r="Z432" i="31"/>
  <c r="Z2285" i="31"/>
  <c r="Z1500" i="31"/>
  <c r="Z2727" i="31"/>
  <c r="Z2977" i="31"/>
  <c r="Z2974" i="31"/>
  <c r="Z838" i="31"/>
  <c r="Z3526" i="31"/>
  <c r="Z1736" i="31"/>
  <c r="Z72" i="31"/>
  <c r="Z2186" i="31"/>
  <c r="Z1312" i="31"/>
  <c r="Z3441" i="31"/>
  <c r="Z2976" i="31"/>
  <c r="Z2645" i="31"/>
  <c r="Z3260" i="31"/>
  <c r="Z3447" i="31"/>
  <c r="Z2601" i="31"/>
  <c r="Z1015" i="31"/>
  <c r="Z2522" i="31"/>
  <c r="Z3140" i="31"/>
  <c r="Z299" i="31"/>
  <c r="Z2894" i="31"/>
  <c r="Z1310" i="31"/>
  <c r="Z3292" i="31"/>
  <c r="Z3297" i="31"/>
  <c r="Z2960" i="31"/>
  <c r="Z2437" i="31"/>
  <c r="Z1723" i="31"/>
  <c r="Z3031" i="31"/>
  <c r="Z2868" i="31"/>
  <c r="Z1255" i="31"/>
  <c r="Z2772" i="31"/>
  <c r="Z1423" i="31"/>
  <c r="Z2385" i="31"/>
  <c r="Z3021" i="31"/>
  <c r="Z51" i="31"/>
  <c r="Z1550" i="31"/>
  <c r="Z2810" i="31"/>
  <c r="Z1831" i="31"/>
  <c r="Z3508" i="31"/>
  <c r="Z3136" i="31"/>
  <c r="Z3049" i="31"/>
  <c r="Z2613" i="31"/>
  <c r="Z2431" i="31"/>
  <c r="Z1643" i="31"/>
  <c r="Z2717" i="31"/>
  <c r="Z2570" i="31"/>
  <c r="Z1619" i="31"/>
  <c r="Z2335" i="31"/>
  <c r="Z1175" i="31"/>
  <c r="Z279" i="31"/>
  <c r="Z2436" i="31"/>
  <c r="Z1087" i="31"/>
  <c r="Z319" i="31"/>
  <c r="Z1131" i="31"/>
  <c r="Z2703" i="31"/>
  <c r="Z291" i="31"/>
  <c r="Z2238" i="31"/>
  <c r="Z1470" i="31"/>
  <c r="Z3290" i="31"/>
  <c r="Z2948" i="31"/>
  <c r="Z3416" i="31"/>
  <c r="Z3457" i="31"/>
  <c r="Z3376" i="31"/>
  <c r="Z3289" i="31"/>
  <c r="Z2981" i="31"/>
  <c r="Z2759" i="31"/>
  <c r="Z1883" i="31"/>
  <c r="Z3173" i="31"/>
  <c r="Z2967" i="31"/>
  <c r="Z1859" i="31"/>
  <c r="Z2633" i="31"/>
  <c r="Z1415" i="31"/>
  <c r="Z519" i="31"/>
  <c r="Z2457" i="31"/>
  <c r="Z1327" i="31"/>
  <c r="Z559" i="31"/>
  <c r="Z2183" i="31"/>
  <c r="Z2881" i="31"/>
  <c r="Z771" i="31"/>
  <c r="Z2926" i="31"/>
  <c r="Z1710" i="31"/>
  <c r="Z814" i="31"/>
  <c r="Z2260" i="31"/>
  <c r="Z1499" i="31"/>
  <c r="Z3213" i="31"/>
  <c r="Z883" i="31"/>
  <c r="Z2595" i="31"/>
  <c r="Z1638" i="31"/>
  <c r="Z870" i="31"/>
  <c r="Z2188" i="31"/>
  <c r="Z1890" i="31"/>
  <c r="Z3142" i="31"/>
  <c r="Z794" i="31"/>
  <c r="Z1768" i="31"/>
  <c r="Z872" i="31"/>
  <c r="Z3126" i="31"/>
  <c r="Z1042" i="31"/>
  <c r="Z2250" i="31"/>
  <c r="Z2608" i="31"/>
  <c r="Z1344" i="31"/>
  <c r="Z443" i="31"/>
  <c r="Z1107" i="31"/>
  <c r="Z3262" i="31"/>
  <c r="Z2006" i="31"/>
  <c r="Z982" i="31"/>
  <c r="Z2454" i="31"/>
  <c r="Z2718" i="31"/>
  <c r="Z3298" i="31"/>
  <c r="Z1530" i="31"/>
  <c r="Z2080" i="31"/>
  <c r="Z984" i="31"/>
  <c r="Z216" i="31"/>
  <c r="Z1778" i="31"/>
  <c r="Z2515" i="31"/>
  <c r="Z3506" i="31"/>
  <c r="Z1712" i="31"/>
  <c r="Z688" i="31"/>
  <c r="Z1924" i="31"/>
  <c r="Z132" i="31"/>
  <c r="Z3395" i="31"/>
  <c r="Z2088" i="31"/>
  <c r="Z220" i="31"/>
  <c r="Z45" i="31"/>
  <c r="Z130" i="31"/>
  <c r="Z667" i="31"/>
  <c r="Z1331" i="31"/>
  <c r="Z3230" i="31"/>
  <c r="Z1990" i="31"/>
  <c r="Z966" i="31"/>
  <c r="Z2603" i="31"/>
  <c r="Z2675" i="31"/>
  <c r="Z3234" i="31"/>
  <c r="Z1498" i="31"/>
  <c r="Z2304" i="31"/>
  <c r="Z1096" i="31"/>
  <c r="Z200" i="31"/>
  <c r="Z1746" i="31"/>
  <c r="Z2472" i="31"/>
  <c r="Z906" i="31"/>
  <c r="Z1696" i="31"/>
  <c r="Z891" i="31"/>
  <c r="Z2071" i="31"/>
  <c r="Z275" i="31"/>
  <c r="Z2230" i="31"/>
  <c r="Z1334" i="31"/>
  <c r="Z3018" i="31"/>
  <c r="Z3094" i="31"/>
  <c r="Z1282" i="31"/>
  <c r="Z2234" i="31"/>
  <c r="Z2587" i="31"/>
  <c r="Z1336" i="31"/>
  <c r="Z568" i="31"/>
  <c r="Z2226" i="31"/>
  <c r="Z143" i="31"/>
  <c r="Z1386" i="31"/>
  <c r="Z1808" i="31"/>
  <c r="Z1040" i="31"/>
  <c r="Z144" i="31"/>
  <c r="Z580" i="31"/>
  <c r="Z1389" i="31"/>
  <c r="Z2663" i="31"/>
  <c r="Z1820" i="31"/>
  <c r="Z540" i="31"/>
  <c r="Z1565" i="31"/>
  <c r="Z2249" i="31"/>
  <c r="Z194" i="31"/>
  <c r="Z416" i="31"/>
  <c r="Z100" i="31"/>
  <c r="Z1881" i="31"/>
  <c r="Z444" i="31"/>
  <c r="Z1545" i="31"/>
  <c r="Z2503" i="31"/>
  <c r="Z302" i="31"/>
  <c r="Z2491" i="31"/>
  <c r="Z916" i="31"/>
  <c r="Z2061" i="31"/>
  <c r="Z2947" i="31"/>
  <c r="Z2312" i="31"/>
  <c r="Z541" i="31"/>
  <c r="Z2232" i="31"/>
  <c r="Z2093" i="31"/>
  <c r="Z729" i="31"/>
  <c r="Z1757" i="31"/>
  <c r="Z546" i="31"/>
  <c r="Z1889" i="31"/>
  <c r="Z2261" i="31"/>
  <c r="Z1908" i="31"/>
  <c r="Z628" i="31"/>
  <c r="Z1229" i="31"/>
  <c r="Z2450" i="31"/>
  <c r="Z1992" i="31"/>
  <c r="Z428" i="31"/>
  <c r="Z1341" i="31"/>
  <c r="Z2599" i="31"/>
  <c r="Z82" i="31"/>
  <c r="Z2177" i="31"/>
  <c r="Z158" i="31"/>
  <c r="Z3259" i="31"/>
  <c r="Z2065" i="31"/>
  <c r="Z3315" i="31"/>
  <c r="Z201" i="31"/>
  <c r="Z917" i="31"/>
  <c r="Z1233" i="31"/>
  <c r="Z577" i="31"/>
  <c r="Z3083" i="31"/>
  <c r="Z349" i="31"/>
  <c r="Z434" i="31"/>
  <c r="Z3219" i="31"/>
  <c r="Z382" i="31"/>
  <c r="Z170" i="31"/>
  <c r="Z1937" i="31"/>
  <c r="Z96" i="31"/>
  <c r="Z1965" i="31"/>
  <c r="Z3042" i="31"/>
  <c r="Z2763" i="31"/>
  <c r="Z482" i="31"/>
  <c r="Z1825" i="31"/>
  <c r="Z3163" i="31"/>
  <c r="Z1876" i="31"/>
  <c r="Z596" i="31"/>
  <c r="Z1421" i="31"/>
  <c r="Z2105" i="31"/>
  <c r="Z1676" i="31"/>
  <c r="Z937" i="31"/>
  <c r="Z1700" i="31"/>
  <c r="Z1325" i="31"/>
  <c r="Z2152" i="31"/>
  <c r="Z989" i="31"/>
  <c r="Z162" i="31"/>
  <c r="Z1505" i="31"/>
  <c r="Z1829" i="31"/>
  <c r="Z1716" i="31"/>
  <c r="Z436" i="31"/>
  <c r="Z845" i="31"/>
  <c r="Z2041" i="31"/>
  <c r="Z1772" i="31"/>
  <c r="Z236" i="31"/>
  <c r="Z957" i="31"/>
  <c r="Z2153" i="31"/>
  <c r="Z2101" i="31"/>
  <c r="Z1793" i="31"/>
  <c r="Z3035" i="31"/>
  <c r="Z329" i="31"/>
  <c r="Z1297" i="31"/>
  <c r="Z2161" i="31"/>
  <c r="Z2225" i="31"/>
  <c r="Z506" i="31"/>
  <c r="Z582" i="31"/>
  <c r="Z33" i="31"/>
  <c r="Z3339" i="31"/>
  <c r="Z285" i="31"/>
  <c r="Z498" i="31"/>
  <c r="Z2963" i="31"/>
  <c r="Z318" i="31"/>
  <c r="Z34" i="31"/>
  <c r="Z1681" i="31"/>
  <c r="Z86" i="31"/>
  <c r="Z1873" i="31"/>
  <c r="Z1925" i="31"/>
  <c r="Z1733" i="31"/>
  <c r="Z1349" i="31"/>
  <c r="Z709" i="31"/>
  <c r="Z1557" i="31"/>
  <c r="Z1777" i="31"/>
  <c r="Z193" i="31"/>
  <c r="Z390" i="31"/>
  <c r="Z646" i="31"/>
  <c r="Z2903" i="31"/>
  <c r="Z1167" i="31"/>
  <c r="Z2753" i="31"/>
  <c r="Z1422" i="31"/>
  <c r="Z2699" i="31"/>
  <c r="Z3432" i="31"/>
  <c r="Z3444" i="31"/>
  <c r="Z2944" i="31"/>
  <c r="Z2828" i="31"/>
  <c r="Z2549" i="31"/>
  <c r="Z2347" i="31"/>
  <c r="Z3036" i="31"/>
  <c r="Z2525" i="31"/>
  <c r="Z2484" i="31"/>
  <c r="Z2804" i="31"/>
  <c r="Z2207" i="31"/>
  <c r="Z983" i="31"/>
  <c r="Z3261" i="31"/>
  <c r="Z2287" i="31"/>
  <c r="Z1023" i="31"/>
  <c r="Z2833" i="31"/>
  <c r="Z747" i="31"/>
  <c r="Z2362" i="31"/>
  <c r="Z35" i="31"/>
  <c r="Z2174" i="31"/>
  <c r="Z1278" i="31"/>
  <c r="Z3245" i="31"/>
  <c r="Z3352" i="31"/>
  <c r="Z3137" i="31"/>
  <c r="Z3184" i="31"/>
  <c r="Z3225" i="31"/>
  <c r="Z2789" i="31"/>
  <c r="Z2666" i="31"/>
  <c r="Z1691" i="31"/>
  <c r="Z2765" i="31"/>
  <c r="Z2839" i="31"/>
  <c r="Z1795" i="31"/>
  <c r="Z2831" i="31"/>
  <c r="Z1223" i="31"/>
  <c r="Z455" i="31"/>
  <c r="Z2991" i="31"/>
  <c r="Z1263" i="31"/>
  <c r="Z367" i="31"/>
  <c r="Z1227" i="31"/>
  <c r="Z2625" i="31"/>
  <c r="Z643" i="31"/>
  <c r="Z2435" i="31"/>
  <c r="Z1518" i="31"/>
  <c r="Z750" i="31"/>
  <c r="Z2068" i="31"/>
  <c r="Z1371" i="31"/>
  <c r="Z3519" i="31"/>
  <c r="Z243" i="31"/>
  <c r="Z2510" i="31"/>
  <c r="Z1574" i="31"/>
  <c r="Z3242" i="31"/>
  <c r="Z1996" i="31"/>
  <c r="Z1762" i="31"/>
  <c r="Z2494" i="31"/>
  <c r="Z3474" i="31"/>
  <c r="Z1576" i="31"/>
  <c r="Z552" i="31"/>
  <c r="Z2870" i="31"/>
  <c r="Z914" i="31"/>
  <c r="Z1610" i="31"/>
  <c r="Z2160" i="31"/>
  <c r="Z1280" i="31"/>
  <c r="Z2788" i="31"/>
  <c r="Z979" i="31"/>
  <c r="Z2878" i="31"/>
  <c r="Z1686" i="31"/>
  <c r="Z918" i="31"/>
  <c r="Z2368" i="31"/>
  <c r="Z1986" i="31"/>
  <c r="Z3334" i="31"/>
  <c r="Z1402" i="31"/>
  <c r="Z1816" i="31"/>
  <c r="Z920" i="31"/>
  <c r="Z151" i="31"/>
  <c r="Z1138" i="31"/>
  <c r="Z2346" i="31"/>
  <c r="Z3250" i="31"/>
  <c r="Z1392" i="31"/>
  <c r="Z496" i="31"/>
  <c r="Z1796" i="31"/>
  <c r="Z2604" i="31"/>
  <c r="Z2883" i="31"/>
  <c r="Z1628" i="31"/>
  <c r="Z2205" i="31"/>
  <c r="Z3235" i="31"/>
  <c r="Z3419" i="31"/>
  <c r="Z3469" i="31"/>
  <c r="Z947" i="31"/>
  <c r="Z3102" i="31"/>
  <c r="Z1798" i="31"/>
  <c r="Z902" i="31"/>
  <c r="Z2348" i="31"/>
  <c r="Z1954" i="31"/>
  <c r="Z127" i="31"/>
  <c r="Z1370" i="31"/>
  <c r="Z1800" i="31"/>
  <c r="Z904" i="31"/>
  <c r="Z136" i="31"/>
  <c r="Z1362" i="31"/>
  <c r="Z2314" i="31"/>
  <c r="Z3186" i="31"/>
  <c r="Z1376" i="31"/>
  <c r="Z763" i="31"/>
  <c r="Z1815" i="31"/>
  <c r="Z3326" i="31"/>
  <c r="Z2038" i="31"/>
  <c r="Z1270" i="31"/>
  <c r="Z2667" i="31"/>
  <c r="Z2838" i="31"/>
  <c r="Z898" i="31"/>
  <c r="Z1594" i="31"/>
  <c r="Z2416" i="31"/>
  <c r="Z1272" i="31"/>
  <c r="Z248" i="31"/>
  <c r="Z1842" i="31"/>
  <c r="Z15" i="31"/>
  <c r="Z1002" i="31"/>
  <c r="Z1744" i="31"/>
  <c r="Z848" i="31"/>
  <c r="Z2040" i="31"/>
  <c r="Z452" i="31"/>
  <c r="Z1133" i="31"/>
  <c r="Z1817" i="31"/>
  <c r="Z1692" i="31"/>
  <c r="Z412" i="31"/>
  <c r="Z797" i="31"/>
  <c r="Z1993" i="31"/>
  <c r="Z58" i="31"/>
  <c r="Z32" i="31"/>
  <c r="Z2923" i="31"/>
  <c r="Z1369" i="31"/>
  <c r="Z2412" i="31"/>
  <c r="Z1033" i="31"/>
  <c r="Z2679" i="31"/>
  <c r="Z2200" i="31"/>
  <c r="Z788" i="31"/>
  <c r="Z1293" i="31"/>
  <c r="Z2535" i="31"/>
  <c r="Z2056" i="31"/>
  <c r="Z1985" i="31"/>
  <c r="Z1828" i="31"/>
  <c r="Z1581" i="31"/>
  <c r="Z1660" i="31"/>
  <c r="Z1245" i="31"/>
  <c r="Z290" i="31"/>
  <c r="Z1121" i="31"/>
  <c r="Z1989" i="31"/>
  <c r="Z1780" i="31"/>
  <c r="Z244" i="31"/>
  <c r="Z973" i="31"/>
  <c r="Z2169" i="31"/>
  <c r="Z1580" i="31"/>
  <c r="Z300" i="31"/>
  <c r="Z1085" i="31"/>
  <c r="Z1769" i="31"/>
  <c r="Z3067" i="31"/>
  <c r="Z1921" i="31"/>
  <c r="Z2293" i="31"/>
  <c r="Z965" i="31"/>
  <c r="Z1553" i="31"/>
  <c r="Z1393" i="31"/>
  <c r="Z2524" i="31"/>
  <c r="Z634" i="31"/>
  <c r="Z198" i="31"/>
  <c r="Z545" i="31"/>
  <c r="Z2626" i="31"/>
  <c r="Z2915" i="31"/>
  <c r="Z306" i="31"/>
  <c r="Z2375" i="31"/>
  <c r="Z3291" i="31"/>
  <c r="Z2747" i="31"/>
  <c r="Z1425" i="31"/>
  <c r="Z1764" i="31"/>
  <c r="Z1453" i="31"/>
  <c r="Z2280" i="31"/>
  <c r="Z1117" i="31"/>
  <c r="Z226" i="31"/>
  <c r="Z1569" i="31"/>
  <c r="Z1909" i="31"/>
  <c r="Z1748" i="31"/>
  <c r="Z468" i="31"/>
  <c r="Z677" i="31"/>
  <c r="Z1849" i="31"/>
  <c r="Z1548" i="31"/>
  <c r="Z832" i="31"/>
  <c r="Z1444" i="31"/>
  <c r="Z813" i="31"/>
  <c r="Z1276" i="31"/>
  <c r="Z589" i="31"/>
  <c r="Z2700" i="31"/>
  <c r="Z737" i="31"/>
  <c r="Z1333" i="31"/>
  <c r="Z1588" i="31"/>
  <c r="Z52" i="31"/>
  <c r="Z645" i="31"/>
  <c r="Z1785" i="31"/>
  <c r="Z1388" i="31"/>
  <c r="Z108" i="31"/>
  <c r="Z701" i="31"/>
  <c r="Z1385" i="31"/>
  <c r="Z1381" i="31"/>
  <c r="Z1537" i="31"/>
  <c r="Z1877" i="31"/>
  <c r="Z666" i="31"/>
  <c r="Z785" i="31"/>
  <c r="Z662" i="31"/>
  <c r="Z1201" i="31"/>
  <c r="Z250" i="31"/>
  <c r="Z2380" i="31"/>
  <c r="Z3115" i="31"/>
  <c r="Z2827" i="31"/>
  <c r="Z3171" i="31"/>
  <c r="Z370" i="31"/>
  <c r="Z2546" i="31"/>
  <c r="Z2779" i="31"/>
  <c r="Z1221" i="31"/>
  <c r="Z1169" i="31"/>
  <c r="Z2695" i="31"/>
  <c r="Z849" i="31"/>
  <c r="Z265" i="31"/>
  <c r="Z50" i="31"/>
  <c r="Z17" i="31"/>
  <c r="Z102" i="31"/>
  <c r="Z97" i="31"/>
  <c r="Z753" i="31"/>
  <c r="Z2658" i="31"/>
  <c r="Z2551" i="31"/>
  <c r="Z817" i="31"/>
  <c r="Z2670" i="31"/>
  <c r="Z3365" i="31"/>
  <c r="Z1063" i="31"/>
  <c r="Z911" i="31"/>
  <c r="Z2447" i="31"/>
  <c r="Z1358" i="31"/>
  <c r="Z3176" i="31"/>
  <c r="Z2880" i="31"/>
  <c r="Z2485" i="31"/>
  <c r="Z2461" i="31"/>
  <c r="Z3357" i="31"/>
  <c r="Z919" i="31"/>
  <c r="Z2159" i="31"/>
  <c r="Z2577" i="31"/>
  <c r="Z2103" i="31"/>
  <c r="Z2110" i="31"/>
  <c r="Z2592" i="31"/>
  <c r="Z3288" i="31"/>
  <c r="Z3120" i="31"/>
  <c r="Z2725" i="31"/>
  <c r="Z1627" i="31"/>
  <c r="Z2719" i="31"/>
  <c r="Z2628" i="31"/>
  <c r="Z391" i="31"/>
  <c r="Z1199" i="31"/>
  <c r="Z2369" i="31"/>
  <c r="Z2350" i="31"/>
  <c r="Z3514" i="31"/>
  <c r="Z1243" i="31"/>
  <c r="Z139" i="31"/>
  <c r="Z1510" i="31"/>
  <c r="Z135" i="31"/>
  <c r="Z2330" i="31"/>
  <c r="Z1512" i="31"/>
  <c r="Z2654" i="31"/>
  <c r="Z1482" i="31"/>
  <c r="Z1216" i="31"/>
  <c r="Z851" i="31"/>
  <c r="Z1622" i="31"/>
  <c r="Z2300" i="31"/>
  <c r="Z3078" i="31"/>
  <c r="Z1752" i="31"/>
  <c r="Z23" i="31"/>
  <c r="Z2218" i="31"/>
  <c r="Z1328" i="31"/>
  <c r="Z1668" i="31"/>
  <c r="Z2492" i="31"/>
  <c r="Z1949" i="31"/>
  <c r="Z1845" i="31"/>
  <c r="Z819" i="31"/>
  <c r="Z1734" i="31"/>
  <c r="Z2284" i="31"/>
  <c r="Z1826" i="31"/>
  <c r="Z1242" i="31"/>
  <c r="Z840" i="31"/>
  <c r="Z1234" i="31"/>
  <c r="Z2930" i="31"/>
  <c r="Z3377" i="31"/>
  <c r="Z3273" i="31"/>
  <c r="Z2581" i="31"/>
  <c r="Z3100" i="31"/>
  <c r="Z2935" i="31"/>
  <c r="Z2473" i="31"/>
  <c r="Z503" i="31"/>
  <c r="Z2351" i="31"/>
  <c r="Z2961" i="31"/>
  <c r="Z2817" i="31"/>
  <c r="Z2766" i="31"/>
  <c r="Z798" i="31"/>
  <c r="Z3501" i="31"/>
  <c r="Z3169" i="31"/>
  <c r="Z3513" i="31"/>
  <c r="Z2373" i="31"/>
  <c r="Z2812" i="31"/>
  <c r="Z2825" i="31"/>
  <c r="Z1127" i="31"/>
  <c r="Z3325" i="31"/>
  <c r="Z2639" i="31"/>
  <c r="Z3118" i="31"/>
  <c r="Z2678" i="31"/>
  <c r="Z3057" i="31"/>
  <c r="Z2559" i="31"/>
  <c r="Z2099" i="31"/>
  <c r="Z311" i="31"/>
  <c r="Z2449" i="31"/>
  <c r="Z2334" i="31"/>
  <c r="Z3512" i="31"/>
  <c r="Z3116" i="31"/>
  <c r="Z3237" i="31"/>
  <c r="Z2959" i="31"/>
  <c r="Z3119" i="31"/>
  <c r="Z2055" i="31"/>
  <c r="Z2478" i="31"/>
  <c r="Z2100" i="31"/>
  <c r="Z3316" i="31"/>
  <c r="Z3381" i="31"/>
  <c r="Z1963" i="31"/>
  <c r="Z2397" i="31"/>
  <c r="Z2793" i="31"/>
  <c r="Z727" i="31"/>
  <c r="Z1775" i="31"/>
  <c r="Z3487" i="31"/>
  <c r="Z1187" i="31"/>
  <c r="Z2046" i="31"/>
  <c r="Z2507" i="31"/>
  <c r="Z2968" i="31"/>
  <c r="Z3056" i="31"/>
  <c r="Z2533" i="31"/>
  <c r="Z3372" i="31"/>
  <c r="Z2463" i="31"/>
  <c r="Z2458" i="31"/>
  <c r="Z2900" i="31"/>
  <c r="Z1135" i="31"/>
  <c r="Z971" i="31"/>
  <c r="Z19" i="31"/>
  <c r="Z1390" i="31"/>
  <c r="Z3117" i="31"/>
  <c r="Z2007" i="31"/>
  <c r="Z2214" i="31"/>
  <c r="Z2986" i="31"/>
  <c r="Z994" i="31"/>
  <c r="Z2962" i="31"/>
  <c r="Z424" i="31"/>
  <c r="Z3238" i="31"/>
  <c r="Z1920" i="31"/>
  <c r="Z3391" i="31"/>
  <c r="Z2488" i="31"/>
  <c r="Z3466" i="31"/>
  <c r="Z1730" i="31"/>
  <c r="Z3410" i="31"/>
  <c r="Z792" i="31"/>
  <c r="Z882" i="31"/>
  <c r="Z2128" i="31"/>
  <c r="Z368" i="31"/>
  <c r="Z1517" i="31"/>
  <c r="Z1116" i="31"/>
  <c r="Z1865" i="31"/>
  <c r="Z2721" i="31"/>
  <c r="Z2467" i="31"/>
  <c r="Z774" i="31"/>
  <c r="Z1698" i="31"/>
  <c r="Z3346" i="31"/>
  <c r="Z776" i="31"/>
  <c r="Z850" i="31"/>
  <c r="Z2352" i="31"/>
  <c r="Z635" i="31"/>
  <c r="Z659" i="31"/>
  <c r="Z1910" i="31"/>
  <c r="Z3530" i="31"/>
  <c r="Z2306" i="31"/>
  <c r="Z1466" i="31"/>
  <c r="Z1656" i="31"/>
  <c r="Z120" i="31"/>
  <c r="Z3522" i="31"/>
  <c r="Z2866" i="31"/>
  <c r="Z784" i="31"/>
  <c r="Z1476" i="31"/>
  <c r="Z405" i="31"/>
  <c r="Z2914" i="31"/>
  <c r="Z2668" i="31"/>
  <c r="Z1737" i="31"/>
  <c r="Z800" i="31"/>
  <c r="Z1709" i="31"/>
  <c r="Z956" i="31"/>
  <c r="Z98" i="31"/>
  <c r="Z2325" i="31"/>
  <c r="Z1300" i="31"/>
  <c r="Z781" i="31"/>
  <c r="Z698" i="31"/>
  <c r="Z640" i="31"/>
  <c r="Z1069" i="31"/>
  <c r="Z636" i="31"/>
  <c r="Z121" i="31"/>
  <c r="Z270" i="31"/>
  <c r="Z1140" i="31"/>
  <c r="Z717" i="31"/>
  <c r="Z2978" i="31"/>
  <c r="Z44" i="31"/>
  <c r="Z26" i="31"/>
  <c r="Z665" i="31"/>
  <c r="Z2021" i="31"/>
  <c r="Z553" i="31"/>
  <c r="Z534" i="31"/>
  <c r="Z38" i="31"/>
  <c r="Z1301" i="31"/>
  <c r="Z2301" i="31"/>
  <c r="Z1705" i="31"/>
  <c r="Z1345" i="31"/>
  <c r="Z593" i="31"/>
  <c r="Z608" i="31"/>
  <c r="Z941" i="31"/>
  <c r="Z572" i="31"/>
  <c r="Z1189" i="31"/>
  <c r="Z238" i="31"/>
  <c r="Z1364" i="31"/>
  <c r="Z549" i="31"/>
  <c r="Z2470" i="31"/>
  <c r="Z576" i="31"/>
  <c r="Z2349" i="31"/>
  <c r="Z508" i="31"/>
  <c r="Z933" i="31"/>
  <c r="Z206" i="31"/>
  <c r="Z1076" i="31"/>
  <c r="Z1869" i="31"/>
  <c r="Z2726" i="31"/>
  <c r="Z3467" i="31"/>
  <c r="Z3299" i="31"/>
  <c r="Z537" i="31"/>
  <c r="Z222" i="31"/>
  <c r="Z2636" i="31"/>
  <c r="Z406" i="31"/>
  <c r="Z2466" i="31"/>
  <c r="Z773" i="31"/>
  <c r="Z332" i="31"/>
  <c r="Z1833" i="31"/>
  <c r="Z2241" i="31"/>
  <c r="Z741" i="31"/>
  <c r="Z3451" i="31"/>
  <c r="Z161" i="31"/>
  <c r="Z1365" i="31"/>
  <c r="Z2033" i="31"/>
  <c r="Z1361" i="31"/>
  <c r="Z2149" i="31"/>
  <c r="Z2129" i="31"/>
  <c r="Z1991" i="31"/>
  <c r="Z3415" i="31"/>
  <c r="Z888" i="31"/>
  <c r="Z21" i="31"/>
  <c r="Z621" i="31"/>
  <c r="Z1892" i="31"/>
  <c r="Z861" i="31"/>
  <c r="Z1953" i="31"/>
  <c r="Z1205" i="31"/>
  <c r="Z357" i="31"/>
  <c r="Z1100" i="31"/>
  <c r="Z1572" i="31"/>
  <c r="Z2265" i="31"/>
  <c r="Z461" i="31"/>
  <c r="Z2418" i="31"/>
  <c r="Z625" i="31"/>
  <c r="Z69" i="31"/>
  <c r="Z1324" i="31"/>
  <c r="Z1853" i="31"/>
  <c r="Z1665" i="31"/>
  <c r="Z657" i="31"/>
  <c r="Z2277" i="31"/>
  <c r="Z2859" i="31"/>
  <c r="Z42" i="31"/>
  <c r="Z474" i="31"/>
  <c r="Z2137" i="31"/>
  <c r="Z561" i="31"/>
  <c r="Z165" i="31"/>
  <c r="Z2009" i="31"/>
  <c r="Z2273" i="31"/>
  <c r="Z692" i="31"/>
  <c r="Z1260" i="31"/>
  <c r="Z873" i="31"/>
  <c r="Z230" i="31"/>
  <c r="Z3507" i="31"/>
  <c r="Z1149" i="31"/>
  <c r="Z705" i="31"/>
  <c r="Z1521" i="31"/>
  <c r="Z617" i="31"/>
  <c r="Z981" i="31"/>
  <c r="Z246" i="31"/>
  <c r="Z2873" i="31"/>
  <c r="Z1095" i="31"/>
  <c r="Z1115" i="31"/>
  <c r="Z1946" i="31"/>
  <c r="Z2194" i="31"/>
  <c r="Z896" i="31"/>
  <c r="Z1980" i="31"/>
  <c r="Z1560" i="31"/>
  <c r="Z1834" i="31"/>
  <c r="Z1028" i="31"/>
  <c r="Z1693" i="31"/>
  <c r="Z691" i="31"/>
  <c r="Z2092" i="31"/>
  <c r="Z1672" i="31"/>
  <c r="Z1248" i="31"/>
  <c r="Z2942" i="31"/>
  <c r="Z2204" i="31"/>
  <c r="Z824" i="31"/>
  <c r="Z2026" i="31"/>
  <c r="Z272" i="31"/>
  <c r="Z1561" i="31"/>
  <c r="Z493" i="31"/>
  <c r="Z857" i="31"/>
  <c r="Z1185" i="31"/>
  <c r="Z689" i="31"/>
  <c r="Z2233" i="31"/>
  <c r="Z1316" i="31"/>
  <c r="Z205" i="31"/>
  <c r="Z2754" i="31"/>
  <c r="Z3331" i="31"/>
  <c r="Z745" i="31"/>
  <c r="Z401" i="31"/>
  <c r="Z1841" i="31"/>
  <c r="Z1932" i="31"/>
  <c r="Z2811" i="31"/>
  <c r="Z1157" i="31"/>
  <c r="Z1313" i="31"/>
  <c r="Z3371" i="31"/>
  <c r="Z524" i="31"/>
  <c r="Z1497" i="31"/>
  <c r="Z2017" i="31"/>
  <c r="Z3243" i="31"/>
  <c r="Z658" i="31"/>
  <c r="Z1429" i="31"/>
  <c r="Z3017" i="31"/>
  <c r="Z3141" i="31"/>
  <c r="Z1527" i="31"/>
  <c r="Z1055" i="31"/>
  <c r="Z1123" i="31"/>
  <c r="Z3226" i="31"/>
  <c r="Z3332" i="31"/>
  <c r="Z2235" i="31"/>
  <c r="Z1955" i="31"/>
  <c r="Z743" i="31"/>
  <c r="Z719" i="31"/>
  <c r="Z963" i="31"/>
  <c r="Z1038" i="31"/>
  <c r="Z2984" i="31"/>
  <c r="Z3433" i="31"/>
  <c r="Z3303" i="31"/>
  <c r="Z3461" i="31"/>
  <c r="Z2003" i="31"/>
  <c r="Z1823" i="31"/>
  <c r="Z2745" i="31"/>
  <c r="Z575" i="31"/>
  <c r="Z363" i="31"/>
  <c r="Z2958" i="31"/>
  <c r="Z958" i="31"/>
  <c r="Z2596" i="31"/>
  <c r="Z3492" i="31"/>
  <c r="Z2924" i="31"/>
  <c r="Z2410" i="31"/>
  <c r="Z2573" i="31"/>
  <c r="Z3293" i="31"/>
  <c r="Z1031" i="31"/>
  <c r="Z2127" i="31"/>
  <c r="Z3053" i="31"/>
  <c r="Z2039" i="31"/>
  <c r="Z2222" i="31"/>
  <c r="Z2746" i="31"/>
  <c r="Z987" i="31"/>
  <c r="Z11" i="31"/>
  <c r="Z1126" i="31"/>
  <c r="Z3286" i="31"/>
  <c r="Z1256" i="31"/>
  <c r="Z2066" i="31"/>
  <c r="Z1226" i="31"/>
  <c r="Z1211" i="31"/>
  <c r="Z595" i="31"/>
  <c r="Z1494" i="31"/>
  <c r="Z103" i="31"/>
  <c r="Z2622" i="31"/>
  <c r="Z1496" i="31"/>
  <c r="Z2611" i="31"/>
  <c r="Z1706" i="31"/>
  <c r="Z1200" i="31"/>
  <c r="Z900" i="31"/>
  <c r="Z1945" i="31"/>
  <c r="Z1437" i="31"/>
  <c r="Z1179" i="31"/>
  <c r="Z1478" i="31"/>
  <c r="Z2028" i="31"/>
  <c r="Z2579" i="31"/>
  <c r="Z1608" i="31"/>
  <c r="Z2568" i="31"/>
  <c r="Z1930" i="31"/>
  <c r="Z1184" i="31"/>
  <c r="Z2616" i="31"/>
  <c r="Z886" i="31"/>
  <c r="Z2140" i="31"/>
  <c r="Z3462" i="31"/>
  <c r="Z760" i="31"/>
  <c r="Z1586" i="31"/>
  <c r="Z1552" i="31"/>
  <c r="Z1860" i="31"/>
  <c r="Z1305" i="31"/>
  <c r="Z365" i="31"/>
  <c r="Z1380" i="31"/>
  <c r="Z269" i="31"/>
  <c r="Z1944" i="31"/>
  <c r="Z1977" i="31"/>
  <c r="Z204" i="31"/>
  <c r="Z1404" i="31"/>
  <c r="Z654" i="31"/>
  <c r="Z2987" i="31"/>
  <c r="Z1068" i="31"/>
  <c r="Z594" i="31"/>
  <c r="Z1713" i="31"/>
  <c r="Z694" i="31"/>
  <c r="Z1036" i="31"/>
  <c r="Z601" i="31"/>
  <c r="Z3379" i="31"/>
  <c r="Z1852" i="31"/>
  <c r="Z622" i="31"/>
  <c r="Z2476" i="31"/>
  <c r="Z20" i="31"/>
  <c r="Z985" i="31"/>
  <c r="Z590" i="31"/>
  <c r="Z2264" i="31"/>
  <c r="Z2620" i="31"/>
  <c r="Z573" i="31"/>
  <c r="Z606" i="31"/>
  <c r="Z1621" i="31"/>
  <c r="Z2001" i="31"/>
  <c r="Z669" i="31"/>
  <c r="Z2359" i="31"/>
  <c r="Z2508" i="31"/>
  <c r="Z134" i="31"/>
  <c r="Z138" i="31"/>
  <c r="Z3528" i="31"/>
  <c r="Z2892" i="31"/>
  <c r="Z2557" i="31"/>
  <c r="Z1399" i="31"/>
  <c r="Z991" i="31"/>
  <c r="Z995" i="31"/>
  <c r="Z2720" i="31"/>
  <c r="Z3216" i="31"/>
  <c r="Z2107" i="31"/>
  <c r="Z1827" i="31"/>
  <c r="Z487" i="31"/>
  <c r="Z655" i="31"/>
  <c r="Z707" i="31"/>
  <c r="Z782" i="31"/>
  <c r="Z2920" i="31"/>
  <c r="Z3241" i="31"/>
  <c r="Z2919" i="31"/>
  <c r="Z3077" i="31"/>
  <c r="Z1367" i="31"/>
  <c r="Z2617" i="31"/>
  <c r="Z511" i="31"/>
  <c r="Z2689" i="31"/>
  <c r="Z2830" i="31"/>
  <c r="Z766" i="31"/>
  <c r="Z1767" i="31"/>
  <c r="Z3300" i="31"/>
  <c r="Z2796" i="31"/>
  <c r="Z2075" i="31"/>
  <c r="Z2509" i="31"/>
  <c r="Z3037" i="31"/>
  <c r="Z1999" i="31"/>
  <c r="Z3359" i="31"/>
  <c r="Z1411" i="31"/>
  <c r="Z2030" i="31"/>
  <c r="Z2656" i="31"/>
  <c r="Z347" i="31"/>
  <c r="Z3422" i="31"/>
  <c r="Z1062" i="31"/>
  <c r="Z2274" i="31"/>
  <c r="Z1064" i="31"/>
  <c r="Z1682" i="31"/>
  <c r="Z842" i="31"/>
  <c r="Z59" i="31"/>
  <c r="Z1430" i="31"/>
  <c r="Z1914" i="31"/>
  <c r="Z2162" i="31"/>
  <c r="Z1008" i="31"/>
  <c r="Z682" i="31"/>
  <c r="Z1051" i="31"/>
  <c r="Z1414" i="31"/>
  <c r="Z2138" i="31"/>
  <c r="Z2398" i="31"/>
  <c r="Z915" i="31"/>
  <c r="Z2707" i="31"/>
  <c r="Z696" i="31"/>
  <c r="Z874" i="31"/>
  <c r="Z1732" i="31"/>
  <c r="Z284" i="31"/>
  <c r="Z633" i="31"/>
  <c r="Z1468" i="31"/>
  <c r="Z686" i="31"/>
  <c r="Z2647" i="31"/>
  <c r="Z1148" i="31"/>
  <c r="Z1652" i="31"/>
  <c r="Z1145" i="31"/>
  <c r="Z253" i="31"/>
  <c r="Z542" i="31"/>
  <c r="Z1093" i="31"/>
  <c r="Z396" i="31"/>
  <c r="Z1525" i="31"/>
  <c r="Z1084" i="31"/>
  <c r="Z1620" i="31"/>
  <c r="Z1337" i="31"/>
  <c r="Z1020" i="31"/>
  <c r="Z2008" i="31"/>
  <c r="Z2391" i="31"/>
  <c r="Z189" i="31"/>
  <c r="Z649" i="31"/>
  <c r="Z972" i="31"/>
  <c r="Z486" i="31"/>
  <c r="Z361" i="31"/>
  <c r="Z289" i="31"/>
  <c r="Z1335" i="31"/>
  <c r="Z2116" i="31"/>
  <c r="Z1763" i="31"/>
  <c r="Z399" i="31"/>
  <c r="Z3194" i="31"/>
  <c r="Z3177" i="31"/>
  <c r="Z2791" i="31"/>
  <c r="Z1875" i="31"/>
  <c r="Z2489" i="31"/>
  <c r="Z2433" i="31"/>
  <c r="Z702" i="31"/>
  <c r="Z3236" i="31"/>
  <c r="Z2011" i="31"/>
  <c r="Z2889" i="31"/>
  <c r="Z1871" i="31"/>
  <c r="Z1283" i="31"/>
  <c r="Z2571" i="31"/>
  <c r="Z3294" i="31"/>
  <c r="Z2146" i="31"/>
  <c r="Z1000" i="31"/>
  <c r="Z714" i="31"/>
  <c r="Z3518" i="31"/>
  <c r="Z3222" i="31"/>
  <c r="Z1368" i="31"/>
  <c r="Z1194" i="31"/>
  <c r="Z644" i="31"/>
  <c r="Z925" i="31"/>
  <c r="Z3486" i="31"/>
  <c r="Z3158" i="31"/>
  <c r="Z1352" i="31"/>
  <c r="Z1162" i="31"/>
  <c r="Z787" i="31"/>
  <c r="Z2462" i="31"/>
  <c r="Z1848" i="31"/>
  <c r="Z818" i="31"/>
  <c r="Z1168" i="31"/>
  <c r="Z877" i="31"/>
  <c r="Z3147" i="31"/>
  <c r="Z377" i="31"/>
  <c r="Z1212" i="31"/>
  <c r="Z558" i="31"/>
  <c r="Z953" i="31"/>
  <c r="Z36" i="31"/>
  <c r="Z18" i="31"/>
  <c r="Z1268" i="31"/>
  <c r="Z889" i="31"/>
  <c r="Z125" i="31"/>
  <c r="Z414" i="31"/>
  <c r="Z881" i="31"/>
  <c r="Z2117" i="31"/>
  <c r="Z2113" i="31"/>
  <c r="Z736" i="31"/>
  <c r="Z828" i="31"/>
  <c r="Z366" i="31"/>
  <c r="Z1933" i="31"/>
  <c r="Z704" i="31"/>
  <c r="Z764" i="31"/>
  <c r="Z334" i="31"/>
  <c r="Z2125" i="31"/>
  <c r="Z748" i="31"/>
  <c r="Z350" i="31"/>
  <c r="Z137" i="31"/>
  <c r="Z1797" i="31"/>
  <c r="Z2345" i="31"/>
  <c r="Z1269" i="31"/>
  <c r="Z2309" i="31"/>
  <c r="Z1941" i="31"/>
  <c r="Z105" i="31"/>
  <c r="Z3488" i="31"/>
  <c r="Z2388" i="31"/>
  <c r="Z2035" i="31"/>
  <c r="Z247" i="31"/>
  <c r="Z2119" i="31"/>
  <c r="Z1822" i="31"/>
  <c r="Z3384" i="31"/>
  <c r="Z2988" i="31"/>
  <c r="Z3109" i="31"/>
  <c r="Z2714" i="31"/>
  <c r="Z2319" i="31"/>
  <c r="Z1291" i="31"/>
  <c r="Z2392" i="31"/>
  <c r="Z3373" i="31"/>
  <c r="Z3252" i="31"/>
  <c r="Z3253" i="31"/>
  <c r="Z1899" i="31"/>
  <c r="Z3511" i="31"/>
  <c r="Z2665" i="31"/>
  <c r="Z663" i="31"/>
  <c r="Z1647" i="31"/>
  <c r="Z2975" i="31"/>
  <c r="Z1059" i="31"/>
  <c r="Z1982" i="31"/>
  <c r="Z2422" i="31"/>
  <c r="Z2904" i="31"/>
  <c r="Z2992" i="31"/>
  <c r="Z2469" i="31"/>
  <c r="Z3132" i="31"/>
  <c r="Z2378" i="31"/>
  <c r="Z2303" i="31"/>
  <c r="Z3453" i="31"/>
  <c r="Z1071" i="31"/>
  <c r="Z843" i="31"/>
  <c r="Z3438" i="31"/>
  <c r="Z1326" i="31"/>
  <c r="Z2801" i="31"/>
  <c r="Z1751" i="31"/>
  <c r="Z2150" i="31"/>
  <c r="Z2858" i="31"/>
  <c r="Z866" i="31"/>
  <c r="Z2715" i="31"/>
  <c r="Z360" i="31"/>
  <c r="Z2982" i="31"/>
  <c r="Z1856" i="31"/>
  <c r="Z2879" i="31"/>
  <c r="Z2403" i="31"/>
  <c r="Z3338" i="31"/>
  <c r="Z1602" i="31"/>
  <c r="Z3154" i="31"/>
  <c r="Z728" i="31"/>
  <c r="Z754" i="31"/>
  <c r="Z2000" i="31"/>
  <c r="Z304" i="31"/>
  <c r="Z1261" i="31"/>
  <c r="Z988" i="31"/>
  <c r="Z1609" i="31"/>
  <c r="Z2465" i="31"/>
  <c r="Z2382" i="31"/>
  <c r="Z710" i="31"/>
  <c r="Z1570" i="31"/>
  <c r="Z3090" i="31"/>
  <c r="Z712" i="31"/>
  <c r="Z722" i="31"/>
  <c r="Z2224" i="31"/>
  <c r="Z251" i="31"/>
  <c r="Z531" i="31"/>
  <c r="Z1846" i="31"/>
  <c r="Z2582" i="31"/>
  <c r="Z1666" i="31"/>
  <c r="Z1338" i="31"/>
  <c r="Z1592" i="31"/>
  <c r="Z56" i="31"/>
  <c r="Z3302" i="31"/>
  <c r="Z2651" i="31"/>
  <c r="Z592" i="31"/>
  <c r="Z1348" i="31"/>
  <c r="Z277" i="31"/>
  <c r="Z1564" i="31"/>
  <c r="Z2333" i="31"/>
  <c r="Z1481" i="31"/>
  <c r="Z672" i="31"/>
  <c r="Z1197" i="31"/>
  <c r="Z1885" i="31"/>
  <c r="Z185" i="31"/>
  <c r="Z2053" i="31"/>
  <c r="Z1172" i="31"/>
  <c r="Z613" i="31"/>
  <c r="Z1740" i="31"/>
  <c r="Z512" i="31"/>
  <c r="Z117" i="31"/>
  <c r="Z380" i="31"/>
  <c r="Z3283" i="31"/>
  <c r="Z1573" i="31"/>
  <c r="Z1012" i="31"/>
  <c r="Z581" i="31"/>
  <c r="Z2555" i="31"/>
  <c r="Z3211" i="31"/>
  <c r="Z1513" i="31"/>
  <c r="Z3347" i="31"/>
  <c r="Z1637" i="31"/>
  <c r="Z41" i="31"/>
  <c r="Z278" i="31"/>
  <c r="Z378" i="31"/>
  <c r="Z481" i="31"/>
  <c r="Z1277" i="31"/>
  <c r="Z1449" i="31"/>
  <c r="Z1089" i="31"/>
  <c r="Z725" i="31"/>
  <c r="Z480" i="31"/>
  <c r="Z565" i="31"/>
  <c r="Z316" i="31"/>
  <c r="Z441" i="31"/>
  <c r="Z1461" i="31"/>
  <c r="Z980" i="31"/>
  <c r="Z421" i="31"/>
  <c r="Z2184" i="31"/>
  <c r="Z448" i="31"/>
  <c r="Z501" i="31"/>
  <c r="Z252" i="31"/>
  <c r="Z3027" i="31"/>
  <c r="Z78" i="31"/>
  <c r="Z948" i="31"/>
  <c r="Z517" i="31"/>
  <c r="Z2384" i="31"/>
  <c r="Z2955" i="31"/>
  <c r="Z2787" i="31"/>
  <c r="Z281" i="31"/>
  <c r="Z1397" i="31"/>
  <c r="Z3123" i="31"/>
  <c r="Z150" i="31"/>
  <c r="Z1669" i="31"/>
  <c r="Z225" i="31"/>
  <c r="Z2455" i="31"/>
  <c r="Z1577" i="31"/>
  <c r="Z1217" i="31"/>
  <c r="Z465" i="31"/>
  <c r="Z521" i="31"/>
  <c r="Z262" i="31"/>
  <c r="Z1749" i="31"/>
  <c r="Z1009" i="31"/>
  <c r="Z518" i="31"/>
  <c r="Z513" i="31"/>
  <c r="Z1045" i="31"/>
  <c r="Z2543" i="31"/>
  <c r="Z471" i="31"/>
  <c r="Z1662" i="31"/>
  <c r="Z2840" i="31"/>
  <c r="Z3481" i="31"/>
  <c r="Z2405" i="31"/>
  <c r="Z2748" i="31"/>
  <c r="Z2179" i="31"/>
  <c r="Z1919" i="31"/>
  <c r="Z3197" i="31"/>
  <c r="Z751" i="31"/>
  <c r="Z715" i="31"/>
  <c r="Z3310" i="31"/>
  <c r="Z1006" i="31"/>
  <c r="Z2545" i="31"/>
  <c r="Z1267" i="31"/>
  <c r="Z1958" i="31"/>
  <c r="Z2560" i="31"/>
  <c r="Z738" i="31"/>
  <c r="Z1984" i="31"/>
  <c r="Z2728" i="31"/>
  <c r="Z1536" i="31"/>
  <c r="Z2490" i="31"/>
  <c r="Z2198" i="31"/>
  <c r="Z2954" i="31"/>
  <c r="Z1218" i="31"/>
  <c r="Z2898" i="31"/>
  <c r="Z408" i="31"/>
  <c r="Z3394" i="31"/>
  <c r="Z1904" i="31"/>
  <c r="Z2818" i="31"/>
  <c r="Z1005" i="31"/>
  <c r="Z604" i="31"/>
  <c r="Z841" i="31"/>
  <c r="Z2404" i="31"/>
  <c r="Z2310" i="31"/>
  <c r="Z2922" i="31"/>
  <c r="Z1442" i="31"/>
  <c r="Z2834" i="31"/>
  <c r="Z392" i="31"/>
  <c r="Z3330" i="31"/>
  <c r="Z1888" i="31"/>
  <c r="Z3044" i="31"/>
  <c r="Z3198" i="31"/>
  <c r="Z1526" i="31"/>
  <c r="Z2332" i="31"/>
  <c r="Z1538" i="31"/>
  <c r="Z1210" i="31"/>
  <c r="Z1208" i="31"/>
  <c r="Z3190" i="31"/>
  <c r="Z2282" i="31"/>
  <c r="Z2480" i="31"/>
  <c r="Z528" i="31"/>
  <c r="Z324" i="31"/>
  <c r="Z149" i="31"/>
  <c r="Z1436" i="31"/>
  <c r="Z2077" i="31"/>
  <c r="Z1225" i="31"/>
  <c r="Z2363" i="31"/>
  <c r="Z181" i="31"/>
  <c r="Z1373" i="31"/>
  <c r="Z3411" i="31"/>
  <c r="Z1701" i="31"/>
  <c r="Z660" i="31"/>
  <c r="Z485" i="31"/>
  <c r="Z1356" i="31"/>
  <c r="Z384" i="31"/>
  <c r="Z3011" i="31"/>
  <c r="Z733" i="31"/>
  <c r="Z2771" i="31"/>
  <c r="Z1077" i="31"/>
  <c r="Z884" i="31"/>
  <c r="Z453" i="31"/>
  <c r="Z1452" i="31"/>
  <c r="Z2109" i="31"/>
  <c r="Z1257" i="31"/>
  <c r="Z2835" i="31"/>
  <c r="Z1141" i="31"/>
  <c r="Z1041" i="31"/>
  <c r="Z22" i="31"/>
  <c r="Z789" i="31"/>
  <c r="Z3443" i="31"/>
  <c r="Z1021" i="31"/>
  <c r="Z178" i="31"/>
  <c r="Z833" i="31"/>
  <c r="Z2341" i="31"/>
  <c r="Z352" i="31"/>
  <c r="Z309" i="31"/>
  <c r="Z653" i="31"/>
  <c r="Z2674" i="31"/>
  <c r="Z949" i="31"/>
  <c r="Z852" i="31"/>
  <c r="Z293" i="31"/>
  <c r="Z1420" i="31"/>
  <c r="Z320" i="31"/>
  <c r="Z2578" i="31"/>
  <c r="Z3531" i="31"/>
  <c r="Z2588" i="31"/>
  <c r="Z821" i="31"/>
  <c r="Z820" i="31"/>
  <c r="Z389" i="31"/>
  <c r="Z2120" i="31"/>
  <c r="Z2540" i="31"/>
  <c r="Z1129" i="31"/>
  <c r="Z2631" i="31"/>
  <c r="Z885" i="31"/>
  <c r="Z2321" i="31"/>
  <c r="Z2594" i="31"/>
  <c r="Z3355" i="31"/>
  <c r="Z1585" i="31"/>
  <c r="Z1405" i="31"/>
  <c r="Z1321" i="31"/>
  <c r="Z961" i="31"/>
  <c r="Z2931" i="31"/>
  <c r="Z2610" i="31"/>
  <c r="Z2245" i="31"/>
  <c r="Z2354" i="31"/>
  <c r="Z342" i="31"/>
  <c r="Z502" i="31"/>
  <c r="Z73" i="31"/>
  <c r="Z1969" i="31"/>
  <c r="Z3296" i="31"/>
  <c r="Z2251" i="31"/>
  <c r="Z1715" i="31"/>
  <c r="Z3183" i="31"/>
  <c r="Z555" i="31"/>
  <c r="Z1630" i="31"/>
  <c r="Z3256" i="31"/>
  <c r="Z3157" i="31"/>
  <c r="Z1983" i="31"/>
  <c r="Z1935" i="31"/>
  <c r="Z267" i="31"/>
  <c r="Z2062" i="31"/>
  <c r="Z2417" i="31"/>
  <c r="Z3264" i="31"/>
  <c r="Z2997" i="31"/>
  <c r="Z1771" i="31"/>
  <c r="Z2743" i="31"/>
  <c r="Z2409" i="31"/>
  <c r="Z407" i="31"/>
  <c r="Z1343" i="31"/>
  <c r="Z1735" i="31"/>
  <c r="Z803" i="31"/>
  <c r="Z1598" i="31"/>
  <c r="Z2276" i="31"/>
  <c r="Z2776" i="31"/>
  <c r="Z3417" i="31"/>
  <c r="Z3527" i="31"/>
  <c r="Z3429" i="31"/>
  <c r="Z2115" i="31"/>
  <c r="Z1791" i="31"/>
  <c r="Z2969" i="31"/>
  <c r="Z687" i="31"/>
  <c r="Z587" i="31"/>
  <c r="Z3182" i="31"/>
  <c r="Z942" i="31"/>
  <c r="Z3423" i="31"/>
  <c r="Z1139" i="31"/>
  <c r="Z1894" i="31"/>
  <c r="Z2475" i="31"/>
  <c r="Z3362" i="31"/>
  <c r="Z1896" i="31"/>
  <c r="Z232" i="31"/>
  <c r="Z2558" i="31"/>
  <c r="Z1472" i="31"/>
  <c r="Z2199" i="31"/>
  <c r="Z2134" i="31"/>
  <c r="Z2826" i="31"/>
  <c r="Z1090" i="31"/>
  <c r="Z2672" i="31"/>
  <c r="Z344" i="31"/>
  <c r="Z3138" i="31"/>
  <c r="Z1840" i="31"/>
  <c r="Z2448" i="31"/>
  <c r="Z749" i="31"/>
  <c r="Z476" i="31"/>
  <c r="Z642" i="31"/>
  <c r="Z2135" i="31"/>
  <c r="Z2246" i="31"/>
  <c r="Z2794" i="31"/>
  <c r="Z1314" i="31"/>
  <c r="Z2630" i="31"/>
  <c r="Z328" i="31"/>
  <c r="Z3074" i="31"/>
  <c r="Z1824" i="31"/>
  <c r="Z2657" i="31"/>
  <c r="Z3070" i="31"/>
  <c r="Z1462" i="31"/>
  <c r="Z770" i="31"/>
  <c r="Z1082" i="31"/>
  <c r="Z2934" i="31"/>
  <c r="Z2154" i="31"/>
  <c r="Z1680" i="31"/>
  <c r="Z336" i="31"/>
  <c r="Z68" i="31"/>
  <c r="Z1308" i="31"/>
  <c r="Z578" i="31"/>
  <c r="Z3267" i="31"/>
  <c r="Z276" i="31"/>
  <c r="Z116" i="31"/>
  <c r="Z1001" i="31"/>
  <c r="Z458" i="31"/>
  <c r="Z233" i="31"/>
  <c r="Z765" i="31"/>
  <c r="Z638" i="31"/>
  <c r="Z1508" i="31"/>
  <c r="Z397" i="31"/>
  <c r="Z2337" i="31"/>
  <c r="Z340" i="31"/>
  <c r="Z908" i="31"/>
  <c r="Z192" i="31"/>
  <c r="Z333" i="31"/>
  <c r="Z497" i="31"/>
  <c r="Z261" i="31"/>
  <c r="Z1725" i="31"/>
  <c r="Z2305" i="31"/>
  <c r="Z529" i="31"/>
  <c r="Z2005" i="31"/>
  <c r="Z630" i="31"/>
  <c r="Z114" i="31"/>
  <c r="Z602" i="31"/>
  <c r="Z609" i="31"/>
  <c r="Z457" i="31"/>
  <c r="Z1457" i="31"/>
  <c r="Z3081" i="31"/>
  <c r="Z2844" i="31"/>
  <c r="Z2586" i="31"/>
  <c r="Z1183" i="31"/>
  <c r="Z1251" i="31"/>
  <c r="Z3354" i="31"/>
  <c r="Z3041" i="31"/>
  <c r="Z2951" i="31"/>
  <c r="Z2211" i="31"/>
  <c r="Z999" i="31"/>
  <c r="Z783" i="31"/>
  <c r="Z1475" i="31"/>
  <c r="Z1294" i="31"/>
  <c r="Z3048" i="31"/>
  <c r="Z3497" i="31"/>
  <c r="Z3431" i="31"/>
  <c r="Z2780" i="31"/>
  <c r="Z2067" i="31"/>
  <c r="Z1951" i="31"/>
  <c r="Z639" i="31"/>
  <c r="Z491" i="31"/>
  <c r="Z3086" i="31"/>
  <c r="Z1022" i="31"/>
  <c r="Z3039" i="31"/>
  <c r="Z3009" i="31"/>
  <c r="Z3052" i="31"/>
  <c r="Z2495" i="31"/>
  <c r="Z2637" i="31"/>
  <c r="Z2740" i="31"/>
  <c r="Z2255" i="31"/>
  <c r="Z2756" i="31"/>
  <c r="Z2295" i="31"/>
  <c r="Z2286" i="31"/>
  <c r="Z2874" i="31"/>
  <c r="Z75" i="31"/>
  <c r="Z1190" i="31"/>
  <c r="Z3542" i="31"/>
  <c r="Z1320" i="31"/>
  <c r="Z1354" i="31"/>
  <c r="Z723" i="31"/>
  <c r="Z1558" i="31"/>
  <c r="Z2822" i="31"/>
  <c r="Z2806" i="31"/>
  <c r="Z1264" i="31"/>
  <c r="Z2201" i="31"/>
  <c r="Z1307" i="31"/>
  <c r="Z1542" i="31"/>
  <c r="Z2758" i="31"/>
  <c r="Z2742" i="31"/>
  <c r="Z2058" i="31"/>
  <c r="Z2401" i="31"/>
  <c r="Z1206" i="31"/>
  <c r="Z95" i="31"/>
  <c r="Z954" i="31"/>
  <c r="Z1714" i="31"/>
  <c r="Z1616" i="31"/>
  <c r="Z3307" i="31"/>
  <c r="Z924" i="31"/>
  <c r="Z450" i="31"/>
  <c r="Z1636" i="31"/>
  <c r="Z525" i="31"/>
  <c r="Z148" i="31"/>
  <c r="Z844" i="31"/>
  <c r="Z1753" i="31"/>
  <c r="Z865" i="31"/>
  <c r="Z3499" i="31"/>
  <c r="Z1196" i="31"/>
  <c r="Z829" i="31"/>
  <c r="Z897" i="31"/>
  <c r="Z202" i="31"/>
  <c r="Z2995" i="31"/>
  <c r="Z605" i="31"/>
  <c r="Z2229" i="31"/>
  <c r="Z141" i="31"/>
  <c r="Z305" i="31"/>
  <c r="Z37" i="31"/>
  <c r="Z1188" i="31"/>
  <c r="Z77" i="31"/>
  <c r="Z241" i="31"/>
  <c r="Z1469" i="31"/>
  <c r="Z893" i="31"/>
  <c r="Z1818" i="31"/>
  <c r="Z563" i="31"/>
  <c r="Z1559" i="31"/>
  <c r="Z2272" i="31"/>
  <c r="Z1898" i="31"/>
  <c r="Z2157" i="31"/>
  <c r="Z796" i="31"/>
  <c r="Z2939" i="31"/>
  <c r="Z1724" i="31"/>
  <c r="Z929" i="31"/>
  <c r="Z24" i="31"/>
  <c r="Z1060" i="31"/>
  <c r="Z1929" i="31"/>
  <c r="Z2406" i="31"/>
  <c r="Z1913" i="31"/>
  <c r="Z381" i="31"/>
  <c r="Z670" i="31"/>
  <c r="Z3003" i="31"/>
  <c r="Z2257" i="31"/>
  <c r="Z2514" i="31"/>
  <c r="Z1957" i="31"/>
  <c r="Z996" i="31"/>
  <c r="Z3107" i="31"/>
  <c r="Z49" i="31"/>
  <c r="Z1593" i="31"/>
  <c r="Z932" i="31"/>
  <c r="Z2851" i="31"/>
  <c r="Z2732" i="31"/>
  <c r="Z1004" i="31"/>
  <c r="Z530" i="31"/>
  <c r="Z618" i="31"/>
  <c r="Z438" i="31"/>
  <c r="Z1228" i="31"/>
  <c r="Z1781" i="31"/>
  <c r="Z681" i="31"/>
  <c r="Z425" i="31"/>
  <c r="Z1173" i="31"/>
  <c r="Z314" i="31"/>
  <c r="Z1893" i="31"/>
  <c r="Z711" i="31"/>
  <c r="Z1690" i="31"/>
  <c r="Z1083" i="31"/>
  <c r="Z3478" i="31"/>
  <c r="Z1432" i="31"/>
  <c r="Z1322" i="31"/>
  <c r="Z772" i="31"/>
  <c r="Z1181" i="31"/>
  <c r="Z43" i="31"/>
  <c r="Z3414" i="31"/>
  <c r="Z1416" i="31"/>
  <c r="Z1290" i="31"/>
  <c r="Z1120" i="31"/>
  <c r="Z2531" i="31"/>
  <c r="Z2632" i="31"/>
  <c r="Z1912" i="31"/>
  <c r="Z1458" i="31"/>
  <c r="Z1232" i="31"/>
  <c r="Z1901" i="31"/>
  <c r="Z1049" i="31"/>
  <c r="Z237" i="31"/>
  <c r="Z1124" i="31"/>
  <c r="Z610" i="31"/>
  <c r="Z1812" i="31"/>
  <c r="Z1721" i="31"/>
  <c r="Z292" i="31"/>
  <c r="Z1417" i="31"/>
  <c r="Z526" i="31"/>
  <c r="Z2562" i="31"/>
  <c r="Z940" i="31"/>
  <c r="Z1653" i="31"/>
  <c r="Z538" i="31"/>
  <c r="Z182" i="31"/>
  <c r="Z2217" i="31"/>
  <c r="Z345" i="31"/>
  <c r="Z740" i="31"/>
  <c r="Z2313" i="31"/>
  <c r="Z2189" i="31"/>
  <c r="Z1789" i="31"/>
  <c r="Z676" i="31"/>
  <c r="Z462" i="31"/>
  <c r="Z1529" i="31"/>
  <c r="Z402" i="31"/>
  <c r="Z2722" i="31"/>
  <c r="Z1489" i="31"/>
  <c r="Z2684" i="31"/>
  <c r="Z169" i="31"/>
  <c r="Z2289" i="31"/>
  <c r="Z1541" i="31"/>
  <c r="Z3272" i="31"/>
  <c r="Z2837" i="31"/>
  <c r="Z2429" i="31"/>
  <c r="Z927" i="31"/>
  <c r="Z483" i="31"/>
  <c r="Z3088" i="31"/>
  <c r="Z231" i="31"/>
  <c r="Z579" i="31"/>
  <c r="Z3473" i="31"/>
  <c r="Z2973" i="31"/>
  <c r="Z1303" i="31"/>
  <c r="Z447" i="31"/>
  <c r="Z2712" i="31"/>
  <c r="Z1531" i="31"/>
  <c r="Z2445" i="31"/>
  <c r="Z647" i="31"/>
  <c r="Z2847" i="31"/>
  <c r="Z1966" i="31"/>
  <c r="Z219" i="31"/>
  <c r="Z998" i="31"/>
  <c r="Z1562" i="31"/>
  <c r="Z1554" i="31"/>
  <c r="Z955" i="31"/>
  <c r="Z1366" i="31"/>
  <c r="Z1786" i="31"/>
  <c r="Z2034" i="31"/>
  <c r="Z944" i="31"/>
  <c r="Z2683" i="31"/>
  <c r="Z923" i="31"/>
  <c r="Z1350" i="31"/>
  <c r="Z2010" i="31"/>
  <c r="Z2258" i="31"/>
  <c r="Z1056" i="31"/>
  <c r="Z1974" i="31"/>
  <c r="Z758" i="31"/>
  <c r="Z2536" i="31"/>
  <c r="Z184" i="31"/>
  <c r="Z3122" i="31"/>
  <c r="Z1604" i="31"/>
  <c r="Z793" i="31"/>
  <c r="Z109" i="31"/>
  <c r="Z2221" i="31"/>
  <c r="Z354" i="31"/>
  <c r="Z1684" i="31"/>
  <c r="Z768" i="31"/>
  <c r="Z892" i="31"/>
  <c r="Z398" i="31"/>
  <c r="Z2253" i="31"/>
  <c r="Z172" i="31"/>
  <c r="Z1125" i="31"/>
  <c r="Z282" i="31"/>
  <c r="Z358" i="31"/>
  <c r="Z268" i="31"/>
  <c r="Z1013" i="31"/>
  <c r="Z484" i="31"/>
  <c r="Z3195" i="31"/>
  <c r="Z1492" i="31"/>
  <c r="Z1081" i="31"/>
  <c r="Z3179" i="31"/>
  <c r="Z674" i="31"/>
  <c r="Z1460" i="31"/>
  <c r="Z761" i="31"/>
  <c r="Z869" i="31"/>
  <c r="Z154" i="31"/>
  <c r="Z1237" i="31"/>
  <c r="Z460" i="31"/>
  <c r="Z217" i="31"/>
  <c r="Z614" i="31"/>
  <c r="Z2971" i="31"/>
  <c r="Z2396" i="31"/>
  <c r="Z214" i="31"/>
  <c r="Z3360" i="31"/>
  <c r="Z2315" i="31"/>
  <c r="Z1971" i="31"/>
  <c r="Z3389" i="31"/>
  <c r="Z811" i="31"/>
  <c r="Z1694" i="31"/>
  <c r="Z3320" i="31"/>
  <c r="Z2860" i="31"/>
  <c r="Z2797" i="31"/>
  <c r="Z2063" i="31"/>
  <c r="Z779" i="31"/>
  <c r="Z2318" i="31"/>
  <c r="Z2673" i="31"/>
  <c r="Z3328" i="31"/>
  <c r="Z3125" i="31"/>
  <c r="Z1835" i="31"/>
  <c r="Z2871" i="31"/>
  <c r="Z2537" i="31"/>
  <c r="Z1407" i="31"/>
  <c r="Z931" i="31"/>
  <c r="Z2340" i="31"/>
  <c r="Z296" i="31"/>
  <c r="Z1625" i="31"/>
  <c r="Z3075" i="31"/>
  <c r="Z1281" i="31"/>
  <c r="Z1109" i="31"/>
  <c r="Z3323" i="31"/>
  <c r="Z346" i="31"/>
  <c r="Z1617" i="31"/>
  <c r="Z650" i="31"/>
  <c r="Z321" i="31"/>
  <c r="Z1939" i="31"/>
  <c r="Z822" i="31"/>
  <c r="Z1765" i="31"/>
  <c r="Z2843" i="31"/>
  <c r="Z494" i="31"/>
  <c r="Z1161" i="31"/>
  <c r="Z876" i="31"/>
  <c r="Z410" i="31"/>
  <c r="Z473" i="31"/>
  <c r="Z353" i="31"/>
  <c r="Z2043" i="31"/>
  <c r="Z1037" i="31"/>
  <c r="Z61" i="31"/>
  <c r="Z2268" i="31"/>
  <c r="Z1252" i="31"/>
  <c r="Z1132" i="31"/>
  <c r="Z273" i="31"/>
  <c r="Z66" i="31"/>
  <c r="Z2567" i="31"/>
  <c r="Z1868" i="31"/>
  <c r="Z574" i="31"/>
  <c r="Z945" i="31"/>
  <c r="Z2097" i="31"/>
  <c r="Z673" i="31"/>
  <c r="Z913" i="31"/>
  <c r="Z478" i="31"/>
  <c r="Z2085" i="31"/>
  <c r="Z837" i="31"/>
  <c r="Z3477" i="31"/>
  <c r="Z1961" i="31"/>
  <c r="T54" i="31"/>
  <c r="T51" i="31"/>
  <c r="T52" i="31"/>
  <c r="T50" i="31"/>
  <c r="T63" i="31"/>
  <c r="T23" i="31"/>
  <c r="T56" i="31"/>
  <c r="T33" i="31"/>
  <c r="T53" i="31"/>
  <c r="T41" i="31"/>
  <c r="S34" i="31"/>
  <c r="S21" i="31"/>
  <c r="S38" i="31"/>
  <c r="S45" i="31"/>
  <c r="S12" i="31"/>
  <c r="S46" i="31"/>
  <c r="S62" i="31"/>
  <c r="S16" i="31"/>
  <c r="S59" i="31"/>
  <c r="S61" i="31"/>
  <c r="S29" i="31"/>
  <c r="S17" i="31"/>
  <c r="S25" i="31"/>
  <c r="S58" i="31"/>
  <c r="S13" i="31"/>
  <c r="S20" i="31"/>
  <c r="S24" i="31"/>
  <c r="S57" i="31"/>
  <c r="S14" i="31"/>
  <c r="S42" i="31"/>
  <c r="S31" i="31"/>
  <c r="S55" i="31"/>
  <c r="S18" i="31"/>
  <c r="S48" i="31"/>
  <c r="S64" i="31"/>
  <c r="S36" i="31"/>
  <c r="S39" i="31"/>
  <c r="S60" i="31"/>
  <c r="S30" i="31"/>
  <c r="S15" i="31"/>
  <c r="S26" i="31"/>
  <c r="S35" i="31"/>
  <c r="S44" i="31"/>
  <c r="S32" i="31"/>
  <c r="S22" i="31"/>
  <c r="S43" i="31"/>
  <c r="S47" i="31"/>
  <c r="S49" i="31"/>
  <c r="S28" i="31"/>
  <c r="S27" i="31"/>
  <c r="S37" i="31"/>
  <c r="S40" i="31"/>
  <c r="S19" i="31"/>
  <c r="S11" i="31"/>
  <c r="T28" i="31" l="1"/>
  <c r="T49" i="31"/>
  <c r="T43" i="31"/>
  <c r="T22" i="31"/>
  <c r="T32" i="31"/>
  <c r="T44" i="31"/>
  <c r="T35" i="31"/>
  <c r="T18" i="31"/>
  <c r="T55" i="31"/>
  <c r="T58" i="31"/>
  <c r="T25" i="31"/>
  <c r="T21" i="31"/>
  <c r="T34" i="31"/>
  <c r="T46" i="31"/>
  <c r="T19" i="31"/>
  <c r="T11" i="31"/>
  <c r="T47" i="31"/>
  <c r="T59" i="31"/>
  <c r="T16" i="31"/>
  <c r="T39" i="31"/>
  <c r="T24" i="31"/>
  <c r="T12" i="31"/>
  <c r="T40" i="31"/>
  <c r="T31" i="31"/>
  <c r="T42" i="31"/>
  <c r="T15" i="31"/>
  <c r="T57" i="31"/>
  <c r="T36" i="31"/>
  <c r="T20" i="31"/>
  <c r="T45" i="31"/>
  <c r="T37" i="31"/>
  <c r="T17" i="31"/>
  <c r="T29" i="31"/>
  <c r="T14" i="31"/>
  <c r="T60" i="31"/>
  <c r="T64" i="31"/>
  <c r="T13" i="31"/>
  <c r="T38" i="31"/>
  <c r="T27" i="31"/>
  <c r="T26" i="31"/>
  <c r="T61" i="31"/>
  <c r="T30" i="31"/>
  <c r="T62" i="31"/>
  <c r="T48" i="31"/>
  <c r="D28" i="6"/>
  <c r="D27" i="6"/>
  <c r="K4" i="31"/>
  <c r="J8" i="31"/>
  <c r="J4" i="31"/>
  <c r="K9" i="31"/>
  <c r="J7" i="31"/>
  <c r="J6" i="31"/>
  <c r="J3" i="31"/>
  <c r="J5" i="31"/>
  <c r="K5" i="31"/>
  <c r="K7" i="31"/>
  <c r="K8" i="31"/>
  <c r="K6" i="31"/>
  <c r="K3" i="31"/>
  <c r="U11" i="31" l="1"/>
  <c r="G5" i="31"/>
  <c r="H4" i="31"/>
  <c r="H6" i="31"/>
  <c r="H7" i="31"/>
  <c r="I7" i="31" s="1"/>
  <c r="G4" i="31"/>
  <c r="H3" i="31"/>
  <c r="G3" i="31"/>
  <c r="H8" i="31"/>
  <c r="H5" i="31"/>
  <c r="G7" i="31"/>
  <c r="G8" i="31"/>
  <c r="G6" i="31"/>
  <c r="I3" i="31" l="1"/>
  <c r="I5" i="31"/>
  <c r="I6" i="31"/>
  <c r="I4" i="31"/>
  <c r="I8" i="31"/>
  <c r="J9" i="31" l="1"/>
  <c r="G9" i="31" l="1"/>
  <c r="H9" i="31"/>
  <c r="I9" i="31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<sst xmlns="http://schemas.openxmlformats.org/spreadsheetml/2006/main" count="345" uniqueCount="169">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</sst>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5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41955</c:v>
                </c:pt>
                <c:pt idx="8">
                  <c:v>41956</c:v>
                </c:pt>
                <c:pt idx="9">
                  <c:v>41957</c:v>
                </c:pt>
                <c:pt idx="10">
                  <c:v>41960</c:v>
                </c:pt>
                <c:pt idx="11">
                  <c:v>41961</c:v>
                </c:pt>
                <c:pt idx="12">
                  <c:v>41962</c:v>
                </c:pt>
                <c:pt idx="13">
                  <c:v>41963</c:v>
                </c:pt>
                <c:pt idx="14">
                  <c:v>41964</c:v>
                </c:pt>
                <c:pt idx="15">
                  <c:v>41967</c:v>
                </c:pt>
                <c:pt idx="16">
                  <c:v>41968</c:v>
                </c:pt>
                <c:pt idx="17">
                  <c:v>41969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41999</c:v>
                </c:pt>
                <c:pt idx="38">
                  <c:v>42002</c:v>
                </c:pt>
                <c:pt idx="39">
                  <c:v>42003</c:v>
                </c:pt>
                <c:pt idx="40">
                  <c:v>42004</c:v>
                </c:pt>
                <c:pt idx="41">
                  <c:v>42006</c:v>
                </c:pt>
                <c:pt idx="42">
                  <c:v>42009</c:v>
                </c:pt>
                <c:pt idx="43">
                  <c:v>42010</c:v>
                </c:pt>
                <c:pt idx="44">
                  <c:v>42011</c:v>
                </c:pt>
                <c:pt idx="45">
                  <c:v>42012</c:v>
                </c:pt>
                <c:pt idx="46">
                  <c:v>42013</c:v>
                </c:pt>
                <c:pt idx="47">
                  <c:v>42016</c:v>
                </c:pt>
                <c:pt idx="48">
                  <c:v>42017</c:v>
                </c:pt>
                <c:pt idx="49">
                  <c:v>42018</c:v>
                </c:pt>
                <c:pt idx="50">
                  <c:v>42019</c:v>
                </c:pt>
                <c:pt idx="51">
                  <c:v>42020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42053</c:v>
                </c:pt>
                <c:pt idx="73">
                  <c:v>42054</c:v>
                </c:pt>
                <c:pt idx="74">
                  <c:v>42055</c:v>
                </c:pt>
                <c:pt idx="75">
                  <c:v>42058</c:v>
                </c:pt>
                <c:pt idx="76">
                  <c:v>42059</c:v>
                </c:pt>
                <c:pt idx="77">
                  <c:v>42060</c:v>
                </c:pt>
                <c:pt idx="78">
                  <c:v>42061</c:v>
                </c:pt>
                <c:pt idx="79">
                  <c:v>42062</c:v>
                </c:pt>
                <c:pt idx="80">
                  <c:v>42065</c:v>
                </c:pt>
                <c:pt idx="81">
                  <c:v>42066</c:v>
                </c:pt>
                <c:pt idx="82">
                  <c:v>42067</c:v>
                </c:pt>
                <c:pt idx="83">
                  <c:v>42068</c:v>
                </c:pt>
                <c:pt idx="84">
                  <c:v>42069</c:v>
                </c:pt>
                <c:pt idx="85">
                  <c:v>42072</c:v>
                </c:pt>
                <c:pt idx="86">
                  <c:v>42073</c:v>
                </c:pt>
                <c:pt idx="87">
                  <c:v>42074</c:v>
                </c:pt>
                <c:pt idx="88">
                  <c:v>42075</c:v>
                </c:pt>
                <c:pt idx="89">
                  <c:v>42076</c:v>
                </c:pt>
                <c:pt idx="90">
                  <c:v>42079</c:v>
                </c:pt>
                <c:pt idx="91">
                  <c:v>42080</c:v>
                </c:pt>
                <c:pt idx="92">
                  <c:v>42081</c:v>
                </c:pt>
                <c:pt idx="93">
                  <c:v>42082</c:v>
                </c:pt>
                <c:pt idx="94">
                  <c:v>42083</c:v>
                </c:pt>
                <c:pt idx="95">
                  <c:v>42086</c:v>
                </c:pt>
                <c:pt idx="96">
                  <c:v>42087</c:v>
                </c:pt>
                <c:pt idx="97">
                  <c:v>42088</c:v>
                </c:pt>
                <c:pt idx="98">
                  <c:v>42089</c:v>
                </c:pt>
                <c:pt idx="99">
                  <c:v>42090</c:v>
                </c:pt>
                <c:pt idx="100">
                  <c:v>42093</c:v>
                </c:pt>
                <c:pt idx="101">
                  <c:v>42094</c:v>
                </c:pt>
                <c:pt idx="102">
                  <c:v>42095</c:v>
                </c:pt>
                <c:pt idx="103">
                  <c:v>42096</c:v>
                </c:pt>
                <c:pt idx="104">
                  <c:v>42097</c:v>
                </c:pt>
                <c:pt idx="105">
                  <c:v>42100</c:v>
                </c:pt>
                <c:pt idx="106">
                  <c:v>42101</c:v>
                </c:pt>
                <c:pt idx="107">
                  <c:v>42102</c:v>
                </c:pt>
                <c:pt idx="108">
                  <c:v>42103</c:v>
                </c:pt>
                <c:pt idx="109">
                  <c:v>42104</c:v>
                </c:pt>
                <c:pt idx="110">
                  <c:v>42107</c:v>
                </c:pt>
                <c:pt idx="111">
                  <c:v>42108</c:v>
                </c:pt>
                <c:pt idx="112">
                  <c:v>42109</c:v>
                </c:pt>
                <c:pt idx="113">
                  <c:v>42110</c:v>
                </c:pt>
                <c:pt idx="114">
                  <c:v>42111</c:v>
                </c:pt>
                <c:pt idx="115">
                  <c:v>42114</c:v>
                </c:pt>
                <c:pt idx="116">
                  <c:v>42115</c:v>
                </c:pt>
                <c:pt idx="117">
                  <c:v>42116</c:v>
                </c:pt>
                <c:pt idx="118">
                  <c:v>42117</c:v>
                </c:pt>
                <c:pt idx="119">
                  <c:v>42118</c:v>
                </c:pt>
                <c:pt idx="120">
                  <c:v>42121</c:v>
                </c:pt>
                <c:pt idx="121">
                  <c:v>42122</c:v>
                </c:pt>
                <c:pt idx="122">
                  <c:v>42123</c:v>
                </c:pt>
                <c:pt idx="123">
                  <c:v>42124</c:v>
                </c:pt>
                <c:pt idx="124">
                  <c:v>42125</c:v>
                </c:pt>
                <c:pt idx="125">
                  <c:v>42128</c:v>
                </c:pt>
                <c:pt idx="126">
                  <c:v>42129</c:v>
                </c:pt>
                <c:pt idx="127">
                  <c:v>42130</c:v>
                </c:pt>
                <c:pt idx="128">
                  <c:v>42131</c:v>
                </c:pt>
                <c:pt idx="129">
                  <c:v>42132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42142</c:v>
                </c:pt>
                <c:pt idx="136">
                  <c:v>42143</c:v>
                </c:pt>
                <c:pt idx="137">
                  <c:v>42144</c:v>
                </c:pt>
                <c:pt idx="138">
                  <c:v>42145</c:v>
                </c:pt>
                <c:pt idx="139">
                  <c:v>42146</c:v>
                </c:pt>
                <c:pt idx="140">
                  <c:v>42150</c:v>
                </c:pt>
                <c:pt idx="141">
                  <c:v>42151</c:v>
                </c:pt>
                <c:pt idx="142">
                  <c:v>42152</c:v>
                </c:pt>
                <c:pt idx="143">
                  <c:v>42153</c:v>
                </c:pt>
                <c:pt idx="144">
                  <c:v>42156</c:v>
                </c:pt>
                <c:pt idx="145">
                  <c:v>42157</c:v>
                </c:pt>
                <c:pt idx="146">
                  <c:v>42158</c:v>
                </c:pt>
                <c:pt idx="147">
                  <c:v>42159</c:v>
                </c:pt>
                <c:pt idx="148">
                  <c:v>42160</c:v>
                </c:pt>
                <c:pt idx="149">
                  <c:v>42163</c:v>
                </c:pt>
                <c:pt idx="150">
                  <c:v>42164</c:v>
                </c:pt>
                <c:pt idx="151">
                  <c:v>42165</c:v>
                </c:pt>
                <c:pt idx="152">
                  <c:v>42166</c:v>
                </c:pt>
                <c:pt idx="153">
                  <c:v>42167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42177</c:v>
                </c:pt>
                <c:pt idx="160">
                  <c:v>42178</c:v>
                </c:pt>
                <c:pt idx="161">
                  <c:v>42179</c:v>
                </c:pt>
                <c:pt idx="162">
                  <c:v>42180</c:v>
                </c:pt>
                <c:pt idx="163">
                  <c:v>42181</c:v>
                </c:pt>
                <c:pt idx="164">
                  <c:v>42184</c:v>
                </c:pt>
                <c:pt idx="165">
                  <c:v>42185</c:v>
                </c:pt>
                <c:pt idx="166">
                  <c:v>42186</c:v>
                </c:pt>
                <c:pt idx="167">
                  <c:v>42187</c:v>
                </c:pt>
                <c:pt idx="168">
                  <c:v>42191</c:v>
                </c:pt>
                <c:pt idx="169">
                  <c:v>42192</c:v>
                </c:pt>
                <c:pt idx="170">
                  <c:v>42193</c:v>
                </c:pt>
                <c:pt idx="171">
                  <c:v>42194</c:v>
                </c:pt>
                <c:pt idx="172">
                  <c:v>42195</c:v>
                </c:pt>
                <c:pt idx="173">
                  <c:v>42198</c:v>
                </c:pt>
                <c:pt idx="174">
                  <c:v>42199</c:v>
                </c:pt>
                <c:pt idx="175">
                  <c:v>42200</c:v>
                </c:pt>
                <c:pt idx="176">
                  <c:v>42201</c:v>
                </c:pt>
                <c:pt idx="177">
                  <c:v>42202</c:v>
                </c:pt>
                <c:pt idx="178">
                  <c:v>42205</c:v>
                </c:pt>
                <c:pt idx="179">
                  <c:v>42206</c:v>
                </c:pt>
                <c:pt idx="180">
                  <c:v>42207</c:v>
                </c:pt>
                <c:pt idx="181">
                  <c:v>42208</c:v>
                </c:pt>
                <c:pt idx="182">
                  <c:v>42209</c:v>
                </c:pt>
                <c:pt idx="183">
                  <c:v>42212</c:v>
                </c:pt>
                <c:pt idx="184">
                  <c:v>42213</c:v>
                </c:pt>
                <c:pt idx="185">
                  <c:v>42214</c:v>
                </c:pt>
                <c:pt idx="186">
                  <c:v>42215</c:v>
                </c:pt>
                <c:pt idx="187">
                  <c:v>42216</c:v>
                </c:pt>
                <c:pt idx="188">
                  <c:v>42219</c:v>
                </c:pt>
                <c:pt idx="189">
                  <c:v>42220</c:v>
                </c:pt>
                <c:pt idx="190">
                  <c:v>42221</c:v>
                </c:pt>
                <c:pt idx="191">
                  <c:v>42222</c:v>
                </c:pt>
                <c:pt idx="192">
                  <c:v>42223</c:v>
                </c:pt>
                <c:pt idx="193">
                  <c:v>42226</c:v>
                </c:pt>
                <c:pt idx="194">
                  <c:v>42227</c:v>
                </c:pt>
                <c:pt idx="195">
                  <c:v>42228</c:v>
                </c:pt>
                <c:pt idx="196">
                  <c:v>42229</c:v>
                </c:pt>
                <c:pt idx="197">
                  <c:v>42230</c:v>
                </c:pt>
                <c:pt idx="198">
                  <c:v>42233</c:v>
                </c:pt>
                <c:pt idx="199">
                  <c:v>42234</c:v>
                </c:pt>
                <c:pt idx="200">
                  <c:v>42235</c:v>
                </c:pt>
                <c:pt idx="201">
                  <c:v>42236</c:v>
                </c:pt>
                <c:pt idx="202">
                  <c:v>42237</c:v>
                </c:pt>
                <c:pt idx="203">
                  <c:v>42240</c:v>
                </c:pt>
                <c:pt idx="204">
                  <c:v>42241</c:v>
                </c:pt>
                <c:pt idx="205">
                  <c:v>42242</c:v>
                </c:pt>
                <c:pt idx="206">
                  <c:v>42243</c:v>
                </c:pt>
                <c:pt idx="207">
                  <c:v>42244</c:v>
                </c:pt>
                <c:pt idx="208">
                  <c:v>42247</c:v>
                </c:pt>
                <c:pt idx="209">
                  <c:v>42248</c:v>
                </c:pt>
                <c:pt idx="210">
                  <c:v>42249</c:v>
                </c:pt>
                <c:pt idx="211">
                  <c:v>42250</c:v>
                </c:pt>
                <c:pt idx="212">
                  <c:v>42251</c:v>
                </c:pt>
                <c:pt idx="213">
                  <c:v>42255</c:v>
                </c:pt>
                <c:pt idx="214">
                  <c:v>42256</c:v>
                </c:pt>
                <c:pt idx="215">
                  <c:v>42257</c:v>
                </c:pt>
                <c:pt idx="216">
                  <c:v>42258</c:v>
                </c:pt>
                <c:pt idx="217">
                  <c:v>42261</c:v>
                </c:pt>
                <c:pt idx="218">
                  <c:v>42262</c:v>
                </c:pt>
                <c:pt idx="219">
                  <c:v>42263</c:v>
                </c:pt>
                <c:pt idx="220">
                  <c:v>42264</c:v>
                </c:pt>
                <c:pt idx="221">
                  <c:v>42265</c:v>
                </c:pt>
                <c:pt idx="222">
                  <c:v>42268</c:v>
                </c:pt>
                <c:pt idx="223">
                  <c:v>42269</c:v>
                </c:pt>
                <c:pt idx="224">
                  <c:v>42270</c:v>
                </c:pt>
                <c:pt idx="225">
                  <c:v>42271</c:v>
                </c:pt>
                <c:pt idx="226">
                  <c:v>42272</c:v>
                </c:pt>
                <c:pt idx="227">
                  <c:v>42275</c:v>
                </c:pt>
                <c:pt idx="228">
                  <c:v>42276</c:v>
                </c:pt>
                <c:pt idx="229">
                  <c:v>42277</c:v>
                </c:pt>
                <c:pt idx="230">
                  <c:v>42278</c:v>
                </c:pt>
                <c:pt idx="231">
                  <c:v>42279</c:v>
                </c:pt>
                <c:pt idx="232">
                  <c:v>42282</c:v>
                </c:pt>
                <c:pt idx="233">
                  <c:v>42283</c:v>
                </c:pt>
                <c:pt idx="234">
                  <c:v>42284</c:v>
                </c:pt>
                <c:pt idx="235">
                  <c:v>42285</c:v>
                </c:pt>
                <c:pt idx="236">
                  <c:v>42286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42321</c:v>
                </c:pt>
                <c:pt idx="260">
                  <c:v>42324</c:v>
                </c:pt>
                <c:pt idx="261">
                  <c:v>42325</c:v>
                </c:pt>
                <c:pt idx="262">
                  <c:v>42326</c:v>
                </c:pt>
                <c:pt idx="263">
                  <c:v>42327</c:v>
                </c:pt>
                <c:pt idx="264">
                  <c:v>42328</c:v>
                </c:pt>
                <c:pt idx="265">
                  <c:v>42331</c:v>
                </c:pt>
                <c:pt idx="266">
                  <c:v>42332</c:v>
                </c:pt>
                <c:pt idx="267">
                  <c:v>42333</c:v>
                </c:pt>
                <c:pt idx="268">
                  <c:v>42335</c:v>
                </c:pt>
                <c:pt idx="269">
                  <c:v>42338</c:v>
                </c:pt>
                <c:pt idx="270">
                  <c:v>42339</c:v>
                </c:pt>
                <c:pt idx="271">
                  <c:v>42340</c:v>
                </c:pt>
                <c:pt idx="272">
                  <c:v>42341</c:v>
                </c:pt>
                <c:pt idx="273">
                  <c:v>42342</c:v>
                </c:pt>
                <c:pt idx="274">
                  <c:v>42345</c:v>
                </c:pt>
                <c:pt idx="275">
                  <c:v>42346</c:v>
                </c:pt>
                <c:pt idx="276">
                  <c:v>42347</c:v>
                </c:pt>
                <c:pt idx="277">
                  <c:v>42348</c:v>
                </c:pt>
                <c:pt idx="278">
                  <c:v>42349</c:v>
                </c:pt>
                <c:pt idx="279">
                  <c:v>42352</c:v>
                </c:pt>
                <c:pt idx="280">
                  <c:v>42353</c:v>
                </c:pt>
                <c:pt idx="281">
                  <c:v>42354</c:v>
                </c:pt>
                <c:pt idx="282">
                  <c:v>42355</c:v>
                </c:pt>
                <c:pt idx="283">
                  <c:v>42356</c:v>
                </c:pt>
                <c:pt idx="284">
                  <c:v>42359</c:v>
                </c:pt>
                <c:pt idx="285">
                  <c:v>42360</c:v>
                </c:pt>
                <c:pt idx="286">
                  <c:v>42361</c:v>
                </c:pt>
                <c:pt idx="287">
                  <c:v>42362</c:v>
                </c:pt>
                <c:pt idx="288">
                  <c:v>42366</c:v>
                </c:pt>
                <c:pt idx="289">
                  <c:v>42367</c:v>
                </c:pt>
                <c:pt idx="290">
                  <c:v>42368</c:v>
                </c:pt>
                <c:pt idx="291">
                  <c:v>42369</c:v>
                </c:pt>
                <c:pt idx="292">
                  <c:v>42373</c:v>
                </c:pt>
                <c:pt idx="293">
                  <c:v>42374</c:v>
                </c:pt>
                <c:pt idx="294">
                  <c:v>42375</c:v>
                </c:pt>
                <c:pt idx="295">
                  <c:v>42376</c:v>
                </c:pt>
                <c:pt idx="296">
                  <c:v>42377</c:v>
                </c:pt>
                <c:pt idx="297">
                  <c:v>42380</c:v>
                </c:pt>
                <c:pt idx="298">
                  <c:v>42381</c:v>
                </c:pt>
                <c:pt idx="299">
                  <c:v>42382</c:v>
                </c:pt>
                <c:pt idx="300">
                  <c:v>42383</c:v>
                </c:pt>
                <c:pt idx="301">
                  <c:v>42384</c:v>
                </c:pt>
                <c:pt idx="302">
                  <c:v>42388</c:v>
                </c:pt>
                <c:pt idx="303">
                  <c:v>42389</c:v>
                </c:pt>
                <c:pt idx="304">
                  <c:v>42390</c:v>
                </c:pt>
                <c:pt idx="305">
                  <c:v>42391</c:v>
                </c:pt>
                <c:pt idx="306">
                  <c:v>42394</c:v>
                </c:pt>
                <c:pt idx="307">
                  <c:v>42395</c:v>
                </c:pt>
                <c:pt idx="308">
                  <c:v>42396</c:v>
                </c:pt>
                <c:pt idx="309">
                  <c:v>42397</c:v>
                </c:pt>
                <c:pt idx="310">
                  <c:v>42398</c:v>
                </c:pt>
                <c:pt idx="311">
                  <c:v>42401</c:v>
                </c:pt>
                <c:pt idx="312">
                  <c:v>42402</c:v>
                </c:pt>
                <c:pt idx="313">
                  <c:v>42403</c:v>
                </c:pt>
                <c:pt idx="314">
                  <c:v>42404</c:v>
                </c:pt>
                <c:pt idx="315">
                  <c:v>42405</c:v>
                </c:pt>
                <c:pt idx="316">
                  <c:v>42408</c:v>
                </c:pt>
                <c:pt idx="317">
                  <c:v>42409</c:v>
                </c:pt>
                <c:pt idx="318">
                  <c:v>42410</c:v>
                </c:pt>
                <c:pt idx="319">
                  <c:v>42411</c:v>
                </c:pt>
                <c:pt idx="320">
                  <c:v>42412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42454</c:v>
                </c:pt>
                <c:pt idx="350">
                  <c:v>42457</c:v>
                </c:pt>
                <c:pt idx="351">
                  <c:v>42458</c:v>
                </c:pt>
                <c:pt idx="352">
                  <c:v>42459</c:v>
                </c:pt>
                <c:pt idx="353">
                  <c:v>42460</c:v>
                </c:pt>
                <c:pt idx="354">
                  <c:v>42461</c:v>
                </c:pt>
                <c:pt idx="355">
                  <c:v>42464</c:v>
                </c:pt>
                <c:pt idx="356">
                  <c:v>42465</c:v>
                </c:pt>
                <c:pt idx="357">
                  <c:v>42466</c:v>
                </c:pt>
                <c:pt idx="358">
                  <c:v>42467</c:v>
                </c:pt>
                <c:pt idx="359">
                  <c:v>42468</c:v>
                </c:pt>
                <c:pt idx="360">
                  <c:v>42471</c:v>
                </c:pt>
                <c:pt idx="361">
                  <c:v>42472</c:v>
                </c:pt>
                <c:pt idx="362">
                  <c:v>42473</c:v>
                </c:pt>
                <c:pt idx="363">
                  <c:v>42474</c:v>
                </c:pt>
                <c:pt idx="364">
                  <c:v>42475</c:v>
                </c:pt>
                <c:pt idx="365">
                  <c:v>42478</c:v>
                </c:pt>
                <c:pt idx="366">
                  <c:v>42479</c:v>
                </c:pt>
                <c:pt idx="367">
                  <c:v>42480</c:v>
                </c:pt>
                <c:pt idx="368">
                  <c:v>42481</c:v>
                </c:pt>
                <c:pt idx="369">
                  <c:v>42482</c:v>
                </c:pt>
                <c:pt idx="370">
                  <c:v>42485</c:v>
                </c:pt>
                <c:pt idx="371">
                  <c:v>42486</c:v>
                </c:pt>
                <c:pt idx="372">
                  <c:v>42487</c:v>
                </c:pt>
                <c:pt idx="373">
                  <c:v>42488</c:v>
                </c:pt>
                <c:pt idx="374">
                  <c:v>42489</c:v>
                </c:pt>
                <c:pt idx="375">
                  <c:v>42492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42557</c:v>
                </c:pt>
                <c:pt idx="421">
                  <c:v>42558</c:v>
                </c:pt>
                <c:pt idx="422">
                  <c:v>42559</c:v>
                </c:pt>
                <c:pt idx="423">
                  <c:v>42562</c:v>
                </c:pt>
                <c:pt idx="424">
                  <c:v>42563</c:v>
                </c:pt>
                <c:pt idx="425">
                  <c:v>42564</c:v>
                </c:pt>
                <c:pt idx="426">
                  <c:v>42565</c:v>
                </c:pt>
                <c:pt idx="427">
                  <c:v>42566</c:v>
                </c:pt>
                <c:pt idx="428">
                  <c:v>42569</c:v>
                </c:pt>
                <c:pt idx="429">
                  <c:v>42570</c:v>
                </c:pt>
                <c:pt idx="430">
                  <c:v>42571</c:v>
                </c:pt>
                <c:pt idx="431">
                  <c:v>42572</c:v>
                </c:pt>
                <c:pt idx="432">
                  <c:v>42573</c:v>
                </c:pt>
                <c:pt idx="433">
                  <c:v>42576</c:v>
                </c:pt>
                <c:pt idx="434">
                  <c:v>42577</c:v>
                </c:pt>
                <c:pt idx="435">
                  <c:v>42578</c:v>
                </c:pt>
                <c:pt idx="436">
                  <c:v>42579</c:v>
                </c:pt>
                <c:pt idx="437">
                  <c:v>42580</c:v>
                </c:pt>
                <c:pt idx="438">
                  <c:v>42583</c:v>
                </c:pt>
                <c:pt idx="439">
                  <c:v>42584</c:v>
                </c:pt>
                <c:pt idx="440">
                  <c:v>42585</c:v>
                </c:pt>
                <c:pt idx="441">
                  <c:v>42586</c:v>
                </c:pt>
                <c:pt idx="442">
                  <c:v>42587</c:v>
                </c:pt>
                <c:pt idx="443">
                  <c:v>42590</c:v>
                </c:pt>
                <c:pt idx="444">
                  <c:v>42591</c:v>
                </c:pt>
                <c:pt idx="445">
                  <c:v>42592</c:v>
                </c:pt>
                <c:pt idx="446">
                  <c:v>42593</c:v>
                </c:pt>
                <c:pt idx="447">
                  <c:v>42594</c:v>
                </c:pt>
                <c:pt idx="448">
                  <c:v>42597</c:v>
                </c:pt>
                <c:pt idx="449">
                  <c:v>42598</c:v>
                </c:pt>
                <c:pt idx="450">
                  <c:v>42599</c:v>
                </c:pt>
                <c:pt idx="451">
                  <c:v>42600</c:v>
                </c:pt>
                <c:pt idx="452">
                  <c:v>42601</c:v>
                </c:pt>
                <c:pt idx="453">
                  <c:v>42604</c:v>
                </c:pt>
                <c:pt idx="454">
                  <c:v>42605</c:v>
                </c:pt>
                <c:pt idx="455">
                  <c:v>42606</c:v>
                </c:pt>
                <c:pt idx="456">
                  <c:v>42607</c:v>
                </c:pt>
                <c:pt idx="457">
                  <c:v>42608</c:v>
                </c:pt>
                <c:pt idx="458">
                  <c:v>42611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42620</c:v>
                </c:pt>
                <c:pt idx="465">
                  <c:v>42621</c:v>
                </c:pt>
                <c:pt idx="466">
                  <c:v>42622</c:v>
                </c:pt>
                <c:pt idx="467">
                  <c:v>42625</c:v>
                </c:pt>
                <c:pt idx="468">
                  <c:v>42626</c:v>
                </c:pt>
                <c:pt idx="469">
                  <c:v>42627</c:v>
                </c:pt>
                <c:pt idx="470">
                  <c:v>42628</c:v>
                </c:pt>
                <c:pt idx="471">
                  <c:v>42629</c:v>
                </c:pt>
                <c:pt idx="472">
                  <c:v>42632</c:v>
                </c:pt>
                <c:pt idx="473">
                  <c:v>42633</c:v>
                </c:pt>
                <c:pt idx="474">
                  <c:v>42634</c:v>
                </c:pt>
                <c:pt idx="475">
                  <c:v>42635</c:v>
                </c:pt>
                <c:pt idx="476">
                  <c:v>42636</c:v>
                </c:pt>
                <c:pt idx="477">
                  <c:v>42639</c:v>
                </c:pt>
                <c:pt idx="478">
                  <c:v>42640</c:v>
                </c:pt>
                <c:pt idx="479">
                  <c:v>42641</c:v>
                </c:pt>
                <c:pt idx="480">
                  <c:v>42642</c:v>
                </c:pt>
                <c:pt idx="481">
                  <c:v>42643</c:v>
                </c:pt>
                <c:pt idx="482">
                  <c:v>42646</c:v>
                </c:pt>
                <c:pt idx="483">
                  <c:v>42647</c:v>
                </c:pt>
                <c:pt idx="484">
                  <c:v>42648</c:v>
                </c:pt>
                <c:pt idx="485">
                  <c:v>42649</c:v>
                </c:pt>
                <c:pt idx="486">
                  <c:v>42650</c:v>
                </c:pt>
                <c:pt idx="487">
                  <c:v>42654</c:v>
                </c:pt>
                <c:pt idx="488">
                  <c:v>42655</c:v>
                </c:pt>
                <c:pt idx="489">
                  <c:v>42656</c:v>
                </c:pt>
                <c:pt idx="490">
                  <c:v>42657</c:v>
                </c:pt>
                <c:pt idx="491">
                  <c:v>42660</c:v>
                </c:pt>
                <c:pt idx="492">
                  <c:v>42661</c:v>
                </c:pt>
                <c:pt idx="493">
                  <c:v>42662</c:v>
                </c:pt>
                <c:pt idx="494">
                  <c:v>42663</c:v>
                </c:pt>
                <c:pt idx="495">
                  <c:v>42664</c:v>
                </c:pt>
                <c:pt idx="496">
                  <c:v>42667</c:v>
                </c:pt>
                <c:pt idx="497">
                  <c:v>42668</c:v>
                </c:pt>
                <c:pt idx="498">
                  <c:v>42669</c:v>
                </c:pt>
                <c:pt idx="499">
                  <c:v>42670</c:v>
                </c:pt>
                <c:pt idx="500">
                  <c:v>42671</c:v>
                </c:pt>
                <c:pt idx="501">
                  <c:v>42674</c:v>
                </c:pt>
                <c:pt idx="502">
                  <c:v>42675</c:v>
                </c:pt>
                <c:pt idx="503">
                  <c:v>42676</c:v>
                </c:pt>
                <c:pt idx="504">
                  <c:v>42677</c:v>
                </c:pt>
                <c:pt idx="505">
                  <c:v>42678</c:v>
                </c:pt>
                <c:pt idx="506">
                  <c:v>42681</c:v>
                </c:pt>
                <c:pt idx="507">
                  <c:v>42682</c:v>
                </c:pt>
                <c:pt idx="508">
                  <c:v>42683</c:v>
                </c:pt>
                <c:pt idx="509">
                  <c:v>42684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43286</c:v>
                </c:pt>
                <c:pt idx="602">
                  <c:v>43293</c:v>
                </c:pt>
                <c:pt idx="603">
                  <c:v>43300</c:v>
                </c:pt>
                <c:pt idx="604">
                  <c:v>43307</c:v>
                </c:pt>
                <c:pt idx="605">
                  <c:v>43314</c:v>
                </c:pt>
                <c:pt idx="606">
                  <c:v>43321</c:v>
                </c:pt>
                <c:pt idx="607">
                  <c:v>43328</c:v>
                </c:pt>
                <c:pt idx="608">
                  <c:v>43335</c:v>
                </c:pt>
                <c:pt idx="609">
                  <c:v>43342</c:v>
                </c:pt>
                <c:pt idx="610">
                  <c:v>43349</c:v>
                </c:pt>
                <c:pt idx="611">
                  <c:v>43356</c:v>
                </c:pt>
                <c:pt idx="612">
                  <c:v>43363</c:v>
                </c:pt>
                <c:pt idx="613">
                  <c:v>43370</c:v>
                </c:pt>
                <c:pt idx="614">
                  <c:v>43377</c:v>
                </c:pt>
                <c:pt idx="615">
                  <c:v>43384</c:v>
                </c:pt>
                <c:pt idx="616">
                  <c:v>43391</c:v>
                </c:pt>
                <c:pt idx="617">
                  <c:v>43398</c:v>
                </c:pt>
                <c:pt idx="618">
                  <c:v>43405</c:v>
                </c:pt>
                <c:pt idx="619">
                  <c:v>43412</c:v>
                </c:pt>
                <c:pt idx="620">
                  <c:v>43419</c:v>
                </c:pt>
                <c:pt idx="621">
                  <c:v>43427</c:v>
                </c:pt>
                <c:pt idx="622">
                  <c:v>43434</c:v>
                </c:pt>
                <c:pt idx="623">
                  <c:v>43441</c:v>
                </c:pt>
                <c:pt idx="624">
                  <c:v>43448</c:v>
                </c:pt>
                <c:pt idx="625">
                  <c:v>43455</c:v>
                </c:pt>
                <c:pt idx="626">
                  <c:v>43462</c:v>
                </c:pt>
                <c:pt idx="627">
                  <c:v>43469</c:v>
                </c:pt>
                <c:pt idx="628">
                  <c:v>43476</c:v>
                </c:pt>
                <c:pt idx="629">
                  <c:v>43483</c:v>
                </c:pt>
                <c:pt idx="630">
                  <c:v>43490</c:v>
                </c:pt>
                <c:pt idx="631">
                  <c:v>43497</c:v>
                </c:pt>
                <c:pt idx="632">
                  <c:v>43504</c:v>
                </c:pt>
                <c:pt idx="633">
                  <c:v>43511</c:v>
                </c:pt>
                <c:pt idx="634">
                  <c:v>43518</c:v>
                </c:pt>
                <c:pt idx="635">
                  <c:v>43525</c:v>
                </c:pt>
                <c:pt idx="636">
                  <c:v>43532</c:v>
                </c:pt>
                <c:pt idx="637">
                  <c:v>43539</c:v>
                </c:pt>
                <c:pt idx="638">
                  <c:v>43546</c:v>
                </c:pt>
                <c:pt idx="639">
                  <c:v>43553</c:v>
                </c:pt>
                <c:pt idx="640">
                  <c:v>43560</c:v>
                </c:pt>
                <c:pt idx="641">
                  <c:v>43567</c:v>
                </c:pt>
                <c:pt idx="642">
                  <c:v>43574</c:v>
                </c:pt>
                <c:pt idx="643">
                  <c:v>43581</c:v>
                </c:pt>
                <c:pt idx="644">
                  <c:v>43588</c:v>
                </c:pt>
                <c:pt idx="645">
                  <c:v>43595</c:v>
                </c:pt>
                <c:pt idx="646">
                  <c:v>43602</c:v>
                </c:pt>
                <c:pt idx="647">
                  <c:v>43609</c:v>
                </c:pt>
                <c:pt idx="648">
                  <c:v>43616</c:v>
                </c:pt>
                <c:pt idx="649">
                  <c:v>43623</c:v>
                </c:pt>
                <c:pt idx="650">
                  <c:v>43630</c:v>
                </c:pt>
                <c:pt idx="651">
                  <c:v>43637</c:v>
                </c:pt>
                <c:pt idx="652">
                  <c:v>43644</c:v>
                </c:pt>
                <c:pt idx="653">
                  <c:v>43651</c:v>
                </c:pt>
                <c:pt idx="654">
                  <c:v>43658</c:v>
                </c:pt>
                <c:pt idx="655">
                  <c:v>43665</c:v>
                </c:pt>
                <c:pt idx="656">
                  <c:v>43672</c:v>
                </c:pt>
                <c:pt idx="657">
                  <c:v>43679</c:v>
                </c:pt>
                <c:pt idx="658">
                  <c:v>43686</c:v>
                </c:pt>
                <c:pt idx="659">
                  <c:v>43693</c:v>
                </c:pt>
                <c:pt idx="660">
                  <c:v>43700</c:v>
                </c:pt>
                <c:pt idx="661">
                  <c:v>43707</c:v>
                </c:pt>
                <c:pt idx="662">
                  <c:v>43714</c:v>
                </c:pt>
                <c:pt idx="663">
                  <c:v>43721</c:v>
                </c:pt>
                <c:pt idx="664">
                  <c:v>43728</c:v>
                </c:pt>
                <c:pt idx="665">
                  <c:v>43735</c:v>
                </c:pt>
                <c:pt idx="666">
                  <c:v>43742</c:v>
                </c:pt>
                <c:pt idx="667">
                  <c:v>43749</c:v>
                </c:pt>
                <c:pt idx="668">
                  <c:v>43756</c:v>
                </c:pt>
                <c:pt idx="669">
                  <c:v>43763</c:v>
                </c:pt>
                <c:pt idx="670">
                  <c:v>43770</c:v>
                </c:pt>
                <c:pt idx="671">
                  <c:v>43777</c:v>
                </c:pt>
                <c:pt idx="672">
                  <c:v>43784</c:v>
                </c:pt>
                <c:pt idx="673">
                  <c:v>43791</c:v>
                </c:pt>
                <c:pt idx="674">
                  <c:v>43798</c:v>
                </c:pt>
                <c:pt idx="675">
                  <c:v>43805</c:v>
                </c:pt>
                <c:pt idx="676">
                  <c:v>43812</c:v>
                </c:pt>
                <c:pt idx="677">
                  <c:v>43819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43931</c:v>
                </c:pt>
                <c:pt idx="694">
                  <c:v>43938</c:v>
                </c:pt>
                <c:pt idx="695">
                  <c:v>43945</c:v>
                </c:pt>
                <c:pt idx="696">
                  <c:v>43952</c:v>
                </c:pt>
                <c:pt idx="697">
                  <c:v>43959</c:v>
                </c:pt>
                <c:pt idx="698">
                  <c:v>43966</c:v>
                </c:pt>
                <c:pt idx="699">
                  <c:v>43973</c:v>
                </c:pt>
                <c:pt idx="700">
                  <c:v>43980</c:v>
                </c:pt>
                <c:pt idx="701">
                  <c:v>43987</c:v>
                </c:pt>
                <c:pt idx="702">
                  <c:v>43994</c:v>
                </c:pt>
                <c:pt idx="703">
                  <c:v>44001</c:v>
                </c:pt>
                <c:pt idx="704">
                  <c:v>44008</c:v>
                </c:pt>
                <c:pt idx="705">
                  <c:v>44018</c:v>
                </c:pt>
                <c:pt idx="706">
                  <c:v>44025</c:v>
                </c:pt>
                <c:pt idx="707">
                  <c:v>44032</c:v>
                </c:pt>
                <c:pt idx="708">
                  <c:v>44039</c:v>
                </c:pt>
                <c:pt idx="709">
                  <c:v>44046</c:v>
                </c:pt>
                <c:pt idx="710">
                  <c:v>44053</c:v>
                </c:pt>
                <c:pt idx="711">
                  <c:v>44060</c:v>
                </c:pt>
                <c:pt idx="712">
                  <c:v>44067</c:v>
                </c:pt>
                <c:pt idx="713">
                  <c:v>44074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45112</c:v>
                </c:pt>
                <c:pt idx="862">
                  <c:v>45119</c:v>
                </c:pt>
                <c:pt idx="863">
                  <c:v>45126</c:v>
                </c:pt>
                <c:pt idx="864">
                  <c:v>45133</c:v>
                </c:pt>
                <c:pt idx="865">
                  <c:v>45140</c:v>
                </c:pt>
                <c:pt idx="866">
                  <c:v>45147</c:v>
                </c:pt>
                <c:pt idx="867">
                  <c:v>45154</c:v>
                </c:pt>
                <c:pt idx="868">
                  <c:v>45161</c:v>
                </c:pt>
                <c:pt idx="869">
                  <c:v>45168</c:v>
                </c:pt>
                <c:pt idx="870">
                  <c:v>45175</c:v>
                </c:pt>
                <c:pt idx="871">
                  <c:v>45182</c:v>
                </c:pt>
                <c:pt idx="872">
                  <c:v>45189</c:v>
                </c:pt>
                <c:pt idx="873">
                  <c:v>45196</c:v>
                </c:pt>
                <c:pt idx="874">
                  <c:v>45203</c:v>
                </c:pt>
                <c:pt idx="875">
                  <c:v>45210</c:v>
                </c:pt>
                <c:pt idx="876">
                  <c:v>45217</c:v>
                </c:pt>
                <c:pt idx="877">
                  <c:v>45224</c:v>
                </c:pt>
                <c:pt idx="878">
                  <c:v>45231</c:v>
                </c:pt>
                <c:pt idx="879">
                  <c:v>45238</c:v>
                </c:pt>
                <c:pt idx="880">
                  <c:v>45245</c:v>
                </c:pt>
                <c:pt idx="881">
                  <c:v>45252</c:v>
                </c:pt>
                <c:pt idx="882">
                  <c:v>45259</c:v>
                </c:pt>
                <c:pt idx="883">
                  <c:v>45266</c:v>
                </c:pt>
                <c:pt idx="884">
                  <c:v>45273</c:v>
                </c:pt>
                <c:pt idx="885">
                  <c:v>45280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45413</c:v>
                </c:pt>
                <c:pt idx="905">
                  <c:v>45420</c:v>
                </c:pt>
                <c:pt idx="906">
                  <c:v>45427</c:v>
                </c:pt>
                <c:pt idx="907">
                  <c:v>45434</c:v>
                </c:pt>
                <c:pt idx="908">
                  <c:v>45441</c:v>
                </c:pt>
                <c:pt idx="909">
                  <c:v>45448</c:v>
                </c:pt>
                <c:pt idx="910">
                  <c:v>45455</c:v>
                </c:pt>
                <c:pt idx="911">
                  <c:v>45462</c:v>
                </c:pt>
                <c:pt idx="912">
                  <c:v>45469</c:v>
                </c:pt>
                <c:pt idx="913">
                  <c:v>45476</c:v>
                </c:pt>
                <c:pt idx="914">
                  <c:v>45483</c:v>
                </c:pt>
                <c:pt idx="915">
                  <c:v>45490</c:v>
                </c:pt>
                <c:pt idx="916">
                  <c:v>45497</c:v>
                </c:pt>
                <c:pt idx="917">
                  <c:v>45504</c:v>
                </c:pt>
                <c:pt idx="918">
                  <c:v>45511</c:v>
                </c:pt>
                <c:pt idx="919">
                  <c:v>45518</c:v>
                </c:pt>
                <c:pt idx="920">
                  <c:v>45525</c:v>
                </c:pt>
                <c:pt idx="921">
                  <c:v>45532</c:v>
                </c:pt>
                <c:pt idx="922">
                  <c:v>45539</c:v>
                </c:pt>
                <c:pt idx="923">
                  <c:v>45546</c:v>
                </c:pt>
                <c:pt idx="924">
                  <c:v>45553</c:v>
                </c:pt>
                <c:pt idx="925">
                  <c:v>45560</c:v>
                </c:pt>
                <c:pt idx="926">
                  <c:v>45567</c:v>
                </c:pt>
                <c:pt idx="927">
                  <c:v>45574</c:v>
                </c:pt>
                <c:pt idx="928">
                  <c:v>45581</c:v>
                </c:pt>
                <c:pt idx="929">
                  <c:v>45588</c:v>
                </c:pt>
                <c:pt idx="930">
                  <c:v>45595</c:v>
                </c:pt>
                <c:pt idx="931">
                  <c:v>45602</c:v>
                </c:pt>
                <c:pt idx="932">
                  <c:v>45609</c:v>
                </c:pt>
                <c:pt idx="933">
                  <c:v>45616</c:v>
                </c:pt>
                <c:pt idx="934">
                  <c:v>45623</c:v>
                </c:pt>
                <c:pt idx="935">
                  <c:v>45630</c:v>
                </c:pt>
                <c:pt idx="936">
                  <c:v>45637</c:v>
                </c:pt>
                <c:pt idx="937">
                  <c:v>45644</c:v>
                </c:pt>
                <c:pt idx="938">
                  <c:v>45652</c:v>
                </c:pt>
                <c:pt idx="939">
                  <c:v>45659</c:v>
                </c:pt>
                <c:pt idx="940">
                  <c:v>45666</c:v>
                </c:pt>
                <c:pt idx="941">
                  <c:v>45673</c:v>
                </c:pt>
                <c:pt idx="942">
                  <c:v>45680</c:v>
                </c:pt>
                <c:pt idx="943">
                  <c:v>45687</c:v>
                </c:pt>
                <c:pt idx="944">
                  <c:v>45694</c:v>
                </c:pt>
                <c:pt idx="945">
                  <c:v>45701</c:v>
                </c:pt>
                <c:pt idx="946">
                  <c:v>45708</c:v>
                </c:pt>
                <c:pt idx="947">
                  <c:v>45715</c:v>
                </c:pt>
                <c:pt idx="948">
                  <c:v>45722</c:v>
                </c:pt>
                <c:pt idx="949">
                  <c:v>45729</c:v>
                </c:pt>
                <c:pt idx="950">
                  <c:v>45736</c:v>
                </c:pt>
                <c:pt idx="951">
                  <c:v>45743</c:v>
                </c:pt>
                <c:pt idx="952">
                  <c:v>45750</c:v>
                </c:pt>
                <c:pt idx="953">
                  <c:v>45757</c:v>
                </c:pt>
                <c:pt idx="954">
                  <c:v>45764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45996</c:v>
                </c:pt>
                <c:pt idx="988">
                  <c:v>46003</c:v>
                </c:pt>
                <c:pt idx="989">
                  <c:v>46010</c:v>
                </c:pt>
                <c:pt idx="990">
                  <c:v>46017</c:v>
                </c:pt>
                <c:pt idx="991">
                  <c:v>46024</c:v>
                </c:pt>
                <c:pt idx="992">
                  <c:v>46031</c:v>
                </c:pt>
                <c:pt idx="993">
                  <c:v>46038</c:v>
                </c:pt>
                <c:pt idx="994">
                  <c:v>46045</c:v>
                </c:pt>
                <c:pt idx="995">
                  <c:v>46052</c:v>
                </c:pt>
                <c:pt idx="996">
                  <c:v>46059</c:v>
                </c:pt>
                <c:pt idx="997">
                  <c:v>46066</c:v>
                </c:pt>
                <c:pt idx="998">
                  <c:v>46073</c:v>
                </c:pt>
                <c:pt idx="999">
                  <c:v>46080</c:v>
                </c:pt>
                <c:pt idx="1000">
                  <c:v>46087</c:v>
                </c:pt>
                <c:pt idx="1001">
                  <c:v>46094</c:v>
                </c:pt>
                <c:pt idx="1002">
                  <c:v>46101</c:v>
                </c:pt>
                <c:pt idx="1003">
                  <c:v>46108</c:v>
                </c:pt>
                <c:pt idx="1004">
                  <c:v>46115</c:v>
                </c:pt>
                <c:pt idx="1005">
                  <c:v>46122</c:v>
                </c:pt>
                <c:pt idx="1006">
                  <c:v>46129</c:v>
                </c:pt>
                <c:pt idx="1007">
                  <c:v>46136</c:v>
                </c:pt>
                <c:pt idx="1008">
                  <c:v>46143</c:v>
                </c:pt>
                <c:pt idx="1009">
                  <c:v>46150</c:v>
                </c:pt>
                <c:pt idx="1010">
                  <c:v>46157</c:v>
                </c:pt>
                <c:pt idx="1011">
                  <c:v>46164</c:v>
                </c:pt>
                <c:pt idx="1012">
                  <c:v>46171</c:v>
                </c:pt>
                <c:pt idx="1013">
                  <c:v>46178</c:v>
                </c:pt>
                <c:pt idx="1014">
                  <c:v>46185</c:v>
                </c:pt>
                <c:pt idx="1015">
                  <c:v>46192</c:v>
                </c:pt>
                <c:pt idx="1016">
                  <c:v>46199</c:v>
                </c:pt>
                <c:pt idx="1017">
                  <c:v>46209</c:v>
                </c:pt>
                <c:pt idx="1018">
                  <c:v>46216</c:v>
                </c:pt>
                <c:pt idx="1019">
                  <c:v>46223</c:v>
                </c:pt>
                <c:pt idx="1020">
                  <c:v>46230</c:v>
                </c:pt>
                <c:pt idx="1021">
                  <c:v>46237</c:v>
                </c:pt>
                <c:pt idx="1022">
                  <c:v>46244</c:v>
                </c:pt>
                <c:pt idx="1023">
                  <c:v>46251</c:v>
                </c:pt>
                <c:pt idx="1024">
                  <c:v>46258</c:v>
                </c:pt>
                <c:pt idx="1025">
                  <c:v>46265</c:v>
                </c:pt>
                <c:pt idx="1026">
                  <c:v>46273</c:v>
                </c:pt>
                <c:pt idx="1027">
                  <c:v>46280</c:v>
                </c:pt>
                <c:pt idx="1028">
                  <c:v>46287</c:v>
                </c:pt>
                <c:pt idx="1029">
                  <c:v>46294</c:v>
                </c:pt>
                <c:pt idx="1030">
                  <c:v>46301</c:v>
                </c:pt>
                <c:pt idx="1031">
                  <c:v>46308</c:v>
                </c:pt>
                <c:pt idx="1032">
                  <c:v>46315</c:v>
                </c:pt>
                <c:pt idx="1033">
                  <c:v>46322</c:v>
                </c:pt>
                <c:pt idx="1034">
                  <c:v>46329</c:v>
                </c:pt>
                <c:pt idx="1035">
                  <c:v>46336</c:v>
                </c:pt>
                <c:pt idx="1036">
                  <c:v>46343</c:v>
                </c:pt>
                <c:pt idx="1037">
                  <c:v>46350</c:v>
                </c:pt>
                <c:pt idx="1038">
                  <c:v>46357</c:v>
                </c:pt>
                <c:pt idx="1039">
                  <c:v>46364</c:v>
                </c:pt>
                <c:pt idx="1040">
                  <c:v>46371</c:v>
                </c:pt>
                <c:pt idx="1041">
                  <c:v>46378</c:v>
                </c:pt>
                <c:pt idx="1042">
                  <c:v>46385</c:v>
                </c:pt>
                <c:pt idx="1043">
                  <c:v>46392</c:v>
                </c:pt>
                <c:pt idx="1044">
                  <c:v>46399</c:v>
                </c:pt>
                <c:pt idx="1045">
                  <c:v>46406</c:v>
                </c:pt>
                <c:pt idx="1046">
                  <c:v>46413</c:v>
                </c:pt>
                <c:pt idx="1047">
                  <c:v>46420</c:v>
                </c:pt>
                <c:pt idx="1048">
                  <c:v>46427</c:v>
                </c:pt>
                <c:pt idx="1049">
                  <c:v>46434</c:v>
                </c:pt>
                <c:pt idx="1050">
                  <c:v>46441</c:v>
                </c:pt>
                <c:pt idx="1051">
                  <c:v>46448</c:v>
                </c:pt>
                <c:pt idx="1052">
                  <c:v>46455</c:v>
                </c:pt>
                <c:pt idx="1053">
                  <c:v>46462</c:v>
                </c:pt>
                <c:pt idx="1054">
                  <c:v>46469</c:v>
                </c:pt>
                <c:pt idx="1055">
                  <c:v>46476</c:v>
                </c:pt>
                <c:pt idx="1056">
                  <c:v>46483</c:v>
                </c:pt>
                <c:pt idx="1057">
                  <c:v>46490</c:v>
                </c:pt>
                <c:pt idx="1058">
                  <c:v>46497</c:v>
                </c:pt>
                <c:pt idx="1059">
                  <c:v>46504</c:v>
                </c:pt>
                <c:pt idx="1060">
                  <c:v>46511</c:v>
                </c:pt>
                <c:pt idx="1061">
                  <c:v>46518</c:v>
                </c:pt>
                <c:pt idx="1062">
                  <c:v>46525</c:v>
                </c:pt>
                <c:pt idx="1063">
                  <c:v>46532</c:v>
                </c:pt>
                <c:pt idx="1064">
                  <c:v>46539</c:v>
                </c:pt>
                <c:pt idx="1065">
                  <c:v>46546</c:v>
                </c:pt>
                <c:pt idx="1066">
                  <c:v>46553</c:v>
                </c:pt>
                <c:pt idx="1067">
                  <c:v>46560</c:v>
                </c:pt>
                <c:pt idx="1068">
                  <c:v>46567</c:v>
                </c:pt>
                <c:pt idx="1069">
                  <c:v>46574</c:v>
                </c:pt>
                <c:pt idx="1070">
                  <c:v>46581</c:v>
                </c:pt>
                <c:pt idx="1071">
                  <c:v>46588</c:v>
                </c:pt>
                <c:pt idx="1072">
                  <c:v>46595</c:v>
                </c:pt>
                <c:pt idx="1073">
                  <c:v>46602</c:v>
                </c:pt>
                <c:pt idx="1074">
                  <c:v>46609</c:v>
                </c:pt>
                <c:pt idx="1075">
                  <c:v>46616</c:v>
                </c:pt>
                <c:pt idx="1076">
                  <c:v>46623</c:v>
                </c:pt>
                <c:pt idx="1077">
                  <c:v>46630</c:v>
                </c:pt>
                <c:pt idx="1078">
                  <c:v>46637</c:v>
                </c:pt>
                <c:pt idx="1079">
                  <c:v>46644</c:v>
                </c:pt>
                <c:pt idx="1080">
                  <c:v>46651</c:v>
                </c:pt>
                <c:pt idx="1081">
                  <c:v>46658</c:v>
                </c:pt>
                <c:pt idx="1082">
                  <c:v>46665</c:v>
                </c:pt>
                <c:pt idx="1083">
                  <c:v>46672</c:v>
                </c:pt>
                <c:pt idx="1084">
                  <c:v>46679</c:v>
                </c:pt>
                <c:pt idx="1085">
                  <c:v>46686</c:v>
                </c:pt>
                <c:pt idx="1086">
                  <c:v>46693</c:v>
                </c:pt>
                <c:pt idx="1087">
                  <c:v>46700</c:v>
                </c:pt>
                <c:pt idx="1088">
                  <c:v>46707</c:v>
                </c:pt>
                <c:pt idx="1089">
                  <c:v>46714</c:v>
                </c:pt>
                <c:pt idx="1090">
                  <c:v>46721</c:v>
                </c:pt>
                <c:pt idx="1091">
                  <c:v>46728</c:v>
                </c:pt>
                <c:pt idx="1092">
                  <c:v>46735</c:v>
                </c:pt>
                <c:pt idx="1093">
                  <c:v>46742</c:v>
                </c:pt>
                <c:pt idx="1094">
                  <c:v>46749</c:v>
                </c:pt>
                <c:pt idx="1095">
                  <c:v>46756</c:v>
                </c:pt>
                <c:pt idx="1096">
                  <c:v>46763</c:v>
                </c:pt>
                <c:pt idx="1097">
                  <c:v>46770</c:v>
                </c:pt>
                <c:pt idx="1098">
                  <c:v>46777</c:v>
                </c:pt>
                <c:pt idx="1099">
                  <c:v>46784</c:v>
                </c:pt>
                <c:pt idx="1100">
                  <c:v>46791</c:v>
                </c:pt>
                <c:pt idx="1101">
                  <c:v>46798</c:v>
                </c:pt>
                <c:pt idx="1102">
                  <c:v>46805</c:v>
                </c:pt>
                <c:pt idx="1103">
                  <c:v>46812</c:v>
                </c:pt>
                <c:pt idx="1104">
                  <c:v>46819</c:v>
                </c:pt>
                <c:pt idx="1105">
                  <c:v>46826</c:v>
                </c:pt>
                <c:pt idx="1106">
                  <c:v>46833</c:v>
                </c:pt>
                <c:pt idx="1107">
                  <c:v>46840</c:v>
                </c:pt>
                <c:pt idx="1108">
                  <c:v>46847</c:v>
                </c:pt>
                <c:pt idx="1109">
                  <c:v>46854</c:v>
                </c:pt>
                <c:pt idx="1110">
                  <c:v>46861</c:v>
                </c:pt>
                <c:pt idx="1111">
                  <c:v>46868</c:v>
                </c:pt>
                <c:pt idx="1112">
                  <c:v>46875</c:v>
                </c:pt>
                <c:pt idx="1113">
                  <c:v>46882</c:v>
                </c:pt>
                <c:pt idx="1114">
                  <c:v>46889</c:v>
                </c:pt>
                <c:pt idx="1115">
                  <c:v>46896</c:v>
                </c:pt>
                <c:pt idx="1116">
                  <c:v>46903</c:v>
                </c:pt>
                <c:pt idx="1117">
                  <c:v>46910</c:v>
                </c:pt>
                <c:pt idx="1118">
                  <c:v>46917</c:v>
                </c:pt>
                <c:pt idx="1119">
                  <c:v>46924</c:v>
                </c:pt>
                <c:pt idx="1120">
                  <c:v>46931</c:v>
                </c:pt>
                <c:pt idx="1121">
                  <c:v>46939</c:v>
                </c:pt>
                <c:pt idx="1122">
                  <c:v>46946</c:v>
                </c:pt>
                <c:pt idx="1123">
                  <c:v>46953</c:v>
                </c:pt>
                <c:pt idx="1124">
                  <c:v>46960</c:v>
                </c:pt>
                <c:pt idx="1125">
                  <c:v>46967</c:v>
                </c:pt>
                <c:pt idx="1126">
                  <c:v>46974</c:v>
                </c:pt>
                <c:pt idx="1127">
                  <c:v>46981</c:v>
                </c:pt>
                <c:pt idx="1128">
                  <c:v>46988</c:v>
                </c:pt>
                <c:pt idx="1129">
                  <c:v>46995</c:v>
                </c:pt>
                <c:pt idx="1130">
                  <c:v>47002</c:v>
                </c:pt>
                <c:pt idx="1131">
                  <c:v>47009</c:v>
                </c:pt>
                <c:pt idx="1132">
                  <c:v>47016</c:v>
                </c:pt>
                <c:pt idx="1133">
                  <c:v>47023</c:v>
                </c:pt>
                <c:pt idx="1134">
                  <c:v>47030</c:v>
                </c:pt>
                <c:pt idx="1135">
                  <c:v>47037</c:v>
                </c:pt>
                <c:pt idx="1136">
                  <c:v>47044</c:v>
                </c:pt>
                <c:pt idx="1137">
                  <c:v>47051</c:v>
                </c:pt>
                <c:pt idx="1138">
                  <c:v>47058</c:v>
                </c:pt>
                <c:pt idx="1139">
                  <c:v>47065</c:v>
                </c:pt>
                <c:pt idx="1140">
                  <c:v>47072</c:v>
                </c:pt>
                <c:pt idx="1141">
                  <c:v>47079</c:v>
                </c:pt>
                <c:pt idx="1142">
                  <c:v>47086</c:v>
                </c:pt>
                <c:pt idx="1143">
                  <c:v>47093</c:v>
                </c:pt>
                <c:pt idx="1144">
                  <c:v>47100</c:v>
                </c:pt>
                <c:pt idx="1145">
                  <c:v>47107</c:v>
                </c:pt>
                <c:pt idx="1146">
                  <c:v>47114</c:v>
                </c:pt>
                <c:pt idx="1147">
                  <c:v>47121</c:v>
                </c:pt>
                <c:pt idx="1148">
                  <c:v>47128</c:v>
                </c:pt>
                <c:pt idx="1149">
                  <c:v>47135</c:v>
                </c:pt>
                <c:pt idx="1150">
                  <c:v>47142</c:v>
                </c:pt>
                <c:pt idx="1151">
                  <c:v>47149</c:v>
                </c:pt>
                <c:pt idx="1152">
                  <c:v>47156</c:v>
                </c:pt>
                <c:pt idx="1153">
                  <c:v>47163</c:v>
                </c:pt>
                <c:pt idx="1154">
                  <c:v>47170</c:v>
                </c:pt>
                <c:pt idx="1155">
                  <c:v>47177</c:v>
                </c:pt>
                <c:pt idx="1156">
                  <c:v>47184</c:v>
                </c:pt>
                <c:pt idx="1157">
                  <c:v>47191</c:v>
                </c:pt>
                <c:pt idx="1158">
                  <c:v>47198</c:v>
                </c:pt>
                <c:pt idx="1159">
                  <c:v>47205</c:v>
                </c:pt>
                <c:pt idx="1160">
                  <c:v>47212</c:v>
                </c:pt>
                <c:pt idx="1161">
                  <c:v>47219</c:v>
                </c:pt>
                <c:pt idx="1162">
                  <c:v>47226</c:v>
                </c:pt>
                <c:pt idx="1163">
                  <c:v>47233</c:v>
                </c:pt>
                <c:pt idx="1164">
                  <c:v>47240</c:v>
                </c:pt>
                <c:pt idx="1165">
                  <c:v>47247</c:v>
                </c:pt>
                <c:pt idx="1166">
                  <c:v>47254</c:v>
                </c:pt>
                <c:pt idx="1167">
                  <c:v>47261</c:v>
                </c:pt>
                <c:pt idx="1168">
                  <c:v>47268</c:v>
                </c:pt>
                <c:pt idx="1169">
                  <c:v>47275</c:v>
                </c:pt>
                <c:pt idx="1170">
                  <c:v>47282</c:v>
                </c:pt>
                <c:pt idx="1171">
                  <c:v>47289</c:v>
                </c:pt>
                <c:pt idx="1172">
                  <c:v>47296</c:v>
                </c:pt>
                <c:pt idx="1173">
                  <c:v>47304</c:v>
                </c:pt>
                <c:pt idx="1174">
                  <c:v>47311</c:v>
                </c:pt>
                <c:pt idx="1175">
                  <c:v>47318</c:v>
                </c:pt>
                <c:pt idx="1176">
                  <c:v>47325</c:v>
                </c:pt>
                <c:pt idx="1177">
                  <c:v>47332</c:v>
                </c:pt>
                <c:pt idx="1178">
                  <c:v>47339</c:v>
                </c:pt>
                <c:pt idx="1179">
                  <c:v>47346</c:v>
                </c:pt>
                <c:pt idx="1180">
                  <c:v>47353</c:v>
                </c:pt>
                <c:pt idx="1181">
                  <c:v>47360</c:v>
                </c:pt>
                <c:pt idx="1182">
                  <c:v>47367</c:v>
                </c:pt>
                <c:pt idx="1183">
                  <c:v>47374</c:v>
                </c:pt>
                <c:pt idx="1184">
                  <c:v>47381</c:v>
                </c:pt>
                <c:pt idx="1185">
                  <c:v>47388</c:v>
                </c:pt>
                <c:pt idx="1186">
                  <c:v>47395</c:v>
                </c:pt>
                <c:pt idx="1187">
                  <c:v>47402</c:v>
                </c:pt>
                <c:pt idx="1188">
                  <c:v>47409</c:v>
                </c:pt>
                <c:pt idx="1189">
                  <c:v>47416</c:v>
                </c:pt>
                <c:pt idx="1190">
                  <c:v>47423</c:v>
                </c:pt>
                <c:pt idx="1191">
                  <c:v>47430</c:v>
                </c:pt>
                <c:pt idx="1192">
                  <c:v>47437</c:v>
                </c:pt>
                <c:pt idx="1193">
                  <c:v>47445</c:v>
                </c:pt>
                <c:pt idx="1194">
                  <c:v>47452</c:v>
                </c:pt>
                <c:pt idx="1195">
                  <c:v>47459</c:v>
                </c:pt>
                <c:pt idx="1196">
                  <c:v>47466</c:v>
                </c:pt>
                <c:pt idx="1197">
                  <c:v>47473</c:v>
                </c:pt>
                <c:pt idx="1198">
                  <c:v>47480</c:v>
                </c:pt>
                <c:pt idx="1199">
                  <c:v>47487</c:v>
                </c:pt>
                <c:pt idx="1200">
                  <c:v>47494</c:v>
                </c:pt>
                <c:pt idx="1201">
                  <c:v>47501</c:v>
                </c:pt>
                <c:pt idx="1202">
                  <c:v>47508</c:v>
                </c:pt>
                <c:pt idx="1203">
                  <c:v>47515</c:v>
                </c:pt>
                <c:pt idx="1204">
                  <c:v>47522</c:v>
                </c:pt>
                <c:pt idx="1205">
                  <c:v>47529</c:v>
                </c:pt>
                <c:pt idx="1206">
                  <c:v>47536</c:v>
                </c:pt>
                <c:pt idx="1207">
                  <c:v>47543</c:v>
                </c:pt>
                <c:pt idx="1208">
                  <c:v>47550</c:v>
                </c:pt>
                <c:pt idx="1209">
                  <c:v>47557</c:v>
                </c:pt>
                <c:pt idx="1210">
                  <c:v>47564</c:v>
                </c:pt>
                <c:pt idx="1211">
                  <c:v>47571</c:v>
                </c:pt>
                <c:pt idx="1212">
                  <c:v>47578</c:v>
                </c:pt>
                <c:pt idx="1213">
                  <c:v>47585</c:v>
                </c:pt>
                <c:pt idx="1214">
                  <c:v>47592</c:v>
                </c:pt>
                <c:pt idx="1215">
                  <c:v>47599</c:v>
                </c:pt>
                <c:pt idx="1216">
                  <c:v>47606</c:v>
                </c:pt>
                <c:pt idx="1217">
                  <c:v>47613</c:v>
                </c:pt>
                <c:pt idx="1218">
                  <c:v>47620</c:v>
                </c:pt>
                <c:pt idx="1219">
                  <c:v>47627</c:v>
                </c:pt>
                <c:pt idx="1220">
                  <c:v>47634</c:v>
                </c:pt>
                <c:pt idx="1221">
                  <c:v>47641</c:v>
                </c:pt>
                <c:pt idx="1222">
                  <c:v>47648</c:v>
                </c:pt>
                <c:pt idx="1223">
                  <c:v>47655</c:v>
                </c:pt>
                <c:pt idx="1224">
                  <c:v>47662</c:v>
                </c:pt>
                <c:pt idx="1225">
                  <c:v>47669</c:v>
                </c:pt>
                <c:pt idx="1226">
                  <c:v>47676</c:v>
                </c:pt>
                <c:pt idx="1227">
                  <c:v>47683</c:v>
                </c:pt>
                <c:pt idx="1228">
                  <c:v>47690</c:v>
                </c:pt>
                <c:pt idx="1229">
                  <c:v>47697</c:v>
                </c:pt>
                <c:pt idx="1230">
                  <c:v>47704</c:v>
                </c:pt>
                <c:pt idx="1231">
                  <c:v>47711</c:v>
                </c:pt>
                <c:pt idx="1232">
                  <c:v>47718</c:v>
                </c:pt>
                <c:pt idx="1233">
                  <c:v>47725</c:v>
                </c:pt>
                <c:pt idx="1234">
                  <c:v>47732</c:v>
                </c:pt>
                <c:pt idx="1235">
                  <c:v>47739</c:v>
                </c:pt>
                <c:pt idx="1236">
                  <c:v>47746</c:v>
                </c:pt>
                <c:pt idx="1237">
                  <c:v>47753</c:v>
                </c:pt>
                <c:pt idx="1238">
                  <c:v>47760</c:v>
                </c:pt>
                <c:pt idx="1239">
                  <c:v>47767</c:v>
                </c:pt>
                <c:pt idx="1240">
                  <c:v>47774</c:v>
                </c:pt>
                <c:pt idx="1241">
                  <c:v>47781</c:v>
                </c:pt>
                <c:pt idx="1242">
                  <c:v>47788</c:v>
                </c:pt>
                <c:pt idx="1243">
                  <c:v>47795</c:v>
                </c:pt>
                <c:pt idx="1244">
                  <c:v>47802</c:v>
                </c:pt>
                <c:pt idx="1245">
                  <c:v>47809</c:v>
                </c:pt>
                <c:pt idx="1246">
                  <c:v>47816</c:v>
                </c:pt>
                <c:pt idx="1247">
                  <c:v>47823</c:v>
                </c:pt>
                <c:pt idx="1248">
                  <c:v>47830</c:v>
                </c:pt>
                <c:pt idx="1249">
                  <c:v>47837</c:v>
                </c:pt>
                <c:pt idx="1250">
                  <c:v>47844</c:v>
                </c:pt>
                <c:pt idx="1251">
                  <c:v>47851</c:v>
                </c:pt>
                <c:pt idx="1252">
                  <c:v>47858</c:v>
                </c:pt>
                <c:pt idx="1253">
                  <c:v>47865</c:v>
                </c:pt>
                <c:pt idx="1254">
                  <c:v>47872</c:v>
                </c:pt>
                <c:pt idx="1255">
                  <c:v>47879</c:v>
                </c:pt>
                <c:pt idx="1256">
                  <c:v>47886</c:v>
                </c:pt>
                <c:pt idx="1257">
                  <c:v>47893</c:v>
                </c:pt>
                <c:pt idx="1258">
                  <c:v>47900</c:v>
                </c:pt>
                <c:pt idx="1259">
                  <c:v>47907</c:v>
                </c:pt>
                <c:pt idx="1260">
                  <c:v>47914</c:v>
                </c:pt>
                <c:pt idx="1261">
                  <c:v>47921</c:v>
                </c:pt>
                <c:pt idx="1262">
                  <c:v>47928</c:v>
                </c:pt>
                <c:pt idx="1263">
                  <c:v>47935</c:v>
                </c:pt>
                <c:pt idx="1264">
                  <c:v>47942</c:v>
                </c:pt>
                <c:pt idx="1265">
                  <c:v>47949</c:v>
                </c:pt>
                <c:pt idx="1266">
                  <c:v>47956</c:v>
                </c:pt>
                <c:pt idx="1267">
                  <c:v>47963</c:v>
                </c:pt>
                <c:pt idx="1268">
                  <c:v>47970</c:v>
                </c:pt>
                <c:pt idx="1269">
                  <c:v>47977</c:v>
                </c:pt>
                <c:pt idx="1270">
                  <c:v>47984</c:v>
                </c:pt>
                <c:pt idx="1271">
                  <c:v>47991</c:v>
                </c:pt>
                <c:pt idx="1272">
                  <c:v>47998</c:v>
                </c:pt>
                <c:pt idx="1273">
                  <c:v>48005</c:v>
                </c:pt>
                <c:pt idx="1274">
                  <c:v>48012</c:v>
                </c:pt>
                <c:pt idx="1275">
                  <c:v>48019</c:v>
                </c:pt>
                <c:pt idx="1276">
                  <c:v>48026</c:v>
                </c:pt>
                <c:pt idx="1277">
                  <c:v>48036</c:v>
                </c:pt>
                <c:pt idx="1278">
                  <c:v>48043</c:v>
                </c:pt>
                <c:pt idx="1279">
                  <c:v>48050</c:v>
                </c:pt>
                <c:pt idx="1280">
                  <c:v>48057</c:v>
                </c:pt>
                <c:pt idx="1281">
                  <c:v>48064</c:v>
                </c:pt>
                <c:pt idx="1282">
                  <c:v>48071</c:v>
                </c:pt>
                <c:pt idx="1283">
                  <c:v>48078</c:v>
                </c:pt>
                <c:pt idx="1284">
                  <c:v>48085</c:v>
                </c:pt>
                <c:pt idx="1285">
                  <c:v>48093</c:v>
                </c:pt>
                <c:pt idx="1286">
                  <c:v>48100</c:v>
                </c:pt>
                <c:pt idx="1287">
                  <c:v>48107</c:v>
                </c:pt>
                <c:pt idx="1288">
                  <c:v>48114</c:v>
                </c:pt>
                <c:pt idx="1289">
                  <c:v>48121</c:v>
                </c:pt>
                <c:pt idx="1290">
                  <c:v>48128</c:v>
                </c:pt>
                <c:pt idx="1291">
                  <c:v>48135</c:v>
                </c:pt>
                <c:pt idx="1292">
                  <c:v>48142</c:v>
                </c:pt>
                <c:pt idx="1293">
                  <c:v>48149</c:v>
                </c:pt>
                <c:pt idx="1294">
                  <c:v>48156</c:v>
                </c:pt>
                <c:pt idx="1295">
                  <c:v>48164</c:v>
                </c:pt>
                <c:pt idx="1296">
                  <c:v>48171</c:v>
                </c:pt>
                <c:pt idx="1297">
                  <c:v>48178</c:v>
                </c:pt>
                <c:pt idx="1298">
                  <c:v>48185</c:v>
                </c:pt>
                <c:pt idx="1299">
                  <c:v>48192</c:v>
                </c:pt>
                <c:pt idx="1300">
                  <c:v>48199</c:v>
                </c:pt>
                <c:pt idx="1301">
                  <c:v>48206</c:v>
                </c:pt>
                <c:pt idx="1302">
                  <c:v>48213</c:v>
                </c:pt>
                <c:pt idx="1303">
                  <c:v>48220</c:v>
                </c:pt>
                <c:pt idx="1304">
                  <c:v>48227</c:v>
                </c:pt>
                <c:pt idx="1305">
                  <c:v>48234</c:v>
                </c:pt>
                <c:pt idx="1306">
                  <c:v>48241</c:v>
                </c:pt>
                <c:pt idx="1307">
                  <c:v>48248</c:v>
                </c:pt>
                <c:pt idx="1308">
                  <c:v>48255</c:v>
                </c:pt>
                <c:pt idx="1309">
                  <c:v>48262</c:v>
                </c:pt>
                <c:pt idx="1310">
                  <c:v>48269</c:v>
                </c:pt>
                <c:pt idx="1311">
                  <c:v>48276</c:v>
                </c:pt>
                <c:pt idx="1312">
                  <c:v>48283</c:v>
                </c:pt>
                <c:pt idx="1313">
                  <c:v>48290</c:v>
                </c:pt>
                <c:pt idx="1314">
                  <c:v>48297</c:v>
                </c:pt>
                <c:pt idx="1315">
                  <c:v>48304</c:v>
                </c:pt>
                <c:pt idx="1316">
                  <c:v>48311</c:v>
                </c:pt>
                <c:pt idx="1317">
                  <c:v>48318</c:v>
                </c:pt>
                <c:pt idx="1318">
                  <c:v>48325</c:v>
                </c:pt>
                <c:pt idx="1319">
                  <c:v>48332</c:v>
                </c:pt>
                <c:pt idx="1320">
                  <c:v>48339</c:v>
                </c:pt>
                <c:pt idx="1321">
                  <c:v>48346</c:v>
                </c:pt>
                <c:pt idx="1322">
                  <c:v>48353</c:v>
                </c:pt>
                <c:pt idx="1323">
                  <c:v>48360</c:v>
                </c:pt>
                <c:pt idx="1324">
                  <c:v>48367</c:v>
                </c:pt>
                <c:pt idx="1325">
                  <c:v>48374</c:v>
                </c:pt>
                <c:pt idx="1326">
                  <c:v>48381</c:v>
                </c:pt>
                <c:pt idx="1327">
                  <c:v>48388</c:v>
                </c:pt>
                <c:pt idx="1328">
                  <c:v>48395</c:v>
                </c:pt>
                <c:pt idx="1329">
                  <c:v>48402</c:v>
                </c:pt>
                <c:pt idx="1330">
                  <c:v>48409</c:v>
                </c:pt>
                <c:pt idx="1331">
                  <c:v>48416</c:v>
                </c:pt>
                <c:pt idx="1332">
                  <c:v>48423</c:v>
                </c:pt>
                <c:pt idx="1333">
                  <c:v>48430</c:v>
                </c:pt>
                <c:pt idx="1334">
                  <c:v>48437</c:v>
                </c:pt>
                <c:pt idx="1335">
                  <c:v>48444</c:v>
                </c:pt>
                <c:pt idx="1336">
                  <c:v>48451</c:v>
                </c:pt>
                <c:pt idx="1337">
                  <c:v>48458</c:v>
                </c:pt>
                <c:pt idx="1338">
                  <c:v>48465</c:v>
                </c:pt>
                <c:pt idx="1339">
                  <c:v>48472</c:v>
                </c:pt>
                <c:pt idx="1340">
                  <c:v>48479</c:v>
                </c:pt>
                <c:pt idx="1341">
                  <c:v>48486</c:v>
                </c:pt>
                <c:pt idx="1342">
                  <c:v>48493</c:v>
                </c:pt>
                <c:pt idx="1343">
                  <c:v>48500</c:v>
                </c:pt>
                <c:pt idx="1344">
                  <c:v>48507</c:v>
                </c:pt>
                <c:pt idx="1345">
                  <c:v>48514</c:v>
                </c:pt>
                <c:pt idx="1346">
                  <c:v>48521</c:v>
                </c:pt>
                <c:pt idx="1347">
                  <c:v>48528</c:v>
                </c:pt>
                <c:pt idx="1348">
                  <c:v>48535</c:v>
                </c:pt>
                <c:pt idx="1349">
                  <c:v>48542</c:v>
                </c:pt>
                <c:pt idx="1350">
                  <c:v>48549</c:v>
                </c:pt>
                <c:pt idx="1351">
                  <c:v>48556</c:v>
                </c:pt>
                <c:pt idx="1352">
                  <c:v>48563</c:v>
                </c:pt>
                <c:pt idx="1353">
                  <c:v>48570</c:v>
                </c:pt>
                <c:pt idx="1354">
                  <c:v>48577</c:v>
                </c:pt>
                <c:pt idx="1355">
                  <c:v>48584</c:v>
                </c:pt>
                <c:pt idx="1356">
                  <c:v>48591</c:v>
                </c:pt>
                <c:pt idx="1357">
                  <c:v>48598</c:v>
                </c:pt>
                <c:pt idx="1358">
                  <c:v>48605</c:v>
                </c:pt>
                <c:pt idx="1359">
                  <c:v>48612</c:v>
                </c:pt>
                <c:pt idx="1360">
                  <c:v>48619</c:v>
                </c:pt>
                <c:pt idx="1361">
                  <c:v>48626</c:v>
                </c:pt>
                <c:pt idx="1362">
                  <c:v>48633</c:v>
                </c:pt>
                <c:pt idx="1363">
                  <c:v>48640</c:v>
                </c:pt>
                <c:pt idx="1364">
                  <c:v>48647</c:v>
                </c:pt>
                <c:pt idx="1365">
                  <c:v>48654</c:v>
                </c:pt>
                <c:pt idx="1366">
                  <c:v>48661</c:v>
                </c:pt>
                <c:pt idx="1367">
                  <c:v>48668</c:v>
                </c:pt>
                <c:pt idx="1368">
                  <c:v>48675</c:v>
                </c:pt>
                <c:pt idx="1369">
                  <c:v>48682</c:v>
                </c:pt>
                <c:pt idx="1370">
                  <c:v>48689</c:v>
                </c:pt>
                <c:pt idx="1371">
                  <c:v>48696</c:v>
                </c:pt>
                <c:pt idx="1372">
                  <c:v>48703</c:v>
                </c:pt>
                <c:pt idx="1373">
                  <c:v>48710</c:v>
                </c:pt>
                <c:pt idx="1374">
                  <c:v>48717</c:v>
                </c:pt>
                <c:pt idx="1375">
                  <c:v>48724</c:v>
                </c:pt>
                <c:pt idx="1376">
                  <c:v>48731</c:v>
                </c:pt>
                <c:pt idx="1377">
                  <c:v>48738</c:v>
                </c:pt>
                <c:pt idx="1378">
                  <c:v>48745</c:v>
                </c:pt>
                <c:pt idx="1379">
                  <c:v>48752</c:v>
                </c:pt>
                <c:pt idx="1380">
                  <c:v>48759</c:v>
                </c:pt>
                <c:pt idx="1381">
                  <c:v>48766</c:v>
                </c:pt>
                <c:pt idx="1382">
                  <c:v>48773</c:v>
                </c:pt>
                <c:pt idx="1383">
                  <c:v>48780</c:v>
                </c:pt>
                <c:pt idx="1384">
                  <c:v>48787</c:v>
                </c:pt>
                <c:pt idx="1385">
                  <c:v>48794</c:v>
                </c:pt>
                <c:pt idx="1386">
                  <c:v>48801</c:v>
                </c:pt>
                <c:pt idx="1387">
                  <c:v>48808</c:v>
                </c:pt>
                <c:pt idx="1388">
                  <c:v>48815</c:v>
                </c:pt>
                <c:pt idx="1389">
                  <c:v>48822</c:v>
                </c:pt>
                <c:pt idx="1390">
                  <c:v>48829</c:v>
                </c:pt>
                <c:pt idx="1391">
                  <c:v>48836</c:v>
                </c:pt>
                <c:pt idx="1392">
                  <c:v>48843</c:v>
                </c:pt>
                <c:pt idx="1393">
                  <c:v>48850</c:v>
                </c:pt>
                <c:pt idx="1394">
                  <c:v>48857</c:v>
                </c:pt>
                <c:pt idx="1395">
                  <c:v>48864</c:v>
                </c:pt>
                <c:pt idx="1396">
                  <c:v>48871</c:v>
                </c:pt>
                <c:pt idx="1397">
                  <c:v>48878</c:v>
                </c:pt>
                <c:pt idx="1398">
                  <c:v>48885</c:v>
                </c:pt>
                <c:pt idx="1399">
                  <c:v>48892</c:v>
                </c:pt>
                <c:pt idx="1400">
                  <c:v>48899</c:v>
                </c:pt>
                <c:pt idx="1401">
                  <c:v>48906</c:v>
                </c:pt>
                <c:pt idx="1402">
                  <c:v>48913</c:v>
                </c:pt>
                <c:pt idx="1403">
                  <c:v>48920</c:v>
                </c:pt>
                <c:pt idx="1404">
                  <c:v>48927</c:v>
                </c:pt>
                <c:pt idx="1405">
                  <c:v>48934</c:v>
                </c:pt>
                <c:pt idx="1406">
                  <c:v>48941</c:v>
                </c:pt>
                <c:pt idx="1407">
                  <c:v>48948</c:v>
                </c:pt>
                <c:pt idx="1408">
                  <c:v>48955</c:v>
                </c:pt>
                <c:pt idx="1409">
                  <c:v>48962</c:v>
                </c:pt>
                <c:pt idx="1410">
                  <c:v>48969</c:v>
                </c:pt>
                <c:pt idx="1411">
                  <c:v>48976</c:v>
                </c:pt>
                <c:pt idx="1412">
                  <c:v>48983</c:v>
                </c:pt>
                <c:pt idx="1413">
                  <c:v>48990</c:v>
                </c:pt>
                <c:pt idx="1414">
                  <c:v>48997</c:v>
                </c:pt>
                <c:pt idx="1415">
                  <c:v>49004</c:v>
                </c:pt>
                <c:pt idx="1416">
                  <c:v>49011</c:v>
                </c:pt>
                <c:pt idx="1417">
                  <c:v>49018</c:v>
                </c:pt>
                <c:pt idx="1418">
                  <c:v>49025</c:v>
                </c:pt>
                <c:pt idx="1419">
                  <c:v>49032</c:v>
                </c:pt>
                <c:pt idx="1420">
                  <c:v>49039</c:v>
                </c:pt>
                <c:pt idx="1421">
                  <c:v>49046</c:v>
                </c:pt>
                <c:pt idx="1422">
                  <c:v>49053</c:v>
                </c:pt>
                <c:pt idx="1423">
                  <c:v>49060</c:v>
                </c:pt>
                <c:pt idx="1424">
                  <c:v>49067</c:v>
                </c:pt>
                <c:pt idx="1425">
                  <c:v>49074</c:v>
                </c:pt>
                <c:pt idx="1426">
                  <c:v>49081</c:v>
                </c:pt>
                <c:pt idx="1427">
                  <c:v>49088</c:v>
                </c:pt>
                <c:pt idx="1428">
                  <c:v>49095</c:v>
                </c:pt>
                <c:pt idx="1429">
                  <c:v>49102</c:v>
                </c:pt>
                <c:pt idx="1430">
                  <c:v>49109</c:v>
                </c:pt>
                <c:pt idx="1431">
                  <c:v>49116</c:v>
                </c:pt>
                <c:pt idx="1432">
                  <c:v>49123</c:v>
                </c:pt>
                <c:pt idx="1433">
                  <c:v>49130</c:v>
                </c:pt>
                <c:pt idx="1434">
                  <c:v>49137</c:v>
                </c:pt>
                <c:pt idx="1435">
                  <c:v>49144</c:v>
                </c:pt>
                <c:pt idx="1436">
                  <c:v>49151</c:v>
                </c:pt>
                <c:pt idx="1437">
                  <c:v>49158</c:v>
                </c:pt>
                <c:pt idx="1438">
                  <c:v>49165</c:v>
                </c:pt>
                <c:pt idx="1439">
                  <c:v>49172</c:v>
                </c:pt>
                <c:pt idx="1440">
                  <c:v>49179</c:v>
                </c:pt>
                <c:pt idx="1441">
                  <c:v>49186</c:v>
                </c:pt>
                <c:pt idx="1442">
                  <c:v>49193</c:v>
                </c:pt>
                <c:pt idx="1443">
                  <c:v>49200</c:v>
                </c:pt>
                <c:pt idx="1444">
                  <c:v>49207</c:v>
                </c:pt>
                <c:pt idx="1445">
                  <c:v>49214</c:v>
                </c:pt>
                <c:pt idx="1446">
                  <c:v>49221</c:v>
                </c:pt>
                <c:pt idx="1447">
                  <c:v>49228</c:v>
                </c:pt>
                <c:pt idx="1448">
                  <c:v>49235</c:v>
                </c:pt>
                <c:pt idx="1449">
                  <c:v>49242</c:v>
                </c:pt>
                <c:pt idx="1450">
                  <c:v>49249</c:v>
                </c:pt>
                <c:pt idx="1451">
                  <c:v>49256</c:v>
                </c:pt>
                <c:pt idx="1452">
                  <c:v>49263</c:v>
                </c:pt>
                <c:pt idx="1453">
                  <c:v>49270</c:v>
                </c:pt>
                <c:pt idx="1454">
                  <c:v>49277</c:v>
                </c:pt>
                <c:pt idx="1455">
                  <c:v>49284</c:v>
                </c:pt>
                <c:pt idx="1456">
                  <c:v>49291</c:v>
                </c:pt>
                <c:pt idx="1457">
                  <c:v>49298</c:v>
                </c:pt>
                <c:pt idx="1458">
                  <c:v>49305</c:v>
                </c:pt>
                <c:pt idx="1459">
                  <c:v>49312</c:v>
                </c:pt>
                <c:pt idx="1460">
                  <c:v>49319</c:v>
                </c:pt>
                <c:pt idx="1461">
                  <c:v>49326</c:v>
                </c:pt>
                <c:pt idx="1462">
                  <c:v>49333</c:v>
                </c:pt>
                <c:pt idx="1463">
                  <c:v>49340</c:v>
                </c:pt>
                <c:pt idx="1464">
                  <c:v>49347</c:v>
                </c:pt>
                <c:pt idx="1465">
                  <c:v>49354</c:v>
                </c:pt>
                <c:pt idx="1466">
                  <c:v>49361</c:v>
                </c:pt>
                <c:pt idx="1467">
                  <c:v>49368</c:v>
                </c:pt>
                <c:pt idx="1468">
                  <c:v>49375</c:v>
                </c:pt>
                <c:pt idx="1469">
                  <c:v>49382</c:v>
                </c:pt>
                <c:pt idx="1470">
                  <c:v>49389</c:v>
                </c:pt>
                <c:pt idx="1471">
                  <c:v>49396</c:v>
                </c:pt>
                <c:pt idx="1472">
                  <c:v>49403</c:v>
                </c:pt>
                <c:pt idx="1473">
                  <c:v>49410</c:v>
                </c:pt>
                <c:pt idx="1474">
                  <c:v>49417</c:v>
                </c:pt>
                <c:pt idx="1475">
                  <c:v>49424</c:v>
                </c:pt>
                <c:pt idx="1476">
                  <c:v>49431</c:v>
                </c:pt>
                <c:pt idx="1477">
                  <c:v>49438</c:v>
                </c:pt>
                <c:pt idx="1478">
                  <c:v>49445</c:v>
                </c:pt>
                <c:pt idx="1479">
                  <c:v>49452</c:v>
                </c:pt>
                <c:pt idx="1480">
                  <c:v>49459</c:v>
                </c:pt>
                <c:pt idx="1481">
                  <c:v>49466</c:v>
                </c:pt>
                <c:pt idx="1482">
                  <c:v>49473</c:v>
                </c:pt>
                <c:pt idx="1483">
                  <c:v>49480</c:v>
                </c:pt>
                <c:pt idx="1484">
                  <c:v>49487</c:v>
                </c:pt>
                <c:pt idx="1485">
                  <c:v>49495</c:v>
                </c:pt>
                <c:pt idx="1486">
                  <c:v>49502</c:v>
                </c:pt>
                <c:pt idx="1487">
                  <c:v>49509</c:v>
                </c:pt>
                <c:pt idx="1488">
                  <c:v>49516</c:v>
                </c:pt>
                <c:pt idx="1489">
                  <c:v>49523</c:v>
                </c:pt>
                <c:pt idx="1490">
                  <c:v>49530</c:v>
                </c:pt>
                <c:pt idx="1491">
                  <c:v>49537</c:v>
                </c:pt>
                <c:pt idx="1492">
                  <c:v>49544</c:v>
                </c:pt>
                <c:pt idx="1493">
                  <c:v>49551</c:v>
                </c:pt>
                <c:pt idx="1494">
                  <c:v>49558</c:v>
                </c:pt>
                <c:pt idx="1495">
                  <c:v>49565</c:v>
                </c:pt>
                <c:pt idx="1496">
                  <c:v>49572</c:v>
                </c:pt>
                <c:pt idx="1497">
                  <c:v>49579</c:v>
                </c:pt>
                <c:pt idx="1498">
                  <c:v>49586</c:v>
                </c:pt>
                <c:pt idx="1499">
                  <c:v>49593</c:v>
                </c:pt>
                <c:pt idx="1500">
                  <c:v>49600</c:v>
                </c:pt>
                <c:pt idx="1501">
                  <c:v>49607</c:v>
                </c:pt>
                <c:pt idx="1502">
                  <c:v>49614</c:v>
                </c:pt>
                <c:pt idx="1503">
                  <c:v>49621</c:v>
                </c:pt>
                <c:pt idx="1504">
                  <c:v>49628</c:v>
                </c:pt>
                <c:pt idx="1505">
                  <c:v>49636</c:v>
                </c:pt>
                <c:pt idx="1506">
                  <c:v>49643</c:v>
                </c:pt>
                <c:pt idx="1507">
                  <c:v>49650</c:v>
                </c:pt>
                <c:pt idx="1508">
                  <c:v>49657</c:v>
                </c:pt>
                <c:pt idx="1509">
                  <c:v>49664</c:v>
                </c:pt>
                <c:pt idx="1510">
                  <c:v>49671</c:v>
                </c:pt>
                <c:pt idx="1511">
                  <c:v>49678</c:v>
                </c:pt>
                <c:pt idx="1512">
                  <c:v>49685</c:v>
                </c:pt>
                <c:pt idx="1513">
                  <c:v>49692</c:v>
                </c:pt>
                <c:pt idx="1514">
                  <c:v>49699</c:v>
                </c:pt>
                <c:pt idx="1515">
                  <c:v>49706</c:v>
                </c:pt>
                <c:pt idx="1516">
                  <c:v>49713</c:v>
                </c:pt>
                <c:pt idx="1517">
                  <c:v>49720</c:v>
                </c:pt>
                <c:pt idx="1518">
                  <c:v>49727</c:v>
                </c:pt>
                <c:pt idx="1519">
                  <c:v>49734</c:v>
                </c:pt>
                <c:pt idx="1520">
                  <c:v>49741</c:v>
                </c:pt>
                <c:pt idx="1521">
                  <c:v>49748</c:v>
                </c:pt>
                <c:pt idx="1522">
                  <c:v>49755</c:v>
                </c:pt>
                <c:pt idx="1523">
                  <c:v>49762</c:v>
                </c:pt>
                <c:pt idx="1524">
                  <c:v>49769</c:v>
                </c:pt>
                <c:pt idx="1525">
                  <c:v>49776</c:v>
                </c:pt>
                <c:pt idx="1526">
                  <c:v>49783</c:v>
                </c:pt>
                <c:pt idx="1527">
                  <c:v>49790</c:v>
                </c:pt>
                <c:pt idx="1528">
                  <c:v>49797</c:v>
                </c:pt>
                <c:pt idx="1529">
                  <c:v>49804</c:v>
                </c:pt>
                <c:pt idx="1530">
                  <c:v>49811</c:v>
                </c:pt>
                <c:pt idx="1531">
                  <c:v>49818</c:v>
                </c:pt>
                <c:pt idx="1532">
                  <c:v>49825</c:v>
                </c:pt>
                <c:pt idx="1533">
                  <c:v>49832</c:v>
                </c:pt>
                <c:pt idx="1534">
                  <c:v>49839</c:v>
                </c:pt>
                <c:pt idx="1535">
                  <c:v>49846</c:v>
                </c:pt>
                <c:pt idx="1536">
                  <c:v>49853</c:v>
                </c:pt>
                <c:pt idx="1537">
                  <c:v>49863</c:v>
                </c:pt>
                <c:pt idx="1538">
                  <c:v>49870</c:v>
                </c:pt>
                <c:pt idx="1539">
                  <c:v>49877</c:v>
                </c:pt>
                <c:pt idx="1540">
                  <c:v>49884</c:v>
                </c:pt>
                <c:pt idx="1541">
                  <c:v>49891</c:v>
                </c:pt>
                <c:pt idx="1542">
                  <c:v>49898</c:v>
                </c:pt>
                <c:pt idx="1543">
                  <c:v>49905</c:v>
                </c:pt>
                <c:pt idx="1544">
                  <c:v>49912</c:v>
                </c:pt>
                <c:pt idx="1545">
                  <c:v>49920</c:v>
                </c:pt>
                <c:pt idx="1546">
                  <c:v>49927</c:v>
                </c:pt>
                <c:pt idx="1547">
                  <c:v>49934</c:v>
                </c:pt>
                <c:pt idx="1548">
                  <c:v>49941</c:v>
                </c:pt>
                <c:pt idx="1549">
                  <c:v>49948</c:v>
                </c:pt>
                <c:pt idx="1550">
                  <c:v>49955</c:v>
                </c:pt>
                <c:pt idx="1551">
                  <c:v>49962</c:v>
                </c:pt>
                <c:pt idx="1552">
                  <c:v>49969</c:v>
                </c:pt>
                <c:pt idx="1553">
                  <c:v>49976</c:v>
                </c:pt>
                <c:pt idx="1554">
                  <c:v>49983</c:v>
                </c:pt>
                <c:pt idx="1555">
                  <c:v>49991</c:v>
                </c:pt>
                <c:pt idx="1556">
                  <c:v>49998</c:v>
                </c:pt>
                <c:pt idx="1557">
                  <c:v>50005</c:v>
                </c:pt>
                <c:pt idx="1558">
                  <c:v>50012</c:v>
                </c:pt>
                <c:pt idx="1559">
                  <c:v>50019</c:v>
                </c:pt>
                <c:pt idx="1560">
                  <c:v>50026</c:v>
                </c:pt>
                <c:pt idx="1561">
                  <c:v>50033</c:v>
                </c:pt>
                <c:pt idx="1562">
                  <c:v>50040</c:v>
                </c:pt>
                <c:pt idx="1563">
                  <c:v>50047</c:v>
                </c:pt>
                <c:pt idx="1564">
                  <c:v>50054</c:v>
                </c:pt>
                <c:pt idx="1565">
                  <c:v>50061</c:v>
                </c:pt>
                <c:pt idx="1566">
                  <c:v>50068</c:v>
                </c:pt>
                <c:pt idx="1567">
                  <c:v>50075</c:v>
                </c:pt>
                <c:pt idx="1568">
                  <c:v>50082</c:v>
                </c:pt>
                <c:pt idx="1569">
                  <c:v>50089</c:v>
                </c:pt>
                <c:pt idx="1570">
                  <c:v>50096</c:v>
                </c:pt>
                <c:pt idx="1571">
                  <c:v>50103</c:v>
                </c:pt>
                <c:pt idx="1572">
                  <c:v>50110</c:v>
                </c:pt>
                <c:pt idx="1573">
                  <c:v>50117</c:v>
                </c:pt>
                <c:pt idx="1574">
                  <c:v>50124</c:v>
                </c:pt>
                <c:pt idx="1575">
                  <c:v>50131</c:v>
                </c:pt>
                <c:pt idx="1576">
                  <c:v>50138</c:v>
                </c:pt>
                <c:pt idx="1577">
                  <c:v>50145</c:v>
                </c:pt>
                <c:pt idx="1578">
                  <c:v>50152</c:v>
                </c:pt>
                <c:pt idx="1579">
                  <c:v>50159</c:v>
                </c:pt>
                <c:pt idx="1580">
                  <c:v>50166</c:v>
                </c:pt>
                <c:pt idx="1581">
                  <c:v>50173</c:v>
                </c:pt>
                <c:pt idx="1582">
                  <c:v>50180</c:v>
                </c:pt>
                <c:pt idx="1583">
                  <c:v>50187</c:v>
                </c:pt>
                <c:pt idx="1584">
                  <c:v>50194</c:v>
                </c:pt>
                <c:pt idx="1585">
                  <c:v>50201</c:v>
                </c:pt>
                <c:pt idx="1586">
                  <c:v>50208</c:v>
                </c:pt>
                <c:pt idx="1587">
                  <c:v>50215</c:v>
                </c:pt>
                <c:pt idx="1588">
                  <c:v>50222</c:v>
                </c:pt>
                <c:pt idx="1589">
                  <c:v>50229</c:v>
                </c:pt>
                <c:pt idx="1590">
                  <c:v>50236</c:v>
                </c:pt>
                <c:pt idx="1591">
                  <c:v>50243</c:v>
                </c:pt>
                <c:pt idx="1592">
                  <c:v>50250</c:v>
                </c:pt>
                <c:pt idx="1593">
                  <c:v>50257</c:v>
                </c:pt>
                <c:pt idx="1594">
                  <c:v>50264</c:v>
                </c:pt>
                <c:pt idx="1595">
                  <c:v>50271</c:v>
                </c:pt>
                <c:pt idx="1596">
                  <c:v>50278</c:v>
                </c:pt>
                <c:pt idx="1597">
                  <c:v>50285</c:v>
                </c:pt>
                <c:pt idx="1598">
                  <c:v>50292</c:v>
                </c:pt>
                <c:pt idx="1599">
                  <c:v>50299</c:v>
                </c:pt>
                <c:pt idx="1600">
                  <c:v>50306</c:v>
                </c:pt>
                <c:pt idx="1601">
                  <c:v>50313</c:v>
                </c:pt>
                <c:pt idx="1602">
                  <c:v>50320</c:v>
                </c:pt>
                <c:pt idx="1603">
                  <c:v>50327</c:v>
                </c:pt>
                <c:pt idx="1604">
                  <c:v>50334</c:v>
                </c:pt>
                <c:pt idx="1605">
                  <c:v>50341</c:v>
                </c:pt>
                <c:pt idx="1606">
                  <c:v>50348</c:v>
                </c:pt>
                <c:pt idx="1607">
                  <c:v>50356</c:v>
                </c:pt>
                <c:pt idx="1608">
                  <c:v>50363</c:v>
                </c:pt>
                <c:pt idx="1609">
                  <c:v>50371</c:v>
                </c:pt>
                <c:pt idx="1610">
                  <c:v>50378</c:v>
                </c:pt>
                <c:pt idx="1611">
                  <c:v>50385</c:v>
                </c:pt>
                <c:pt idx="1612">
                  <c:v>50392</c:v>
                </c:pt>
                <c:pt idx="1613">
                  <c:v>50402</c:v>
                </c:pt>
                <c:pt idx="1614">
                  <c:v>50409</c:v>
                </c:pt>
                <c:pt idx="1615">
                  <c:v>50416</c:v>
                </c:pt>
                <c:pt idx="1616">
                  <c:v>50424</c:v>
                </c:pt>
                <c:pt idx="1617">
                  <c:v>50431</c:v>
                </c:pt>
                <c:pt idx="1618">
                  <c:v>50438</c:v>
                </c:pt>
                <c:pt idx="1619">
                  <c:v>50445</c:v>
                </c:pt>
                <c:pt idx="1620">
                  <c:v>50452</c:v>
                </c:pt>
                <c:pt idx="1621">
                  <c:v>50459</c:v>
                </c:pt>
                <c:pt idx="1622">
                  <c:v>50466</c:v>
                </c:pt>
                <c:pt idx="1623">
                  <c:v>50473</c:v>
                </c:pt>
                <c:pt idx="1624">
                  <c:v>50480</c:v>
                </c:pt>
                <c:pt idx="1625">
                  <c:v>50487</c:v>
                </c:pt>
                <c:pt idx="1626">
                  <c:v>50494</c:v>
                </c:pt>
                <c:pt idx="1627">
                  <c:v>50501</c:v>
                </c:pt>
                <c:pt idx="1628">
                  <c:v>50508</c:v>
                </c:pt>
                <c:pt idx="1629">
                  <c:v>50515</c:v>
                </c:pt>
                <c:pt idx="1630">
                  <c:v>50522</c:v>
                </c:pt>
                <c:pt idx="1631">
                  <c:v>50529</c:v>
                </c:pt>
                <c:pt idx="1632">
                  <c:v>50536</c:v>
                </c:pt>
                <c:pt idx="1633">
                  <c:v>50543</c:v>
                </c:pt>
                <c:pt idx="1634">
                  <c:v>50550</c:v>
                </c:pt>
                <c:pt idx="1635">
                  <c:v>50557</c:v>
                </c:pt>
                <c:pt idx="1636">
                  <c:v>50564</c:v>
                </c:pt>
                <c:pt idx="1637">
                  <c:v>50571</c:v>
                </c:pt>
                <c:pt idx="1638">
                  <c:v>50578</c:v>
                </c:pt>
                <c:pt idx="1639">
                  <c:v>50585</c:v>
                </c:pt>
                <c:pt idx="1640">
                  <c:v>50592</c:v>
                </c:pt>
                <c:pt idx="1641">
                  <c:v>50599</c:v>
                </c:pt>
                <c:pt idx="1642">
                  <c:v>50606</c:v>
                </c:pt>
                <c:pt idx="1643">
                  <c:v>50613</c:v>
                </c:pt>
                <c:pt idx="1644">
                  <c:v>50620</c:v>
                </c:pt>
                <c:pt idx="1645">
                  <c:v>50627</c:v>
                </c:pt>
                <c:pt idx="1646">
                  <c:v>50634</c:v>
                </c:pt>
                <c:pt idx="1647">
                  <c:v>50641</c:v>
                </c:pt>
                <c:pt idx="1648">
                  <c:v>50648</c:v>
                </c:pt>
                <c:pt idx="1649">
                  <c:v>50655</c:v>
                </c:pt>
                <c:pt idx="1650">
                  <c:v>50662</c:v>
                </c:pt>
                <c:pt idx="1651">
                  <c:v>50669</c:v>
                </c:pt>
                <c:pt idx="1652">
                  <c:v>50676</c:v>
                </c:pt>
                <c:pt idx="1653">
                  <c:v>50683</c:v>
                </c:pt>
                <c:pt idx="1654">
                  <c:v>50690</c:v>
                </c:pt>
                <c:pt idx="1655">
                  <c:v>50697</c:v>
                </c:pt>
                <c:pt idx="1656">
                  <c:v>50704</c:v>
                </c:pt>
                <c:pt idx="1657">
                  <c:v>50711</c:v>
                </c:pt>
                <c:pt idx="1658">
                  <c:v>50718</c:v>
                </c:pt>
                <c:pt idx="1659">
                  <c:v>50725</c:v>
                </c:pt>
                <c:pt idx="1660">
                  <c:v>50732</c:v>
                </c:pt>
                <c:pt idx="1661">
                  <c:v>50739</c:v>
                </c:pt>
                <c:pt idx="1662">
                  <c:v>50746</c:v>
                </c:pt>
                <c:pt idx="1663">
                  <c:v>50753</c:v>
                </c:pt>
                <c:pt idx="1664">
                  <c:v>50760</c:v>
                </c:pt>
                <c:pt idx="1665">
                  <c:v>50767</c:v>
                </c:pt>
                <c:pt idx="1666">
                  <c:v>50774</c:v>
                </c:pt>
                <c:pt idx="1667">
                  <c:v>50781</c:v>
                </c:pt>
                <c:pt idx="1668">
                  <c:v>50788</c:v>
                </c:pt>
                <c:pt idx="1669">
                  <c:v>50795</c:v>
                </c:pt>
                <c:pt idx="1670">
                  <c:v>50802</c:v>
                </c:pt>
                <c:pt idx="1671">
                  <c:v>50809</c:v>
                </c:pt>
                <c:pt idx="1672">
                  <c:v>50816</c:v>
                </c:pt>
                <c:pt idx="1673">
                  <c:v>50823</c:v>
                </c:pt>
                <c:pt idx="1674">
                  <c:v>50830</c:v>
                </c:pt>
                <c:pt idx="1675">
                  <c:v>50837</c:v>
                </c:pt>
                <c:pt idx="1676">
                  <c:v>50844</c:v>
                </c:pt>
                <c:pt idx="1677">
                  <c:v>50851</c:v>
                </c:pt>
                <c:pt idx="1678">
                  <c:v>50858</c:v>
                </c:pt>
                <c:pt idx="1679">
                  <c:v>50865</c:v>
                </c:pt>
                <c:pt idx="1680">
                  <c:v>50872</c:v>
                </c:pt>
                <c:pt idx="1681">
                  <c:v>50879</c:v>
                </c:pt>
                <c:pt idx="1682">
                  <c:v>50886</c:v>
                </c:pt>
                <c:pt idx="1683">
                  <c:v>50893</c:v>
                </c:pt>
                <c:pt idx="1684">
                  <c:v>50900</c:v>
                </c:pt>
                <c:pt idx="1685">
                  <c:v>50907</c:v>
                </c:pt>
                <c:pt idx="1686">
                  <c:v>50914</c:v>
                </c:pt>
                <c:pt idx="1687">
                  <c:v>50921</c:v>
                </c:pt>
                <c:pt idx="1688">
                  <c:v>50928</c:v>
                </c:pt>
                <c:pt idx="1689">
                  <c:v>50935</c:v>
                </c:pt>
                <c:pt idx="1690">
                  <c:v>50942</c:v>
                </c:pt>
                <c:pt idx="1691">
                  <c:v>50949</c:v>
                </c:pt>
                <c:pt idx="1692">
                  <c:v>50956</c:v>
                </c:pt>
                <c:pt idx="1693">
                  <c:v>50963</c:v>
                </c:pt>
                <c:pt idx="1694">
                  <c:v>50970</c:v>
                </c:pt>
                <c:pt idx="1695">
                  <c:v>50977</c:v>
                </c:pt>
                <c:pt idx="1696">
                  <c:v>50984</c:v>
                </c:pt>
                <c:pt idx="1697">
                  <c:v>50991</c:v>
                </c:pt>
                <c:pt idx="1698">
                  <c:v>50998</c:v>
                </c:pt>
                <c:pt idx="1699">
                  <c:v>51005</c:v>
                </c:pt>
                <c:pt idx="1700">
                  <c:v>51012</c:v>
                </c:pt>
                <c:pt idx="1701">
                  <c:v>51019</c:v>
                </c:pt>
                <c:pt idx="1702">
                  <c:v>51026</c:v>
                </c:pt>
                <c:pt idx="1703">
                  <c:v>51033</c:v>
                </c:pt>
                <c:pt idx="1704">
                  <c:v>51040</c:v>
                </c:pt>
                <c:pt idx="1705">
                  <c:v>51047</c:v>
                </c:pt>
                <c:pt idx="1706">
                  <c:v>51054</c:v>
                </c:pt>
                <c:pt idx="1707">
                  <c:v>51061</c:v>
                </c:pt>
                <c:pt idx="1708">
                  <c:v>51068</c:v>
                </c:pt>
                <c:pt idx="1709">
                  <c:v>51075</c:v>
                </c:pt>
                <c:pt idx="1710">
                  <c:v>51082</c:v>
                </c:pt>
                <c:pt idx="1711">
                  <c:v>51089</c:v>
                </c:pt>
                <c:pt idx="1712">
                  <c:v>51096</c:v>
                </c:pt>
                <c:pt idx="1713">
                  <c:v>51103</c:v>
                </c:pt>
                <c:pt idx="1714">
                  <c:v>51110</c:v>
                </c:pt>
                <c:pt idx="1715">
                  <c:v>51117</c:v>
                </c:pt>
                <c:pt idx="1716">
                  <c:v>51124</c:v>
                </c:pt>
                <c:pt idx="1717">
                  <c:v>51131</c:v>
                </c:pt>
                <c:pt idx="1718">
                  <c:v>51138</c:v>
                </c:pt>
                <c:pt idx="1719">
                  <c:v>51145</c:v>
                </c:pt>
                <c:pt idx="1720">
                  <c:v>51152</c:v>
                </c:pt>
                <c:pt idx="1721">
                  <c:v>51159</c:v>
                </c:pt>
                <c:pt idx="1722">
                  <c:v>51166</c:v>
                </c:pt>
                <c:pt idx="1723">
                  <c:v>51173</c:v>
                </c:pt>
                <c:pt idx="1724">
                  <c:v>51180</c:v>
                </c:pt>
                <c:pt idx="1725">
                  <c:v>51187</c:v>
                </c:pt>
                <c:pt idx="1726">
                  <c:v>51194</c:v>
                </c:pt>
                <c:pt idx="1727">
                  <c:v>51201</c:v>
                </c:pt>
                <c:pt idx="1728">
                  <c:v>51208</c:v>
                </c:pt>
                <c:pt idx="1729">
                  <c:v>51215</c:v>
                </c:pt>
                <c:pt idx="1730">
                  <c:v>51222</c:v>
                </c:pt>
                <c:pt idx="1731">
                  <c:v>51229</c:v>
                </c:pt>
                <c:pt idx="1732">
                  <c:v>51236</c:v>
                </c:pt>
                <c:pt idx="1733">
                  <c:v>51243</c:v>
                </c:pt>
                <c:pt idx="1734">
                  <c:v>51250</c:v>
                </c:pt>
                <c:pt idx="1735">
                  <c:v>51257</c:v>
                </c:pt>
                <c:pt idx="1736">
                  <c:v>51264</c:v>
                </c:pt>
                <c:pt idx="1737">
                  <c:v>51271</c:v>
                </c:pt>
                <c:pt idx="1738">
                  <c:v>51278</c:v>
                </c:pt>
                <c:pt idx="1739">
                  <c:v>51285</c:v>
                </c:pt>
                <c:pt idx="1740">
                  <c:v>51292</c:v>
                </c:pt>
                <c:pt idx="1741">
                  <c:v>51299</c:v>
                </c:pt>
                <c:pt idx="1742">
                  <c:v>51306</c:v>
                </c:pt>
                <c:pt idx="1743">
                  <c:v>51313</c:v>
                </c:pt>
                <c:pt idx="1744">
                  <c:v>51320</c:v>
                </c:pt>
                <c:pt idx="1745">
                  <c:v>51327</c:v>
                </c:pt>
                <c:pt idx="1746">
                  <c:v>51334</c:v>
                </c:pt>
                <c:pt idx="1747">
                  <c:v>51341</c:v>
                </c:pt>
                <c:pt idx="1748">
                  <c:v>51348</c:v>
                </c:pt>
                <c:pt idx="1749">
                  <c:v>51355</c:v>
                </c:pt>
                <c:pt idx="1750">
                  <c:v>51362</c:v>
                </c:pt>
                <c:pt idx="1751">
                  <c:v>51369</c:v>
                </c:pt>
                <c:pt idx="1752">
                  <c:v>51376</c:v>
                </c:pt>
                <c:pt idx="1753">
                  <c:v>51383</c:v>
                </c:pt>
                <c:pt idx="1754">
                  <c:v>51390</c:v>
                </c:pt>
                <c:pt idx="1755">
                  <c:v>51397</c:v>
                </c:pt>
                <c:pt idx="1756">
                  <c:v>51404</c:v>
                </c:pt>
                <c:pt idx="1757">
                  <c:v>51411</c:v>
                </c:pt>
                <c:pt idx="1758">
                  <c:v>51418</c:v>
                </c:pt>
                <c:pt idx="1759">
                  <c:v>51425</c:v>
                </c:pt>
                <c:pt idx="1760">
                  <c:v>51432</c:v>
                </c:pt>
                <c:pt idx="1761">
                  <c:v>51439</c:v>
                </c:pt>
                <c:pt idx="1762">
                  <c:v>51446</c:v>
                </c:pt>
                <c:pt idx="1763">
                  <c:v>51453</c:v>
                </c:pt>
                <c:pt idx="1764">
                  <c:v>51460</c:v>
                </c:pt>
                <c:pt idx="1765">
                  <c:v>51467</c:v>
                </c:pt>
                <c:pt idx="1766">
                  <c:v>51474</c:v>
                </c:pt>
                <c:pt idx="1767">
                  <c:v>51481</c:v>
                </c:pt>
                <c:pt idx="1768">
                  <c:v>51488</c:v>
                </c:pt>
                <c:pt idx="1769">
                  <c:v>51496</c:v>
                </c:pt>
                <c:pt idx="1770">
                  <c:v>51503</c:v>
                </c:pt>
                <c:pt idx="1771">
                  <c:v>51510</c:v>
                </c:pt>
                <c:pt idx="1772">
                  <c:v>51517</c:v>
                </c:pt>
                <c:pt idx="1773">
                  <c:v>51524</c:v>
                </c:pt>
                <c:pt idx="1774">
                  <c:v>51531</c:v>
                </c:pt>
                <c:pt idx="1775">
                  <c:v>51538</c:v>
                </c:pt>
                <c:pt idx="1776">
                  <c:v>51545</c:v>
                </c:pt>
                <c:pt idx="1777">
                  <c:v>51552</c:v>
                </c:pt>
                <c:pt idx="1778">
                  <c:v>51559</c:v>
                </c:pt>
                <c:pt idx="1779">
                  <c:v>51566</c:v>
                </c:pt>
                <c:pt idx="1780">
                  <c:v>51573</c:v>
                </c:pt>
                <c:pt idx="1781">
                  <c:v>51580</c:v>
                </c:pt>
                <c:pt idx="1782">
                  <c:v>51587</c:v>
                </c:pt>
                <c:pt idx="1783">
                  <c:v>51594</c:v>
                </c:pt>
                <c:pt idx="1784">
                  <c:v>51601</c:v>
                </c:pt>
                <c:pt idx="1785">
                  <c:v>51608</c:v>
                </c:pt>
                <c:pt idx="1786">
                  <c:v>51615</c:v>
                </c:pt>
                <c:pt idx="1787">
                  <c:v>51622</c:v>
                </c:pt>
                <c:pt idx="1788">
                  <c:v>51629</c:v>
                </c:pt>
                <c:pt idx="1789">
                  <c:v>51636</c:v>
                </c:pt>
                <c:pt idx="1790">
                  <c:v>51643</c:v>
                </c:pt>
                <c:pt idx="1791">
                  <c:v>51650</c:v>
                </c:pt>
                <c:pt idx="1792">
                  <c:v>51657</c:v>
                </c:pt>
                <c:pt idx="1793">
                  <c:v>51664</c:v>
                </c:pt>
                <c:pt idx="1794">
                  <c:v>51671</c:v>
                </c:pt>
                <c:pt idx="1795">
                  <c:v>51678</c:v>
                </c:pt>
                <c:pt idx="1796">
                  <c:v>51685</c:v>
                </c:pt>
                <c:pt idx="1797">
                  <c:v>51692</c:v>
                </c:pt>
                <c:pt idx="1798">
                  <c:v>51699</c:v>
                </c:pt>
                <c:pt idx="1799">
                  <c:v>51706</c:v>
                </c:pt>
                <c:pt idx="1800">
                  <c:v>51713</c:v>
                </c:pt>
                <c:pt idx="1801">
                  <c:v>51720</c:v>
                </c:pt>
                <c:pt idx="1802">
                  <c:v>51727</c:v>
                </c:pt>
                <c:pt idx="1803">
                  <c:v>51734</c:v>
                </c:pt>
                <c:pt idx="1804">
                  <c:v>51741</c:v>
                </c:pt>
                <c:pt idx="1805">
                  <c:v>51748</c:v>
                </c:pt>
                <c:pt idx="1806">
                  <c:v>51755</c:v>
                </c:pt>
                <c:pt idx="1807">
                  <c:v>51762</c:v>
                </c:pt>
                <c:pt idx="1808">
                  <c:v>51769</c:v>
                </c:pt>
                <c:pt idx="1809">
                  <c:v>51776</c:v>
                </c:pt>
                <c:pt idx="1810">
                  <c:v>51783</c:v>
                </c:pt>
                <c:pt idx="1811">
                  <c:v>51790</c:v>
                </c:pt>
                <c:pt idx="1812">
                  <c:v>51797</c:v>
                </c:pt>
                <c:pt idx="1813">
                  <c:v>51804</c:v>
                </c:pt>
                <c:pt idx="1814">
                  <c:v>51811</c:v>
                </c:pt>
                <c:pt idx="1815">
                  <c:v>51818</c:v>
                </c:pt>
                <c:pt idx="1816">
                  <c:v>51825</c:v>
                </c:pt>
                <c:pt idx="1817">
                  <c:v>51832</c:v>
                </c:pt>
                <c:pt idx="1818">
                  <c:v>51839</c:v>
                </c:pt>
                <c:pt idx="1819">
                  <c:v>51846</c:v>
                </c:pt>
                <c:pt idx="1820">
                  <c:v>51853</c:v>
                </c:pt>
                <c:pt idx="1821">
                  <c:v>51861</c:v>
                </c:pt>
                <c:pt idx="1822">
                  <c:v>51868</c:v>
                </c:pt>
                <c:pt idx="1823">
                  <c:v>51875</c:v>
                </c:pt>
                <c:pt idx="1824">
                  <c:v>51882</c:v>
                </c:pt>
                <c:pt idx="1825">
                  <c:v>51889</c:v>
                </c:pt>
                <c:pt idx="1826">
                  <c:v>51896</c:v>
                </c:pt>
                <c:pt idx="1827">
                  <c:v>51903</c:v>
                </c:pt>
                <c:pt idx="1828">
                  <c:v>51910</c:v>
                </c:pt>
                <c:pt idx="1829">
                  <c:v>51917</c:v>
                </c:pt>
                <c:pt idx="1830">
                  <c:v>51924</c:v>
                </c:pt>
                <c:pt idx="1831">
                  <c:v>51931</c:v>
                </c:pt>
                <c:pt idx="1832">
                  <c:v>51938</c:v>
                </c:pt>
                <c:pt idx="1833">
                  <c:v>51945</c:v>
                </c:pt>
                <c:pt idx="1834">
                  <c:v>51952</c:v>
                </c:pt>
                <c:pt idx="1835">
                  <c:v>51959</c:v>
                </c:pt>
                <c:pt idx="1836">
                  <c:v>51966</c:v>
                </c:pt>
                <c:pt idx="1837">
                  <c:v>51973</c:v>
                </c:pt>
                <c:pt idx="1838">
                  <c:v>51980</c:v>
                </c:pt>
                <c:pt idx="1839">
                  <c:v>51987</c:v>
                </c:pt>
                <c:pt idx="1840">
                  <c:v>51994</c:v>
                </c:pt>
                <c:pt idx="1841">
                  <c:v>52001</c:v>
                </c:pt>
                <c:pt idx="1842">
                  <c:v>52008</c:v>
                </c:pt>
                <c:pt idx="1843">
                  <c:v>52015</c:v>
                </c:pt>
                <c:pt idx="1844">
                  <c:v>52022</c:v>
                </c:pt>
                <c:pt idx="1845">
                  <c:v>52029</c:v>
                </c:pt>
                <c:pt idx="1846">
                  <c:v>52036</c:v>
                </c:pt>
                <c:pt idx="1847">
                  <c:v>52043</c:v>
                </c:pt>
                <c:pt idx="1848">
                  <c:v>52050</c:v>
                </c:pt>
                <c:pt idx="1849">
                  <c:v>52057</c:v>
                </c:pt>
                <c:pt idx="1850">
                  <c:v>52064</c:v>
                </c:pt>
                <c:pt idx="1851">
                  <c:v>52071</c:v>
                </c:pt>
                <c:pt idx="1852">
                  <c:v>52078</c:v>
                </c:pt>
                <c:pt idx="1853">
                  <c:v>52085</c:v>
                </c:pt>
                <c:pt idx="1854">
                  <c:v>52092</c:v>
                </c:pt>
                <c:pt idx="1855">
                  <c:v>52099</c:v>
                </c:pt>
                <c:pt idx="1856">
                  <c:v>52106</c:v>
                </c:pt>
                <c:pt idx="1857">
                  <c:v>52113</c:v>
                </c:pt>
                <c:pt idx="1858">
                  <c:v>52120</c:v>
                </c:pt>
                <c:pt idx="1859">
                  <c:v>52127</c:v>
                </c:pt>
                <c:pt idx="1860">
                  <c:v>52134</c:v>
                </c:pt>
                <c:pt idx="1861">
                  <c:v>52141</c:v>
                </c:pt>
                <c:pt idx="1862">
                  <c:v>52148</c:v>
                </c:pt>
                <c:pt idx="1863">
                  <c:v>52155</c:v>
                </c:pt>
                <c:pt idx="1864">
                  <c:v>52162</c:v>
                </c:pt>
                <c:pt idx="1865">
                  <c:v>52169</c:v>
                </c:pt>
                <c:pt idx="1866">
                  <c:v>52176</c:v>
                </c:pt>
                <c:pt idx="1867">
                  <c:v>52183</c:v>
                </c:pt>
                <c:pt idx="1868">
                  <c:v>52190</c:v>
                </c:pt>
                <c:pt idx="1869">
                  <c:v>52198</c:v>
                </c:pt>
                <c:pt idx="1870">
                  <c:v>52205</c:v>
                </c:pt>
                <c:pt idx="1871">
                  <c:v>52212</c:v>
                </c:pt>
                <c:pt idx="1872">
                  <c:v>52219</c:v>
                </c:pt>
                <c:pt idx="1873">
                  <c:v>52226</c:v>
                </c:pt>
                <c:pt idx="1874">
                  <c:v>52233</c:v>
                </c:pt>
                <c:pt idx="1875">
                  <c:v>52240</c:v>
                </c:pt>
                <c:pt idx="1876">
                  <c:v>52247</c:v>
                </c:pt>
                <c:pt idx="1877">
                  <c:v>52254</c:v>
                </c:pt>
                <c:pt idx="1878">
                  <c:v>52261</c:v>
                </c:pt>
                <c:pt idx="1879">
                  <c:v>52268</c:v>
                </c:pt>
                <c:pt idx="1880">
                  <c:v>52275</c:v>
                </c:pt>
                <c:pt idx="1881">
                  <c:v>52282</c:v>
                </c:pt>
                <c:pt idx="1882">
                  <c:v>52289</c:v>
                </c:pt>
                <c:pt idx="1883">
                  <c:v>52296</c:v>
                </c:pt>
                <c:pt idx="1884">
                  <c:v>52303</c:v>
                </c:pt>
                <c:pt idx="1885">
                  <c:v>52310</c:v>
                </c:pt>
                <c:pt idx="1886">
                  <c:v>52317</c:v>
                </c:pt>
                <c:pt idx="1887">
                  <c:v>52324</c:v>
                </c:pt>
                <c:pt idx="1888">
                  <c:v>52331</c:v>
                </c:pt>
                <c:pt idx="1889">
                  <c:v>52338</c:v>
                </c:pt>
                <c:pt idx="1890">
                  <c:v>52345</c:v>
                </c:pt>
                <c:pt idx="1891">
                  <c:v>52352</c:v>
                </c:pt>
                <c:pt idx="1892">
                  <c:v>52359</c:v>
                </c:pt>
                <c:pt idx="1893">
                  <c:v>52366</c:v>
                </c:pt>
                <c:pt idx="1894">
                  <c:v>52373</c:v>
                </c:pt>
                <c:pt idx="1895">
                  <c:v>52380</c:v>
                </c:pt>
                <c:pt idx="1896">
                  <c:v>52387</c:v>
                </c:pt>
                <c:pt idx="1897">
                  <c:v>52394</c:v>
                </c:pt>
                <c:pt idx="1898">
                  <c:v>52401</c:v>
                </c:pt>
                <c:pt idx="1899">
                  <c:v>52408</c:v>
                </c:pt>
                <c:pt idx="1900">
                  <c:v>52418</c:v>
                </c:pt>
                <c:pt idx="1901">
                  <c:v>52425</c:v>
                </c:pt>
                <c:pt idx="1902">
                  <c:v>52432</c:v>
                </c:pt>
                <c:pt idx="1903">
                  <c:v>52439</c:v>
                </c:pt>
                <c:pt idx="1904">
                  <c:v>52446</c:v>
                </c:pt>
                <c:pt idx="1905">
                  <c:v>52453</c:v>
                </c:pt>
                <c:pt idx="1906">
                  <c:v>52460</c:v>
                </c:pt>
                <c:pt idx="1907">
                  <c:v>52467</c:v>
                </c:pt>
                <c:pt idx="1908">
                  <c:v>52474</c:v>
                </c:pt>
                <c:pt idx="1909">
                  <c:v>52482</c:v>
                </c:pt>
                <c:pt idx="1910">
                  <c:v>52489</c:v>
                </c:pt>
                <c:pt idx="1911">
                  <c:v>52496</c:v>
                </c:pt>
                <c:pt idx="1912">
                  <c:v>52503</c:v>
                </c:pt>
                <c:pt idx="1913">
                  <c:v>52510</c:v>
                </c:pt>
                <c:pt idx="1914">
                  <c:v>52517</c:v>
                </c:pt>
                <c:pt idx="1915">
                  <c:v>52524</c:v>
                </c:pt>
                <c:pt idx="1916">
                  <c:v>52531</c:v>
                </c:pt>
                <c:pt idx="1917">
                  <c:v>52538</c:v>
                </c:pt>
                <c:pt idx="1918">
                  <c:v>52545</c:v>
                </c:pt>
                <c:pt idx="1919">
                  <c:v>52552</c:v>
                </c:pt>
                <c:pt idx="1920">
                  <c:v>52559</c:v>
                </c:pt>
                <c:pt idx="1921">
                  <c:v>52566</c:v>
                </c:pt>
                <c:pt idx="1922">
                  <c:v>52573</c:v>
                </c:pt>
                <c:pt idx="1923">
                  <c:v>52580</c:v>
                </c:pt>
                <c:pt idx="1924">
                  <c:v>52587</c:v>
                </c:pt>
                <c:pt idx="1925">
                  <c:v>52594</c:v>
                </c:pt>
                <c:pt idx="1926">
                  <c:v>52601</c:v>
                </c:pt>
                <c:pt idx="1927">
                  <c:v>52608</c:v>
                </c:pt>
                <c:pt idx="1928">
                  <c:v>52615</c:v>
                </c:pt>
                <c:pt idx="1929">
                  <c:v>52622</c:v>
                </c:pt>
                <c:pt idx="1930">
                  <c:v>52629</c:v>
                </c:pt>
                <c:pt idx="1931">
                  <c:v>52636</c:v>
                </c:pt>
                <c:pt idx="1932">
                  <c:v>52643</c:v>
                </c:pt>
                <c:pt idx="1933">
                  <c:v>52650</c:v>
                </c:pt>
                <c:pt idx="1934">
                  <c:v>52657</c:v>
                </c:pt>
                <c:pt idx="1935">
                  <c:v>52664</c:v>
                </c:pt>
                <c:pt idx="1936">
                  <c:v>52671</c:v>
                </c:pt>
                <c:pt idx="1937">
                  <c:v>52678</c:v>
                </c:pt>
                <c:pt idx="1938">
                  <c:v>52685</c:v>
                </c:pt>
                <c:pt idx="1939">
                  <c:v>52692</c:v>
                </c:pt>
                <c:pt idx="1940">
                  <c:v>52699</c:v>
                </c:pt>
                <c:pt idx="1941">
                  <c:v>52706</c:v>
                </c:pt>
                <c:pt idx="1942">
                  <c:v>52713</c:v>
                </c:pt>
                <c:pt idx="1943">
                  <c:v>52720</c:v>
                </c:pt>
                <c:pt idx="1944">
                  <c:v>52727</c:v>
                </c:pt>
                <c:pt idx="1945">
                  <c:v>52734</c:v>
                </c:pt>
                <c:pt idx="1946">
                  <c:v>52741</c:v>
                </c:pt>
                <c:pt idx="1947">
                  <c:v>52748</c:v>
                </c:pt>
                <c:pt idx="1948">
                  <c:v>52755</c:v>
                </c:pt>
                <c:pt idx="1949">
                  <c:v>52762</c:v>
                </c:pt>
                <c:pt idx="1950">
                  <c:v>52769</c:v>
                </c:pt>
                <c:pt idx="1951">
                  <c:v>52776</c:v>
                </c:pt>
                <c:pt idx="1952">
                  <c:v>52783</c:v>
                </c:pt>
                <c:pt idx="1953">
                  <c:v>52790</c:v>
                </c:pt>
                <c:pt idx="1954">
                  <c:v>52797</c:v>
                </c:pt>
                <c:pt idx="1955">
                  <c:v>52804</c:v>
                </c:pt>
                <c:pt idx="1956">
                  <c:v>52811</c:v>
                </c:pt>
                <c:pt idx="1957">
                  <c:v>52818</c:v>
                </c:pt>
                <c:pt idx="1958">
                  <c:v>52825</c:v>
                </c:pt>
                <c:pt idx="1959">
                  <c:v>52832</c:v>
                </c:pt>
                <c:pt idx="1960">
                  <c:v>52839</c:v>
                </c:pt>
                <c:pt idx="1961">
                  <c:v>52846</c:v>
                </c:pt>
                <c:pt idx="1962">
                  <c:v>52853</c:v>
                </c:pt>
                <c:pt idx="1963">
                  <c:v>52860</c:v>
                </c:pt>
                <c:pt idx="1964">
                  <c:v>52867</c:v>
                </c:pt>
                <c:pt idx="1965">
                  <c:v>52874</c:v>
                </c:pt>
                <c:pt idx="1966">
                  <c:v>52881</c:v>
                </c:pt>
                <c:pt idx="1967">
                  <c:v>52888</c:v>
                </c:pt>
                <c:pt idx="1968">
                  <c:v>52895</c:v>
                </c:pt>
                <c:pt idx="1969">
                  <c:v>52902</c:v>
                </c:pt>
                <c:pt idx="1970">
                  <c:v>52909</c:v>
                </c:pt>
                <c:pt idx="1971">
                  <c:v>52916</c:v>
                </c:pt>
                <c:pt idx="1972">
                  <c:v>52923</c:v>
                </c:pt>
                <c:pt idx="1973">
                  <c:v>52930</c:v>
                </c:pt>
                <c:pt idx="1974">
                  <c:v>52937</c:v>
                </c:pt>
                <c:pt idx="1975">
                  <c:v>52944</c:v>
                </c:pt>
                <c:pt idx="1976">
                  <c:v>52951</c:v>
                </c:pt>
                <c:pt idx="1977">
                  <c:v>52958</c:v>
                </c:pt>
                <c:pt idx="1978">
                  <c:v>52965</c:v>
                </c:pt>
                <c:pt idx="1979">
                  <c:v>52972</c:v>
                </c:pt>
                <c:pt idx="1980">
                  <c:v>52979</c:v>
                </c:pt>
                <c:pt idx="1981">
                  <c:v>52986</c:v>
                </c:pt>
                <c:pt idx="1982">
                  <c:v>52993</c:v>
                </c:pt>
                <c:pt idx="1983">
                  <c:v>53000</c:v>
                </c:pt>
                <c:pt idx="1984">
                  <c:v>53007</c:v>
                </c:pt>
                <c:pt idx="1985">
                  <c:v>53014</c:v>
                </c:pt>
                <c:pt idx="1986">
                  <c:v>53021</c:v>
                </c:pt>
                <c:pt idx="1987">
                  <c:v>53028</c:v>
                </c:pt>
                <c:pt idx="1988">
                  <c:v>53035</c:v>
                </c:pt>
                <c:pt idx="1989">
                  <c:v>53042</c:v>
                </c:pt>
                <c:pt idx="1990">
                  <c:v>53049</c:v>
                </c:pt>
                <c:pt idx="1991">
                  <c:v>53056</c:v>
                </c:pt>
                <c:pt idx="1992">
                  <c:v>53063</c:v>
                </c:pt>
                <c:pt idx="1993">
                  <c:v>53070</c:v>
                </c:pt>
                <c:pt idx="1994">
                  <c:v>53077</c:v>
                </c:pt>
                <c:pt idx="1995">
                  <c:v>53084</c:v>
                </c:pt>
                <c:pt idx="1996">
                  <c:v>53091</c:v>
                </c:pt>
                <c:pt idx="1997">
                  <c:v>53098</c:v>
                </c:pt>
                <c:pt idx="1998">
                  <c:v>53105</c:v>
                </c:pt>
                <c:pt idx="1999">
                  <c:v>53112</c:v>
                </c:pt>
                <c:pt idx="2000">
                  <c:v>53119</c:v>
                </c:pt>
                <c:pt idx="2001">
                  <c:v>53126</c:v>
                </c:pt>
                <c:pt idx="2002">
                  <c:v>53133</c:v>
                </c:pt>
                <c:pt idx="2003">
                  <c:v>53140</c:v>
                </c:pt>
                <c:pt idx="2004">
                  <c:v>53148</c:v>
                </c:pt>
                <c:pt idx="2005">
                  <c:v>53155</c:v>
                </c:pt>
                <c:pt idx="2006">
                  <c:v>53162</c:v>
                </c:pt>
                <c:pt idx="2007">
                  <c:v>53169</c:v>
                </c:pt>
                <c:pt idx="2008">
                  <c:v>53176</c:v>
                </c:pt>
                <c:pt idx="2009">
                  <c:v>53183</c:v>
                </c:pt>
                <c:pt idx="2010">
                  <c:v>53190</c:v>
                </c:pt>
                <c:pt idx="2011">
                  <c:v>53197</c:v>
                </c:pt>
                <c:pt idx="2012">
                  <c:v>53204</c:v>
                </c:pt>
                <c:pt idx="2013">
                  <c:v>53211</c:v>
                </c:pt>
                <c:pt idx="2014">
                  <c:v>53218</c:v>
                </c:pt>
                <c:pt idx="2015">
                  <c:v>53225</c:v>
                </c:pt>
                <c:pt idx="2016">
                  <c:v>53232</c:v>
                </c:pt>
                <c:pt idx="2017">
                  <c:v>53239</c:v>
                </c:pt>
                <c:pt idx="2018">
                  <c:v>53246</c:v>
                </c:pt>
                <c:pt idx="2019">
                  <c:v>53253</c:v>
                </c:pt>
                <c:pt idx="2020">
                  <c:v>53260</c:v>
                </c:pt>
                <c:pt idx="2021">
                  <c:v>53267</c:v>
                </c:pt>
                <c:pt idx="2022">
                  <c:v>53274</c:v>
                </c:pt>
                <c:pt idx="2023">
                  <c:v>53281</c:v>
                </c:pt>
                <c:pt idx="2024">
                  <c:v>53288</c:v>
                </c:pt>
                <c:pt idx="2025">
                  <c:v>53295</c:v>
                </c:pt>
                <c:pt idx="2026">
                  <c:v>53302</c:v>
                </c:pt>
                <c:pt idx="2027">
                  <c:v>53309</c:v>
                </c:pt>
                <c:pt idx="2028">
                  <c:v>53316</c:v>
                </c:pt>
                <c:pt idx="2029">
                  <c:v>53323</c:v>
                </c:pt>
                <c:pt idx="2030">
                  <c:v>53330</c:v>
                </c:pt>
                <c:pt idx="2031">
                  <c:v>53337</c:v>
                </c:pt>
                <c:pt idx="2032">
                  <c:v>53344</c:v>
                </c:pt>
                <c:pt idx="2033">
                  <c:v>53351</c:v>
                </c:pt>
                <c:pt idx="2034">
                  <c:v>53358</c:v>
                </c:pt>
                <c:pt idx="2035">
                  <c:v>53365</c:v>
                </c:pt>
                <c:pt idx="2036">
                  <c:v>53372</c:v>
                </c:pt>
                <c:pt idx="2037">
                  <c:v>53379</c:v>
                </c:pt>
                <c:pt idx="2038">
                  <c:v>53386</c:v>
                </c:pt>
                <c:pt idx="2039">
                  <c:v>53393</c:v>
                </c:pt>
                <c:pt idx="2040">
                  <c:v>53400</c:v>
                </c:pt>
                <c:pt idx="2041">
                  <c:v>53407</c:v>
                </c:pt>
                <c:pt idx="2042">
                  <c:v>53414</c:v>
                </c:pt>
                <c:pt idx="2043">
                  <c:v>53421</c:v>
                </c:pt>
                <c:pt idx="2044">
                  <c:v>53428</c:v>
                </c:pt>
                <c:pt idx="2045">
                  <c:v>53435</c:v>
                </c:pt>
                <c:pt idx="2046">
                  <c:v>53442</c:v>
                </c:pt>
                <c:pt idx="2047">
                  <c:v>53449</c:v>
                </c:pt>
                <c:pt idx="2048">
                  <c:v>53456</c:v>
                </c:pt>
                <c:pt idx="2049">
                  <c:v>53463</c:v>
                </c:pt>
                <c:pt idx="2050">
                  <c:v>53470</c:v>
                </c:pt>
                <c:pt idx="2051">
                  <c:v>53477</c:v>
                </c:pt>
                <c:pt idx="2052">
                  <c:v>53484</c:v>
                </c:pt>
                <c:pt idx="2053">
                  <c:v>53491</c:v>
                </c:pt>
                <c:pt idx="2054">
                  <c:v>53498</c:v>
                </c:pt>
                <c:pt idx="2055">
                  <c:v>53505</c:v>
                </c:pt>
                <c:pt idx="2056">
                  <c:v>53513</c:v>
                </c:pt>
                <c:pt idx="2057">
                  <c:v>53520</c:v>
                </c:pt>
                <c:pt idx="2058">
                  <c:v>53527</c:v>
                </c:pt>
                <c:pt idx="2059">
                  <c:v>53534</c:v>
                </c:pt>
                <c:pt idx="2060">
                  <c:v>53541</c:v>
                </c:pt>
                <c:pt idx="2061">
                  <c:v>53548</c:v>
                </c:pt>
                <c:pt idx="2062">
                  <c:v>53555</c:v>
                </c:pt>
                <c:pt idx="2063">
                  <c:v>53562</c:v>
                </c:pt>
                <c:pt idx="2064">
                  <c:v>53569</c:v>
                </c:pt>
                <c:pt idx="2065">
                  <c:v>53576</c:v>
                </c:pt>
                <c:pt idx="2066">
                  <c:v>53583</c:v>
                </c:pt>
                <c:pt idx="2067">
                  <c:v>53590</c:v>
                </c:pt>
                <c:pt idx="2068">
                  <c:v>53597</c:v>
                </c:pt>
                <c:pt idx="2069">
                  <c:v>53604</c:v>
                </c:pt>
                <c:pt idx="2070">
                  <c:v>53611</c:v>
                </c:pt>
                <c:pt idx="2071">
                  <c:v>53618</c:v>
                </c:pt>
                <c:pt idx="2072">
                  <c:v>53625</c:v>
                </c:pt>
                <c:pt idx="2073">
                  <c:v>53632</c:v>
                </c:pt>
                <c:pt idx="2074">
                  <c:v>53639</c:v>
                </c:pt>
                <c:pt idx="2075">
                  <c:v>53646</c:v>
                </c:pt>
                <c:pt idx="2076">
                  <c:v>53654</c:v>
                </c:pt>
                <c:pt idx="2077">
                  <c:v>53661</c:v>
                </c:pt>
                <c:pt idx="2078">
                  <c:v>53668</c:v>
                </c:pt>
                <c:pt idx="2079">
                  <c:v>53675</c:v>
                </c:pt>
                <c:pt idx="2080">
                  <c:v>53682</c:v>
                </c:pt>
                <c:pt idx="2081">
                  <c:v>53689</c:v>
                </c:pt>
                <c:pt idx="2082">
                  <c:v>53696</c:v>
                </c:pt>
                <c:pt idx="2083">
                  <c:v>53703</c:v>
                </c:pt>
                <c:pt idx="2084">
                  <c:v>53710</c:v>
                </c:pt>
                <c:pt idx="2085">
                  <c:v>53717</c:v>
                </c:pt>
                <c:pt idx="2086">
                  <c:v>53724</c:v>
                </c:pt>
                <c:pt idx="2087">
                  <c:v>53731</c:v>
                </c:pt>
                <c:pt idx="2088">
                  <c:v>53738</c:v>
                </c:pt>
                <c:pt idx="2089">
                  <c:v>53745</c:v>
                </c:pt>
                <c:pt idx="2090">
                  <c:v>53752</c:v>
                </c:pt>
                <c:pt idx="2091">
                  <c:v>53759</c:v>
                </c:pt>
                <c:pt idx="2092">
                  <c:v>53766</c:v>
                </c:pt>
                <c:pt idx="2093">
                  <c:v>53773</c:v>
                </c:pt>
                <c:pt idx="2094">
                  <c:v>53780</c:v>
                </c:pt>
                <c:pt idx="2095">
                  <c:v>53787</c:v>
                </c:pt>
                <c:pt idx="2096">
                  <c:v>53794</c:v>
                </c:pt>
                <c:pt idx="2097">
                  <c:v>53801</c:v>
                </c:pt>
                <c:pt idx="2098">
                  <c:v>53808</c:v>
                </c:pt>
                <c:pt idx="2099">
                  <c:v>53815</c:v>
                </c:pt>
                <c:pt idx="2100">
                  <c:v>53822</c:v>
                </c:pt>
                <c:pt idx="2101">
                  <c:v>53829</c:v>
                </c:pt>
                <c:pt idx="2102">
                  <c:v>53836</c:v>
                </c:pt>
                <c:pt idx="2103">
                  <c:v>53843</c:v>
                </c:pt>
                <c:pt idx="2104">
                  <c:v>53850</c:v>
                </c:pt>
                <c:pt idx="2105">
                  <c:v>53857</c:v>
                </c:pt>
                <c:pt idx="2106">
                  <c:v>53864</c:v>
                </c:pt>
                <c:pt idx="2107">
                  <c:v>53871</c:v>
                </c:pt>
                <c:pt idx="2108">
                  <c:v>53878</c:v>
                </c:pt>
                <c:pt idx="2109">
                  <c:v>53885</c:v>
                </c:pt>
                <c:pt idx="2110">
                  <c:v>53892</c:v>
                </c:pt>
                <c:pt idx="2111">
                  <c:v>53899</c:v>
                </c:pt>
                <c:pt idx="2112">
                  <c:v>53906</c:v>
                </c:pt>
                <c:pt idx="2113">
                  <c:v>53913</c:v>
                </c:pt>
                <c:pt idx="2114">
                  <c:v>53920</c:v>
                </c:pt>
                <c:pt idx="2115">
                  <c:v>53927</c:v>
                </c:pt>
                <c:pt idx="2116">
                  <c:v>53934</c:v>
                </c:pt>
                <c:pt idx="2117">
                  <c:v>53941</c:v>
                </c:pt>
                <c:pt idx="2118">
                  <c:v>53948</c:v>
                </c:pt>
                <c:pt idx="2119">
                  <c:v>53955</c:v>
                </c:pt>
                <c:pt idx="2120">
                  <c:v>53962</c:v>
                </c:pt>
                <c:pt idx="2121">
                  <c:v>53969</c:v>
                </c:pt>
                <c:pt idx="2122">
                  <c:v>53976</c:v>
                </c:pt>
                <c:pt idx="2123">
                  <c:v>53983</c:v>
                </c:pt>
                <c:pt idx="2124">
                  <c:v>53990</c:v>
                </c:pt>
                <c:pt idx="2125">
                  <c:v>53997</c:v>
                </c:pt>
                <c:pt idx="2126">
                  <c:v>54004</c:v>
                </c:pt>
                <c:pt idx="2127">
                  <c:v>54011</c:v>
                </c:pt>
                <c:pt idx="2128">
                  <c:v>54018</c:v>
                </c:pt>
                <c:pt idx="2129">
                  <c:v>54025</c:v>
                </c:pt>
                <c:pt idx="2130">
                  <c:v>54032</c:v>
                </c:pt>
                <c:pt idx="2131">
                  <c:v>54039</c:v>
                </c:pt>
                <c:pt idx="2132">
                  <c:v>54046</c:v>
                </c:pt>
                <c:pt idx="2133">
                  <c:v>54053</c:v>
                </c:pt>
                <c:pt idx="2134">
                  <c:v>54060</c:v>
                </c:pt>
                <c:pt idx="2135">
                  <c:v>54067</c:v>
                </c:pt>
                <c:pt idx="2136">
                  <c:v>54074</c:v>
                </c:pt>
                <c:pt idx="2137">
                  <c:v>54081</c:v>
                </c:pt>
                <c:pt idx="2138">
                  <c:v>54088</c:v>
                </c:pt>
                <c:pt idx="2139">
                  <c:v>54095</c:v>
                </c:pt>
                <c:pt idx="2140">
                  <c:v>54102</c:v>
                </c:pt>
                <c:pt idx="2141">
                  <c:v>54109</c:v>
                </c:pt>
                <c:pt idx="2142">
                  <c:v>54116</c:v>
                </c:pt>
                <c:pt idx="2143">
                  <c:v>54123</c:v>
                </c:pt>
                <c:pt idx="2144">
                  <c:v>54130</c:v>
                </c:pt>
                <c:pt idx="2145">
                  <c:v>54137</c:v>
                </c:pt>
                <c:pt idx="2146">
                  <c:v>54144</c:v>
                </c:pt>
                <c:pt idx="2147">
                  <c:v>54151</c:v>
                </c:pt>
                <c:pt idx="2148">
                  <c:v>54158</c:v>
                </c:pt>
                <c:pt idx="2149">
                  <c:v>54165</c:v>
                </c:pt>
                <c:pt idx="2150">
                  <c:v>54172</c:v>
                </c:pt>
                <c:pt idx="2151">
                  <c:v>54179</c:v>
                </c:pt>
                <c:pt idx="2152">
                  <c:v>54186</c:v>
                </c:pt>
                <c:pt idx="2153">
                  <c:v>54193</c:v>
                </c:pt>
                <c:pt idx="2154">
                  <c:v>54200</c:v>
                </c:pt>
                <c:pt idx="2155">
                  <c:v>54207</c:v>
                </c:pt>
                <c:pt idx="2156">
                  <c:v>54214</c:v>
                </c:pt>
                <c:pt idx="2157">
                  <c:v>54221</c:v>
                </c:pt>
                <c:pt idx="2158">
                  <c:v>54228</c:v>
                </c:pt>
                <c:pt idx="2159">
                  <c:v>54235</c:v>
                </c:pt>
                <c:pt idx="2160">
                  <c:v>54245</c:v>
                </c:pt>
                <c:pt idx="2161">
                  <c:v>54252</c:v>
                </c:pt>
                <c:pt idx="2162">
                  <c:v>54259</c:v>
                </c:pt>
                <c:pt idx="2163">
                  <c:v>54266</c:v>
                </c:pt>
                <c:pt idx="2164">
                  <c:v>54273</c:v>
                </c:pt>
                <c:pt idx="2165">
                  <c:v>54280</c:v>
                </c:pt>
                <c:pt idx="2166">
                  <c:v>54287</c:v>
                </c:pt>
                <c:pt idx="2167">
                  <c:v>54294</c:v>
                </c:pt>
                <c:pt idx="2168">
                  <c:v>54301</c:v>
                </c:pt>
                <c:pt idx="2169">
                  <c:v>54309</c:v>
                </c:pt>
                <c:pt idx="2170">
                  <c:v>54316</c:v>
                </c:pt>
                <c:pt idx="2171">
                  <c:v>54323</c:v>
                </c:pt>
                <c:pt idx="2172">
                  <c:v>54330</c:v>
                </c:pt>
                <c:pt idx="2173">
                  <c:v>54337</c:v>
                </c:pt>
                <c:pt idx="2174">
                  <c:v>54344</c:v>
                </c:pt>
                <c:pt idx="2175">
                  <c:v>54351</c:v>
                </c:pt>
                <c:pt idx="2176">
                  <c:v>54358</c:v>
                </c:pt>
                <c:pt idx="2177">
                  <c:v>54365</c:v>
                </c:pt>
                <c:pt idx="2178">
                  <c:v>54372</c:v>
                </c:pt>
                <c:pt idx="2179">
                  <c:v>54379</c:v>
                </c:pt>
                <c:pt idx="2180">
                  <c:v>54386</c:v>
                </c:pt>
                <c:pt idx="2181">
                  <c:v>54393</c:v>
                </c:pt>
                <c:pt idx="2182">
                  <c:v>54400</c:v>
                </c:pt>
                <c:pt idx="2183">
                  <c:v>54407</c:v>
                </c:pt>
                <c:pt idx="2184">
                  <c:v>54414</c:v>
                </c:pt>
                <c:pt idx="2185">
                  <c:v>54421</c:v>
                </c:pt>
                <c:pt idx="2186">
                  <c:v>54428</c:v>
                </c:pt>
                <c:pt idx="2187">
                  <c:v>54435</c:v>
                </c:pt>
                <c:pt idx="2188">
                  <c:v>54442</c:v>
                </c:pt>
                <c:pt idx="2189">
                  <c:v>54449</c:v>
                </c:pt>
                <c:pt idx="2190">
                  <c:v>54456</c:v>
                </c:pt>
                <c:pt idx="2191">
                  <c:v>54463</c:v>
                </c:pt>
                <c:pt idx="2192">
                  <c:v>54470</c:v>
                </c:pt>
                <c:pt idx="2193">
                  <c:v>54477</c:v>
                </c:pt>
                <c:pt idx="2194">
                  <c:v>54484</c:v>
                </c:pt>
                <c:pt idx="2195">
                  <c:v>54491</c:v>
                </c:pt>
                <c:pt idx="2196">
                  <c:v>54498</c:v>
                </c:pt>
                <c:pt idx="2197">
                  <c:v>54505</c:v>
                </c:pt>
                <c:pt idx="2198">
                  <c:v>54512</c:v>
                </c:pt>
                <c:pt idx="2199">
                  <c:v>54519</c:v>
                </c:pt>
                <c:pt idx="2200">
                  <c:v>54526</c:v>
                </c:pt>
                <c:pt idx="2201">
                  <c:v>54533</c:v>
                </c:pt>
                <c:pt idx="2202">
                  <c:v>54540</c:v>
                </c:pt>
                <c:pt idx="2203">
                  <c:v>54547</c:v>
                </c:pt>
                <c:pt idx="2204">
                  <c:v>54554</c:v>
                </c:pt>
                <c:pt idx="2205">
                  <c:v>54561</c:v>
                </c:pt>
                <c:pt idx="2206">
                  <c:v>54568</c:v>
                </c:pt>
                <c:pt idx="2207">
                  <c:v>54575</c:v>
                </c:pt>
                <c:pt idx="2208">
                  <c:v>54582</c:v>
                </c:pt>
                <c:pt idx="2209">
                  <c:v>54589</c:v>
                </c:pt>
                <c:pt idx="2210">
                  <c:v>54596</c:v>
                </c:pt>
                <c:pt idx="2211">
                  <c:v>54603</c:v>
                </c:pt>
                <c:pt idx="2212">
                  <c:v>54610</c:v>
                </c:pt>
                <c:pt idx="2213">
                  <c:v>54617</c:v>
                </c:pt>
                <c:pt idx="2214">
                  <c:v>54624</c:v>
                </c:pt>
                <c:pt idx="2215">
                  <c:v>54631</c:v>
                </c:pt>
                <c:pt idx="2216">
                  <c:v>54638</c:v>
                </c:pt>
                <c:pt idx="2217">
                  <c:v>54645</c:v>
                </c:pt>
                <c:pt idx="2218">
                  <c:v>54652</c:v>
                </c:pt>
                <c:pt idx="2219">
                  <c:v>54659</c:v>
                </c:pt>
                <c:pt idx="2220">
                  <c:v>54666</c:v>
                </c:pt>
                <c:pt idx="2221">
                  <c:v>54673</c:v>
                </c:pt>
                <c:pt idx="2222">
                  <c:v>54680</c:v>
                </c:pt>
                <c:pt idx="2223">
                  <c:v>54687</c:v>
                </c:pt>
                <c:pt idx="2224">
                  <c:v>54694</c:v>
                </c:pt>
                <c:pt idx="2225">
                  <c:v>54701</c:v>
                </c:pt>
                <c:pt idx="2226">
                  <c:v>54708</c:v>
                </c:pt>
                <c:pt idx="2227">
                  <c:v>54715</c:v>
                </c:pt>
                <c:pt idx="2228">
                  <c:v>54722</c:v>
                </c:pt>
                <c:pt idx="2229">
                  <c:v>54729</c:v>
                </c:pt>
                <c:pt idx="2230">
                  <c:v>54736</c:v>
                </c:pt>
                <c:pt idx="2231">
                  <c:v>54743</c:v>
                </c:pt>
                <c:pt idx="2232">
                  <c:v>54750</c:v>
                </c:pt>
                <c:pt idx="2233">
                  <c:v>54757</c:v>
                </c:pt>
                <c:pt idx="2234">
                  <c:v>54764</c:v>
                </c:pt>
                <c:pt idx="2235">
                  <c:v>54771</c:v>
                </c:pt>
                <c:pt idx="2236">
                  <c:v>54778</c:v>
                </c:pt>
                <c:pt idx="2237">
                  <c:v>54785</c:v>
                </c:pt>
                <c:pt idx="2238">
                  <c:v>54792</c:v>
                </c:pt>
                <c:pt idx="2239">
                  <c:v>54799</c:v>
                </c:pt>
                <c:pt idx="2240">
                  <c:v>54806</c:v>
                </c:pt>
                <c:pt idx="2241">
                  <c:v>54813</c:v>
                </c:pt>
                <c:pt idx="2242">
                  <c:v>54820</c:v>
                </c:pt>
                <c:pt idx="2243">
                  <c:v>54827</c:v>
                </c:pt>
                <c:pt idx="2244">
                  <c:v>54834</c:v>
                </c:pt>
                <c:pt idx="2245">
                  <c:v>54841</c:v>
                </c:pt>
                <c:pt idx="2246">
                  <c:v>54848</c:v>
                </c:pt>
                <c:pt idx="2247">
                  <c:v>54855</c:v>
                </c:pt>
                <c:pt idx="2248">
                  <c:v>54862</c:v>
                </c:pt>
                <c:pt idx="2249">
                  <c:v>54869</c:v>
                </c:pt>
                <c:pt idx="2250">
                  <c:v>54876</c:v>
                </c:pt>
                <c:pt idx="2251">
                  <c:v>54883</c:v>
                </c:pt>
                <c:pt idx="2252">
                  <c:v>54890</c:v>
                </c:pt>
                <c:pt idx="2253">
                  <c:v>54897</c:v>
                </c:pt>
                <c:pt idx="2254">
                  <c:v>54904</c:v>
                </c:pt>
                <c:pt idx="2255">
                  <c:v>54911</c:v>
                </c:pt>
                <c:pt idx="2256">
                  <c:v>54918</c:v>
                </c:pt>
                <c:pt idx="2257">
                  <c:v>54925</c:v>
                </c:pt>
                <c:pt idx="2258">
                  <c:v>54932</c:v>
                </c:pt>
                <c:pt idx="2259">
                  <c:v>54939</c:v>
                </c:pt>
                <c:pt idx="2260">
                  <c:v>54946</c:v>
                </c:pt>
                <c:pt idx="2261">
                  <c:v>54953</c:v>
                </c:pt>
                <c:pt idx="2262">
                  <c:v>54960</c:v>
                </c:pt>
                <c:pt idx="2263">
                  <c:v>54967</c:v>
                </c:pt>
                <c:pt idx="2264">
                  <c:v>54974</c:v>
                </c:pt>
                <c:pt idx="2265">
                  <c:v>54981</c:v>
                </c:pt>
                <c:pt idx="2266">
                  <c:v>54988</c:v>
                </c:pt>
                <c:pt idx="2267">
                  <c:v>54995</c:v>
                </c:pt>
                <c:pt idx="2268">
                  <c:v>55002</c:v>
                </c:pt>
                <c:pt idx="2269">
                  <c:v>55009</c:v>
                </c:pt>
                <c:pt idx="2270">
                  <c:v>55016</c:v>
                </c:pt>
                <c:pt idx="2271">
                  <c:v>55023</c:v>
                </c:pt>
                <c:pt idx="2272">
                  <c:v>55030</c:v>
                </c:pt>
                <c:pt idx="2273">
                  <c:v>55037</c:v>
                </c:pt>
                <c:pt idx="2274">
                  <c:v>55044</c:v>
                </c:pt>
                <c:pt idx="2275">
                  <c:v>55051</c:v>
                </c:pt>
                <c:pt idx="2276">
                  <c:v>55058</c:v>
                </c:pt>
                <c:pt idx="2277">
                  <c:v>55065</c:v>
                </c:pt>
                <c:pt idx="2278">
                  <c:v>55072</c:v>
                </c:pt>
                <c:pt idx="2279">
                  <c:v>55079</c:v>
                </c:pt>
                <c:pt idx="2280">
                  <c:v>55086</c:v>
                </c:pt>
                <c:pt idx="2281">
                  <c:v>55093</c:v>
                </c:pt>
                <c:pt idx="2282">
                  <c:v>55100</c:v>
                </c:pt>
                <c:pt idx="2283">
                  <c:v>55107</c:v>
                </c:pt>
                <c:pt idx="2284">
                  <c:v>55114</c:v>
                </c:pt>
                <c:pt idx="2285">
                  <c:v>55121</c:v>
                </c:pt>
                <c:pt idx="2286">
                  <c:v>55128</c:v>
                </c:pt>
                <c:pt idx="2287">
                  <c:v>55135</c:v>
                </c:pt>
                <c:pt idx="2288">
                  <c:v>55142</c:v>
                </c:pt>
                <c:pt idx="2289">
                  <c:v>55149</c:v>
                </c:pt>
                <c:pt idx="2290">
                  <c:v>55156</c:v>
                </c:pt>
                <c:pt idx="2291">
                  <c:v>55163</c:v>
                </c:pt>
                <c:pt idx="2292">
                  <c:v>55170</c:v>
                </c:pt>
                <c:pt idx="2293">
                  <c:v>55177</c:v>
                </c:pt>
                <c:pt idx="2294">
                  <c:v>55184</c:v>
                </c:pt>
                <c:pt idx="2295">
                  <c:v>55191</c:v>
                </c:pt>
                <c:pt idx="2296">
                  <c:v>55198</c:v>
                </c:pt>
                <c:pt idx="2297">
                  <c:v>55205</c:v>
                </c:pt>
                <c:pt idx="2298">
                  <c:v>55212</c:v>
                </c:pt>
                <c:pt idx="2299">
                  <c:v>55219</c:v>
                </c:pt>
                <c:pt idx="2300">
                  <c:v>55226</c:v>
                </c:pt>
                <c:pt idx="2301">
                  <c:v>55233</c:v>
                </c:pt>
                <c:pt idx="2302">
                  <c:v>55240</c:v>
                </c:pt>
                <c:pt idx="2303">
                  <c:v>55247</c:v>
                </c:pt>
                <c:pt idx="2304">
                  <c:v>55254</c:v>
                </c:pt>
                <c:pt idx="2305">
                  <c:v>55261</c:v>
                </c:pt>
                <c:pt idx="2306">
                  <c:v>55268</c:v>
                </c:pt>
                <c:pt idx="2307">
                  <c:v>55275</c:v>
                </c:pt>
                <c:pt idx="2308">
                  <c:v>55282</c:v>
                </c:pt>
                <c:pt idx="2309">
                  <c:v>55289</c:v>
                </c:pt>
                <c:pt idx="2310">
                  <c:v>55296</c:v>
                </c:pt>
                <c:pt idx="2311">
                  <c:v>55303</c:v>
                </c:pt>
                <c:pt idx="2312">
                  <c:v>55310</c:v>
                </c:pt>
                <c:pt idx="2313">
                  <c:v>55317</c:v>
                </c:pt>
                <c:pt idx="2314">
                  <c:v>55324</c:v>
                </c:pt>
                <c:pt idx="2315">
                  <c:v>55331</c:v>
                </c:pt>
                <c:pt idx="2316">
                  <c:v>55339</c:v>
                </c:pt>
                <c:pt idx="2317">
                  <c:v>55346</c:v>
                </c:pt>
                <c:pt idx="2318">
                  <c:v>55353</c:v>
                </c:pt>
                <c:pt idx="2319">
                  <c:v>55360</c:v>
                </c:pt>
                <c:pt idx="2320">
                  <c:v>55367</c:v>
                </c:pt>
                <c:pt idx="2321">
                  <c:v>55374</c:v>
                </c:pt>
                <c:pt idx="2322">
                  <c:v>55381</c:v>
                </c:pt>
                <c:pt idx="2323">
                  <c:v>55388</c:v>
                </c:pt>
                <c:pt idx="2324">
                  <c:v>55395</c:v>
                </c:pt>
                <c:pt idx="2325">
                  <c:v>55402</c:v>
                </c:pt>
                <c:pt idx="2326">
                  <c:v>55409</c:v>
                </c:pt>
                <c:pt idx="2327">
                  <c:v>55416</c:v>
                </c:pt>
                <c:pt idx="2328">
                  <c:v>55423</c:v>
                </c:pt>
                <c:pt idx="2329">
                  <c:v>55430</c:v>
                </c:pt>
                <c:pt idx="2330">
                  <c:v>55437</c:v>
                </c:pt>
                <c:pt idx="2331">
                  <c:v>55444</c:v>
                </c:pt>
                <c:pt idx="2332">
                  <c:v>55451</c:v>
                </c:pt>
                <c:pt idx="2333">
                  <c:v>55458</c:v>
                </c:pt>
                <c:pt idx="2334">
                  <c:v>55465</c:v>
                </c:pt>
                <c:pt idx="2335">
                  <c:v>55472</c:v>
                </c:pt>
                <c:pt idx="2336">
                  <c:v>55479</c:v>
                </c:pt>
                <c:pt idx="2337">
                  <c:v>55486</c:v>
                </c:pt>
                <c:pt idx="2338">
                  <c:v>55493</c:v>
                </c:pt>
                <c:pt idx="2339">
                  <c:v>55500</c:v>
                </c:pt>
                <c:pt idx="2340">
                  <c:v>55507</c:v>
                </c:pt>
                <c:pt idx="2341">
                  <c:v>55514</c:v>
                </c:pt>
                <c:pt idx="2342">
                  <c:v>55521</c:v>
                </c:pt>
                <c:pt idx="2343">
                  <c:v>55528</c:v>
                </c:pt>
                <c:pt idx="2344">
                  <c:v>55535</c:v>
                </c:pt>
                <c:pt idx="2345">
                  <c:v>55542</c:v>
                </c:pt>
                <c:pt idx="2346">
                  <c:v>55549</c:v>
                </c:pt>
                <c:pt idx="2347">
                  <c:v>55556</c:v>
                </c:pt>
                <c:pt idx="2348">
                  <c:v>55563</c:v>
                </c:pt>
                <c:pt idx="2349">
                  <c:v>55570</c:v>
                </c:pt>
                <c:pt idx="2350">
                  <c:v>55577</c:v>
                </c:pt>
                <c:pt idx="2351">
                  <c:v>55584</c:v>
                </c:pt>
                <c:pt idx="2352">
                  <c:v>55591</c:v>
                </c:pt>
                <c:pt idx="2353">
                  <c:v>55598</c:v>
                </c:pt>
                <c:pt idx="2354">
                  <c:v>55605</c:v>
                </c:pt>
                <c:pt idx="2355">
                  <c:v>55612</c:v>
                </c:pt>
                <c:pt idx="2356">
                  <c:v>55619</c:v>
                </c:pt>
                <c:pt idx="2357">
                  <c:v>55626</c:v>
                </c:pt>
                <c:pt idx="2358">
                  <c:v>55633</c:v>
                </c:pt>
                <c:pt idx="2359">
                  <c:v>55640</c:v>
                </c:pt>
                <c:pt idx="2360">
                  <c:v>55647</c:v>
                </c:pt>
                <c:pt idx="2361">
                  <c:v>55654</c:v>
                </c:pt>
                <c:pt idx="2362">
                  <c:v>55661</c:v>
                </c:pt>
                <c:pt idx="2363">
                  <c:v>55668</c:v>
                </c:pt>
                <c:pt idx="2364">
                  <c:v>55675</c:v>
                </c:pt>
                <c:pt idx="2365">
                  <c:v>55682</c:v>
                </c:pt>
                <c:pt idx="2366">
                  <c:v>55689</c:v>
                </c:pt>
                <c:pt idx="2367">
                  <c:v>55696</c:v>
                </c:pt>
                <c:pt idx="2368">
                  <c:v>55703</c:v>
                </c:pt>
                <c:pt idx="2369">
                  <c:v>55710</c:v>
                </c:pt>
                <c:pt idx="2370">
                  <c:v>55717</c:v>
                </c:pt>
                <c:pt idx="2371">
                  <c:v>55724</c:v>
                </c:pt>
                <c:pt idx="2372">
                  <c:v>55731</c:v>
                </c:pt>
                <c:pt idx="2373">
                  <c:v>55738</c:v>
                </c:pt>
                <c:pt idx="2374">
                  <c:v>55745</c:v>
                </c:pt>
                <c:pt idx="2375">
                  <c:v>55752</c:v>
                </c:pt>
                <c:pt idx="2376">
                  <c:v>55759</c:v>
                </c:pt>
                <c:pt idx="2377">
                  <c:v>55766</c:v>
                </c:pt>
                <c:pt idx="2378">
                  <c:v>55773</c:v>
                </c:pt>
                <c:pt idx="2379">
                  <c:v>55780</c:v>
                </c:pt>
                <c:pt idx="2380">
                  <c:v>55787</c:v>
                </c:pt>
                <c:pt idx="2381">
                  <c:v>55794</c:v>
                </c:pt>
                <c:pt idx="2382">
                  <c:v>55801</c:v>
                </c:pt>
                <c:pt idx="2383">
                  <c:v>55808</c:v>
                </c:pt>
                <c:pt idx="2384">
                  <c:v>55815</c:v>
                </c:pt>
                <c:pt idx="2385">
                  <c:v>55822</c:v>
                </c:pt>
                <c:pt idx="2386">
                  <c:v>55829</c:v>
                </c:pt>
                <c:pt idx="2387">
                  <c:v>55836</c:v>
                </c:pt>
                <c:pt idx="2388">
                  <c:v>55843</c:v>
                </c:pt>
                <c:pt idx="2389">
                  <c:v>55850</c:v>
                </c:pt>
                <c:pt idx="2390">
                  <c:v>55857</c:v>
                </c:pt>
                <c:pt idx="2391">
                  <c:v>55864</c:v>
                </c:pt>
                <c:pt idx="2392">
                  <c:v>55871</c:v>
                </c:pt>
                <c:pt idx="2393">
                  <c:v>55879</c:v>
                </c:pt>
                <c:pt idx="2394">
                  <c:v>55886</c:v>
                </c:pt>
                <c:pt idx="2395">
                  <c:v>55893</c:v>
                </c:pt>
                <c:pt idx="2396">
                  <c:v>55900</c:v>
                </c:pt>
                <c:pt idx="2397">
                  <c:v>55907</c:v>
                </c:pt>
                <c:pt idx="2398">
                  <c:v>55914</c:v>
                </c:pt>
                <c:pt idx="2399">
                  <c:v>55921</c:v>
                </c:pt>
                <c:pt idx="2400">
                  <c:v>55928</c:v>
                </c:pt>
                <c:pt idx="2401">
                  <c:v>55935</c:v>
                </c:pt>
                <c:pt idx="2402">
                  <c:v>55942</c:v>
                </c:pt>
                <c:pt idx="2403">
                  <c:v>55949</c:v>
                </c:pt>
                <c:pt idx="2404">
                  <c:v>55956</c:v>
                </c:pt>
                <c:pt idx="2405">
                  <c:v>55963</c:v>
                </c:pt>
                <c:pt idx="2406">
                  <c:v>55970</c:v>
                </c:pt>
                <c:pt idx="2407">
                  <c:v>55977</c:v>
                </c:pt>
                <c:pt idx="2408">
                  <c:v>55984</c:v>
                </c:pt>
                <c:pt idx="2409">
                  <c:v>55991</c:v>
                </c:pt>
                <c:pt idx="2410">
                  <c:v>55998</c:v>
                </c:pt>
                <c:pt idx="2411">
                  <c:v>56005</c:v>
                </c:pt>
                <c:pt idx="2412">
                  <c:v>56012</c:v>
                </c:pt>
                <c:pt idx="2413">
                  <c:v>56019</c:v>
                </c:pt>
                <c:pt idx="2414">
                  <c:v>56026</c:v>
                </c:pt>
                <c:pt idx="2415">
                  <c:v>56033</c:v>
                </c:pt>
                <c:pt idx="2416">
                  <c:v>56040</c:v>
                </c:pt>
                <c:pt idx="2417">
                  <c:v>56047</c:v>
                </c:pt>
                <c:pt idx="2418">
                  <c:v>56054</c:v>
                </c:pt>
                <c:pt idx="2419">
                  <c:v>56061</c:v>
                </c:pt>
                <c:pt idx="2420">
                  <c:v>56068</c:v>
                </c:pt>
                <c:pt idx="2421">
                  <c:v>56075</c:v>
                </c:pt>
                <c:pt idx="2422">
                  <c:v>56082</c:v>
                </c:pt>
                <c:pt idx="2423">
                  <c:v>56089</c:v>
                </c:pt>
                <c:pt idx="2424">
                  <c:v>56096</c:v>
                </c:pt>
                <c:pt idx="2425">
                  <c:v>56103</c:v>
                </c:pt>
                <c:pt idx="2426">
                  <c:v>56110</c:v>
                </c:pt>
                <c:pt idx="2427">
                  <c:v>56117</c:v>
                </c:pt>
                <c:pt idx="2428">
                  <c:v>56124</c:v>
                </c:pt>
                <c:pt idx="2429">
                  <c:v>56131</c:v>
                </c:pt>
                <c:pt idx="2430">
                  <c:v>56138</c:v>
                </c:pt>
                <c:pt idx="2431">
                  <c:v>56145</c:v>
                </c:pt>
                <c:pt idx="2432">
                  <c:v>56152</c:v>
                </c:pt>
                <c:pt idx="2433">
                  <c:v>56159</c:v>
                </c:pt>
                <c:pt idx="2434">
                  <c:v>56166</c:v>
                </c:pt>
                <c:pt idx="2435">
                  <c:v>56173</c:v>
                </c:pt>
                <c:pt idx="2436">
                  <c:v>56180</c:v>
                </c:pt>
                <c:pt idx="2437">
                  <c:v>56187</c:v>
                </c:pt>
                <c:pt idx="2438">
                  <c:v>56194</c:v>
                </c:pt>
                <c:pt idx="2439">
                  <c:v>56201</c:v>
                </c:pt>
                <c:pt idx="2440">
                  <c:v>56208</c:v>
                </c:pt>
                <c:pt idx="2441">
                  <c:v>56216</c:v>
                </c:pt>
                <c:pt idx="2442">
                  <c:v>56223</c:v>
                </c:pt>
                <c:pt idx="2443">
                  <c:v>56230</c:v>
                </c:pt>
                <c:pt idx="2444">
                  <c:v>56237</c:v>
                </c:pt>
                <c:pt idx="2445">
                  <c:v>56244</c:v>
                </c:pt>
                <c:pt idx="2446">
                  <c:v>56251</c:v>
                </c:pt>
                <c:pt idx="2447">
                  <c:v>56258</c:v>
                </c:pt>
                <c:pt idx="2448">
                  <c:v>56265</c:v>
                </c:pt>
                <c:pt idx="2449">
                  <c:v>56272</c:v>
                </c:pt>
                <c:pt idx="2450">
                  <c:v>56279</c:v>
                </c:pt>
                <c:pt idx="2451">
                  <c:v>56286</c:v>
                </c:pt>
                <c:pt idx="2452">
                  <c:v>56293</c:v>
                </c:pt>
                <c:pt idx="2453">
                  <c:v>56300</c:v>
                </c:pt>
                <c:pt idx="2454">
                  <c:v>56307</c:v>
                </c:pt>
                <c:pt idx="2455">
                  <c:v>56314</c:v>
                </c:pt>
                <c:pt idx="2456">
                  <c:v>56321</c:v>
                </c:pt>
                <c:pt idx="2457">
                  <c:v>56328</c:v>
                </c:pt>
                <c:pt idx="2458">
                  <c:v>56335</c:v>
                </c:pt>
                <c:pt idx="2459">
                  <c:v>56342</c:v>
                </c:pt>
                <c:pt idx="2460">
                  <c:v>56349</c:v>
                </c:pt>
                <c:pt idx="2461">
                  <c:v>56356</c:v>
                </c:pt>
                <c:pt idx="2462">
                  <c:v>56363</c:v>
                </c:pt>
                <c:pt idx="2463">
                  <c:v>56370</c:v>
                </c:pt>
                <c:pt idx="2464">
                  <c:v>56377</c:v>
                </c:pt>
                <c:pt idx="2465">
                  <c:v>56384</c:v>
                </c:pt>
                <c:pt idx="2466">
                  <c:v>56391</c:v>
                </c:pt>
                <c:pt idx="2467">
                  <c:v>56398</c:v>
                </c:pt>
                <c:pt idx="2468">
                  <c:v>56405</c:v>
                </c:pt>
                <c:pt idx="2469">
                  <c:v>56412</c:v>
                </c:pt>
                <c:pt idx="2470">
                  <c:v>56419</c:v>
                </c:pt>
                <c:pt idx="2471">
                  <c:v>56426</c:v>
                </c:pt>
                <c:pt idx="2472">
                  <c:v>56436</c:v>
                </c:pt>
                <c:pt idx="2473">
                  <c:v>56443</c:v>
                </c:pt>
                <c:pt idx="2474">
                  <c:v>56450</c:v>
                </c:pt>
                <c:pt idx="2475">
                  <c:v>56457</c:v>
                </c:pt>
                <c:pt idx="2476">
                  <c:v>56464</c:v>
                </c:pt>
                <c:pt idx="2477">
                  <c:v>56471</c:v>
                </c:pt>
                <c:pt idx="2478">
                  <c:v>56478</c:v>
                </c:pt>
                <c:pt idx="2479">
                  <c:v>56485</c:v>
                </c:pt>
                <c:pt idx="2480">
                  <c:v>56492</c:v>
                </c:pt>
                <c:pt idx="2481">
                  <c:v>56500</c:v>
                </c:pt>
                <c:pt idx="2482">
                  <c:v>56507</c:v>
                </c:pt>
                <c:pt idx="2483">
                  <c:v>56514</c:v>
                </c:pt>
                <c:pt idx="2484">
                  <c:v>56521</c:v>
                </c:pt>
                <c:pt idx="2485">
                  <c:v>56528</c:v>
                </c:pt>
                <c:pt idx="2486">
                  <c:v>56535</c:v>
                </c:pt>
                <c:pt idx="2487">
                  <c:v>56542</c:v>
                </c:pt>
                <c:pt idx="2488">
                  <c:v>56549</c:v>
                </c:pt>
                <c:pt idx="2489">
                  <c:v>56556</c:v>
                </c:pt>
                <c:pt idx="2490">
                  <c:v>56563</c:v>
                </c:pt>
                <c:pt idx="2491">
                  <c:v>56570</c:v>
                </c:pt>
                <c:pt idx="2492">
                  <c:v>56577</c:v>
                </c:pt>
                <c:pt idx="2493">
                  <c:v>56584</c:v>
                </c:pt>
                <c:pt idx="2494">
                  <c:v>56591</c:v>
                </c:pt>
                <c:pt idx="2495">
                  <c:v>56598</c:v>
                </c:pt>
                <c:pt idx="2496">
                  <c:v>56605</c:v>
                </c:pt>
                <c:pt idx="2497">
                  <c:v>56612</c:v>
                </c:pt>
                <c:pt idx="2498">
                  <c:v>56619</c:v>
                </c:pt>
                <c:pt idx="2499">
                  <c:v>56626</c:v>
                </c:pt>
                <c:pt idx="2500">
                  <c:v>56633</c:v>
                </c:pt>
                <c:pt idx="2501">
                  <c:v>56640</c:v>
                </c:pt>
                <c:pt idx="2502">
                  <c:v>56647</c:v>
                </c:pt>
                <c:pt idx="2503">
                  <c:v>56654</c:v>
                </c:pt>
                <c:pt idx="2504">
                  <c:v>56661</c:v>
                </c:pt>
                <c:pt idx="2505">
                  <c:v>56668</c:v>
                </c:pt>
                <c:pt idx="2506">
                  <c:v>56675</c:v>
                </c:pt>
                <c:pt idx="2507">
                  <c:v>56682</c:v>
                </c:pt>
                <c:pt idx="2508">
                  <c:v>56689</c:v>
                </c:pt>
                <c:pt idx="2509">
                  <c:v>56696</c:v>
                </c:pt>
                <c:pt idx="2510">
                  <c:v>56703</c:v>
                </c:pt>
                <c:pt idx="2511">
                  <c:v>56710</c:v>
                </c:pt>
                <c:pt idx="2512">
                  <c:v>56717</c:v>
                </c:pt>
                <c:pt idx="2513">
                  <c:v>56724</c:v>
                </c:pt>
                <c:pt idx="2514">
                  <c:v>56731</c:v>
                </c:pt>
                <c:pt idx="2515">
                  <c:v>56738</c:v>
                </c:pt>
                <c:pt idx="2516">
                  <c:v>56745</c:v>
                </c:pt>
                <c:pt idx="2517">
                  <c:v>56752</c:v>
                </c:pt>
                <c:pt idx="2518">
                  <c:v>56759</c:v>
                </c:pt>
                <c:pt idx="2519">
                  <c:v>56766</c:v>
                </c:pt>
                <c:pt idx="2520">
                  <c:v>56773</c:v>
                </c:pt>
                <c:pt idx="2521">
                  <c:v>56780</c:v>
                </c:pt>
                <c:pt idx="2522">
                  <c:v>56787</c:v>
                </c:pt>
                <c:pt idx="2523">
                  <c:v>56794</c:v>
                </c:pt>
                <c:pt idx="2524">
                  <c:v>56801</c:v>
                </c:pt>
                <c:pt idx="2525">
                  <c:v>56808</c:v>
                </c:pt>
                <c:pt idx="2526">
                  <c:v>56815</c:v>
                </c:pt>
                <c:pt idx="2527">
                  <c:v>56822</c:v>
                </c:pt>
                <c:pt idx="2528">
                  <c:v>56829</c:v>
                </c:pt>
                <c:pt idx="2529">
                  <c:v>56836</c:v>
                </c:pt>
                <c:pt idx="2530">
                  <c:v>56843</c:v>
                </c:pt>
                <c:pt idx="2531">
                  <c:v>56850</c:v>
                </c:pt>
                <c:pt idx="2532">
                  <c:v>56857</c:v>
                </c:pt>
                <c:pt idx="2533">
                  <c:v>56864</c:v>
                </c:pt>
                <c:pt idx="2534">
                  <c:v>56871</c:v>
                </c:pt>
                <c:pt idx="2535">
                  <c:v>56878</c:v>
                </c:pt>
                <c:pt idx="2536">
                  <c:v>56885</c:v>
                </c:pt>
                <c:pt idx="2537">
                  <c:v>56892</c:v>
                </c:pt>
                <c:pt idx="2538">
                  <c:v>56899</c:v>
                </c:pt>
                <c:pt idx="2539">
                  <c:v>56906</c:v>
                </c:pt>
                <c:pt idx="2540">
                  <c:v>56913</c:v>
                </c:pt>
                <c:pt idx="2541">
                  <c:v>56920</c:v>
                </c:pt>
                <c:pt idx="2542">
                  <c:v>56927</c:v>
                </c:pt>
                <c:pt idx="2543">
                  <c:v>56934</c:v>
                </c:pt>
                <c:pt idx="2544">
                  <c:v>56941</c:v>
                </c:pt>
                <c:pt idx="2545">
                  <c:v>56948</c:v>
                </c:pt>
                <c:pt idx="2546">
                  <c:v>56955</c:v>
                </c:pt>
                <c:pt idx="2547">
                  <c:v>56962</c:v>
                </c:pt>
                <c:pt idx="2548">
                  <c:v>56969</c:v>
                </c:pt>
                <c:pt idx="2549">
                  <c:v>56976</c:v>
                </c:pt>
                <c:pt idx="2550">
                  <c:v>56983</c:v>
                </c:pt>
                <c:pt idx="2551">
                  <c:v>56990</c:v>
                </c:pt>
                <c:pt idx="2552">
                  <c:v>56997</c:v>
                </c:pt>
                <c:pt idx="2553">
                  <c:v>57004</c:v>
                </c:pt>
                <c:pt idx="2554">
                  <c:v>57011</c:v>
                </c:pt>
                <c:pt idx="2555">
                  <c:v>57018</c:v>
                </c:pt>
                <c:pt idx="2556">
                  <c:v>57025</c:v>
                </c:pt>
                <c:pt idx="2557">
                  <c:v>57032</c:v>
                </c:pt>
                <c:pt idx="2558">
                  <c:v>57039</c:v>
                </c:pt>
                <c:pt idx="2559">
                  <c:v>57046</c:v>
                </c:pt>
                <c:pt idx="2560">
                  <c:v>57053</c:v>
                </c:pt>
                <c:pt idx="2561">
                  <c:v>57060</c:v>
                </c:pt>
                <c:pt idx="2562">
                  <c:v>57067</c:v>
                </c:pt>
                <c:pt idx="2563">
                  <c:v>57074</c:v>
                </c:pt>
                <c:pt idx="2564">
                  <c:v>57081</c:v>
                </c:pt>
                <c:pt idx="2565">
                  <c:v>57088</c:v>
                </c:pt>
                <c:pt idx="2566">
                  <c:v>57095</c:v>
                </c:pt>
                <c:pt idx="2567">
                  <c:v>57102</c:v>
                </c:pt>
                <c:pt idx="2568">
                  <c:v>57109</c:v>
                </c:pt>
                <c:pt idx="2569">
                  <c:v>57116</c:v>
                </c:pt>
                <c:pt idx="2570">
                  <c:v>57123</c:v>
                </c:pt>
                <c:pt idx="2571">
                  <c:v>57130</c:v>
                </c:pt>
                <c:pt idx="2572">
                  <c:v>57137</c:v>
                </c:pt>
                <c:pt idx="2573">
                  <c:v>57144</c:v>
                </c:pt>
                <c:pt idx="2574">
                  <c:v>57151</c:v>
                </c:pt>
                <c:pt idx="2575">
                  <c:v>57158</c:v>
                </c:pt>
                <c:pt idx="2576">
                  <c:v>57166</c:v>
                </c:pt>
                <c:pt idx="2577">
                  <c:v>57173</c:v>
                </c:pt>
                <c:pt idx="2578">
                  <c:v>57180</c:v>
                </c:pt>
                <c:pt idx="2579">
                  <c:v>57187</c:v>
                </c:pt>
                <c:pt idx="2580">
                  <c:v>57194</c:v>
                </c:pt>
                <c:pt idx="2581">
                  <c:v>57201</c:v>
                </c:pt>
                <c:pt idx="2582">
                  <c:v>57208</c:v>
                </c:pt>
                <c:pt idx="2583">
                  <c:v>57215</c:v>
                </c:pt>
                <c:pt idx="2584">
                  <c:v>57222</c:v>
                </c:pt>
                <c:pt idx="2585">
                  <c:v>57229</c:v>
                </c:pt>
                <c:pt idx="2586">
                  <c:v>57236</c:v>
                </c:pt>
                <c:pt idx="2587">
                  <c:v>57243</c:v>
                </c:pt>
                <c:pt idx="2588">
                  <c:v>57250</c:v>
                </c:pt>
                <c:pt idx="2589">
                  <c:v>57257</c:v>
                </c:pt>
                <c:pt idx="2590">
                  <c:v>57264</c:v>
                </c:pt>
                <c:pt idx="2591">
                  <c:v>57271</c:v>
                </c:pt>
                <c:pt idx="2592">
                  <c:v>57278</c:v>
                </c:pt>
                <c:pt idx="2593">
                  <c:v>57285</c:v>
                </c:pt>
                <c:pt idx="2594">
                  <c:v>57292</c:v>
                </c:pt>
                <c:pt idx="2595">
                  <c:v>57299</c:v>
                </c:pt>
                <c:pt idx="2596">
                  <c:v>57306</c:v>
                </c:pt>
                <c:pt idx="2597">
                  <c:v>57313</c:v>
                </c:pt>
                <c:pt idx="2598">
                  <c:v>57320</c:v>
                </c:pt>
                <c:pt idx="2599">
                  <c:v>57327</c:v>
                </c:pt>
                <c:pt idx="2600">
                  <c:v>57334</c:v>
                </c:pt>
                <c:pt idx="2601">
                  <c:v>57341</c:v>
                </c:pt>
                <c:pt idx="2602">
                  <c:v>57348</c:v>
                </c:pt>
                <c:pt idx="2603">
                  <c:v>57355</c:v>
                </c:pt>
                <c:pt idx="2604">
                  <c:v>57362</c:v>
                </c:pt>
                <c:pt idx="2605">
                  <c:v>57369</c:v>
                </c:pt>
                <c:pt idx="2606">
                  <c:v>57376</c:v>
                </c:pt>
                <c:pt idx="2607">
                  <c:v>57383</c:v>
                </c:pt>
                <c:pt idx="2608">
                  <c:v>57390</c:v>
                </c:pt>
                <c:pt idx="2609">
                  <c:v>57397</c:v>
                </c:pt>
                <c:pt idx="2610">
                  <c:v>57404</c:v>
                </c:pt>
                <c:pt idx="2611">
                  <c:v>57411</c:v>
                </c:pt>
                <c:pt idx="2612">
                  <c:v>57418</c:v>
                </c:pt>
                <c:pt idx="2613">
                  <c:v>57425</c:v>
                </c:pt>
                <c:pt idx="2614">
                  <c:v>57432</c:v>
                </c:pt>
                <c:pt idx="2615">
                  <c:v>57439</c:v>
                </c:pt>
                <c:pt idx="2616">
                  <c:v>57446</c:v>
                </c:pt>
                <c:pt idx="2617">
                  <c:v>57453</c:v>
                </c:pt>
                <c:pt idx="2618">
                  <c:v>57460</c:v>
                </c:pt>
                <c:pt idx="2619">
                  <c:v>57467</c:v>
                </c:pt>
                <c:pt idx="2620">
                  <c:v>57474</c:v>
                </c:pt>
                <c:pt idx="2621">
                  <c:v>57481</c:v>
                </c:pt>
                <c:pt idx="2622">
                  <c:v>57488</c:v>
                </c:pt>
                <c:pt idx="2623">
                  <c:v>57495</c:v>
                </c:pt>
                <c:pt idx="2624">
                  <c:v>57502</c:v>
                </c:pt>
                <c:pt idx="2625">
                  <c:v>57509</c:v>
                </c:pt>
                <c:pt idx="2626">
                  <c:v>57516</c:v>
                </c:pt>
                <c:pt idx="2627">
                  <c:v>57523</c:v>
                </c:pt>
                <c:pt idx="2628">
                  <c:v>57531</c:v>
                </c:pt>
                <c:pt idx="2629">
                  <c:v>57538</c:v>
                </c:pt>
                <c:pt idx="2630">
                  <c:v>57545</c:v>
                </c:pt>
                <c:pt idx="2631">
                  <c:v>57552</c:v>
                </c:pt>
                <c:pt idx="2632">
                  <c:v>57559</c:v>
                </c:pt>
                <c:pt idx="2633">
                  <c:v>57566</c:v>
                </c:pt>
                <c:pt idx="2634">
                  <c:v>57573</c:v>
                </c:pt>
                <c:pt idx="2635">
                  <c:v>57580</c:v>
                </c:pt>
                <c:pt idx="2636">
                  <c:v>57587</c:v>
                </c:pt>
                <c:pt idx="2637">
                  <c:v>57594</c:v>
                </c:pt>
                <c:pt idx="2638">
                  <c:v>57601</c:v>
                </c:pt>
                <c:pt idx="2639">
                  <c:v>57608</c:v>
                </c:pt>
                <c:pt idx="2640">
                  <c:v>57615</c:v>
                </c:pt>
                <c:pt idx="2641">
                  <c:v>57622</c:v>
                </c:pt>
                <c:pt idx="2642">
                  <c:v>57629</c:v>
                </c:pt>
                <c:pt idx="2643">
                  <c:v>57636</c:v>
                </c:pt>
                <c:pt idx="2644">
                  <c:v>57643</c:v>
                </c:pt>
                <c:pt idx="2645">
                  <c:v>57650</c:v>
                </c:pt>
                <c:pt idx="2646">
                  <c:v>57657</c:v>
                </c:pt>
                <c:pt idx="2647">
                  <c:v>57664</c:v>
                </c:pt>
                <c:pt idx="2648">
                  <c:v>57672</c:v>
                </c:pt>
                <c:pt idx="2649">
                  <c:v>57679</c:v>
                </c:pt>
                <c:pt idx="2650">
                  <c:v>57686</c:v>
                </c:pt>
                <c:pt idx="2651">
                  <c:v>57693</c:v>
                </c:pt>
                <c:pt idx="2652">
                  <c:v>57700</c:v>
                </c:pt>
                <c:pt idx="2653">
                  <c:v>57707</c:v>
                </c:pt>
                <c:pt idx="2654">
                  <c:v>57714</c:v>
                </c:pt>
                <c:pt idx="2655">
                  <c:v>57721</c:v>
                </c:pt>
                <c:pt idx="2656">
                  <c:v>57728</c:v>
                </c:pt>
                <c:pt idx="2657">
                  <c:v>57735</c:v>
                </c:pt>
                <c:pt idx="2658">
                  <c:v>57742</c:v>
                </c:pt>
                <c:pt idx="2659">
                  <c:v>57749</c:v>
                </c:pt>
                <c:pt idx="2660">
                  <c:v>57756</c:v>
                </c:pt>
                <c:pt idx="2661">
                  <c:v>57763</c:v>
                </c:pt>
                <c:pt idx="2662">
                  <c:v>57770</c:v>
                </c:pt>
                <c:pt idx="2663">
                  <c:v>57777</c:v>
                </c:pt>
                <c:pt idx="2664">
                  <c:v>57784</c:v>
                </c:pt>
                <c:pt idx="2665">
                  <c:v>57791</c:v>
                </c:pt>
                <c:pt idx="2666">
                  <c:v>57798</c:v>
                </c:pt>
                <c:pt idx="2667">
                  <c:v>57805</c:v>
                </c:pt>
                <c:pt idx="2668">
                  <c:v>57812</c:v>
                </c:pt>
                <c:pt idx="2669">
                  <c:v>57819</c:v>
                </c:pt>
                <c:pt idx="2670">
                  <c:v>57826</c:v>
                </c:pt>
                <c:pt idx="2671">
                  <c:v>57833</c:v>
                </c:pt>
                <c:pt idx="2672">
                  <c:v>57840</c:v>
                </c:pt>
                <c:pt idx="2673">
                  <c:v>57847</c:v>
                </c:pt>
                <c:pt idx="2674">
                  <c:v>57854</c:v>
                </c:pt>
                <c:pt idx="2675">
                  <c:v>57861</c:v>
                </c:pt>
                <c:pt idx="2676">
                  <c:v>57868</c:v>
                </c:pt>
                <c:pt idx="2677">
                  <c:v>57875</c:v>
                </c:pt>
                <c:pt idx="2678">
                  <c:v>57882</c:v>
                </c:pt>
                <c:pt idx="2679">
                  <c:v>57889</c:v>
                </c:pt>
                <c:pt idx="2680">
                  <c:v>57896</c:v>
                </c:pt>
                <c:pt idx="2681">
                  <c:v>57903</c:v>
                </c:pt>
                <c:pt idx="2682">
                  <c:v>57910</c:v>
                </c:pt>
                <c:pt idx="2683">
                  <c:v>57917</c:v>
                </c:pt>
                <c:pt idx="2684">
                  <c:v>57924</c:v>
                </c:pt>
                <c:pt idx="2685">
                  <c:v>57931</c:v>
                </c:pt>
                <c:pt idx="2686">
                  <c:v>57938</c:v>
                </c:pt>
                <c:pt idx="2687">
                  <c:v>57945</c:v>
                </c:pt>
                <c:pt idx="2688">
                  <c:v>57952</c:v>
                </c:pt>
                <c:pt idx="2689">
                  <c:v>57959</c:v>
                </c:pt>
                <c:pt idx="2690">
                  <c:v>57966</c:v>
                </c:pt>
                <c:pt idx="2691">
                  <c:v>57973</c:v>
                </c:pt>
                <c:pt idx="2692">
                  <c:v>57980</c:v>
                </c:pt>
                <c:pt idx="2693">
                  <c:v>57987</c:v>
                </c:pt>
                <c:pt idx="2694">
                  <c:v>57994</c:v>
                </c:pt>
                <c:pt idx="2695">
                  <c:v>58001</c:v>
                </c:pt>
                <c:pt idx="2696">
                  <c:v>58008</c:v>
                </c:pt>
                <c:pt idx="2697">
                  <c:v>58015</c:v>
                </c:pt>
                <c:pt idx="2698">
                  <c:v>58022</c:v>
                </c:pt>
                <c:pt idx="2699">
                  <c:v>58029</c:v>
                </c:pt>
                <c:pt idx="2700">
                  <c:v>58036</c:v>
                </c:pt>
                <c:pt idx="2701">
                  <c:v>58043</c:v>
                </c:pt>
                <c:pt idx="2702">
                  <c:v>58050</c:v>
                </c:pt>
                <c:pt idx="2703">
                  <c:v>58057</c:v>
                </c:pt>
                <c:pt idx="2704">
                  <c:v>58064</c:v>
                </c:pt>
                <c:pt idx="2705">
                  <c:v>58071</c:v>
                </c:pt>
                <c:pt idx="2706">
                  <c:v>58078</c:v>
                </c:pt>
                <c:pt idx="2707">
                  <c:v>58085</c:v>
                </c:pt>
                <c:pt idx="2708">
                  <c:v>58092</c:v>
                </c:pt>
                <c:pt idx="2709">
                  <c:v>58099</c:v>
                </c:pt>
                <c:pt idx="2710">
                  <c:v>58106</c:v>
                </c:pt>
                <c:pt idx="2711">
                  <c:v>58113</c:v>
                </c:pt>
                <c:pt idx="2712">
                  <c:v>58120</c:v>
                </c:pt>
                <c:pt idx="2713">
                  <c:v>58127</c:v>
                </c:pt>
                <c:pt idx="2714">
                  <c:v>58134</c:v>
                </c:pt>
                <c:pt idx="2715">
                  <c:v>58141</c:v>
                </c:pt>
                <c:pt idx="2716">
                  <c:v>58148</c:v>
                </c:pt>
                <c:pt idx="2717">
                  <c:v>58155</c:v>
                </c:pt>
                <c:pt idx="2718">
                  <c:v>58162</c:v>
                </c:pt>
                <c:pt idx="2719">
                  <c:v>58169</c:v>
                </c:pt>
                <c:pt idx="2720">
                  <c:v>58176</c:v>
                </c:pt>
                <c:pt idx="2721">
                  <c:v>58183</c:v>
                </c:pt>
                <c:pt idx="2722">
                  <c:v>58190</c:v>
                </c:pt>
                <c:pt idx="2723">
                  <c:v>58197</c:v>
                </c:pt>
                <c:pt idx="2724">
                  <c:v>58204</c:v>
                </c:pt>
                <c:pt idx="2725">
                  <c:v>58211</c:v>
                </c:pt>
                <c:pt idx="2726">
                  <c:v>58218</c:v>
                </c:pt>
                <c:pt idx="2727">
                  <c:v>58225</c:v>
                </c:pt>
                <c:pt idx="2728">
                  <c:v>58232</c:v>
                </c:pt>
                <c:pt idx="2729">
                  <c:v>58239</c:v>
                </c:pt>
                <c:pt idx="2730">
                  <c:v>58246</c:v>
                </c:pt>
                <c:pt idx="2731">
                  <c:v>58253</c:v>
                </c:pt>
                <c:pt idx="2732">
                  <c:v>58263</c:v>
                </c:pt>
                <c:pt idx="2733">
                  <c:v>58270</c:v>
                </c:pt>
                <c:pt idx="2734">
                  <c:v>58277</c:v>
                </c:pt>
                <c:pt idx="2735">
                  <c:v>58284</c:v>
                </c:pt>
                <c:pt idx="2736">
                  <c:v>58291</c:v>
                </c:pt>
                <c:pt idx="2737">
                  <c:v>58298</c:v>
                </c:pt>
                <c:pt idx="2738">
                  <c:v>58305</c:v>
                </c:pt>
                <c:pt idx="2739">
                  <c:v>58312</c:v>
                </c:pt>
                <c:pt idx="2740">
                  <c:v>58320</c:v>
                </c:pt>
                <c:pt idx="2741">
                  <c:v>58327</c:v>
                </c:pt>
                <c:pt idx="2742">
                  <c:v>58334</c:v>
                </c:pt>
                <c:pt idx="2743">
                  <c:v>58341</c:v>
                </c:pt>
                <c:pt idx="2744">
                  <c:v>58348</c:v>
                </c:pt>
                <c:pt idx="2745">
                  <c:v>58355</c:v>
                </c:pt>
                <c:pt idx="2746">
                  <c:v>58362</c:v>
                </c:pt>
                <c:pt idx="2747">
                  <c:v>58369</c:v>
                </c:pt>
                <c:pt idx="2748">
                  <c:v>58376</c:v>
                </c:pt>
                <c:pt idx="2749">
                  <c:v>58383</c:v>
                </c:pt>
                <c:pt idx="2750">
                  <c:v>58391</c:v>
                </c:pt>
                <c:pt idx="2751">
                  <c:v>58398</c:v>
                </c:pt>
                <c:pt idx="2752">
                  <c:v>58405</c:v>
                </c:pt>
                <c:pt idx="2753">
                  <c:v>58412</c:v>
                </c:pt>
                <c:pt idx="2754">
                  <c:v>58419</c:v>
                </c:pt>
                <c:pt idx="2755">
                  <c:v>58426</c:v>
                </c:pt>
                <c:pt idx="2756">
                  <c:v>58433</c:v>
                </c:pt>
                <c:pt idx="2757">
                  <c:v>58440</c:v>
                </c:pt>
                <c:pt idx="2758">
                  <c:v>58447</c:v>
                </c:pt>
                <c:pt idx="2759">
                  <c:v>58454</c:v>
                </c:pt>
                <c:pt idx="2760">
                  <c:v>58461</c:v>
                </c:pt>
                <c:pt idx="2761">
                  <c:v>58468</c:v>
                </c:pt>
                <c:pt idx="2762">
                  <c:v>58475</c:v>
                </c:pt>
                <c:pt idx="2763">
                  <c:v>58482</c:v>
                </c:pt>
                <c:pt idx="2764">
                  <c:v>58489</c:v>
                </c:pt>
                <c:pt idx="2765">
                  <c:v>58496</c:v>
                </c:pt>
                <c:pt idx="2766">
                  <c:v>58503</c:v>
                </c:pt>
                <c:pt idx="2767">
                  <c:v>58510</c:v>
                </c:pt>
                <c:pt idx="2768">
                  <c:v>58517</c:v>
                </c:pt>
                <c:pt idx="2769">
                  <c:v>58524</c:v>
                </c:pt>
                <c:pt idx="2770">
                  <c:v>58531</c:v>
                </c:pt>
                <c:pt idx="2771">
                  <c:v>58538</c:v>
                </c:pt>
                <c:pt idx="2772">
                  <c:v>58545</c:v>
                </c:pt>
                <c:pt idx="2773">
                  <c:v>58552</c:v>
                </c:pt>
                <c:pt idx="2774">
                  <c:v>58559</c:v>
                </c:pt>
                <c:pt idx="2775">
                  <c:v>58566</c:v>
                </c:pt>
                <c:pt idx="2776">
                  <c:v>58573</c:v>
                </c:pt>
                <c:pt idx="2777">
                  <c:v>58580</c:v>
                </c:pt>
                <c:pt idx="2778">
                  <c:v>58587</c:v>
                </c:pt>
                <c:pt idx="2779">
                  <c:v>58594</c:v>
                </c:pt>
                <c:pt idx="2780">
                  <c:v>58601</c:v>
                </c:pt>
                <c:pt idx="2781">
                  <c:v>58608</c:v>
                </c:pt>
                <c:pt idx="2782">
                  <c:v>58615</c:v>
                </c:pt>
                <c:pt idx="2783">
                  <c:v>58622</c:v>
                </c:pt>
                <c:pt idx="2784">
                  <c:v>58629</c:v>
                </c:pt>
                <c:pt idx="2785">
                  <c:v>58636</c:v>
                </c:pt>
                <c:pt idx="2786">
                  <c:v>58643</c:v>
                </c:pt>
                <c:pt idx="2787">
                  <c:v>58650</c:v>
                </c:pt>
                <c:pt idx="2788">
                  <c:v>58657</c:v>
                </c:pt>
                <c:pt idx="2789">
                  <c:v>58664</c:v>
                </c:pt>
                <c:pt idx="2790">
                  <c:v>58671</c:v>
                </c:pt>
                <c:pt idx="2791">
                  <c:v>58678</c:v>
                </c:pt>
                <c:pt idx="2792">
                  <c:v>58685</c:v>
                </c:pt>
                <c:pt idx="2793">
                  <c:v>58692</c:v>
                </c:pt>
                <c:pt idx="2794">
                  <c:v>58699</c:v>
                </c:pt>
                <c:pt idx="2795">
                  <c:v>58706</c:v>
                </c:pt>
                <c:pt idx="2796">
                  <c:v>58713</c:v>
                </c:pt>
                <c:pt idx="2797">
                  <c:v>58720</c:v>
                </c:pt>
                <c:pt idx="2798">
                  <c:v>58727</c:v>
                </c:pt>
                <c:pt idx="2799">
                  <c:v>58734</c:v>
                </c:pt>
                <c:pt idx="2800">
                  <c:v>58741</c:v>
                </c:pt>
                <c:pt idx="2801">
                  <c:v>58748</c:v>
                </c:pt>
                <c:pt idx="2802">
                  <c:v>58755</c:v>
                </c:pt>
                <c:pt idx="2803">
                  <c:v>58762</c:v>
                </c:pt>
                <c:pt idx="2804">
                  <c:v>58769</c:v>
                </c:pt>
                <c:pt idx="2805">
                  <c:v>58776</c:v>
                </c:pt>
                <c:pt idx="2806">
                  <c:v>58783</c:v>
                </c:pt>
                <c:pt idx="2807">
                  <c:v>58790</c:v>
                </c:pt>
                <c:pt idx="2808">
                  <c:v>58797</c:v>
                </c:pt>
                <c:pt idx="2809">
                  <c:v>58804</c:v>
                </c:pt>
                <c:pt idx="2810">
                  <c:v>58811</c:v>
                </c:pt>
                <c:pt idx="2811">
                  <c:v>58818</c:v>
                </c:pt>
                <c:pt idx="2812">
                  <c:v>58825</c:v>
                </c:pt>
                <c:pt idx="2813">
                  <c:v>58832</c:v>
                </c:pt>
                <c:pt idx="2814">
                  <c:v>58839</c:v>
                </c:pt>
                <c:pt idx="2815">
                  <c:v>58846</c:v>
                </c:pt>
                <c:pt idx="2816">
                  <c:v>58853</c:v>
                </c:pt>
                <c:pt idx="2817">
                  <c:v>58860</c:v>
                </c:pt>
                <c:pt idx="2818">
                  <c:v>58867</c:v>
                </c:pt>
                <c:pt idx="2819">
                  <c:v>58874</c:v>
                </c:pt>
                <c:pt idx="2820">
                  <c:v>58881</c:v>
                </c:pt>
                <c:pt idx="2821">
                  <c:v>58888</c:v>
                </c:pt>
                <c:pt idx="2822">
                  <c:v>58895</c:v>
                </c:pt>
                <c:pt idx="2823">
                  <c:v>58902</c:v>
                </c:pt>
                <c:pt idx="2824">
                  <c:v>58909</c:v>
                </c:pt>
                <c:pt idx="2825">
                  <c:v>58916</c:v>
                </c:pt>
                <c:pt idx="2826">
                  <c:v>58923</c:v>
                </c:pt>
                <c:pt idx="2827">
                  <c:v>58930</c:v>
                </c:pt>
                <c:pt idx="2828">
                  <c:v>58937</c:v>
                </c:pt>
                <c:pt idx="2829">
                  <c:v>58944</c:v>
                </c:pt>
                <c:pt idx="2830">
                  <c:v>58951</c:v>
                </c:pt>
                <c:pt idx="2831">
                  <c:v>58958</c:v>
                </c:pt>
                <c:pt idx="2832">
                  <c:v>58965</c:v>
                </c:pt>
                <c:pt idx="2833">
                  <c:v>58972</c:v>
                </c:pt>
                <c:pt idx="2834">
                  <c:v>58979</c:v>
                </c:pt>
                <c:pt idx="2835">
                  <c:v>58986</c:v>
                </c:pt>
                <c:pt idx="2836">
                  <c:v>58993</c:v>
                </c:pt>
                <c:pt idx="2837">
                  <c:v>59000</c:v>
                </c:pt>
                <c:pt idx="2838">
                  <c:v>59007</c:v>
                </c:pt>
                <c:pt idx="2839">
                  <c:v>59014</c:v>
                </c:pt>
                <c:pt idx="2840">
                  <c:v>59021</c:v>
                </c:pt>
                <c:pt idx="2841">
                  <c:v>59028</c:v>
                </c:pt>
                <c:pt idx="2842">
                  <c:v>59035</c:v>
                </c:pt>
                <c:pt idx="2843">
                  <c:v>59042</c:v>
                </c:pt>
                <c:pt idx="2844">
                  <c:v>59049</c:v>
                </c:pt>
                <c:pt idx="2845">
                  <c:v>59056</c:v>
                </c:pt>
                <c:pt idx="2846">
                  <c:v>59063</c:v>
                </c:pt>
                <c:pt idx="2847">
                  <c:v>59070</c:v>
                </c:pt>
                <c:pt idx="2848">
                  <c:v>59077</c:v>
                </c:pt>
                <c:pt idx="2849">
                  <c:v>59084</c:v>
                </c:pt>
                <c:pt idx="2850">
                  <c:v>59091</c:v>
                </c:pt>
                <c:pt idx="2851">
                  <c:v>59098</c:v>
                </c:pt>
                <c:pt idx="2852">
                  <c:v>59105</c:v>
                </c:pt>
                <c:pt idx="2853">
                  <c:v>59112</c:v>
                </c:pt>
                <c:pt idx="2854">
                  <c:v>59119</c:v>
                </c:pt>
                <c:pt idx="2855">
                  <c:v>59126</c:v>
                </c:pt>
                <c:pt idx="2856">
                  <c:v>59133</c:v>
                </c:pt>
                <c:pt idx="2857">
                  <c:v>59140</c:v>
                </c:pt>
                <c:pt idx="2858">
                  <c:v>59147</c:v>
                </c:pt>
                <c:pt idx="2859">
                  <c:v>59154</c:v>
                </c:pt>
                <c:pt idx="2860">
                  <c:v>59161</c:v>
                </c:pt>
                <c:pt idx="2861">
                  <c:v>59168</c:v>
                </c:pt>
                <c:pt idx="2862">
                  <c:v>59175</c:v>
                </c:pt>
                <c:pt idx="2863">
                  <c:v>59182</c:v>
                </c:pt>
                <c:pt idx="2864">
                  <c:v>59189</c:v>
                </c:pt>
                <c:pt idx="2865">
                  <c:v>59196</c:v>
                </c:pt>
                <c:pt idx="2866">
                  <c:v>59203</c:v>
                </c:pt>
                <c:pt idx="2867">
                  <c:v>59210</c:v>
                </c:pt>
                <c:pt idx="2868">
                  <c:v>59217</c:v>
                </c:pt>
                <c:pt idx="2869">
                  <c:v>59224</c:v>
                </c:pt>
                <c:pt idx="2870">
                  <c:v>59231</c:v>
                </c:pt>
                <c:pt idx="2871">
                  <c:v>59238</c:v>
                </c:pt>
                <c:pt idx="2872">
                  <c:v>59245</c:v>
                </c:pt>
                <c:pt idx="2873">
                  <c:v>59252</c:v>
                </c:pt>
                <c:pt idx="2874">
                  <c:v>59259</c:v>
                </c:pt>
                <c:pt idx="2875">
                  <c:v>59266</c:v>
                </c:pt>
                <c:pt idx="2876">
                  <c:v>59273</c:v>
                </c:pt>
                <c:pt idx="2877">
                  <c:v>59280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59863</c:v>
                </c:pt>
                <c:pt idx="2961">
                  <c:v>59870</c:v>
                </c:pt>
                <c:pt idx="2962">
                  <c:v>59877</c:v>
                </c:pt>
                <c:pt idx="2963">
                  <c:v>59884</c:v>
                </c:pt>
                <c:pt idx="2964">
                  <c:v>59891</c:v>
                </c:pt>
                <c:pt idx="2965">
                  <c:v>59898</c:v>
                </c:pt>
                <c:pt idx="2966">
                  <c:v>59905</c:v>
                </c:pt>
                <c:pt idx="2967">
                  <c:v>59912</c:v>
                </c:pt>
                <c:pt idx="2968">
                  <c:v>59919</c:v>
                </c:pt>
                <c:pt idx="2969">
                  <c:v>59926</c:v>
                </c:pt>
                <c:pt idx="2970">
                  <c:v>59933</c:v>
                </c:pt>
                <c:pt idx="2971">
                  <c:v>59940</c:v>
                </c:pt>
                <c:pt idx="2972">
                  <c:v>59947</c:v>
                </c:pt>
                <c:pt idx="2973">
                  <c:v>59954</c:v>
                </c:pt>
                <c:pt idx="2974">
                  <c:v>59961</c:v>
                </c:pt>
                <c:pt idx="2975">
                  <c:v>59968</c:v>
                </c:pt>
                <c:pt idx="2976">
                  <c:v>59975</c:v>
                </c:pt>
                <c:pt idx="2977">
                  <c:v>59982</c:v>
                </c:pt>
                <c:pt idx="2978">
                  <c:v>59989</c:v>
                </c:pt>
                <c:pt idx="2979">
                  <c:v>59996</c:v>
                </c:pt>
                <c:pt idx="2980">
                  <c:v>60003</c:v>
                </c:pt>
                <c:pt idx="2981">
                  <c:v>60010</c:v>
                </c:pt>
                <c:pt idx="2982">
                  <c:v>60017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60090</c:v>
                </c:pt>
                <c:pt idx="2993">
                  <c:v>60097</c:v>
                </c:pt>
                <c:pt idx="2994">
                  <c:v>60104</c:v>
                </c:pt>
                <c:pt idx="2995">
                  <c:v>60111</c:v>
                </c:pt>
                <c:pt idx="2996">
                  <c:v>60118</c:v>
                </c:pt>
                <c:pt idx="2997">
                  <c:v>60125</c:v>
                </c:pt>
                <c:pt idx="2998">
                  <c:v>60132</c:v>
                </c:pt>
                <c:pt idx="2999">
                  <c:v>60139</c:v>
                </c:pt>
                <c:pt idx="3000">
                  <c:v>60147</c:v>
                </c:pt>
                <c:pt idx="3001">
                  <c:v>60154</c:v>
                </c:pt>
                <c:pt idx="3002">
                  <c:v>60161</c:v>
                </c:pt>
                <c:pt idx="3003">
                  <c:v>60168</c:v>
                </c:pt>
                <c:pt idx="3004">
                  <c:v>60175</c:v>
                </c:pt>
                <c:pt idx="3005">
                  <c:v>60182</c:v>
                </c:pt>
                <c:pt idx="3006">
                  <c:v>60189</c:v>
                </c:pt>
                <c:pt idx="3007">
                  <c:v>60196</c:v>
                </c:pt>
                <c:pt idx="3008">
                  <c:v>60203</c:v>
                </c:pt>
                <c:pt idx="3009">
                  <c:v>60210</c:v>
                </c:pt>
                <c:pt idx="3010">
                  <c:v>60218</c:v>
                </c:pt>
                <c:pt idx="3011">
                  <c:v>60225</c:v>
                </c:pt>
                <c:pt idx="3012">
                  <c:v>60232</c:v>
                </c:pt>
                <c:pt idx="3013">
                  <c:v>60239</c:v>
                </c:pt>
                <c:pt idx="3014">
                  <c:v>60246</c:v>
                </c:pt>
                <c:pt idx="3015">
                  <c:v>60253</c:v>
                </c:pt>
                <c:pt idx="3016">
                  <c:v>60260</c:v>
                </c:pt>
                <c:pt idx="3017">
                  <c:v>60267</c:v>
                </c:pt>
                <c:pt idx="3018">
                  <c:v>60274</c:v>
                </c:pt>
                <c:pt idx="3019">
                  <c:v>60281</c:v>
                </c:pt>
                <c:pt idx="3020">
                  <c:v>60288</c:v>
                </c:pt>
                <c:pt idx="3021">
                  <c:v>60295</c:v>
                </c:pt>
                <c:pt idx="3022">
                  <c:v>60302</c:v>
                </c:pt>
                <c:pt idx="3023">
                  <c:v>60309</c:v>
                </c:pt>
                <c:pt idx="3024">
                  <c:v>60316</c:v>
                </c:pt>
                <c:pt idx="3025">
                  <c:v>60323</c:v>
                </c:pt>
                <c:pt idx="3026">
                  <c:v>60330</c:v>
                </c:pt>
                <c:pt idx="3027">
                  <c:v>60337</c:v>
                </c:pt>
                <c:pt idx="3028">
                  <c:v>60344</c:v>
                </c:pt>
                <c:pt idx="3029">
                  <c:v>60351</c:v>
                </c:pt>
                <c:pt idx="3030">
                  <c:v>60358</c:v>
                </c:pt>
                <c:pt idx="3031">
                  <c:v>60365</c:v>
                </c:pt>
                <c:pt idx="3032">
                  <c:v>60372</c:v>
                </c:pt>
                <c:pt idx="3033">
                  <c:v>60379</c:v>
                </c:pt>
                <c:pt idx="3034">
                  <c:v>60386</c:v>
                </c:pt>
                <c:pt idx="3035">
                  <c:v>60393</c:v>
                </c:pt>
                <c:pt idx="3036">
                  <c:v>60400</c:v>
                </c:pt>
                <c:pt idx="3037">
                  <c:v>60407</c:v>
                </c:pt>
                <c:pt idx="3038">
                  <c:v>60414</c:v>
                </c:pt>
                <c:pt idx="3039">
                  <c:v>60421</c:v>
                </c:pt>
                <c:pt idx="3040">
                  <c:v>60428</c:v>
                </c:pt>
                <c:pt idx="3041">
                  <c:v>60435</c:v>
                </c:pt>
                <c:pt idx="3042">
                  <c:v>60442</c:v>
                </c:pt>
                <c:pt idx="3043">
                  <c:v>60449</c:v>
                </c:pt>
                <c:pt idx="3044">
                  <c:v>60456</c:v>
                </c:pt>
                <c:pt idx="3045">
                  <c:v>60463</c:v>
                </c:pt>
                <c:pt idx="3046">
                  <c:v>60470</c:v>
                </c:pt>
                <c:pt idx="3047">
                  <c:v>60477</c:v>
                </c:pt>
                <c:pt idx="3048">
                  <c:v>60484</c:v>
                </c:pt>
                <c:pt idx="3049">
                  <c:v>60491</c:v>
                </c:pt>
                <c:pt idx="3050">
                  <c:v>60498</c:v>
                </c:pt>
                <c:pt idx="3051">
                  <c:v>60505</c:v>
                </c:pt>
                <c:pt idx="3052">
                  <c:v>60512</c:v>
                </c:pt>
                <c:pt idx="3053">
                  <c:v>60519</c:v>
                </c:pt>
                <c:pt idx="3054">
                  <c:v>60526</c:v>
                </c:pt>
                <c:pt idx="3055">
                  <c:v>60533</c:v>
                </c:pt>
                <c:pt idx="3056">
                  <c:v>60540</c:v>
                </c:pt>
                <c:pt idx="3057">
                  <c:v>60547</c:v>
                </c:pt>
                <c:pt idx="3058">
                  <c:v>60554</c:v>
                </c:pt>
                <c:pt idx="3059">
                  <c:v>60561</c:v>
                </c:pt>
                <c:pt idx="3060">
                  <c:v>60568</c:v>
                </c:pt>
                <c:pt idx="3061">
                  <c:v>60575</c:v>
                </c:pt>
                <c:pt idx="3062">
                  <c:v>60583</c:v>
                </c:pt>
                <c:pt idx="3063">
                  <c:v>60590</c:v>
                </c:pt>
                <c:pt idx="3064">
                  <c:v>60598</c:v>
                </c:pt>
                <c:pt idx="3065">
                  <c:v>60605</c:v>
                </c:pt>
                <c:pt idx="3066">
                  <c:v>60612</c:v>
                </c:pt>
                <c:pt idx="3067">
                  <c:v>60619</c:v>
                </c:pt>
                <c:pt idx="3068">
                  <c:v>60629</c:v>
                </c:pt>
                <c:pt idx="3069">
                  <c:v>60636</c:v>
                </c:pt>
                <c:pt idx="3070">
                  <c:v>60643</c:v>
                </c:pt>
                <c:pt idx="3071">
                  <c:v>60651</c:v>
                </c:pt>
                <c:pt idx="3072">
                  <c:v>60658</c:v>
                </c:pt>
                <c:pt idx="3073">
                  <c:v>60665</c:v>
                </c:pt>
                <c:pt idx="3074">
                  <c:v>60672</c:v>
                </c:pt>
                <c:pt idx="3075">
                  <c:v>60679</c:v>
                </c:pt>
                <c:pt idx="3076">
                  <c:v>60686</c:v>
                </c:pt>
                <c:pt idx="3077">
                  <c:v>60693</c:v>
                </c:pt>
                <c:pt idx="3078">
                  <c:v>60700</c:v>
                </c:pt>
                <c:pt idx="3079">
                  <c:v>60707</c:v>
                </c:pt>
                <c:pt idx="3080">
                  <c:v>60714</c:v>
                </c:pt>
                <c:pt idx="3081">
                  <c:v>60721</c:v>
                </c:pt>
                <c:pt idx="3082">
                  <c:v>60728</c:v>
                </c:pt>
                <c:pt idx="3083">
                  <c:v>60735</c:v>
                </c:pt>
                <c:pt idx="3084">
                  <c:v>60742</c:v>
                </c:pt>
                <c:pt idx="3085">
                  <c:v>60749</c:v>
                </c:pt>
                <c:pt idx="3086">
                  <c:v>60756</c:v>
                </c:pt>
                <c:pt idx="3087">
                  <c:v>60763</c:v>
                </c:pt>
                <c:pt idx="3088">
                  <c:v>60770</c:v>
                </c:pt>
                <c:pt idx="3089">
                  <c:v>60777</c:v>
                </c:pt>
                <c:pt idx="3090">
                  <c:v>60784</c:v>
                </c:pt>
                <c:pt idx="3091">
                  <c:v>60791</c:v>
                </c:pt>
                <c:pt idx="3092">
                  <c:v>60798</c:v>
                </c:pt>
                <c:pt idx="3093">
                  <c:v>60805</c:v>
                </c:pt>
                <c:pt idx="3094">
                  <c:v>60812</c:v>
                </c:pt>
                <c:pt idx="3095">
                  <c:v>60819</c:v>
                </c:pt>
                <c:pt idx="3096">
                  <c:v>60826</c:v>
                </c:pt>
                <c:pt idx="3097">
                  <c:v>60833</c:v>
                </c:pt>
                <c:pt idx="3098">
                  <c:v>60840</c:v>
                </c:pt>
                <c:pt idx="3099">
                  <c:v>60847</c:v>
                </c:pt>
                <c:pt idx="3100">
                  <c:v>60854</c:v>
                </c:pt>
                <c:pt idx="3101">
                  <c:v>60861</c:v>
                </c:pt>
                <c:pt idx="3102">
                  <c:v>60868</c:v>
                </c:pt>
                <c:pt idx="3103">
                  <c:v>60875</c:v>
                </c:pt>
                <c:pt idx="3104">
                  <c:v>60882</c:v>
                </c:pt>
                <c:pt idx="3105">
                  <c:v>60889</c:v>
                </c:pt>
                <c:pt idx="3106">
                  <c:v>60896</c:v>
                </c:pt>
                <c:pt idx="3107">
                  <c:v>60903</c:v>
                </c:pt>
                <c:pt idx="3108">
                  <c:v>60910</c:v>
                </c:pt>
                <c:pt idx="3109">
                  <c:v>60917</c:v>
                </c:pt>
                <c:pt idx="3110">
                  <c:v>60924</c:v>
                </c:pt>
                <c:pt idx="3111">
                  <c:v>60931</c:v>
                </c:pt>
                <c:pt idx="3112">
                  <c:v>60938</c:v>
                </c:pt>
                <c:pt idx="3113">
                  <c:v>60945</c:v>
                </c:pt>
                <c:pt idx="3114">
                  <c:v>60952</c:v>
                </c:pt>
                <c:pt idx="3115">
                  <c:v>60959</c:v>
                </c:pt>
                <c:pt idx="3116">
                  <c:v>60966</c:v>
                </c:pt>
                <c:pt idx="3117">
                  <c:v>60973</c:v>
                </c:pt>
                <c:pt idx="3118">
                  <c:v>60980</c:v>
                </c:pt>
                <c:pt idx="3119">
                  <c:v>60987</c:v>
                </c:pt>
                <c:pt idx="3120">
                  <c:v>60994</c:v>
                </c:pt>
                <c:pt idx="3121">
                  <c:v>61001</c:v>
                </c:pt>
                <c:pt idx="3122">
                  <c:v>61008</c:v>
                </c:pt>
                <c:pt idx="3123">
                  <c:v>61015</c:v>
                </c:pt>
                <c:pt idx="3124">
                  <c:v>61022</c:v>
                </c:pt>
                <c:pt idx="3125">
                  <c:v>61029</c:v>
                </c:pt>
                <c:pt idx="3126">
                  <c:v>61036</c:v>
                </c:pt>
                <c:pt idx="3127">
                  <c:v>61043</c:v>
                </c:pt>
                <c:pt idx="3128">
                  <c:v>61050</c:v>
                </c:pt>
                <c:pt idx="3129">
                  <c:v>61057</c:v>
                </c:pt>
                <c:pt idx="3130">
                  <c:v>61064</c:v>
                </c:pt>
                <c:pt idx="3131">
                  <c:v>61071</c:v>
                </c:pt>
                <c:pt idx="3132">
                  <c:v>61078</c:v>
                </c:pt>
                <c:pt idx="3133">
                  <c:v>61085</c:v>
                </c:pt>
                <c:pt idx="3134">
                  <c:v>61092</c:v>
                </c:pt>
                <c:pt idx="3135">
                  <c:v>61099</c:v>
                </c:pt>
                <c:pt idx="3136">
                  <c:v>61106</c:v>
                </c:pt>
                <c:pt idx="3137">
                  <c:v>61113</c:v>
                </c:pt>
                <c:pt idx="3138">
                  <c:v>61120</c:v>
                </c:pt>
                <c:pt idx="3139">
                  <c:v>61127</c:v>
                </c:pt>
                <c:pt idx="3140">
                  <c:v>61134</c:v>
                </c:pt>
                <c:pt idx="3141">
                  <c:v>61141</c:v>
                </c:pt>
                <c:pt idx="3142">
                  <c:v>61148</c:v>
                </c:pt>
                <c:pt idx="3143">
                  <c:v>61155</c:v>
                </c:pt>
                <c:pt idx="3144">
                  <c:v>61162</c:v>
                </c:pt>
                <c:pt idx="3145">
                  <c:v>61169</c:v>
                </c:pt>
                <c:pt idx="3146">
                  <c:v>61176</c:v>
                </c:pt>
                <c:pt idx="3147">
                  <c:v>61183</c:v>
                </c:pt>
                <c:pt idx="3148">
                  <c:v>61190</c:v>
                </c:pt>
                <c:pt idx="3149">
                  <c:v>61197</c:v>
                </c:pt>
                <c:pt idx="3150">
                  <c:v>61204</c:v>
                </c:pt>
                <c:pt idx="3151">
                  <c:v>61211</c:v>
                </c:pt>
                <c:pt idx="3152">
                  <c:v>61218</c:v>
                </c:pt>
                <c:pt idx="3153">
                  <c:v>61225</c:v>
                </c:pt>
                <c:pt idx="3154">
                  <c:v>61232</c:v>
                </c:pt>
                <c:pt idx="3155">
                  <c:v>61239</c:v>
                </c:pt>
                <c:pt idx="3156">
                  <c:v>61246</c:v>
                </c:pt>
                <c:pt idx="3157">
                  <c:v>61253</c:v>
                </c:pt>
                <c:pt idx="3158">
                  <c:v>61260</c:v>
                </c:pt>
                <c:pt idx="3159">
                  <c:v>61267</c:v>
                </c:pt>
                <c:pt idx="3160">
                  <c:v>61274</c:v>
                </c:pt>
                <c:pt idx="3161">
                  <c:v>61281</c:v>
                </c:pt>
                <c:pt idx="3162">
                  <c:v>61288</c:v>
                </c:pt>
                <c:pt idx="3163">
                  <c:v>61295</c:v>
                </c:pt>
                <c:pt idx="3164">
                  <c:v>61302</c:v>
                </c:pt>
                <c:pt idx="3165">
                  <c:v>61309</c:v>
                </c:pt>
                <c:pt idx="3166">
                  <c:v>61316</c:v>
                </c:pt>
                <c:pt idx="3167">
                  <c:v>61323</c:v>
                </c:pt>
                <c:pt idx="3168">
                  <c:v>61330</c:v>
                </c:pt>
                <c:pt idx="3169">
                  <c:v>61337</c:v>
                </c:pt>
                <c:pt idx="3170">
                  <c:v>61344</c:v>
                </c:pt>
                <c:pt idx="3171">
                  <c:v>61351</c:v>
                </c:pt>
                <c:pt idx="3172">
                  <c:v>61358</c:v>
                </c:pt>
                <c:pt idx="3173">
                  <c:v>61365</c:v>
                </c:pt>
                <c:pt idx="3174">
                  <c:v>61372</c:v>
                </c:pt>
                <c:pt idx="3175">
                  <c:v>61379</c:v>
                </c:pt>
                <c:pt idx="3176">
                  <c:v>61386</c:v>
                </c:pt>
                <c:pt idx="3177">
                  <c:v>61393</c:v>
                </c:pt>
                <c:pt idx="3178">
                  <c:v>61400</c:v>
                </c:pt>
                <c:pt idx="3179">
                  <c:v>61407</c:v>
                </c:pt>
                <c:pt idx="3180">
                  <c:v>61414</c:v>
                </c:pt>
                <c:pt idx="3181">
                  <c:v>61421</c:v>
                </c:pt>
                <c:pt idx="3182">
                  <c:v>61428</c:v>
                </c:pt>
                <c:pt idx="3183">
                  <c:v>61435</c:v>
                </c:pt>
                <c:pt idx="3184">
                  <c:v>61442</c:v>
                </c:pt>
                <c:pt idx="3185">
                  <c:v>61449</c:v>
                </c:pt>
                <c:pt idx="3186">
                  <c:v>61456</c:v>
                </c:pt>
                <c:pt idx="3187">
                  <c:v>61463</c:v>
                </c:pt>
                <c:pt idx="3188">
                  <c:v>61470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61723</c:v>
                </c:pt>
                <c:pt idx="3225">
                  <c:v>61730</c:v>
                </c:pt>
                <c:pt idx="3226">
                  <c:v>61737</c:v>
                </c:pt>
                <c:pt idx="3227">
                  <c:v>61744</c:v>
                </c:pt>
                <c:pt idx="3228">
                  <c:v>61751</c:v>
                </c:pt>
                <c:pt idx="3229">
                  <c:v>61758</c:v>
                </c:pt>
                <c:pt idx="3230">
                  <c:v>61765</c:v>
                </c:pt>
                <c:pt idx="3231">
                  <c:v>61772</c:v>
                </c:pt>
                <c:pt idx="3232">
                  <c:v>61779</c:v>
                </c:pt>
                <c:pt idx="3233">
                  <c:v>61786</c:v>
                </c:pt>
                <c:pt idx="3234">
                  <c:v>61793</c:v>
                </c:pt>
                <c:pt idx="3235">
                  <c:v>61800</c:v>
                </c:pt>
                <c:pt idx="3236">
                  <c:v>61807</c:v>
                </c:pt>
                <c:pt idx="3237">
                  <c:v>61814</c:v>
                </c:pt>
                <c:pt idx="3238">
                  <c:v>61821</c:v>
                </c:pt>
                <c:pt idx="3239">
                  <c:v>61828</c:v>
                </c:pt>
                <c:pt idx="3240">
                  <c:v>61835</c:v>
                </c:pt>
                <c:pt idx="3241">
                  <c:v>61842</c:v>
                </c:pt>
                <c:pt idx="3242">
                  <c:v>61849</c:v>
                </c:pt>
                <c:pt idx="3243">
                  <c:v>61856</c:v>
                </c:pt>
                <c:pt idx="3244">
                  <c:v>61863</c:v>
                </c:pt>
                <c:pt idx="3245">
                  <c:v>61870</c:v>
                </c:pt>
                <c:pt idx="3246">
                  <c:v>61877</c:v>
                </c:pt>
                <c:pt idx="3247">
                  <c:v>61884</c:v>
                </c:pt>
                <c:pt idx="3248">
                  <c:v>61891</c:v>
                </c:pt>
                <c:pt idx="3249">
                  <c:v>61898</c:v>
                </c:pt>
                <c:pt idx="3250">
                  <c:v>61905</c:v>
                </c:pt>
                <c:pt idx="3251">
                  <c:v>61912</c:v>
                </c:pt>
                <c:pt idx="3252">
                  <c:v>61919</c:v>
                </c:pt>
                <c:pt idx="3253">
                  <c:v>61926</c:v>
                </c:pt>
                <c:pt idx="3254">
                  <c:v>61933</c:v>
                </c:pt>
                <c:pt idx="3255">
                  <c:v>61940</c:v>
                </c:pt>
                <c:pt idx="3256">
                  <c:v>61947</c:v>
                </c:pt>
                <c:pt idx="3257">
                  <c:v>61954</c:v>
                </c:pt>
                <c:pt idx="3258">
                  <c:v>61961</c:v>
                </c:pt>
                <c:pt idx="3259">
                  <c:v>61968</c:v>
                </c:pt>
                <c:pt idx="3260">
                  <c:v>61975</c:v>
                </c:pt>
                <c:pt idx="3261">
                  <c:v>61982</c:v>
                </c:pt>
                <c:pt idx="3262">
                  <c:v>61989</c:v>
                </c:pt>
                <c:pt idx="3263">
                  <c:v>61996</c:v>
                </c:pt>
                <c:pt idx="3264">
                  <c:v>62003</c:v>
                </c:pt>
                <c:pt idx="3265">
                  <c:v>62010</c:v>
                </c:pt>
                <c:pt idx="3266">
                  <c:v>62017</c:v>
                </c:pt>
                <c:pt idx="3267">
                  <c:v>62024</c:v>
                </c:pt>
                <c:pt idx="3268">
                  <c:v>62031</c:v>
                </c:pt>
                <c:pt idx="3269">
                  <c:v>62038</c:v>
                </c:pt>
                <c:pt idx="3270">
                  <c:v>62045</c:v>
                </c:pt>
                <c:pt idx="3271">
                  <c:v>62052</c:v>
                </c:pt>
                <c:pt idx="3272">
                  <c:v>62059</c:v>
                </c:pt>
                <c:pt idx="3273">
                  <c:v>62066</c:v>
                </c:pt>
                <c:pt idx="3274">
                  <c:v>62073</c:v>
                </c:pt>
                <c:pt idx="3275">
                  <c:v>62080</c:v>
                </c:pt>
                <c:pt idx="3276">
                  <c:v>62088</c:v>
                </c:pt>
                <c:pt idx="3277">
                  <c:v>62095</c:v>
                </c:pt>
                <c:pt idx="3278">
                  <c:v>62102</c:v>
                </c:pt>
                <c:pt idx="3279">
                  <c:v>62109</c:v>
                </c:pt>
                <c:pt idx="3280">
                  <c:v>62116</c:v>
                </c:pt>
                <c:pt idx="3281">
                  <c:v>62123</c:v>
                </c:pt>
                <c:pt idx="3282">
                  <c:v>62130</c:v>
                </c:pt>
                <c:pt idx="3283">
                  <c:v>62137</c:v>
                </c:pt>
                <c:pt idx="3284">
                  <c:v>62144</c:v>
                </c:pt>
                <c:pt idx="3285">
                  <c:v>62151</c:v>
                </c:pt>
                <c:pt idx="3286">
                  <c:v>62158</c:v>
                </c:pt>
                <c:pt idx="3287">
                  <c:v>62165</c:v>
                </c:pt>
                <c:pt idx="3288">
                  <c:v>62172</c:v>
                </c:pt>
                <c:pt idx="3289">
                  <c:v>62179</c:v>
                </c:pt>
                <c:pt idx="3290">
                  <c:v>62186</c:v>
                </c:pt>
                <c:pt idx="3291">
                  <c:v>62193</c:v>
                </c:pt>
                <c:pt idx="3292">
                  <c:v>62200</c:v>
                </c:pt>
                <c:pt idx="3293">
                  <c:v>62207</c:v>
                </c:pt>
                <c:pt idx="3294">
                  <c:v>62214</c:v>
                </c:pt>
                <c:pt idx="3295">
                  <c:v>62221</c:v>
                </c:pt>
                <c:pt idx="3296">
                  <c:v>62228</c:v>
                </c:pt>
                <c:pt idx="3297">
                  <c:v>62235</c:v>
                </c:pt>
                <c:pt idx="3298">
                  <c:v>62242</c:v>
                </c:pt>
                <c:pt idx="3299">
                  <c:v>62249</c:v>
                </c:pt>
                <c:pt idx="3300">
                  <c:v>62256</c:v>
                </c:pt>
                <c:pt idx="3301">
                  <c:v>62263</c:v>
                </c:pt>
                <c:pt idx="3302">
                  <c:v>62270</c:v>
                </c:pt>
                <c:pt idx="3303">
                  <c:v>62277</c:v>
                </c:pt>
                <c:pt idx="3304">
                  <c:v>62284</c:v>
                </c:pt>
                <c:pt idx="3305">
                  <c:v>62291</c:v>
                </c:pt>
                <c:pt idx="3306">
                  <c:v>62298</c:v>
                </c:pt>
                <c:pt idx="3307">
                  <c:v>62305</c:v>
                </c:pt>
                <c:pt idx="3308">
                  <c:v>62312</c:v>
                </c:pt>
                <c:pt idx="3309">
                  <c:v>62319</c:v>
                </c:pt>
                <c:pt idx="3310">
                  <c:v>62326</c:v>
                </c:pt>
                <c:pt idx="3311">
                  <c:v>62333</c:v>
                </c:pt>
                <c:pt idx="3312">
                  <c:v>62340</c:v>
                </c:pt>
                <c:pt idx="3313">
                  <c:v>62347</c:v>
                </c:pt>
                <c:pt idx="3314">
                  <c:v>62354</c:v>
                </c:pt>
                <c:pt idx="3315">
                  <c:v>62361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62425</c:v>
                </c:pt>
                <c:pt idx="3325">
                  <c:v>62432</c:v>
                </c:pt>
                <c:pt idx="3326">
                  <c:v>62439</c:v>
                </c:pt>
                <c:pt idx="3327">
                  <c:v>62446</c:v>
                </c:pt>
                <c:pt idx="3328">
                  <c:v>62453</c:v>
                </c:pt>
                <c:pt idx="3329">
                  <c:v>62460</c:v>
                </c:pt>
                <c:pt idx="3330">
                  <c:v>62467</c:v>
                </c:pt>
                <c:pt idx="3331">
                  <c:v>62474</c:v>
                </c:pt>
                <c:pt idx="3332">
                  <c:v>62481</c:v>
                </c:pt>
                <c:pt idx="3333">
                  <c:v>62488</c:v>
                </c:pt>
                <c:pt idx="3334">
                  <c:v>62495</c:v>
                </c:pt>
                <c:pt idx="3335">
                  <c:v>62502</c:v>
                </c:pt>
                <c:pt idx="3336">
                  <c:v>62509</c:v>
                </c:pt>
                <c:pt idx="3337">
                  <c:v>62516</c:v>
                </c:pt>
                <c:pt idx="3338">
                  <c:v>62523</c:v>
                </c:pt>
                <c:pt idx="3339">
                  <c:v>62530</c:v>
                </c:pt>
                <c:pt idx="3340">
                  <c:v>62537</c:v>
                </c:pt>
                <c:pt idx="3341">
                  <c:v>62544</c:v>
                </c:pt>
                <c:pt idx="3342">
                  <c:v>62551</c:v>
                </c:pt>
                <c:pt idx="3343">
                  <c:v>62558</c:v>
                </c:pt>
                <c:pt idx="3344">
                  <c:v>62565</c:v>
                </c:pt>
                <c:pt idx="3345">
                  <c:v>62572</c:v>
                </c:pt>
                <c:pt idx="3346">
                  <c:v>62579</c:v>
                </c:pt>
                <c:pt idx="3347">
                  <c:v>62586</c:v>
                </c:pt>
                <c:pt idx="3348">
                  <c:v>62593</c:v>
                </c:pt>
                <c:pt idx="3349">
                  <c:v>62600</c:v>
                </c:pt>
                <c:pt idx="3350">
                  <c:v>62607</c:v>
                </c:pt>
                <c:pt idx="3351">
                  <c:v>62614</c:v>
                </c:pt>
                <c:pt idx="3352">
                  <c:v>62621</c:v>
                </c:pt>
                <c:pt idx="3353">
                  <c:v>62628</c:v>
                </c:pt>
                <c:pt idx="3354">
                  <c:v>62635</c:v>
                </c:pt>
                <c:pt idx="3355">
                  <c:v>62645</c:v>
                </c:pt>
                <c:pt idx="3356">
                  <c:v>62652</c:v>
                </c:pt>
                <c:pt idx="3357">
                  <c:v>62659</c:v>
                </c:pt>
                <c:pt idx="3358">
                  <c:v>62666</c:v>
                </c:pt>
                <c:pt idx="3359">
                  <c:v>62673</c:v>
                </c:pt>
                <c:pt idx="3360">
                  <c:v>62680</c:v>
                </c:pt>
                <c:pt idx="3361">
                  <c:v>62687</c:v>
                </c:pt>
                <c:pt idx="3362">
                  <c:v>62694</c:v>
                </c:pt>
                <c:pt idx="3363">
                  <c:v>62701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63881</c:v>
                </c:pt>
                <c:pt idx="3532">
                  <c:v>63888</c:v>
                </c:pt>
                <c:pt idx="3533">
                  <c:v>63895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2.2000000000144126E-3</c:v>
                </c:pt>
                <c:pt idx="1">
                  <c:v>2.1999999633237621E-3</c:v>
                </c:pt>
                <c:pt idx="2">
                  <c:v>1.803585976647426E-3</c:v>
                </c:pt>
                <c:pt idx="3">
                  <c:v>1.380212623391941E-3</c:v>
                </c:pt>
                <c:pt idx="4">
                  <c:v>1.0380128392828425E-3</c:v>
                </c:pt>
                <c:pt idx="5">
                  <c:v>6.2419185095308194E-4</c:v>
                </c:pt>
                <c:pt idx="6">
                  <c:v>5.1277879550504224E-4</c:v>
                </c:pt>
                <c:pt idx="7">
                  <c:v>6.7180888108531178E-4</c:v>
                </c:pt>
                <c:pt idx="8">
                  <c:v>7.9197410030040771E-4</c:v>
                </c:pt>
                <c:pt idx="9">
                  <c:v>9.5006204596792543E-4</c:v>
                </c:pt>
                <c:pt idx="10">
                  <c:v>1.0258999087842113E-3</c:v>
                </c:pt>
                <c:pt idx="11">
                  <c:v>1.0266619098864282E-3</c:v>
                </c:pt>
                <c:pt idx="12">
                  <c:v>1.0225722532730686E-3</c:v>
                </c:pt>
                <c:pt idx="13">
                  <c:v>1.0175953152113948E-3</c:v>
                </c:pt>
                <c:pt idx="14">
                  <c:v>1.004686638310659E-3</c:v>
                </c:pt>
                <c:pt idx="15">
                  <c:v>9.8881474936085567E-4</c:v>
                </c:pt>
                <c:pt idx="16">
                  <c:v>9.7981317219719699E-4</c:v>
                </c:pt>
                <c:pt idx="17">
                  <c:v>9.6886110654281765E-4</c:v>
                </c:pt>
                <c:pt idx="18">
                  <c:v>9.5852335748602968E-4</c:v>
                </c:pt>
                <c:pt idx="19">
                  <c:v>9.56582901610048E-4</c:v>
                </c:pt>
                <c:pt idx="20">
                  <c:v>9.5825282229178299E-4</c:v>
                </c:pt>
                <c:pt idx="21">
                  <c:v>9.6150606644584968E-4</c:v>
                </c:pt>
                <c:pt idx="22">
                  <c:v>9.6603671414285941E-4</c:v>
                </c:pt>
                <c:pt idx="23">
                  <c:v>9.7487183320588144E-4</c:v>
                </c:pt>
                <c:pt idx="24">
                  <c:v>9.8286101609446064E-4</c:v>
                </c:pt>
                <c:pt idx="25">
                  <c:v>9.8643659920405469E-4</c:v>
                </c:pt>
                <c:pt idx="26">
                  <c:v>9.8975998549022393E-4</c:v>
                </c:pt>
                <c:pt idx="27">
                  <c:v>9.9283117471316018E-4</c:v>
                </c:pt>
                <c:pt idx="28">
                  <c:v>9.9813566409423515E-4</c:v>
                </c:pt>
                <c:pt idx="29">
                  <c:v>1.0025939620916802E-3</c:v>
                </c:pt>
                <c:pt idx="30">
                  <c:v>1.0044041664780679E-3</c:v>
                </c:pt>
                <c:pt idx="31">
                  <c:v>1.0059621739610947E-3</c:v>
                </c:pt>
                <c:pt idx="32">
                  <c:v>1.0072679843808885E-3</c:v>
                </c:pt>
                <c:pt idx="33">
                  <c:v>1.0090417769337279E-3</c:v>
                </c:pt>
                <c:pt idx="34">
                  <c:v>1.0099692563869667E-3</c:v>
                </c:pt>
                <c:pt idx="35">
                  <c:v>1.0100140818103398E-3</c:v>
                </c:pt>
                <c:pt idx="36">
                  <c:v>1.0095783416863569E-3</c:v>
                </c:pt>
                <c:pt idx="37">
                  <c:v>1.0075901682871091E-3</c:v>
                </c:pt>
                <c:pt idx="38">
                  <c:v>1.0049868979411514E-3</c:v>
                </c:pt>
                <c:pt idx="39">
                  <c:v>1.003266344481446E-3</c:v>
                </c:pt>
                <c:pt idx="40">
                  <c:v>1.0001825097738504E-3</c:v>
                </c:pt>
                <c:pt idx="41">
                  <c:v>9.937808386606406E-4</c:v>
                </c:pt>
                <c:pt idx="42">
                  <c:v>9.8772114287548618E-4</c:v>
                </c:pt>
                <c:pt idx="43">
                  <c:v>9.8468074326341082E-4</c:v>
                </c:pt>
                <c:pt idx="44">
                  <c:v>9.8183367931881094E-4</c:v>
                </c:pt>
                <c:pt idx="45">
                  <c:v>9.7917995096175048E-4</c:v>
                </c:pt>
                <c:pt idx="46">
                  <c:v>9.7451958428251828E-4</c:v>
                </c:pt>
                <c:pt idx="47">
                  <c:v>9.7049839356877499E-4</c:v>
                </c:pt>
                <c:pt idx="48">
                  <c:v>9.6881134330928376E-4</c:v>
                </c:pt>
                <c:pt idx="49">
                  <c:v>9.6731762855739589E-4</c:v>
                </c:pt>
                <c:pt idx="50">
                  <c:v>9.6601724947298351E-4</c:v>
                </c:pt>
                <c:pt idx="51">
                  <c:v>9.6373684958406258E-4</c:v>
                </c:pt>
                <c:pt idx="52">
                  <c:v>9.6241538778407687E-4</c:v>
                </c:pt>
                <c:pt idx="53">
                  <c:v>9.6227502222490102E-4</c:v>
                </c:pt>
                <c:pt idx="54">
                  <c:v>9.623279922532646E-4</c:v>
                </c:pt>
                <c:pt idx="55">
                  <c:v>9.6308096074082528E-4</c:v>
                </c:pt>
                <c:pt idx="56">
                  <c:v>9.6447322832204918E-4</c:v>
                </c:pt>
                <c:pt idx="57">
                  <c:v>9.6549287628810987E-4</c:v>
                </c:pt>
                <c:pt idx="58">
                  <c:v>9.6670585984170998E-4</c:v>
                </c:pt>
                <c:pt idx="59">
                  <c:v>9.6811217906278557E-4</c:v>
                </c:pt>
                <c:pt idx="60">
                  <c:v>9.7157189149932321E-4</c:v>
                </c:pt>
                <c:pt idx="61">
                  <c:v>9.7567081182248216E-4</c:v>
                </c:pt>
                <c:pt idx="62">
                  <c:v>9.7804380898125487E-4</c:v>
                </c:pt>
                <c:pt idx="63">
                  <c:v>9.8057453181255028E-4</c:v>
                </c:pt>
                <c:pt idx="64">
                  <c:v>9.8312054017668515E-4</c:v>
                </c:pt>
                <c:pt idx="65">
                  <c:v>9.8814752087506008E-4</c:v>
                </c:pt>
                <c:pt idx="66">
                  <c:v>9.9310132869234735E-4</c:v>
                </c:pt>
                <c:pt idx="67">
                  <c:v>9.9554571458604357E-4</c:v>
                </c:pt>
                <c:pt idx="68">
                  <c:v>9.9796977601762649E-4</c:v>
                </c:pt>
                <c:pt idx="69">
                  <c:v>1.0003735129870961E-3</c:v>
                </c:pt>
                <c:pt idx="70">
                  <c:v>1.0062854521253328E-3</c:v>
                </c:pt>
                <c:pt idx="71">
                  <c:v>1.0120873304231282E-3</c:v>
                </c:pt>
                <c:pt idx="72">
                  <c:v>1.0143691205399819E-3</c:v>
                </c:pt>
                <c:pt idx="73">
                  <c:v>1.0166305860348501E-3</c:v>
                </c:pt>
                <c:pt idx="74">
                  <c:v>1.0210886650074968E-3</c:v>
                </c:pt>
                <c:pt idx="75">
                  <c:v>1.0254732033132541E-3</c:v>
                </c:pt>
                <c:pt idx="76">
                  <c:v>1.0276330464975558E-3</c:v>
                </c:pt>
                <c:pt idx="77">
                  <c:v>1.0297725650598721E-3</c:v>
                </c:pt>
                <c:pt idx="78">
                  <c:v>1.0318917591600751E-3</c:v>
                </c:pt>
                <c:pt idx="79">
                  <c:v>1.0360653808216824E-3</c:v>
                </c:pt>
                <c:pt idx="80">
                  <c:v>1.0401652906999459E-3</c:v>
                </c:pt>
                <c:pt idx="81">
                  <c:v>1.0421828623297102E-3</c:v>
                </c:pt>
                <c:pt idx="82">
                  <c:v>1.0441799950289266E-3</c:v>
                </c:pt>
                <c:pt idx="83">
                  <c:v>1.0461562306840477E-3</c:v>
                </c:pt>
                <c:pt idx="84">
                  <c:v>1.050041726209372E-3</c:v>
                </c:pt>
                <c:pt idx="85">
                  <c:v>1.0538510578594895E-3</c:v>
                </c:pt>
                <c:pt idx="86">
                  <c:v>1.0557222358720253E-3</c:v>
                </c:pt>
                <c:pt idx="87">
                  <c:v>1.0575724022920951E-3</c:v>
                </c:pt>
                <c:pt idx="88">
                  <c:v>1.0594015571996351E-3</c:v>
                </c:pt>
                <c:pt idx="89">
                  <c:v>1.0629929672756333E-3</c:v>
                </c:pt>
                <c:pt idx="90">
                  <c:v>1.0665080613847522E-3</c:v>
                </c:pt>
                <c:pt idx="91">
                  <c:v>1.0682321586497068E-3</c:v>
                </c:pt>
                <c:pt idx="92">
                  <c:v>1.0699352443221954E-3</c:v>
                </c:pt>
                <c:pt idx="93">
                  <c:v>1.0716173184821542E-3</c:v>
                </c:pt>
                <c:pt idx="94">
                  <c:v>1.0749146378863372E-3</c:v>
                </c:pt>
                <c:pt idx="95">
                  <c:v>1.0781354997568826E-3</c:v>
                </c:pt>
                <c:pt idx="96">
                  <c:v>1.07971251619432E-3</c:v>
                </c:pt>
                <c:pt idx="97">
                  <c:v>1.0812685211192274E-3</c:v>
                </c:pt>
                <c:pt idx="98">
                  <c:v>1.0828035145316051E-3</c:v>
                </c:pt>
                <c:pt idx="99">
                  <c:v>1.0858067377750302E-3</c:v>
                </c:pt>
                <c:pt idx="100">
                  <c:v>1.0887333726561366E-3</c:v>
                </c:pt>
                <c:pt idx="101">
                  <c:v>1.0901633084259288E-3</c:v>
                </c:pt>
                <c:pt idx="102">
                  <c:v>1.091572232523319E-3</c:v>
                </c:pt>
                <c:pt idx="103">
                  <c:v>1.0929601451881155E-3</c:v>
                </c:pt>
                <c:pt idx="104">
                  <c:v>1.0956692665953227E-3</c:v>
                </c:pt>
                <c:pt idx="105">
                  <c:v>1.0983215734494678E-3</c:v>
                </c:pt>
                <c:pt idx="106">
                  <c:v>1.0997237879539767E-3</c:v>
                </c:pt>
                <c:pt idx="107">
                  <c:v>1.1012243504282537E-3</c:v>
                </c:pt>
                <c:pt idx="108">
                  <c:v>1.1028232609522348E-3</c:v>
                </c:pt>
                <c:pt idx="109">
                  <c:v>1.1063523086729532E-3</c:v>
                </c:pt>
                <c:pt idx="110">
                  <c:v>1.1102023831455199E-3</c:v>
                </c:pt>
                <c:pt idx="111">
                  <c:v>1.1122930337581494E-3</c:v>
                </c:pt>
                <c:pt idx="112">
                  <c:v>1.1144820324204829E-3</c:v>
                </c:pt>
                <c:pt idx="113">
                  <c:v>1.1167693790525846E-3</c:v>
                </c:pt>
                <c:pt idx="114">
                  <c:v>1.1216753940335167E-3</c:v>
                </c:pt>
                <c:pt idx="115">
                  <c:v>1.126902246078032E-3</c:v>
                </c:pt>
                <c:pt idx="116">
                  <c:v>1.1296813329586541E-3</c:v>
                </c:pt>
                <c:pt idx="117">
                  <c:v>1.1325587678090443E-3</c:v>
                </c:pt>
                <c:pt idx="118">
                  <c:v>1.1355345507091386E-3</c:v>
                </c:pt>
                <c:pt idx="119">
                  <c:v>1.1418175648980622E-3</c:v>
                </c:pt>
                <c:pt idx="120">
                  <c:v>1.1484211629664287E-3</c:v>
                </c:pt>
                <c:pt idx="121">
                  <c:v>1.1518886861150435E-3</c:v>
                </c:pt>
                <c:pt idx="122">
                  <c:v>1.1554545573932984E-3</c:v>
                </c:pt>
                <c:pt idx="123">
                  <c:v>1.1591187766413213E-3</c:v>
                </c:pt>
                <c:pt idx="124">
                  <c:v>1.1667788237446075E-3</c:v>
                </c:pt>
                <c:pt idx="125">
                  <c:v>1.1748022737023689E-3</c:v>
                </c:pt>
                <c:pt idx="126">
                  <c:v>1.1792170681523828E-3</c:v>
                </c:pt>
                <c:pt idx="127">
                  <c:v>1.1839890453657631E-3</c:v>
                </c:pt>
                <c:pt idx="128">
                  <c:v>1.1891182055023819E-3</c:v>
                </c:pt>
                <c:pt idx="129">
                  <c:v>1.2005711390639107E-3</c:v>
                </c:pt>
                <c:pt idx="130">
                  <c:v>1.2132066748016257E-3</c:v>
                </c:pt>
                <c:pt idx="131">
                  <c:v>1.2201217494745009E-3</c:v>
                </c:pt>
                <c:pt idx="132">
                  <c:v>1.2273940069906786E-3</c:v>
                </c:pt>
                <c:pt idx="133">
                  <c:v>1.2350234475899668E-3</c:v>
                </c:pt>
                <c:pt idx="134">
                  <c:v>1.2514772892657788E-3</c:v>
                </c:pt>
                <c:pt idx="135">
                  <c:v>1.2691130401787376E-3</c:v>
                </c:pt>
                <c:pt idx="136">
                  <c:v>1.2785283960337068E-3</c:v>
                </c:pt>
                <c:pt idx="137">
                  <c:v>1.2883009351316588E-3</c:v>
                </c:pt>
                <c:pt idx="138">
                  <c:v>1.2984306572327853E-3</c:v>
                </c:pt>
                <c:pt idx="139">
                  <c:v>1.3255481996043983E-3</c:v>
                </c:pt>
                <c:pt idx="140">
                  <c:v>1.3544370166229669E-3</c:v>
                </c:pt>
                <c:pt idx="141">
                  <c:v>1.3667098384217979E-3</c:v>
                </c:pt>
                <c:pt idx="142">
                  <c:v>1.3793398436234838E-3</c:v>
                </c:pt>
                <c:pt idx="143">
                  <c:v>1.405795955005118E-3</c:v>
                </c:pt>
                <c:pt idx="144">
                  <c:v>1.4334316992581364E-3</c:v>
                </c:pt>
                <c:pt idx="145">
                  <c:v>1.4478476220336489E-3</c:v>
                </c:pt>
                <c:pt idx="146">
                  <c:v>1.4626207284518244E-3</c:v>
                </c:pt>
                <c:pt idx="147">
                  <c:v>1.4777235373752973E-3</c:v>
                </c:pt>
                <c:pt idx="148">
                  <c:v>1.508631426530016E-3</c:v>
                </c:pt>
                <c:pt idx="149">
                  <c:v>1.5401676591686453E-3</c:v>
                </c:pt>
                <c:pt idx="150">
                  <c:v>1.5562594301243848E-3</c:v>
                </c:pt>
                <c:pt idx="151">
                  <c:v>1.5725434973390406E-3</c:v>
                </c:pt>
                <c:pt idx="152">
                  <c:v>1.5890198607326766E-3</c:v>
                </c:pt>
                <c:pt idx="153">
                  <c:v>1.622620888612758E-3</c:v>
                </c:pt>
                <c:pt idx="154">
                  <c:v>1.6568482777756799E-3</c:v>
                </c:pt>
                <c:pt idx="155">
                  <c:v>1.6742861228635775E-3</c:v>
                </c:pt>
                <c:pt idx="156">
                  <c:v>1.6919162644501995E-3</c:v>
                </c:pt>
                <c:pt idx="157">
                  <c:v>1.7097387025355459E-3</c:v>
                </c:pt>
                <c:pt idx="158">
                  <c:v>1.7460330350083098E-3</c:v>
                </c:pt>
                <c:pt idx="159">
                  <c:v>1.7829514199441121E-3</c:v>
                </c:pt>
                <c:pt idx="160">
                  <c:v>1.8017353406829528E-3</c:v>
                </c:pt>
                <c:pt idx="161">
                  <c:v>1.8207115580803901E-3</c:v>
                </c:pt>
                <c:pt idx="162">
                  <c:v>1.8398800721364239E-3</c:v>
                </c:pt>
                <c:pt idx="163">
                  <c:v>1.8788678948400417E-3</c:v>
                </c:pt>
                <c:pt idx="164">
                  <c:v>1.9184770957458852E-3</c:v>
                </c:pt>
                <c:pt idx="165">
                  <c:v>1.9386070935745181E-3</c:v>
                </c:pt>
                <c:pt idx="166">
                  <c:v>1.9589293882216197E-3</c:v>
                </c:pt>
                <c:pt idx="167">
                  <c:v>2.0107134542968197E-3</c:v>
                </c:pt>
                <c:pt idx="168">
                  <c:v>2.0632937559295073E-3</c:v>
                </c:pt>
                <c:pt idx="169">
                  <c:v>2.0839804737082801E-3</c:v>
                </c:pt>
                <c:pt idx="170">
                  <c:v>2.1040701296470843E-3</c:v>
                </c:pt>
                <c:pt idx="171">
                  <c:v>2.1235627236659838E-3</c:v>
                </c:pt>
                <c:pt idx="172">
                  <c:v>2.1605706714122874E-3</c:v>
                </c:pt>
                <c:pt idx="173">
                  <c:v>2.1955624790237493E-3</c:v>
                </c:pt>
                <c:pt idx="174">
                  <c:v>2.2120697621641483E-3</c:v>
                </c:pt>
                <c:pt idx="175">
                  <c:v>2.2279799829050262E-3</c:v>
                </c:pt>
                <c:pt idx="176">
                  <c:v>2.2432931410065748E-3</c:v>
                </c:pt>
                <c:pt idx="177">
                  <c:v>2.2719435864626547E-3</c:v>
                </c:pt>
                <c:pt idx="178">
                  <c:v>2.2985751471793492E-3</c:v>
                </c:pt>
                <c:pt idx="179">
                  <c:v>2.3109029916845714E-3</c:v>
                </c:pt>
                <c:pt idx="180">
                  <c:v>2.3226337732307201E-3</c:v>
                </c:pt>
                <c:pt idx="181">
                  <c:v>2.3337674918977314E-3</c:v>
                </c:pt>
                <c:pt idx="182">
                  <c:v>2.3540601118821058E-3</c:v>
                </c:pt>
                <c:pt idx="183">
                  <c:v>2.3723317352963846E-3</c:v>
                </c:pt>
                <c:pt idx="184">
                  <c:v>2.3804801382087959E-3</c:v>
                </c:pt>
                <c:pt idx="185">
                  <c:v>2.3880314777624534E-3</c:v>
                </c:pt>
                <c:pt idx="186">
                  <c:v>2.3949857540372932E-3</c:v>
                </c:pt>
                <c:pt idx="187">
                  <c:v>2.4069201876120161E-3</c:v>
                </c:pt>
                <c:pt idx="188">
                  <c:v>2.4168322254691788E-3</c:v>
                </c:pt>
                <c:pt idx="189">
                  <c:v>2.420964884404242E-3</c:v>
                </c:pt>
                <c:pt idx="190">
                  <c:v>2.4253189787692975E-3</c:v>
                </c:pt>
                <c:pt idx="191">
                  <c:v>2.4300582080183375E-3</c:v>
                </c:pt>
                <c:pt idx="192">
                  <c:v>2.4408369992379164E-3</c:v>
                </c:pt>
                <c:pt idx="193">
                  <c:v>2.4528664762524244E-3</c:v>
                </c:pt>
                <c:pt idx="194">
                  <c:v>2.4595313811204278E-3</c:v>
                </c:pt>
                <c:pt idx="195">
                  <c:v>2.4665814210322878E-3</c:v>
                </c:pt>
                <c:pt idx="196">
                  <c:v>2.4740165963077487E-3</c:v>
                </c:pt>
                <c:pt idx="197">
                  <c:v>2.4901879555194739E-3</c:v>
                </c:pt>
                <c:pt idx="198">
                  <c:v>2.5076086492870076E-3</c:v>
                </c:pt>
                <c:pt idx="199">
                  <c:v>2.5169695007409842E-3</c:v>
                </c:pt>
                <c:pt idx="200">
                  <c:v>2.5267154875585618E-3</c:v>
                </c:pt>
                <c:pt idx="201">
                  <c:v>2.5368466098196762E-3</c:v>
                </c:pt>
                <c:pt idx="202">
                  <c:v>2.5584108204235179E-3</c:v>
                </c:pt>
                <c:pt idx="203">
                  <c:v>2.5812224528998229E-3</c:v>
                </c:pt>
                <c:pt idx="204">
                  <c:v>2.593279252538494E-3</c:v>
                </c:pt>
                <c:pt idx="205">
                  <c:v>2.6057211877006381E-3</c:v>
                </c:pt>
                <c:pt idx="206">
                  <c:v>2.6185482584661912E-3</c:v>
                </c:pt>
                <c:pt idx="207">
                  <c:v>2.6455056260843435E-3</c:v>
                </c:pt>
                <c:pt idx="208">
                  <c:v>2.6737078987615348E-3</c:v>
                </c:pt>
                <c:pt idx="209">
                  <c:v>2.6884606483434936E-3</c:v>
                </c:pt>
                <c:pt idx="210">
                  <c:v>2.7035985337686697E-3</c:v>
                </c:pt>
                <c:pt idx="211">
                  <c:v>2.719121555196935E-3</c:v>
                </c:pt>
                <c:pt idx="212">
                  <c:v>2.7613792806557846E-3</c:v>
                </c:pt>
                <c:pt idx="213">
                  <c:v>2.808204703095285E-3</c:v>
                </c:pt>
                <c:pt idx="214">
                  <c:v>2.8288373941709466E-3</c:v>
                </c:pt>
                <c:pt idx="215">
                  <c:v>2.8504149923591626E-3</c:v>
                </c:pt>
                <c:pt idx="216">
                  <c:v>2.8967431881987693E-3</c:v>
                </c:pt>
                <c:pt idx="217">
                  <c:v>2.9461744607939266E-3</c:v>
                </c:pt>
                <c:pt idx="218">
                  <c:v>2.9724765976624212E-3</c:v>
                </c:pt>
                <c:pt idx="219">
                  <c:v>2.9997236428425111E-3</c:v>
                </c:pt>
                <c:pt idx="220">
                  <c:v>3.0279155965740046E-3</c:v>
                </c:pt>
                <c:pt idx="221">
                  <c:v>3.0874756782139912E-3</c:v>
                </c:pt>
                <c:pt idx="222">
                  <c:v>3.1501325013305603E-3</c:v>
                </c:pt>
                <c:pt idx="223">
                  <c:v>3.1830490012563217E-3</c:v>
                </c:pt>
                <c:pt idx="224">
                  <c:v>3.2169104110923996E-3</c:v>
                </c:pt>
                <c:pt idx="225">
                  <c:v>3.2517167312384743E-3</c:v>
                </c:pt>
                <c:pt idx="226">
                  <c:v>3.3245097728595852E-3</c:v>
                </c:pt>
                <c:pt idx="227">
                  <c:v>3.400391119638968E-3</c:v>
                </c:pt>
                <c:pt idx="228">
                  <c:v>3.4399219951719573E-3</c:v>
                </c:pt>
                <c:pt idx="229">
                  <c:v>3.4803977827735366E-3</c:v>
                </c:pt>
                <c:pt idx="230">
                  <c:v>3.5218184826835142E-3</c:v>
                </c:pt>
                <c:pt idx="231">
                  <c:v>3.6078457465027469E-3</c:v>
                </c:pt>
                <c:pt idx="232">
                  <c:v>3.6963870454087555E-3</c:v>
                </c:pt>
                <c:pt idx="233">
                  <c:v>3.7391521115370807E-3</c:v>
                </c:pt>
                <c:pt idx="234">
                  <c:v>3.7794818905734218E-3</c:v>
                </c:pt>
                <c:pt idx="235">
                  <c:v>3.8173763817184181E-3</c:v>
                </c:pt>
                <c:pt idx="236">
                  <c:v>3.8999995349175975E-3</c:v>
                </c:pt>
                <c:pt idx="237">
                  <c:v>3.9703194926143937E-3</c:v>
                </c:pt>
                <c:pt idx="238">
                  <c:v>3.9936022415432149E-3</c:v>
                </c:pt>
                <c:pt idx="239">
                  <c:v>4.0144496982641442E-3</c:v>
                </c:pt>
                <c:pt idx="240">
                  <c:v>4.0480724866842621E-3</c:v>
                </c:pt>
                <c:pt idx="241">
                  <c:v>4.0734865942759768E-3</c:v>
                </c:pt>
                <c:pt idx="242">
                  <c:v>4.0821575840421787E-3</c:v>
                </c:pt>
                <c:pt idx="243">
                  <c:v>4.0883932797619593E-3</c:v>
                </c:pt>
                <c:pt idx="244">
                  <c:v>4.0921936813553828E-3</c:v>
                </c:pt>
                <c:pt idx="245">
                  <c:v>4.0917233419079935E-3</c:v>
                </c:pt>
                <c:pt idx="246">
                  <c:v>4.0830423443871666E-3</c:v>
                </c:pt>
                <c:pt idx="247">
                  <c:v>4.0746662746293794E-3</c:v>
                </c:pt>
                <c:pt idx="248">
                  <c:v>4.063854910905107E-3</c:v>
                </c:pt>
                <c:pt idx="249">
                  <c:v>4.0506082535340937E-3</c:v>
                </c:pt>
                <c:pt idx="250">
                  <c:v>4.0160420948787134E-3</c:v>
                </c:pt>
                <c:pt idx="251">
                  <c:v>3.9732686927784755E-3</c:v>
                </c:pt>
                <c:pt idx="252">
                  <c:v>3.9478455717301131E-3</c:v>
                </c:pt>
                <c:pt idx="253">
                  <c:v>3.9215138107184799E-3</c:v>
                </c:pt>
                <c:pt idx="254">
                  <c:v>3.9003800147252576E-3</c:v>
                </c:pt>
                <c:pt idx="255">
                  <c:v>3.8805696348820362E-3</c:v>
                </c:pt>
                <c:pt idx="256">
                  <c:v>3.8830909770037891E-3</c:v>
                </c:pt>
                <c:pt idx="257">
                  <c:v>3.9052083795532155E-3</c:v>
                </c:pt>
                <c:pt idx="258">
                  <c:v>3.9407326509977025E-3</c:v>
                </c:pt>
                <c:pt idx="259">
                  <c:v>4.0150698374574745E-3</c:v>
                </c:pt>
                <c:pt idx="260">
                  <c:v>4.1117328746587134E-3</c:v>
                </c:pt>
                <c:pt idx="261">
                  <c:v>4.1712944913374628E-3</c:v>
                </c:pt>
                <c:pt idx="262">
                  <c:v>4.2375807385486297E-3</c:v>
                </c:pt>
                <c:pt idx="263">
                  <c:v>4.3105916199692729E-3</c:v>
                </c:pt>
                <c:pt idx="264">
                  <c:v>4.4790845707343152E-3</c:v>
                </c:pt>
                <c:pt idx="265">
                  <c:v>4.6698815743972943E-3</c:v>
                </c:pt>
                <c:pt idx="266">
                  <c:v>4.7765156954504562E-3</c:v>
                </c:pt>
                <c:pt idx="267">
                  <c:v>4.9499502340610846E-3</c:v>
                </c:pt>
                <c:pt idx="268">
                  <c:v>5.2726176571482597E-3</c:v>
                </c:pt>
                <c:pt idx="269">
                  <c:v>5.5575386089934398E-3</c:v>
                </c:pt>
                <c:pt idx="270">
                  <c:v>5.7112455272267937E-3</c:v>
                </c:pt>
                <c:pt idx="271">
                  <c:v>5.8716771620836994E-3</c:v>
                </c:pt>
                <c:pt idx="272">
                  <c:v>6.0388335227568035E-3</c:v>
                </c:pt>
                <c:pt idx="273">
                  <c:v>6.3536146419007622E-3</c:v>
                </c:pt>
                <c:pt idx="274">
                  <c:v>6.6017949787688934E-3</c:v>
                </c:pt>
                <c:pt idx="275">
                  <c:v>6.6904162318248694E-3</c:v>
                </c:pt>
                <c:pt idx="276">
                  <c:v>6.7577224756831811E-3</c:v>
                </c:pt>
                <c:pt idx="277">
                  <c:v>6.8037136987530999E-3</c:v>
                </c:pt>
                <c:pt idx="278">
                  <c:v>6.8247754198136334E-3</c:v>
                </c:pt>
                <c:pt idx="279">
                  <c:v>6.7745282751552338E-3</c:v>
                </c:pt>
                <c:pt idx="280">
                  <c:v>6.7139443468811066E-3</c:v>
                </c:pt>
                <c:pt idx="281">
                  <c:v>6.6320454053325761E-3</c:v>
                </c:pt>
                <c:pt idx="282">
                  <c:v>6.528831465297813E-3</c:v>
                </c:pt>
                <c:pt idx="283">
                  <c:v>6.251462220925319E-3</c:v>
                </c:pt>
                <c:pt idx="284">
                  <c:v>5.9028261425186912E-3</c:v>
                </c:pt>
                <c:pt idx="285">
                  <c:v>5.6930375601726979E-3</c:v>
                </c:pt>
                <c:pt idx="286">
                  <c:v>5.4619341460870885E-3</c:v>
                </c:pt>
                <c:pt idx="287">
                  <c:v>4.7776967864354702E-3</c:v>
                </c:pt>
                <c:pt idx="288">
                  <c:v>3.9866961675105728E-3</c:v>
                </c:pt>
                <c:pt idx="289">
                  <c:v>3.6277047570720811E-3</c:v>
                </c:pt>
                <c:pt idx="290">
                  <c:v>3.2473988817205424E-3</c:v>
                </c:pt>
                <c:pt idx="291">
                  <c:v>2.1900821215559141E-3</c:v>
                </c:pt>
                <c:pt idx="292">
                  <c:v>1.1929534010235443E-3</c:v>
                </c:pt>
                <c:pt idx="293">
                  <c:v>1.0403524865587599E-3</c:v>
                </c:pt>
                <c:pt idx="294">
                  <c:v>8.994278311735826E-4</c:v>
                </c:pt>
                <c:pt idx="295">
                  <c:v>7.7017942103907444E-4</c:v>
                </c:pt>
                <c:pt idx="296">
                  <c:v>5.5060419085428691E-4</c:v>
                </c:pt>
                <c:pt idx="297">
                  <c:v>3.6994799943457224E-4</c:v>
                </c:pt>
                <c:pt idx="298">
                  <c:v>2.9908065000583406E-4</c:v>
                </c:pt>
                <c:pt idx="299">
                  <c:v>2.3988948747444283E-4</c:v>
                </c:pt>
                <c:pt idx="300">
                  <c:v>1.9237450616493845E-4</c:v>
                </c:pt>
                <c:pt idx="301">
                  <c:v>1.3196799619086264E-4</c:v>
                </c:pt>
                <c:pt idx="302">
                  <c:v>1.2994219436457399E-4</c:v>
                </c:pt>
                <c:pt idx="303">
                  <c:v>1.5248424259262094E-4</c:v>
                </c:pt>
                <c:pt idx="304">
                  <c:v>1.8670246340946051E-4</c:v>
                </c:pt>
                <c:pt idx="305">
                  <c:v>2.940597358946917E-4</c:v>
                </c:pt>
                <c:pt idx="306">
                  <c:v>4.4033715665747764E-4</c:v>
                </c:pt>
                <c:pt idx="307">
                  <c:v>5.32936313399901E-4</c:v>
                </c:pt>
                <c:pt idx="308">
                  <c:v>6.3721167974151172E-4</c:v>
                </c:pt>
                <c:pt idx="309">
                  <c:v>7.5316326591412519E-4</c:v>
                </c:pt>
                <c:pt idx="310">
                  <c:v>1.0239901226416492E-3</c:v>
                </c:pt>
                <c:pt idx="311">
                  <c:v>1.3337320512007977E-3</c:v>
                </c:pt>
                <c:pt idx="312">
                  <c:v>1.5080649282950276E-3</c:v>
                </c:pt>
                <c:pt idx="313">
                  <c:v>1.6940741099524814E-3</c:v>
                </c:pt>
                <c:pt idx="314">
                  <c:v>2.5435758935099528E-3</c:v>
                </c:pt>
                <c:pt idx="315">
                  <c:v>5.3350880876834594E-3</c:v>
                </c:pt>
                <c:pt idx="316">
                  <c:v>7.8527082029733464E-3</c:v>
                </c:pt>
                <c:pt idx="317">
                  <c:v>8.9746861948469814E-3</c:v>
                </c:pt>
                <c:pt idx="318">
                  <c:v>1.0014540532363725E-2</c:v>
                </c:pt>
                <c:pt idx="319">
                  <c:v>1.0972270504092663E-2</c:v>
                </c:pt>
                <c:pt idx="320">
                  <c:v>1.2956666704533326E-2</c:v>
                </c:pt>
                <c:pt idx="321">
                  <c:v>1.4529033901498067E-2</c:v>
                </c:pt>
                <c:pt idx="322">
                  <c:v>1.4994005881057149E-2</c:v>
                </c:pt>
                <c:pt idx="323">
                  <c:v>1.5376850086834537E-2</c:v>
                </c:pt>
                <c:pt idx="324">
                  <c:v>1.5869477530685572E-2</c:v>
                </c:pt>
                <c:pt idx="325">
                  <c:v>1.6086944776523282E-2</c:v>
                </c:pt>
                <c:pt idx="326">
                  <c:v>1.6059147308116195E-2</c:v>
                </c:pt>
                <c:pt idx="327">
                  <c:v>1.5949221337070441E-2</c:v>
                </c:pt>
                <c:pt idx="328">
                  <c:v>1.5757166938605849E-2</c:v>
                </c:pt>
                <c:pt idx="329">
                  <c:v>1.5099930651158999E-2</c:v>
                </c:pt>
                <c:pt idx="330">
                  <c:v>1.4167668543141332E-2</c:v>
                </c:pt>
                <c:pt idx="331">
                  <c:v>1.3564975103506072E-2</c:v>
                </c:pt>
                <c:pt idx="332">
                  <c:v>1.2880154868266658E-2</c:v>
                </c:pt>
                <c:pt idx="333">
                  <c:v>1.2113208306008261E-2</c:v>
                </c:pt>
                <c:pt idx="334">
                  <c:v>1.0979264009733924E-2</c:v>
                </c:pt>
                <c:pt idx="335">
                  <c:v>1.0072828082590135E-2</c:v>
                </c:pt>
                <c:pt idx="336">
                  <c:v>9.6563225908141703E-3</c:v>
                </c:pt>
                <c:pt idx="337">
                  <c:v>9.2617440787101657E-3</c:v>
                </c:pt>
                <c:pt idx="338">
                  <c:v>8.8890924744156052E-3</c:v>
                </c:pt>
                <c:pt idx="339">
                  <c:v>8.2170660808689178E-3</c:v>
                </c:pt>
                <c:pt idx="340">
                  <c:v>7.6177538321342553E-3</c:v>
                </c:pt>
                <c:pt idx="341">
                  <c:v>7.3547358249204109E-3</c:v>
                </c:pt>
                <c:pt idx="342">
                  <c:v>7.1136443769947988E-3</c:v>
                </c:pt>
                <c:pt idx="343">
                  <c:v>6.8944794443126511E-3</c:v>
                </c:pt>
                <c:pt idx="344">
                  <c:v>6.5293561655277443E-3</c:v>
                </c:pt>
                <c:pt idx="345">
                  <c:v>6.2370841244518971E-3</c:v>
                </c:pt>
                <c:pt idx="346">
                  <c:v>6.1275512471237192E-3</c:v>
                </c:pt>
                <c:pt idx="347">
                  <c:v>6.0399447047831956E-3</c:v>
                </c:pt>
                <c:pt idx="348">
                  <c:v>5.9742644815230506E-3</c:v>
                </c:pt>
                <c:pt idx="349">
                  <c:v>5.9160889325848842E-3</c:v>
                </c:pt>
                <c:pt idx="350">
                  <c:v>5.9308065983909586E-3</c:v>
                </c:pt>
                <c:pt idx="351">
                  <c:v>5.9747578701330184E-3</c:v>
                </c:pt>
                <c:pt idx="352">
                  <c:v>6.0406354491249203E-3</c:v>
                </c:pt>
                <c:pt idx="353">
                  <c:v>6.128439347197201E-3</c:v>
                </c:pt>
                <c:pt idx="354">
                  <c:v>6.3772479100165924E-3</c:v>
                </c:pt>
                <c:pt idx="355">
                  <c:v>6.6942147955284526E-3</c:v>
                </c:pt>
                <c:pt idx="356">
                  <c:v>6.8634282961799187E-3</c:v>
                </c:pt>
                <c:pt idx="357">
                  <c:v>7.0263459158947938E-3</c:v>
                </c:pt>
                <c:pt idx="358">
                  <c:v>7.1829676461199199E-3</c:v>
                </c:pt>
                <c:pt idx="359">
                  <c:v>7.4753799696214429E-3</c:v>
                </c:pt>
                <c:pt idx="360">
                  <c:v>7.7464955120110091E-3</c:v>
                </c:pt>
                <c:pt idx="361">
                  <c:v>7.871637677920873E-3</c:v>
                </c:pt>
                <c:pt idx="362">
                  <c:v>7.9904839098166036E-3</c:v>
                </c:pt>
                <c:pt idx="363">
                  <c:v>8.1030342017029966E-3</c:v>
                </c:pt>
                <c:pt idx="364">
                  <c:v>8.3073399732036535E-3</c:v>
                </c:pt>
                <c:pt idx="365">
                  <c:v>8.4902758548466295E-3</c:v>
                </c:pt>
                <c:pt idx="366">
                  <c:v>8.5713463641923227E-3</c:v>
                </c:pt>
                <c:pt idx="367">
                  <c:v>8.646120902913168E-3</c:v>
                </c:pt>
                <c:pt idx="368">
                  <c:v>8.7145994671722349E-3</c:v>
                </c:pt>
                <c:pt idx="369">
                  <c:v>8.8307866039638583E-3</c:v>
                </c:pt>
                <c:pt idx="370">
                  <c:v>8.925553911964812E-3</c:v>
                </c:pt>
                <c:pt idx="371">
                  <c:v>8.9625525562730957E-3</c:v>
                </c:pt>
                <c:pt idx="372">
                  <c:v>8.9932552094929008E-3</c:v>
                </c:pt>
                <c:pt idx="373">
                  <c:v>9.0176618701054423E-3</c:v>
                </c:pt>
                <c:pt idx="374">
                  <c:v>9.045715824917977E-3</c:v>
                </c:pt>
                <c:pt idx="375">
                  <c:v>9.0523285641808116E-3</c:v>
                </c:pt>
                <c:pt idx="376">
                  <c:v>9.0452552484876492E-3</c:v>
                </c:pt>
                <c:pt idx="377">
                  <c:v>9.0331896092799013E-3</c:v>
                </c:pt>
                <c:pt idx="378">
                  <c:v>9.0213463349186895E-3</c:v>
                </c:pt>
                <c:pt idx="379">
                  <c:v>9.0029717138673249E-3</c:v>
                </c:pt>
                <c:pt idx="380">
                  <c:v>8.9892336026053954E-3</c:v>
                </c:pt>
                <c:pt idx="381">
                  <c:v>8.9850205104102798E-3</c:v>
                </c:pt>
                <c:pt idx="382">
                  <c:v>8.9823334543126521E-3</c:v>
                </c:pt>
                <c:pt idx="383">
                  <c:v>8.9811724344723842E-3</c:v>
                </c:pt>
                <c:pt idx="384">
                  <c:v>8.9841613812957632E-3</c:v>
                </c:pt>
                <c:pt idx="385">
                  <c:v>8.9917887165658072E-3</c:v>
                </c:pt>
                <c:pt idx="386">
                  <c:v>8.9982578776126587E-3</c:v>
                </c:pt>
                <c:pt idx="387">
                  <c:v>9.0062530750767422E-3</c:v>
                </c:pt>
                <c:pt idx="388">
                  <c:v>9.0157743090379938E-3</c:v>
                </c:pt>
                <c:pt idx="389">
                  <c:v>9.0401305670884113E-3</c:v>
                </c:pt>
                <c:pt idx="390">
                  <c:v>9.0691196120928907E-3</c:v>
                </c:pt>
                <c:pt idx="391">
                  <c:v>9.0862710306183203E-3</c:v>
                </c:pt>
                <c:pt idx="392">
                  <c:v>9.1049484865202146E-3</c:v>
                </c:pt>
                <c:pt idx="393">
                  <c:v>9.1251519801982539E-3</c:v>
                </c:pt>
                <c:pt idx="394">
                  <c:v>9.1836422970081877E-3</c:v>
                </c:pt>
                <c:pt idx="395">
                  <c:v>9.2490600240235921E-3</c:v>
                </c:pt>
                <c:pt idx="396">
                  <c:v>9.2784197501138976E-3</c:v>
                </c:pt>
                <c:pt idx="397">
                  <c:v>9.3093055160586857E-3</c:v>
                </c:pt>
                <c:pt idx="398">
                  <c:v>9.3764080520930548E-3</c:v>
                </c:pt>
                <c:pt idx="399">
                  <c:v>9.4478039232814837E-3</c:v>
                </c:pt>
                <c:pt idx="400">
                  <c:v>9.4844895096102277E-3</c:v>
                </c:pt>
                <c:pt idx="401">
                  <c:v>9.5208707524285785E-3</c:v>
                </c:pt>
                <c:pt idx="402">
                  <c:v>9.5569476516565999E-3</c:v>
                </c:pt>
                <c:pt idx="403">
                  <c:v>9.6283444721656508E-3</c:v>
                </c:pt>
                <c:pt idx="404">
                  <c:v>9.6982118104271819E-3</c:v>
                </c:pt>
                <c:pt idx="405">
                  <c:v>9.7327669901847713E-3</c:v>
                </c:pt>
                <c:pt idx="406">
                  <c:v>9.7670178257125428E-3</c:v>
                </c:pt>
                <c:pt idx="407">
                  <c:v>9.8009643170104965E-3</c:v>
                </c:pt>
                <c:pt idx="408">
                  <c:v>9.868113304074555E-3</c:v>
                </c:pt>
                <c:pt idx="409">
                  <c:v>9.9337068380656035E-3</c:v>
                </c:pt>
                <c:pt idx="410">
                  <c:v>9.966131606855555E-3</c:v>
                </c:pt>
                <c:pt idx="411">
                  <c:v>9.9982520309360723E-3</c:v>
                </c:pt>
                <c:pt idx="412">
                  <c:v>1.0030068110147283E-2</c:v>
                </c:pt>
                <c:pt idx="413">
                  <c:v>1.0092968737973607E-2</c:v>
                </c:pt>
                <c:pt idx="414">
                  <c:v>1.0154288977020087E-2</c:v>
                </c:pt>
                <c:pt idx="415">
                  <c:v>1.0184583330925534E-2</c:v>
                </c:pt>
                <c:pt idx="416">
                  <c:v>1.0214573339402122E-2</c:v>
                </c:pt>
                <c:pt idx="417">
                  <c:v>1.0244259002609724E-2</c:v>
                </c:pt>
                <c:pt idx="418">
                  <c:v>1.0317394937777724E-2</c:v>
                </c:pt>
                <c:pt idx="419">
                  <c:v>1.0388104725223002E-2</c:v>
                </c:pt>
                <c:pt idx="420">
                  <c:v>1.0415859855816834E-2</c:v>
                </c:pt>
                <c:pt idx="421">
                  <c:v>1.044320618174055E-2</c:v>
                </c:pt>
                <c:pt idx="422">
                  <c:v>1.0496842201526135E-2</c:v>
                </c:pt>
                <c:pt idx="423">
                  <c:v>1.0548503437695089E-2</c:v>
                </c:pt>
                <c:pt idx="424">
                  <c:v>1.0573805739229059E-2</c:v>
                </c:pt>
                <c:pt idx="425">
                  <c:v>1.059869923553336E-2</c:v>
                </c:pt>
                <c:pt idx="426">
                  <c:v>1.0623183926687929E-2</c:v>
                </c:pt>
                <c:pt idx="427">
                  <c:v>1.0671106920794315E-2</c:v>
                </c:pt>
                <c:pt idx="428">
                  <c:v>1.0717034637091061E-2</c:v>
                </c:pt>
                <c:pt idx="429">
                  <c:v>1.0739475300818313E-2</c:v>
                </c:pt>
                <c:pt idx="430">
                  <c:v>1.0761507158756345E-2</c:v>
                </c:pt>
                <c:pt idx="431">
                  <c:v>1.0783130210905156E-2</c:v>
                </c:pt>
                <c:pt idx="432">
                  <c:v>1.0825339134381551E-2</c:v>
                </c:pt>
                <c:pt idx="433">
                  <c:v>1.0865534360249285E-2</c:v>
                </c:pt>
                <c:pt idx="434">
                  <c:v>1.0885113382412825E-2</c:v>
                </c:pt>
                <c:pt idx="435">
                  <c:v>1.0904283598227593E-2</c:v>
                </c:pt>
                <c:pt idx="436">
                  <c:v>1.0923045007933396E-2</c:v>
                </c:pt>
                <c:pt idx="437">
                  <c:v>1.0959538765042964E-2</c:v>
                </c:pt>
                <c:pt idx="438">
                  <c:v>1.0994002582309648E-2</c:v>
                </c:pt>
                <c:pt idx="439">
                  <c:v>1.1010719959632098E-2</c:v>
                </c:pt>
                <c:pt idx="440">
                  <c:v>1.1027028530206096E-2</c:v>
                </c:pt>
                <c:pt idx="441">
                  <c:v>1.104305499755931E-2</c:v>
                </c:pt>
                <c:pt idx="442">
                  <c:v>1.1076366680198291E-2</c:v>
                </c:pt>
                <c:pt idx="443">
                  <c:v>1.1110168188643854E-2</c:v>
                </c:pt>
                <c:pt idx="444">
                  <c:v>1.1127825020480486E-2</c:v>
                </c:pt>
                <c:pt idx="445">
                  <c:v>1.1145833266095195E-2</c:v>
                </c:pt>
                <c:pt idx="446">
                  <c:v>1.1164192925408045E-2</c:v>
                </c:pt>
                <c:pt idx="447">
                  <c:v>1.1202432201100621E-2</c:v>
                </c:pt>
                <c:pt idx="448">
                  <c:v>1.1241145701799127E-2</c:v>
                </c:pt>
                <c:pt idx="449">
                  <c:v>1.1261262430961594E-2</c:v>
                </c:pt>
                <c:pt idx="450">
                  <c:v>1.1281730574221882E-2</c:v>
                </c:pt>
                <c:pt idx="451">
                  <c:v>1.1302550131579991E-2</c:v>
                </c:pt>
                <c:pt idx="452">
                  <c:v>1.1345718178503716E-2</c:v>
                </c:pt>
                <c:pt idx="453">
                  <c:v>1.1389342504388722E-2</c:v>
                </c:pt>
                <c:pt idx="454">
                  <c:v>1.1411919133674786E-2</c:v>
                </c:pt>
                <c:pt idx="455">
                  <c:v>1.1434847177538288E-2</c:v>
                </c:pt>
                <c:pt idx="456">
                  <c:v>1.1458126635979227E-2</c:v>
                </c:pt>
                <c:pt idx="457">
                  <c:v>1.150622467414486E-2</c:v>
                </c:pt>
                <c:pt idx="458">
                  <c:v>1.1554758617515759E-2</c:v>
                </c:pt>
                <c:pt idx="459">
                  <c:v>1.1579795150202798E-2</c:v>
                </c:pt>
                <c:pt idx="460">
                  <c:v>1.1605183098026828E-2</c:v>
                </c:pt>
                <c:pt idx="461">
                  <c:v>1.1630922460827975E-2</c:v>
                </c:pt>
                <c:pt idx="462">
                  <c:v>1.1697598040645296E-2</c:v>
                </c:pt>
                <c:pt idx="463">
                  <c:v>1.1764757285650518E-2</c:v>
                </c:pt>
                <c:pt idx="464">
                  <c:v>1.1791805826097956E-2</c:v>
                </c:pt>
                <c:pt idx="465">
                  <c:v>1.1818406467307696E-2</c:v>
                </c:pt>
                <c:pt idx="466">
                  <c:v>1.1870506143241144E-2</c:v>
                </c:pt>
                <c:pt idx="467">
                  <c:v>1.1920330037531457E-2</c:v>
                </c:pt>
                <c:pt idx="468">
                  <c:v>1.1944691180953981E-2</c:v>
                </c:pt>
                <c:pt idx="469">
                  <c:v>1.1968604424499318E-2</c:v>
                </c:pt>
                <c:pt idx="470">
                  <c:v>1.1992069768167468E-2</c:v>
                </c:pt>
                <c:pt idx="471">
                  <c:v>1.2037909963726889E-2</c:v>
                </c:pt>
                <c:pt idx="472">
                  <c:v>1.2081452141750049E-2</c:v>
                </c:pt>
                <c:pt idx="473">
                  <c:v>1.2102677984513477E-2</c:v>
                </c:pt>
                <c:pt idx="474">
                  <c:v>1.2123455926840165E-2</c:v>
                </c:pt>
                <c:pt idx="475">
                  <c:v>1.2143785968570242E-2</c:v>
                </c:pt>
                <c:pt idx="476">
                  <c:v>1.2183365344267116E-2</c:v>
                </c:pt>
                <c:pt idx="477">
                  <c:v>1.2220627129204686E-2</c:v>
                </c:pt>
                <c:pt idx="478">
                  <c:v>1.2238717667392152E-2</c:v>
                </c:pt>
                <c:pt idx="479">
                  <c:v>1.2256360304583325E-2</c:v>
                </c:pt>
                <c:pt idx="480">
                  <c:v>1.2273555040778206E-2</c:v>
                </c:pt>
                <c:pt idx="481">
                  <c:v>1.2306872205112285E-2</c:v>
                </c:pt>
                <c:pt idx="482">
                  <c:v>1.2337854974395768E-2</c:v>
                </c:pt>
                <c:pt idx="483">
                  <c:v>1.2352962336956708E-2</c:v>
                </c:pt>
                <c:pt idx="484">
                  <c:v>1.2368382459495564E-2</c:v>
                </c:pt>
                <c:pt idx="485">
                  <c:v>1.2384267474558897E-2</c:v>
                </c:pt>
                <c:pt idx="486">
                  <c:v>1.2426947876391647E-2</c:v>
                </c:pt>
                <c:pt idx="487">
                  <c:v>1.2470665937343028E-2</c:v>
                </c:pt>
                <c:pt idx="488">
                  <c:v>1.2489340307952901E-2</c:v>
                </c:pt>
                <c:pt idx="489">
                  <c:v>1.2508479571406994E-2</c:v>
                </c:pt>
                <c:pt idx="490">
                  <c:v>1.2548745135170236E-2</c:v>
                </c:pt>
                <c:pt idx="491">
                  <c:v>1.258968555518436E-2</c:v>
                </c:pt>
                <c:pt idx="492">
                  <c:v>1.2611149284058598E-2</c:v>
                </c:pt>
                <c:pt idx="493">
                  <c:v>1.2633077906176737E-2</c:v>
                </c:pt>
                <c:pt idx="494">
                  <c:v>1.2655471421778586E-2</c:v>
                </c:pt>
                <c:pt idx="495">
                  <c:v>1.2702256258130262E-2</c:v>
                </c:pt>
                <c:pt idx="496">
                  <c:v>1.2749694419822433E-2</c:v>
                </c:pt>
                <c:pt idx="497">
                  <c:v>1.277441240380206E-2</c:v>
                </c:pt>
                <c:pt idx="498">
                  <c:v>1.2799595281585141E-2</c:v>
                </c:pt>
                <c:pt idx="499">
                  <c:v>1.2825243053571356E-2</c:v>
                </c:pt>
                <c:pt idx="500">
                  <c:v>1.2878548930563838E-2</c:v>
                </c:pt>
                <c:pt idx="501">
                  <c:v>1.2932483083787361E-2</c:v>
                </c:pt>
                <c:pt idx="502">
                  <c:v>1.2960455327428733E-2</c:v>
                </c:pt>
                <c:pt idx="503">
                  <c:v>1.2988892465832791E-2</c:v>
                </c:pt>
                <c:pt idx="504">
                  <c:v>1.3017794498999535E-2</c:v>
                </c:pt>
                <c:pt idx="505">
                  <c:v>1.3076849786273215E-2</c:v>
                </c:pt>
                <c:pt idx="506">
                  <c:v>1.3134872005169385E-2</c:v>
                </c:pt>
                <c:pt idx="507">
                  <c:v>1.3164036085600017E-2</c:v>
                </c:pt>
                <c:pt idx="508">
                  <c:v>1.3193149454036046E-2</c:v>
                </c:pt>
                <c:pt idx="509">
                  <c:v>1.3266412574466369E-2</c:v>
                </c:pt>
                <c:pt idx="510">
                  <c:v>1.3337955616457009E-2</c:v>
                </c:pt>
                <c:pt idx="511">
                  <c:v>1.3366764712925416E-2</c:v>
                </c:pt>
                <c:pt idx="512">
                  <c:v>1.3395523097319284E-2</c:v>
                </c:pt>
                <c:pt idx="513">
                  <c:v>1.3424230769798484E-2</c:v>
                </c:pt>
                <c:pt idx="514">
                  <c:v>1.3481981941589893E-2</c:v>
                </c:pt>
                <c:pt idx="515">
                  <c:v>1.3538554338650144E-2</c:v>
                </c:pt>
                <c:pt idx="516">
                  <c:v>1.3567008450596774E-2</c:v>
                </c:pt>
                <c:pt idx="517">
                  <c:v>1.360984544526822E-2</c:v>
                </c:pt>
                <c:pt idx="518">
                  <c:v>1.3792815709168238E-2</c:v>
                </c:pt>
                <c:pt idx="519">
                  <c:v>1.3987734669340668E-2</c:v>
                </c:pt>
                <c:pt idx="520">
                  <c:v>1.4180168727069287E-2</c:v>
                </c:pt>
                <c:pt idx="521">
                  <c:v>1.4370117878197419E-2</c:v>
                </c:pt>
                <c:pt idx="522">
                  <c:v>1.4557582118968071E-2</c:v>
                </c:pt>
                <c:pt idx="523">
                  <c:v>1.4742561445384439E-2</c:v>
                </c:pt>
                <c:pt idx="524">
                  <c:v>1.4925055853609592E-2</c:v>
                </c:pt>
                <c:pt idx="525">
                  <c:v>1.5105065339886536E-2</c:v>
                </c:pt>
                <c:pt idx="526">
                  <c:v>1.5282589900538213E-2</c:v>
                </c:pt>
                <c:pt idx="527">
                  <c:v>1.5457629531887562E-2</c:v>
                </c:pt>
                <c:pt idx="528">
                  <c:v>1.5630184230177591E-2</c:v>
                </c:pt>
                <c:pt idx="529">
                  <c:v>1.5800253992050983E-2</c:v>
                </c:pt>
                <c:pt idx="530">
                  <c:v>1.5967838813830681E-2</c:v>
                </c:pt>
                <c:pt idx="531">
                  <c:v>1.6132938691999499E-2</c:v>
                </c:pt>
                <c:pt idx="532">
                  <c:v>1.6295553623359993E-2</c:v>
                </c:pt>
                <c:pt idx="533">
                  <c:v>1.6455683604315041E-2</c:v>
                </c:pt>
                <c:pt idx="534">
                  <c:v>1.6613328631587265E-2</c:v>
                </c:pt>
                <c:pt idx="535">
                  <c:v>1.6768488702059159E-2</c:v>
                </c:pt>
                <c:pt idx="536">
                  <c:v>1.6921163812453344E-2</c:v>
                </c:pt>
                <c:pt idx="537">
                  <c:v>1.7071353959492441E-2</c:v>
                </c:pt>
                <c:pt idx="538">
                  <c:v>1.7219059140218818E-2</c:v>
                </c:pt>
                <c:pt idx="539">
                  <c:v>1.7364279351514966E-2</c:v>
                </c:pt>
                <c:pt idx="540">
                  <c:v>1.7507014590343317E-2</c:v>
                </c:pt>
                <c:pt idx="541">
                  <c:v>1.76472648536663E-2</c:v>
                </c:pt>
                <c:pt idx="542">
                  <c:v>1.7785030138846025E-2</c:v>
                </c:pt>
                <c:pt idx="543">
                  <c:v>1.7920310442764986E-2</c:v>
                </c:pt>
                <c:pt idx="544">
                  <c:v>1.8053105762785293E-2</c:v>
                </c:pt>
                <c:pt idx="545">
                  <c:v>1.8183416096109184E-2</c:v>
                </c:pt>
                <c:pt idx="546">
                  <c:v>1.8311241440018833E-2</c:v>
                </c:pt>
                <c:pt idx="547">
                  <c:v>1.8436581791796414E-2</c:v>
                </c:pt>
                <c:pt idx="548">
                  <c:v>1.8559437149043845E-2</c:v>
                </c:pt>
                <c:pt idx="549">
                  <c:v>1.8679807508963364E-2</c:v>
                </c:pt>
                <c:pt idx="550">
                  <c:v>1.8797692869316762E-2</c:v>
                </c:pt>
                <c:pt idx="551">
                  <c:v>1.8913093227466149E-2</c:v>
                </c:pt>
                <c:pt idx="552">
                  <c:v>1.9026008581173315E-2</c:v>
                </c:pt>
                <c:pt idx="553">
                  <c:v>1.9136438927960242E-2</c:v>
                </c:pt>
                <c:pt idx="554">
                  <c:v>1.9244384265668657E-2</c:v>
                </c:pt>
                <c:pt idx="555">
                  <c:v>1.9349844591980414E-2</c:v>
                </c:pt>
                <c:pt idx="556">
                  <c:v>1.9452819904657304E-2</c:v>
                </c:pt>
                <c:pt idx="557">
                  <c:v>1.9553310201700924E-2</c:v>
                </c:pt>
                <c:pt idx="558">
                  <c:v>1.9651315481032938E-2</c:v>
                </c:pt>
                <c:pt idx="559">
                  <c:v>1.9746835740415136E-2</c:v>
                </c:pt>
                <c:pt idx="560">
                  <c:v>1.9839870978088925E-2</c:v>
                </c:pt>
                <c:pt idx="561">
                  <c:v>1.9930421192135839E-2</c:v>
                </c:pt>
                <c:pt idx="562">
                  <c:v>2.001848638047754E-2</c:v>
                </c:pt>
                <c:pt idx="563">
                  <c:v>2.0104066541515309E-2</c:v>
                </c:pt>
                <c:pt idx="564">
                  <c:v>2.0187161673330678E-2</c:v>
                </c:pt>
                <c:pt idx="565">
                  <c:v>2.0267771774244991E-2</c:v>
                </c:pt>
                <c:pt idx="566">
                  <c:v>2.0345896842579592E-2</c:v>
                </c:pt>
                <c:pt idx="567">
                  <c:v>2.0421666489855994E-2</c:v>
                </c:pt>
                <c:pt idx="568">
                  <c:v>2.049654056775374E-2</c:v>
                </c:pt>
                <c:pt idx="569">
                  <c:v>2.0576817564963434E-2</c:v>
                </c:pt>
                <c:pt idx="570">
                  <c:v>2.0644850392894654E-2</c:v>
                </c:pt>
                <c:pt idx="571">
                  <c:v>2.0718286139578268E-2</c:v>
                </c:pt>
                <c:pt idx="572">
                  <c:v>2.0791242441937641E-2</c:v>
                </c:pt>
                <c:pt idx="573">
                  <c:v>2.0863719299573091E-2</c:v>
                </c:pt>
                <c:pt idx="574">
                  <c:v>2.0935716712324748E-2</c:v>
                </c:pt>
                <c:pt idx="575">
                  <c:v>2.1007234679872866E-2</c:v>
                </c:pt>
                <c:pt idx="576">
                  <c:v>2.1078273201977638E-2</c:v>
                </c:pt>
                <c:pt idx="577">
                  <c:v>2.1148832278239382E-2</c:v>
                </c:pt>
                <c:pt idx="578">
                  <c:v>2.1218911908498228E-2</c:v>
                </c:pt>
                <c:pt idx="579">
                  <c:v>2.1288512092354495E-2</c:v>
                </c:pt>
                <c:pt idx="580">
                  <c:v>2.135763282964831E-2</c:v>
                </c:pt>
                <c:pt idx="581">
                  <c:v>2.1426274119979993E-2</c:v>
                </c:pt>
                <c:pt idx="582">
                  <c:v>2.1494435963189673E-2</c:v>
                </c:pt>
                <c:pt idx="583">
                  <c:v>2.1562118359037541E-2</c:v>
                </c:pt>
                <c:pt idx="584">
                  <c:v>2.162932130704398E-2</c:v>
                </c:pt>
                <c:pt idx="585">
                  <c:v>2.1696044807129056E-2</c:v>
                </c:pt>
                <c:pt idx="586">
                  <c:v>2.1762288858973022E-2</c:v>
                </c:pt>
                <c:pt idx="587">
                  <c:v>2.1828053462256136E-2</c:v>
                </c:pt>
                <c:pt idx="588">
                  <c:v>2.1893338616818525E-2</c:v>
                </c:pt>
                <c:pt idx="589">
                  <c:v>2.1958144322340445E-2</c:v>
                </c:pt>
                <c:pt idx="590">
                  <c:v>2.2022470578582087E-2</c:v>
                </c:pt>
                <c:pt idx="591">
                  <c:v>2.2086317385223708E-2</c:v>
                </c:pt>
                <c:pt idx="592">
                  <c:v>2.2149684742105435E-2</c:v>
                </c:pt>
                <c:pt idx="593">
                  <c:v>2.2212572648907525E-2</c:v>
                </c:pt>
                <c:pt idx="594">
                  <c:v>2.2274981105390168E-2</c:v>
                </c:pt>
                <c:pt idx="595">
                  <c:v>2.2336910111313557E-2</c:v>
                </c:pt>
                <c:pt idx="596">
                  <c:v>2.2398359666437884E-2</c:v>
                </c:pt>
                <c:pt idx="597">
                  <c:v>2.245932977052334E-2</c:v>
                </c:pt>
                <c:pt idx="598">
                  <c:v>2.2519820423330117E-2</c:v>
                </c:pt>
                <c:pt idx="599">
                  <c:v>2.2579831624538471E-2</c:v>
                </c:pt>
                <c:pt idx="600">
                  <c:v>2.2639363374068466E-2</c:v>
                </c:pt>
                <c:pt idx="601">
                  <c:v>2.2706812575012947E-2</c:v>
                </c:pt>
                <c:pt idx="602">
                  <c:v>2.2765316927015888E-2</c:v>
                </c:pt>
                <c:pt idx="603">
                  <c:v>2.282334182654111E-2</c:v>
                </c:pt>
                <c:pt idx="604">
                  <c:v>2.2880887273268868E-2</c:v>
                </c:pt>
                <c:pt idx="605">
                  <c:v>2.293795326703929E-2</c:v>
                </c:pt>
                <c:pt idx="606">
                  <c:v>2.2994539807612568E-2</c:v>
                </c:pt>
                <c:pt idx="607">
                  <c:v>2.3050646894668958E-2</c:v>
                </c:pt>
                <c:pt idx="608">
                  <c:v>2.3106274528128523E-2</c:v>
                </c:pt>
                <c:pt idx="609">
                  <c:v>2.3161422707751456E-2</c:v>
                </c:pt>
                <c:pt idx="610">
                  <c:v>2.3216091433218011E-2</c:v>
                </c:pt>
                <c:pt idx="611">
                  <c:v>2.3270280704368318E-2</c:v>
                </c:pt>
                <c:pt idx="612">
                  <c:v>2.3323990521042504E-2</c:v>
                </c:pt>
                <c:pt idx="613">
                  <c:v>2.3377220882920824E-2</c:v>
                </c:pt>
                <c:pt idx="614">
                  <c:v>2.3429971789763471E-2</c:v>
                </c:pt>
                <c:pt idx="615">
                  <c:v>2.3482243241570444E-2</c:v>
                </c:pt>
                <c:pt idx="616">
                  <c:v>2.3534035237862128E-2</c:v>
                </c:pt>
                <c:pt idx="617">
                  <c:v>2.3585347778638521E-2</c:v>
                </c:pt>
                <c:pt idx="618">
                  <c:v>2.3636180863659817E-2</c:v>
                </c:pt>
                <c:pt idx="619">
                  <c:v>2.3686658858164122E-2</c:v>
                </c:pt>
                <c:pt idx="620">
                  <c:v>2.3737521233035963E-2</c:v>
                </c:pt>
                <c:pt idx="621">
                  <c:v>2.3805240685295104E-2</c:v>
                </c:pt>
                <c:pt idx="622">
                  <c:v>2.3857272796528051E-2</c:v>
                </c:pt>
                <c:pt idx="623">
                  <c:v>2.3909813737033048E-2</c:v>
                </c:pt>
                <c:pt idx="624">
                  <c:v>2.3962863507449583E-2</c:v>
                </c:pt>
                <c:pt idx="625">
                  <c:v>2.4016422108470437E-2</c:v>
                </c:pt>
                <c:pt idx="626">
                  <c:v>2.4070489540761741E-2</c:v>
                </c:pt>
                <c:pt idx="627">
                  <c:v>2.4125065805016277E-2</c:v>
                </c:pt>
                <c:pt idx="628">
                  <c:v>2.4180150901926822E-2</c:v>
                </c:pt>
                <c:pt idx="629">
                  <c:v>2.4240554352275012E-2</c:v>
                </c:pt>
                <c:pt idx="630">
                  <c:v>2.429184759654035E-2</c:v>
                </c:pt>
                <c:pt idx="631">
                  <c:v>2.4348459195655536E-2</c:v>
                </c:pt>
                <c:pt idx="632">
                  <c:v>2.440557963025114E-2</c:v>
                </c:pt>
                <c:pt idx="633">
                  <c:v>2.4468179199206297E-2</c:v>
                </c:pt>
                <c:pt idx="634">
                  <c:v>2.4521347008894523E-2</c:v>
                </c:pt>
                <c:pt idx="635">
                  <c:v>2.4579993954407797E-2</c:v>
                </c:pt>
                <c:pt idx="636">
                  <c:v>2.4639149738332478E-2</c:v>
                </c:pt>
                <c:pt idx="637">
                  <c:v>2.4698814361467925E-2</c:v>
                </c:pt>
                <c:pt idx="638">
                  <c:v>2.4758987824533563E-2</c:v>
                </c:pt>
                <c:pt idx="639">
                  <c:v>2.4819670128355398E-2</c:v>
                </c:pt>
                <c:pt idx="640">
                  <c:v>2.4880861273652854E-2</c:v>
                </c:pt>
                <c:pt idx="641">
                  <c:v>2.4942561261225293E-2</c:v>
                </c:pt>
                <c:pt idx="642">
                  <c:v>2.500477009184543E-2</c:v>
                </c:pt>
                <c:pt idx="643">
                  <c:v>2.5067487766312624E-2</c:v>
                </c:pt>
                <c:pt idx="644">
                  <c:v>2.5130714285399591E-2</c:v>
                </c:pt>
                <c:pt idx="645">
                  <c:v>2.5194449649985629E-2</c:v>
                </c:pt>
                <c:pt idx="646">
                  <c:v>2.525869386079016E-2</c:v>
                </c:pt>
                <c:pt idx="647">
                  <c:v>2.5328985584578412E-2</c:v>
                </c:pt>
                <c:pt idx="648">
                  <c:v>2.5388708824465311E-2</c:v>
                </c:pt>
                <c:pt idx="649">
                  <c:v>2.5454479578987943E-2</c:v>
                </c:pt>
                <c:pt idx="650">
                  <c:v>2.5520759183059738E-2</c:v>
                </c:pt>
                <c:pt idx="651">
                  <c:v>2.5587547637559993E-2</c:v>
                </c:pt>
                <c:pt idx="652">
                  <c:v>2.5654844943288069E-2</c:v>
                </c:pt>
                <c:pt idx="653">
                  <c:v>2.5722651101149907E-2</c:v>
                </c:pt>
                <c:pt idx="654">
                  <c:v>2.5790966111998159E-2</c:v>
                </c:pt>
                <c:pt idx="655">
                  <c:v>2.5859789976658831E-2</c:v>
                </c:pt>
                <c:pt idx="656">
                  <c:v>2.592912269606451E-2</c:v>
                </c:pt>
                <c:pt idx="657">
                  <c:v>2.5998964271067848E-2</c:v>
                </c:pt>
                <c:pt idx="658">
                  <c:v>2.6069314702574786E-2</c:v>
                </c:pt>
                <c:pt idx="659">
                  <c:v>2.6140173991437976E-2</c:v>
                </c:pt>
                <c:pt idx="660">
                  <c:v>2.6211542138590005E-2</c:v>
                </c:pt>
                <c:pt idx="661">
                  <c:v>2.6289535516592633E-2</c:v>
                </c:pt>
                <c:pt idx="662">
                  <c:v>2.6355805011410993E-2</c:v>
                </c:pt>
                <c:pt idx="663">
                  <c:v>2.6428699738891837E-2</c:v>
                </c:pt>
                <c:pt idx="664">
                  <c:v>2.6502103328338578E-2</c:v>
                </c:pt>
                <c:pt idx="665">
                  <c:v>2.6576015780657158E-2</c:v>
                </c:pt>
                <c:pt idx="666">
                  <c:v>2.6650437096833457E-2</c:v>
                </c:pt>
                <c:pt idx="667">
                  <c:v>2.6731734291349785E-2</c:v>
                </c:pt>
                <c:pt idx="668">
                  <c:v>2.6800806324436266E-2</c:v>
                </c:pt>
                <c:pt idx="669">
                  <c:v>2.6876754237781242E-2</c:v>
                </c:pt>
                <c:pt idx="670">
                  <c:v>2.6953211018794221E-2</c:v>
                </c:pt>
                <c:pt idx="671">
                  <c:v>2.7036128269353199E-2</c:v>
                </c:pt>
                <c:pt idx="672">
                  <c:v>2.7105197231662714E-2</c:v>
                </c:pt>
                <c:pt idx="673">
                  <c:v>2.7179679432123294E-2</c:v>
                </c:pt>
                <c:pt idx="674">
                  <c:v>2.7253138729061988E-2</c:v>
                </c:pt>
                <c:pt idx="675">
                  <c:v>2.7325575120666912E-2</c:v>
                </c:pt>
                <c:pt idx="676">
                  <c:v>2.7396988605019601E-2</c:v>
                </c:pt>
                <c:pt idx="677">
                  <c:v>2.7467379180361462E-2</c:v>
                </c:pt>
                <c:pt idx="678">
                  <c:v>2.7536746844853965E-2</c:v>
                </c:pt>
                <c:pt idx="679">
                  <c:v>2.7605091596738518E-2</c:v>
                </c:pt>
                <c:pt idx="680">
                  <c:v>2.7672413434256526E-2</c:v>
                </c:pt>
                <c:pt idx="681">
                  <c:v>2.7744471729520548E-2</c:v>
                </c:pt>
                <c:pt idx="682">
                  <c:v>2.780398835931841E-2</c:v>
                </c:pt>
                <c:pt idx="683">
                  <c:v>2.7868241443504971E-2</c:v>
                </c:pt>
                <c:pt idx="684">
                  <c:v>2.7931471606610359E-2</c:v>
                </c:pt>
                <c:pt idx="685">
                  <c:v>2.7999165672696336E-2</c:v>
                </c:pt>
                <c:pt idx="686">
                  <c:v>2.805486316312944E-2</c:v>
                </c:pt>
                <c:pt idx="687">
                  <c:v>2.8115024553345691E-2</c:v>
                </c:pt>
                <c:pt idx="688">
                  <c:v>2.8174163016192466E-2</c:v>
                </c:pt>
                <c:pt idx="689">
                  <c:v>2.8232278550097689E-2</c:v>
                </c:pt>
                <c:pt idx="690">
                  <c:v>2.8289371153622511E-2</c:v>
                </c:pt>
                <c:pt idx="691">
                  <c:v>2.8345440825301438E-2</c:v>
                </c:pt>
                <c:pt idx="692">
                  <c:v>2.8400487563668975E-2</c:v>
                </c:pt>
                <c:pt idx="693">
                  <c:v>2.8454511367312918E-2</c:v>
                </c:pt>
                <c:pt idx="694">
                  <c:v>2.8507512234901E-2</c:v>
                </c:pt>
                <c:pt idx="695">
                  <c:v>2.8559490165074308E-2</c:v>
                </c:pt>
                <c:pt idx="696">
                  <c:v>2.8610445156447284E-2</c:v>
                </c:pt>
                <c:pt idx="697">
                  <c:v>2.8660377207767596E-2</c:v>
                </c:pt>
                <c:pt idx="698">
                  <c:v>2.8709286317756266E-2</c:v>
                </c:pt>
                <c:pt idx="699">
                  <c:v>2.8761696478134535E-2</c:v>
                </c:pt>
                <c:pt idx="700">
                  <c:v>2.8804035708676068E-2</c:v>
                </c:pt>
                <c:pt idx="701">
                  <c:v>2.8849875987209117E-2</c:v>
                </c:pt>
                <c:pt idx="702">
                  <c:v>2.8894693319561071E-2</c:v>
                </c:pt>
                <c:pt idx="703">
                  <c:v>2.893848770458618E-2</c:v>
                </c:pt>
                <c:pt idx="704">
                  <c:v>2.8981259141165339E-2</c:v>
                </c:pt>
                <c:pt idx="705">
                  <c:v>2.9032413438283555E-2</c:v>
                </c:pt>
                <c:pt idx="706">
                  <c:v>2.9072840177599701E-2</c:v>
                </c:pt>
                <c:pt idx="707">
                  <c:v>2.911224412130764E-2</c:v>
                </c:pt>
                <c:pt idx="708">
                  <c:v>2.9150625269087627E-2</c:v>
                </c:pt>
                <c:pt idx="709">
                  <c:v>2.9187983620619917E-2</c:v>
                </c:pt>
                <c:pt idx="710">
                  <c:v>2.9224319175584768E-2</c:v>
                </c:pt>
                <c:pt idx="711">
                  <c:v>2.9259631933582497E-2</c:v>
                </c:pt>
                <c:pt idx="712">
                  <c:v>2.9293921894453234E-2</c:v>
                </c:pt>
                <c:pt idx="713">
                  <c:v>2.9327189057797298E-2</c:v>
                </c:pt>
                <c:pt idx="714">
                  <c:v>2.9363956267713931E-2</c:v>
                </c:pt>
                <c:pt idx="715">
                  <c:v>2.9395031721284326E-2</c:v>
                </c:pt>
                <c:pt idx="716">
                  <c:v>2.9425084376448751E-2</c:v>
                </c:pt>
                <c:pt idx="717">
                  <c:v>2.9454114233047335E-2</c:v>
                </c:pt>
                <c:pt idx="718">
                  <c:v>2.9482121290760332E-2</c:v>
                </c:pt>
                <c:pt idx="719">
                  <c:v>2.9509105549427872E-2</c:v>
                </c:pt>
                <c:pt idx="720">
                  <c:v>2.9535067008730209E-2</c:v>
                </c:pt>
                <c:pt idx="721">
                  <c:v>2.9560005668507472E-2</c:v>
                </c:pt>
                <c:pt idx="722">
                  <c:v>2.9583921528599788E-2</c:v>
                </c:pt>
                <c:pt idx="723">
                  <c:v>2.9609682093041378E-2</c:v>
                </c:pt>
                <c:pt idx="724">
                  <c:v>2.9628893476445484E-2</c:v>
                </c:pt>
                <c:pt idx="725">
                  <c:v>2.9650013258448737E-2</c:v>
                </c:pt>
                <c:pt idx="726">
                  <c:v>2.9670222372670807E-2</c:v>
                </c:pt>
                <c:pt idx="727">
                  <c:v>2.968952081895182E-2</c:v>
                </c:pt>
                <c:pt idx="728">
                  <c:v>2.9707908597211841E-2</c:v>
                </c:pt>
                <c:pt idx="729">
                  <c:v>2.9725385707290997E-2</c:v>
                </c:pt>
                <c:pt idx="730">
                  <c:v>2.9741952149029416E-2</c:v>
                </c:pt>
                <c:pt idx="731">
                  <c:v>2.9757607922267226E-2</c:v>
                </c:pt>
                <c:pt idx="732">
                  <c:v>2.9772353027004428E-2</c:v>
                </c:pt>
                <c:pt idx="733">
                  <c:v>2.9786187463001212E-2</c:v>
                </c:pt>
                <c:pt idx="734">
                  <c:v>2.979911123025758E-2</c:v>
                </c:pt>
                <c:pt idx="735">
                  <c:v>2.9811124328693595E-2</c:v>
                </c:pt>
                <c:pt idx="736">
                  <c:v>2.9822226758069448E-2</c:v>
                </c:pt>
                <c:pt idx="737">
                  <c:v>2.983241851838514E-2</c:v>
                </c:pt>
                <c:pt idx="738">
                  <c:v>2.9841699609640671E-2</c:v>
                </c:pt>
                <c:pt idx="739">
                  <c:v>2.9850070031676168E-2</c:v>
                </c:pt>
                <c:pt idx="740">
                  <c:v>2.985752978433176E-2</c:v>
                </c:pt>
                <c:pt idx="741">
                  <c:v>2.9864078867767319E-2</c:v>
                </c:pt>
                <c:pt idx="742">
                  <c:v>2.9869717281822972E-2</c:v>
                </c:pt>
                <c:pt idx="743">
                  <c:v>2.9874445026418783E-2</c:v>
                </c:pt>
                <c:pt idx="744">
                  <c:v>2.9878262101634689E-2</c:v>
                </c:pt>
                <c:pt idx="745">
                  <c:v>2.9881168507310818E-2</c:v>
                </c:pt>
                <c:pt idx="746">
                  <c:v>2.9883164243447169E-2</c:v>
                </c:pt>
                <c:pt idx="747">
                  <c:v>2.9884249310123678E-2</c:v>
                </c:pt>
                <c:pt idx="748">
                  <c:v>2.988442370726041E-2</c:v>
                </c:pt>
                <c:pt idx="749">
                  <c:v>2.9883687434857364E-2</c:v>
                </c:pt>
                <c:pt idx="750">
                  <c:v>2.9882040492914541E-2</c:v>
                </c:pt>
                <c:pt idx="751">
                  <c:v>2.9879482881511876E-2</c:v>
                </c:pt>
                <c:pt idx="752">
                  <c:v>2.9876014600569434E-2</c:v>
                </c:pt>
                <c:pt idx="753">
                  <c:v>2.987163565016715E-2</c:v>
                </c:pt>
                <c:pt idx="754">
                  <c:v>2.986634603038496E-2</c:v>
                </c:pt>
                <c:pt idx="755">
                  <c:v>2.9860145741142929E-2</c:v>
                </c:pt>
                <c:pt idx="756">
                  <c:v>2.9853034782600929E-2</c:v>
                </c:pt>
                <c:pt idx="757">
                  <c:v>2.9845013154679023E-2</c:v>
                </c:pt>
                <c:pt idx="758">
                  <c:v>2.983608085761702E-2</c:v>
                </c:pt>
                <c:pt idx="759">
                  <c:v>2.9826237891334983E-2</c:v>
                </c:pt>
                <c:pt idx="760">
                  <c:v>2.9815484256072722E-2</c:v>
                </c:pt>
                <c:pt idx="761">
                  <c:v>2.9803819951670363E-2</c:v>
                </c:pt>
                <c:pt idx="762">
                  <c:v>2.9791244978447651E-2</c:v>
                </c:pt>
                <c:pt idx="763">
                  <c:v>2.977775933632465E-2</c:v>
                </c:pt>
                <c:pt idx="764">
                  <c:v>2.9763363025541167E-2</c:v>
                </c:pt>
                <c:pt idx="765">
                  <c:v>2.9748056046097204E-2</c:v>
                </c:pt>
                <c:pt idx="766">
                  <c:v>2.9731838398232568E-2</c:v>
                </c:pt>
                <c:pt idx="767">
                  <c:v>2.971471008194726E-2</c:v>
                </c:pt>
                <c:pt idx="768">
                  <c:v>2.9696671097401151E-2</c:v>
                </c:pt>
                <c:pt idx="769">
                  <c:v>2.9677721444754113E-2</c:v>
                </c:pt>
                <c:pt idx="770">
                  <c:v>2.9657861124245954E-2</c:v>
                </c:pt>
                <c:pt idx="771">
                  <c:v>2.963709013579674E-2</c:v>
                </c:pt>
                <c:pt idx="772">
                  <c:v>2.9615408479806149E-2</c:v>
                </c:pt>
                <c:pt idx="773">
                  <c:v>2.9592816156194246E-2</c:v>
                </c:pt>
                <c:pt idx="774">
                  <c:v>2.9569313165360711E-2</c:v>
                </c:pt>
                <c:pt idx="775">
                  <c:v>2.9545515068427619E-2</c:v>
                </c:pt>
                <c:pt idx="776">
                  <c:v>2.9522747689325612E-2</c:v>
                </c:pt>
                <c:pt idx="777">
                  <c:v>2.9501058378578193E-2</c:v>
                </c:pt>
                <c:pt idx="778">
                  <c:v>2.9480447136185362E-2</c:v>
                </c:pt>
                <c:pt idx="779">
                  <c:v>2.9460913961747437E-2</c:v>
                </c:pt>
                <c:pt idx="780">
                  <c:v>2.944245885526442E-2</c:v>
                </c:pt>
                <c:pt idx="781">
                  <c:v>2.9425081816416565E-2</c:v>
                </c:pt>
                <c:pt idx="782">
                  <c:v>2.9408782845203874E-2</c:v>
                </c:pt>
                <c:pt idx="783">
                  <c:v>2.9393561941386537E-2</c:v>
                </c:pt>
                <c:pt idx="784">
                  <c:v>2.9379419104804683E-2</c:v>
                </c:pt>
                <c:pt idx="785">
                  <c:v>2.9366354335378375E-2</c:v>
                </c:pt>
                <c:pt idx="786">
                  <c:v>2.9354367632947742E-2</c:v>
                </c:pt>
                <c:pt idx="787">
                  <c:v>2.9343458997512784E-2</c:v>
                </c:pt>
                <c:pt idx="788">
                  <c:v>2.9333628428833691E-2</c:v>
                </c:pt>
                <c:pt idx="789">
                  <c:v>2.9324875926990401E-2</c:v>
                </c:pt>
                <c:pt idx="790">
                  <c:v>2.931720149166317E-2</c:v>
                </c:pt>
                <c:pt idx="791">
                  <c:v>2.9310605123011868E-2</c:v>
                </c:pt>
                <c:pt idx="792">
                  <c:v>2.9305086820956561E-2</c:v>
                </c:pt>
                <c:pt idx="793">
                  <c:v>2.9300646585257439E-2</c:v>
                </c:pt>
                <c:pt idx="794">
                  <c:v>2.929728441599444E-2</c:v>
                </c:pt>
                <c:pt idx="795">
                  <c:v>2.9295000313167563E-2</c:v>
                </c:pt>
                <c:pt idx="796">
                  <c:v>2.9293794276776808E-2</c:v>
                </c:pt>
                <c:pt idx="797">
                  <c:v>2.9293666306822175E-2</c:v>
                </c:pt>
                <c:pt idx="798">
                  <c:v>2.9294616403063856E-2</c:v>
                </c:pt>
                <c:pt idx="799">
                  <c:v>2.9296644565821595E-2</c:v>
                </c:pt>
                <c:pt idx="800">
                  <c:v>2.929975079493552E-2</c:v>
                </c:pt>
                <c:pt idx="801">
                  <c:v>2.9303935090485567E-2</c:v>
                </c:pt>
                <c:pt idx="802">
                  <c:v>2.9309197452551672E-2</c:v>
                </c:pt>
                <c:pt idx="803">
                  <c:v>2.9315537881053899E-2</c:v>
                </c:pt>
                <c:pt idx="804">
                  <c:v>2.9322956376232057E-2</c:v>
                </c:pt>
                <c:pt idx="805">
                  <c:v>2.9331452937926272E-2</c:v>
                </c:pt>
                <c:pt idx="806">
                  <c:v>2.9341027566376354E-2</c:v>
                </c:pt>
                <c:pt idx="807">
                  <c:v>2.9351680261662239E-2</c:v>
                </c:pt>
                <c:pt idx="808">
                  <c:v>2.9363411023863861E-2</c:v>
                </c:pt>
                <c:pt idx="809">
                  <c:v>2.9376219852981222E-2</c:v>
                </c:pt>
                <c:pt idx="810">
                  <c:v>2.9390106749334066E-2</c:v>
                </c:pt>
                <c:pt idx="811">
                  <c:v>2.9405071712842457E-2</c:v>
                </c:pt>
                <c:pt idx="812">
                  <c:v>2.9421114743746202E-2</c:v>
                </c:pt>
                <c:pt idx="813">
                  <c:v>2.9438235842205174E-2</c:v>
                </c:pt>
                <c:pt idx="814">
                  <c:v>2.9456435008299309E-2</c:v>
                </c:pt>
                <c:pt idx="815">
                  <c:v>2.9475712242268415E-2</c:v>
                </c:pt>
                <c:pt idx="816">
                  <c:v>2.9496067544192428E-2</c:v>
                </c:pt>
                <c:pt idx="817">
                  <c:v>2.9517500914391093E-2</c:v>
                </c:pt>
                <c:pt idx="818">
                  <c:v>2.9540012352944345E-2</c:v>
                </c:pt>
                <c:pt idx="819">
                  <c:v>2.9563601860012056E-2</c:v>
                </c:pt>
                <c:pt idx="820">
                  <c:v>2.9588269435993908E-2</c:v>
                </c:pt>
                <c:pt idx="821">
                  <c:v>2.9614015080889899E-2</c:v>
                </c:pt>
                <c:pt idx="822">
                  <c:v>2.9640838795179647E-2</c:v>
                </c:pt>
                <c:pt idx="823">
                  <c:v>2.9668740578863151E-2</c:v>
                </c:pt>
                <c:pt idx="824">
                  <c:v>2.9697720432340091E-2</c:v>
                </c:pt>
                <c:pt idx="825">
                  <c:v>2.972777835577034E-2</c:v>
                </c:pt>
                <c:pt idx="826">
                  <c:v>2.9758914349473642E-2</c:v>
                </c:pt>
                <c:pt idx="827">
                  <c:v>2.9790795630848521E-2</c:v>
                </c:pt>
                <c:pt idx="828">
                  <c:v>2.9822254731692865E-2</c:v>
                </c:pt>
                <c:pt idx="829">
                  <c:v>2.9853187998281072E-2</c:v>
                </c:pt>
                <c:pt idx="830">
                  <c:v>2.9883595430453269E-2</c:v>
                </c:pt>
                <c:pt idx="831">
                  <c:v>2.991347702812952E-2</c:v>
                </c:pt>
                <c:pt idx="832">
                  <c:v>2.9942832791070018E-2</c:v>
                </c:pt>
                <c:pt idx="833">
                  <c:v>2.9971662719194825E-2</c:v>
                </c:pt>
                <c:pt idx="834">
                  <c:v>2.9999966812424006E-2</c:v>
                </c:pt>
                <c:pt idx="835">
                  <c:v>3.0027745070597689E-2</c:v>
                </c:pt>
                <c:pt idx="836">
                  <c:v>3.0054997493556002E-2</c:v>
                </c:pt>
                <c:pt idx="837">
                  <c:v>3.0081724081219008E-2</c:v>
                </c:pt>
                <c:pt idx="838">
                  <c:v>3.0107924833426836E-2</c:v>
                </c:pt>
                <c:pt idx="839">
                  <c:v>3.0133599750259421E-2</c:v>
                </c:pt>
                <c:pt idx="840">
                  <c:v>3.0158748831317084E-2</c:v>
                </c:pt>
                <c:pt idx="841">
                  <c:v>3.018337207667976E-2</c:v>
                </c:pt>
                <c:pt idx="842">
                  <c:v>3.0207469486107641E-2</c:v>
                </c:pt>
                <c:pt idx="843">
                  <c:v>3.0231041059680663E-2</c:v>
                </c:pt>
                <c:pt idx="844">
                  <c:v>3.0254086796999147E-2</c:v>
                </c:pt>
                <c:pt idx="845">
                  <c:v>3.0276606698302899E-2</c:v>
                </c:pt>
                <c:pt idx="846">
                  <c:v>3.0298600763272177E-2</c:v>
                </c:pt>
                <c:pt idx="847">
                  <c:v>3.0320068991906979E-2</c:v>
                </c:pt>
                <c:pt idx="848">
                  <c:v>3.0341011384047434E-2</c:v>
                </c:pt>
                <c:pt idx="849">
                  <c:v>3.0361427939693542E-2</c:v>
                </c:pt>
                <c:pt idx="850">
                  <c:v>3.0381318658605494E-2</c:v>
                </c:pt>
                <c:pt idx="851">
                  <c:v>3.0400683540863227E-2</c:v>
                </c:pt>
                <c:pt idx="852">
                  <c:v>3.0419522586306869E-2</c:v>
                </c:pt>
                <c:pt idx="853">
                  <c:v>3.0437835794776547E-2</c:v>
                </c:pt>
                <c:pt idx="854">
                  <c:v>3.0455623166352197E-2</c:v>
                </c:pt>
                <c:pt idx="855">
                  <c:v>3.0472884700873948E-2</c:v>
                </c:pt>
                <c:pt idx="856">
                  <c:v>3.0489620398181927E-2</c:v>
                </c:pt>
                <c:pt idx="857">
                  <c:v>3.050583025835607E-2</c:v>
                </c:pt>
                <c:pt idx="858">
                  <c:v>3.0521514281236506E-2</c:v>
                </c:pt>
                <c:pt idx="859">
                  <c:v>3.0536672466743298E-2</c:v>
                </c:pt>
                <c:pt idx="860">
                  <c:v>3.0551304814876445E-2</c:v>
                </c:pt>
                <c:pt idx="861">
                  <c:v>3.0567383615807131E-2</c:v>
                </c:pt>
                <c:pt idx="862">
                  <c:v>3.0580889169282699E-2</c:v>
                </c:pt>
                <c:pt idx="863">
                  <c:v>3.0593868885144815E-2</c:v>
                </c:pt>
                <c:pt idx="864">
                  <c:v>3.0606322763393479E-2</c:v>
                </c:pt>
                <c:pt idx="865">
                  <c:v>3.0618250803788882E-2</c:v>
                </c:pt>
                <c:pt idx="866">
                  <c:v>3.0629653006570834E-2</c:v>
                </c:pt>
                <c:pt idx="867">
                  <c:v>3.0640529371499525E-2</c:v>
                </c:pt>
                <c:pt idx="868">
                  <c:v>3.065087989849502E-2</c:v>
                </c:pt>
                <c:pt idx="869">
                  <c:v>3.0660704587637255E-2</c:v>
                </c:pt>
                <c:pt idx="870">
                  <c:v>3.0670003438766358E-2</c:v>
                </c:pt>
                <c:pt idx="871">
                  <c:v>3.0678776451962264E-2</c:v>
                </c:pt>
                <c:pt idx="872">
                  <c:v>3.0687023627065102E-2</c:v>
                </c:pt>
                <c:pt idx="873">
                  <c:v>3.0694744964074872E-2</c:v>
                </c:pt>
                <c:pt idx="874">
                  <c:v>3.0701940463071509E-2</c:v>
                </c:pt>
                <c:pt idx="875">
                  <c:v>3.0708610123975077E-2</c:v>
                </c:pt>
                <c:pt idx="876">
                  <c:v>3.0714753946705642E-2</c:v>
                </c:pt>
                <c:pt idx="877">
                  <c:v>3.072037193110333E-2</c:v>
                </c:pt>
                <c:pt idx="878">
                  <c:v>3.0725464077407949E-2</c:v>
                </c:pt>
                <c:pt idx="879">
                  <c:v>3.073008415644729E-2</c:v>
                </c:pt>
                <c:pt idx="880">
                  <c:v>3.0734837800805437E-2</c:v>
                </c:pt>
                <c:pt idx="881">
                  <c:v>3.0741584009597034E-2</c:v>
                </c:pt>
                <c:pt idx="882">
                  <c:v>3.0745263685760804E-2</c:v>
                </c:pt>
                <c:pt idx="883">
                  <c:v>3.0750935926437961E-2</c:v>
                </c:pt>
                <c:pt idx="884">
                  <c:v>3.0756914365861476E-2</c:v>
                </c:pt>
                <c:pt idx="885">
                  <c:v>3.076319900403135E-2</c:v>
                </c:pt>
                <c:pt idx="886">
                  <c:v>3.0769789841107453E-2</c:v>
                </c:pt>
                <c:pt idx="887">
                  <c:v>3.0776686876929915E-2</c:v>
                </c:pt>
                <c:pt idx="888">
                  <c:v>3.0783890111738543E-2</c:v>
                </c:pt>
                <c:pt idx="889">
                  <c:v>3.079139954529353E-2</c:v>
                </c:pt>
                <c:pt idx="890">
                  <c:v>3.0799215177834682E-2</c:v>
                </c:pt>
                <c:pt idx="891">
                  <c:v>3.0807337009282065E-2</c:v>
                </c:pt>
                <c:pt idx="892">
                  <c:v>3.0815765039635679E-2</c:v>
                </c:pt>
                <c:pt idx="893">
                  <c:v>3.0824499268975458E-2</c:v>
                </c:pt>
                <c:pt idx="894">
                  <c:v>3.0833539697221468E-2</c:v>
                </c:pt>
                <c:pt idx="895">
                  <c:v>3.084288632453358E-2</c:v>
                </c:pt>
                <c:pt idx="896">
                  <c:v>3.0852539150831859E-2</c:v>
                </c:pt>
                <c:pt idx="897">
                  <c:v>3.086249817619624E-2</c:v>
                </c:pt>
                <c:pt idx="898">
                  <c:v>3.0872763400626724E-2</c:v>
                </c:pt>
                <c:pt idx="899">
                  <c:v>3.088333482412331E-2</c:v>
                </c:pt>
                <c:pt idx="900">
                  <c:v>3.089421244684587E-2</c:v>
                </c:pt>
                <c:pt idx="901">
                  <c:v>3.0905396268634533E-2</c:v>
                </c:pt>
                <c:pt idx="902">
                  <c:v>3.091688628964917E-2</c:v>
                </c:pt>
                <c:pt idx="903">
                  <c:v>3.0928682509889782E-2</c:v>
                </c:pt>
                <c:pt idx="904">
                  <c:v>3.0940784929436305E-2</c:v>
                </c:pt>
                <c:pt idx="905">
                  <c:v>3.0953193548128866E-2</c:v>
                </c:pt>
                <c:pt idx="906">
                  <c:v>3.0965908366207273E-2</c:v>
                </c:pt>
                <c:pt idx="907">
                  <c:v>3.0978929383591591E-2</c:v>
                </c:pt>
                <c:pt idx="908">
                  <c:v>3.0992256600361756E-2</c:v>
                </c:pt>
                <c:pt idx="909">
                  <c:v>3.1005890016517768E-2</c:v>
                </c:pt>
                <c:pt idx="910">
                  <c:v>3.1019829632139562E-2</c:v>
                </c:pt>
                <c:pt idx="911">
                  <c:v>3.1034075447227139E-2</c:v>
                </c:pt>
                <c:pt idx="912">
                  <c:v>3.1048627461780498E-2</c:v>
                </c:pt>
                <c:pt idx="913">
                  <c:v>3.1065899762210414E-2</c:v>
                </c:pt>
                <c:pt idx="914">
                  <c:v>3.1078650089684245E-2</c:v>
                </c:pt>
                <c:pt idx="915">
                  <c:v>3.1094120703114569E-2</c:v>
                </c:pt>
                <c:pt idx="916">
                  <c:v>3.1109897516090612E-2</c:v>
                </c:pt>
                <c:pt idx="917">
                  <c:v>3.1125980528852182E-2</c:v>
                </c:pt>
                <c:pt idx="918">
                  <c:v>3.1142369741319342E-2</c:v>
                </c:pt>
                <c:pt idx="919">
                  <c:v>3.115906515357203E-2</c:v>
                </c:pt>
                <c:pt idx="920">
                  <c:v>3.117606676569018E-2</c:v>
                </c:pt>
                <c:pt idx="921">
                  <c:v>3.1193374577673794E-2</c:v>
                </c:pt>
                <c:pt idx="922">
                  <c:v>3.1210988589602806E-2</c:v>
                </c:pt>
                <c:pt idx="923">
                  <c:v>3.1228908801397282E-2</c:v>
                </c:pt>
                <c:pt idx="924">
                  <c:v>3.1247135213297028E-2</c:v>
                </c:pt>
                <c:pt idx="925">
                  <c:v>3.126566782522211E-2</c:v>
                </c:pt>
                <c:pt idx="926">
                  <c:v>3.1284506637332399E-2</c:v>
                </c:pt>
                <c:pt idx="927">
                  <c:v>3.1303651649468023E-2</c:v>
                </c:pt>
                <c:pt idx="928">
                  <c:v>3.1323102861788854E-2</c:v>
                </c:pt>
                <c:pt idx="929">
                  <c:v>3.1342860274454765E-2</c:v>
                </c:pt>
                <c:pt idx="930">
                  <c:v>3.1362923887385818E-2</c:v>
                </c:pt>
                <c:pt idx="931">
                  <c:v>3.1383259547901332E-2</c:v>
                </c:pt>
                <c:pt idx="932">
                  <c:v>3.1403482587624154E-2</c:v>
                </c:pt>
                <c:pt idx="933">
                  <c:v>3.1423483358024029E-2</c:v>
                </c:pt>
                <c:pt idx="934">
                  <c:v>3.144603882439867E-2</c:v>
                </c:pt>
                <c:pt idx="935">
                  <c:v>3.1462818090775002E-2</c:v>
                </c:pt>
                <c:pt idx="936">
                  <c:v>3.1482152053046164E-2</c:v>
                </c:pt>
                <c:pt idx="937">
                  <c:v>3.1501263745914443E-2</c:v>
                </c:pt>
                <c:pt idx="938">
                  <c:v>3.1522833513886184E-2</c:v>
                </c:pt>
                <c:pt idx="939">
                  <c:v>3.1541468915028403E-2</c:v>
                </c:pt>
                <c:pt idx="940">
                  <c:v>3.1559882046527932E-2</c:v>
                </c:pt>
                <c:pt idx="941">
                  <c:v>3.1578072908464705E-2</c:v>
                </c:pt>
                <c:pt idx="942">
                  <c:v>3.1596041500758787E-2</c:v>
                </c:pt>
                <c:pt idx="943">
                  <c:v>3.1613787823490114E-2</c:v>
                </c:pt>
                <c:pt idx="944">
                  <c:v>3.1631311876418877E-2</c:v>
                </c:pt>
                <c:pt idx="945">
                  <c:v>3.1648613659704949E-2</c:v>
                </c:pt>
                <c:pt idx="946">
                  <c:v>3.1665693173268394E-2</c:v>
                </c:pt>
                <c:pt idx="947">
                  <c:v>3.1682550417029276E-2</c:v>
                </c:pt>
                <c:pt idx="948">
                  <c:v>3.169918539106753E-2</c:v>
                </c:pt>
                <c:pt idx="949">
                  <c:v>3.1715598095063413E-2</c:v>
                </c:pt>
                <c:pt idx="950">
                  <c:v>3.1731788529336669E-2</c:v>
                </c:pt>
                <c:pt idx="951">
                  <c:v>3.1747756693647489E-2</c:v>
                </c:pt>
                <c:pt idx="952">
                  <c:v>3.1763502588075809E-2</c:v>
                </c:pt>
                <c:pt idx="953">
                  <c:v>3.1779026212461758E-2</c:v>
                </c:pt>
                <c:pt idx="954">
                  <c:v>3.1794327566965208E-2</c:v>
                </c:pt>
                <c:pt idx="955">
                  <c:v>3.180940665134635E-2</c:v>
                </c:pt>
                <c:pt idx="956">
                  <c:v>3.1824263465765057E-2</c:v>
                </c:pt>
                <c:pt idx="957">
                  <c:v>3.1838898010061456E-2</c:v>
                </c:pt>
                <c:pt idx="958">
                  <c:v>3.1853310284315484E-2</c:v>
                </c:pt>
                <c:pt idx="959">
                  <c:v>3.1867500288367268E-2</c:v>
                </c:pt>
                <c:pt idx="960">
                  <c:v>3.1881468022296744E-2</c:v>
                </c:pt>
                <c:pt idx="961">
                  <c:v>3.1895213486023977E-2</c:v>
                </c:pt>
                <c:pt idx="962">
                  <c:v>3.1908736679628902E-2</c:v>
                </c:pt>
                <c:pt idx="963">
                  <c:v>3.1922037602871711E-2</c:v>
                </c:pt>
                <c:pt idx="964">
                  <c:v>3.1935116255992213E-2</c:v>
                </c:pt>
                <c:pt idx="965">
                  <c:v>3.1954949605714766E-2</c:v>
                </c:pt>
                <c:pt idx="966">
                  <c:v>3.1960606751306742E-2</c:v>
                </c:pt>
                <c:pt idx="967">
                  <c:v>3.1973018593420832E-2</c:v>
                </c:pt>
                <c:pt idx="968">
                  <c:v>3.1985208165252743E-2</c:v>
                </c:pt>
                <c:pt idx="969">
                  <c:v>3.1997175466722538E-2</c:v>
                </c:pt>
                <c:pt idx="970">
                  <c:v>3.2008920497750282E-2</c:v>
                </c:pt>
                <c:pt idx="971">
                  <c:v>3.2020443258335973E-2</c:v>
                </c:pt>
                <c:pt idx="972">
                  <c:v>3.2031743748559549E-2</c:v>
                </c:pt>
                <c:pt idx="973">
                  <c:v>3.2042821968261137E-2</c:v>
                </c:pt>
                <c:pt idx="974">
                  <c:v>3.2053677917520673E-2</c:v>
                </c:pt>
                <c:pt idx="975">
                  <c:v>3.2064311596338158E-2</c:v>
                </c:pt>
                <c:pt idx="976">
                  <c:v>3.2074723004553718E-2</c:v>
                </c:pt>
                <c:pt idx="977">
                  <c:v>3.2084912142327227E-2</c:v>
                </c:pt>
                <c:pt idx="978">
                  <c:v>3.2094879009338939E-2</c:v>
                </c:pt>
                <c:pt idx="979">
                  <c:v>3.2104623605988536E-2</c:v>
                </c:pt>
                <c:pt idx="980">
                  <c:v>3.2114145931956273E-2</c:v>
                </c:pt>
                <c:pt idx="981">
                  <c:v>3.2123445987322086E-2</c:v>
                </c:pt>
                <c:pt idx="982">
                  <c:v>3.2132523772085975E-2</c:v>
                </c:pt>
                <c:pt idx="983">
                  <c:v>3.2141379286168004E-2</c:v>
                </c:pt>
                <c:pt idx="984">
                  <c:v>3.2150012529728045E-2</c:v>
                </c:pt>
                <c:pt idx="985">
                  <c:v>3.2158423502446354E-2</c:v>
                </c:pt>
                <c:pt idx="986">
                  <c:v>3.2171784134034098E-2</c:v>
                </c:pt>
                <c:pt idx="987">
                  <c:v>3.2179688472124823E-2</c:v>
                </c:pt>
                <c:pt idx="988">
                  <c:v>3.2187370500071921E-2</c:v>
                </c:pt>
                <c:pt idx="989">
                  <c:v>3.2194830217848747E-2</c:v>
                </c:pt>
                <c:pt idx="990">
                  <c:v>3.2202067625402009E-2</c:v>
                </c:pt>
                <c:pt idx="991">
                  <c:v>3.2209082722731708E-2</c:v>
                </c:pt>
                <c:pt idx="992">
                  <c:v>3.2215875509757907E-2</c:v>
                </c:pt>
                <c:pt idx="993">
                  <c:v>3.2224347495191097E-2</c:v>
                </c:pt>
                <c:pt idx="994">
                  <c:v>3.2228794152819873E-2</c:v>
                </c:pt>
                <c:pt idx="995">
                  <c:v>3.2234920008775703E-2</c:v>
                </c:pt>
                <c:pt idx="996">
                  <c:v>3.2240823554294806E-2</c:v>
                </c:pt>
                <c:pt idx="997">
                  <c:v>3.2248344929191042E-2</c:v>
                </c:pt>
                <c:pt idx="998">
                  <c:v>3.2251963713942899E-2</c:v>
                </c:pt>
                <c:pt idx="999">
                  <c:v>3.2257200327965307E-2</c:v>
                </c:pt>
                <c:pt idx="1000">
                  <c:v>3.2262214631471053E-2</c:v>
                </c:pt>
                <c:pt idx="1001">
                  <c:v>3.2267006624353556E-2</c:v>
                </c:pt>
                <c:pt idx="1002">
                  <c:v>3.2271576306666105E-2</c:v>
                </c:pt>
                <c:pt idx="1003">
                  <c:v>3.2275923678302121E-2</c:v>
                </c:pt>
                <c:pt idx="1004">
                  <c:v>3.2280048739314893E-2</c:v>
                </c:pt>
                <c:pt idx="1005">
                  <c:v>3.2283951489624485E-2</c:v>
                </c:pt>
                <c:pt idx="1006">
                  <c:v>3.2287631929257543E-2</c:v>
                </c:pt>
                <c:pt idx="1007">
                  <c:v>3.2291090058160776E-2</c:v>
                </c:pt>
                <c:pt idx="1008">
                  <c:v>3.2294325876307539E-2</c:v>
                </c:pt>
                <c:pt idx="1009">
                  <c:v>3.2297339383724477E-2</c:v>
                </c:pt>
                <c:pt idx="1010">
                  <c:v>3.2300130580305009E-2</c:v>
                </c:pt>
                <c:pt idx="1011">
                  <c:v>3.2304322312919354E-2</c:v>
                </c:pt>
                <c:pt idx="1012">
                  <c:v>3.230504604114337E-2</c:v>
                </c:pt>
                <c:pt idx="1013">
                  <c:v>3.230717030534791E-2</c:v>
                </c:pt>
                <c:pt idx="1014">
                  <c:v>3.2309072258716043E-2</c:v>
                </c:pt>
                <c:pt idx="1015">
                  <c:v>3.2310751901221124E-2</c:v>
                </c:pt>
                <c:pt idx="1016">
                  <c:v>3.2312209232916445E-2</c:v>
                </c:pt>
                <c:pt idx="1017">
                  <c:v>3.2310857733284237E-2</c:v>
                </c:pt>
                <c:pt idx="1018">
                  <c:v>3.231180675542511E-2</c:v>
                </c:pt>
                <c:pt idx="1019">
                  <c:v>3.231253350672425E-2</c:v>
                </c:pt>
                <c:pt idx="1020">
                  <c:v>3.2313037986861914E-2</c:v>
                </c:pt>
                <c:pt idx="1021">
                  <c:v>3.2313320196157846E-2</c:v>
                </c:pt>
                <c:pt idx="1022">
                  <c:v>3.2313380134452174E-2</c:v>
                </c:pt>
                <c:pt idx="1023">
                  <c:v>3.2313217801744898E-2</c:v>
                </c:pt>
                <c:pt idx="1024">
                  <c:v>3.2312833198115953E-2</c:v>
                </c:pt>
                <c:pt idx="1025">
                  <c:v>3.2312226323405469E-2</c:v>
                </c:pt>
                <c:pt idx="1026">
                  <c:v>3.2311260583837154E-2</c:v>
                </c:pt>
                <c:pt idx="1027">
                  <c:v>3.2310177414203167E-2</c:v>
                </c:pt>
                <c:pt idx="1028">
                  <c:v>3.2308871973647513E-2</c:v>
                </c:pt>
                <c:pt idx="1029">
                  <c:v>3.2307344262090254E-2</c:v>
                </c:pt>
                <c:pt idx="1030">
                  <c:v>3.2305594279611327E-2</c:v>
                </c:pt>
                <c:pt idx="1031">
                  <c:v>3.2303622026130796E-2</c:v>
                </c:pt>
                <c:pt idx="1032">
                  <c:v>3.2301427501648661E-2</c:v>
                </c:pt>
                <c:pt idx="1033">
                  <c:v>3.2299010706324793E-2</c:v>
                </c:pt>
                <c:pt idx="1034">
                  <c:v>3.2296371639919386E-2</c:v>
                </c:pt>
                <c:pt idx="1035">
                  <c:v>3.2294876258140981E-2</c:v>
                </c:pt>
                <c:pt idx="1036">
                  <c:v>3.2290910807013518E-2</c:v>
                </c:pt>
                <c:pt idx="1037">
                  <c:v>3.228823684084503E-2</c:v>
                </c:pt>
                <c:pt idx="1038">
                  <c:v>3.2285600803136916E-2</c:v>
                </c:pt>
                <c:pt idx="1039">
                  <c:v>3.2283002694049046E-2</c:v>
                </c:pt>
                <c:pt idx="1040">
                  <c:v>3.2280442513341612E-2</c:v>
                </c:pt>
                <c:pt idx="1041">
                  <c:v>3.2277920261334359E-2</c:v>
                </c:pt>
                <c:pt idx="1042">
                  <c:v>3.2275435937707542E-2</c:v>
                </c:pt>
                <c:pt idx="1043">
                  <c:v>3.2272989542621033E-2</c:v>
                </c:pt>
                <c:pt idx="1044">
                  <c:v>3.2270581076074834E-2</c:v>
                </c:pt>
                <c:pt idx="1045">
                  <c:v>3.2268210538068942E-2</c:v>
                </c:pt>
                <c:pt idx="1046">
                  <c:v>3.2265877928523423E-2</c:v>
                </c:pt>
                <c:pt idx="1047">
                  <c:v>3.2263583247598149E-2</c:v>
                </c:pt>
                <c:pt idx="1048">
                  <c:v>3.2261326495133247E-2</c:v>
                </c:pt>
                <c:pt idx="1049">
                  <c:v>3.2259107671208653E-2</c:v>
                </c:pt>
                <c:pt idx="1050">
                  <c:v>3.2256926775744432E-2</c:v>
                </c:pt>
                <c:pt idx="1051">
                  <c:v>3.225478380882052E-2</c:v>
                </c:pt>
                <c:pt idx="1052">
                  <c:v>3.2252678770356979E-2</c:v>
                </c:pt>
                <c:pt idx="1053">
                  <c:v>3.2250611660513684E-2</c:v>
                </c:pt>
                <c:pt idx="1054">
                  <c:v>3.2248582479050825E-2</c:v>
                </c:pt>
                <c:pt idx="1055">
                  <c:v>3.224659122620821E-2</c:v>
                </c:pt>
                <c:pt idx="1056">
                  <c:v>3.2244637901825968E-2</c:v>
                </c:pt>
                <c:pt idx="1057">
                  <c:v>3.2242722505984034E-2</c:v>
                </c:pt>
                <c:pt idx="1058">
                  <c:v>3.2240845038682409E-2</c:v>
                </c:pt>
                <c:pt idx="1059">
                  <c:v>3.2239005499841156E-2</c:v>
                </c:pt>
                <c:pt idx="1060">
                  <c:v>3.2237203889540211E-2</c:v>
                </c:pt>
                <c:pt idx="1061">
                  <c:v>3.2235440207619703E-2</c:v>
                </c:pt>
                <c:pt idx="1062">
                  <c:v>3.223371445431944E-2</c:v>
                </c:pt>
                <c:pt idx="1063">
                  <c:v>3.2232026629559485E-2</c:v>
                </c:pt>
                <c:pt idx="1064">
                  <c:v>3.2230376733259902E-2</c:v>
                </c:pt>
                <c:pt idx="1065">
                  <c:v>3.2228764765420692E-2</c:v>
                </c:pt>
                <c:pt idx="1066">
                  <c:v>3.222719072612179E-2</c:v>
                </c:pt>
                <c:pt idx="1067">
                  <c:v>3.2225654615443133E-2</c:v>
                </c:pt>
                <c:pt idx="1068">
                  <c:v>3.2224156433144913E-2</c:v>
                </c:pt>
                <c:pt idx="1069">
                  <c:v>3.2222696179307064E-2</c:v>
                </c:pt>
                <c:pt idx="1070">
                  <c:v>3.2221273854009524E-2</c:v>
                </c:pt>
                <c:pt idx="1071">
                  <c:v>3.2219889457252293E-2</c:v>
                </c:pt>
                <c:pt idx="1072">
                  <c:v>3.2218542988955434E-2</c:v>
                </c:pt>
                <c:pt idx="1073">
                  <c:v>3.2217234449198884E-2</c:v>
                </c:pt>
                <c:pt idx="1074">
                  <c:v>3.2215963837982642E-2</c:v>
                </c:pt>
                <c:pt idx="1075">
                  <c:v>3.2214731155146836E-2</c:v>
                </c:pt>
                <c:pt idx="1076">
                  <c:v>3.2213536400931275E-2</c:v>
                </c:pt>
                <c:pt idx="1077">
                  <c:v>3.2212379575176087E-2</c:v>
                </c:pt>
                <c:pt idx="1078">
                  <c:v>3.221126067788127E-2</c:v>
                </c:pt>
                <c:pt idx="1079">
                  <c:v>3.2210179709126763E-2</c:v>
                </c:pt>
                <c:pt idx="1080">
                  <c:v>3.2209136668832627E-2</c:v>
                </c:pt>
                <c:pt idx="1081">
                  <c:v>3.2208131557078801E-2</c:v>
                </c:pt>
                <c:pt idx="1082">
                  <c:v>3.2207164373865282E-2</c:v>
                </c:pt>
                <c:pt idx="1083">
                  <c:v>3.22062351190322E-2</c:v>
                </c:pt>
                <c:pt idx="1084">
                  <c:v>3.2205343792819363E-2</c:v>
                </c:pt>
                <c:pt idx="1085">
                  <c:v>3.2204490394986962E-2</c:v>
                </c:pt>
                <c:pt idx="1086">
                  <c:v>3.2203674925774806E-2</c:v>
                </c:pt>
                <c:pt idx="1087">
                  <c:v>3.2202897384943086E-2</c:v>
                </c:pt>
                <c:pt idx="1088">
                  <c:v>3.2202157772651674E-2</c:v>
                </c:pt>
                <c:pt idx="1089">
                  <c:v>3.2201456088900571E-2</c:v>
                </c:pt>
                <c:pt idx="1090">
                  <c:v>3.220079233360984E-2</c:v>
                </c:pt>
                <c:pt idx="1091">
                  <c:v>3.2200166506779482E-2</c:v>
                </c:pt>
                <c:pt idx="1092">
                  <c:v>3.2199578608489432E-2</c:v>
                </c:pt>
                <c:pt idx="1093">
                  <c:v>3.2199028638739691E-2</c:v>
                </c:pt>
                <c:pt idx="1094">
                  <c:v>3.2198516597450322E-2</c:v>
                </c:pt>
                <c:pt idx="1095">
                  <c:v>3.2198042484621325E-2</c:v>
                </c:pt>
                <c:pt idx="1096">
                  <c:v>3.2197606300252701E-2</c:v>
                </c:pt>
                <c:pt idx="1097">
                  <c:v>3.2197208044424386E-2</c:v>
                </c:pt>
                <c:pt idx="1098">
                  <c:v>3.2196847717136379E-2</c:v>
                </c:pt>
                <c:pt idx="1099">
                  <c:v>3.2196525318308744E-2</c:v>
                </c:pt>
                <c:pt idx="1100">
                  <c:v>3.2196240847941482E-2</c:v>
                </c:pt>
                <c:pt idx="1101">
                  <c:v>3.2195994306114528E-2</c:v>
                </c:pt>
                <c:pt idx="1102">
                  <c:v>3.2195785692747947E-2</c:v>
                </c:pt>
                <c:pt idx="1103">
                  <c:v>3.2195615007921674E-2</c:v>
                </c:pt>
                <c:pt idx="1104">
                  <c:v>3.2195482251555774E-2</c:v>
                </c:pt>
                <c:pt idx="1105">
                  <c:v>3.2195387423730182E-2</c:v>
                </c:pt>
                <c:pt idx="1106">
                  <c:v>3.2195330524364962E-2</c:v>
                </c:pt>
                <c:pt idx="1107">
                  <c:v>3.2195311553460115E-2</c:v>
                </c:pt>
                <c:pt idx="1108">
                  <c:v>3.2195330511095577E-2</c:v>
                </c:pt>
                <c:pt idx="1109">
                  <c:v>3.2195387397191411E-2</c:v>
                </c:pt>
                <c:pt idx="1110">
                  <c:v>3.2195482211827553E-2</c:v>
                </c:pt>
                <c:pt idx="1111">
                  <c:v>3.2195614954924068E-2</c:v>
                </c:pt>
                <c:pt idx="1112">
                  <c:v>3.2195785626560891E-2</c:v>
                </c:pt>
                <c:pt idx="1113">
                  <c:v>3.2195994226578151E-2</c:v>
                </c:pt>
                <c:pt idx="1114">
                  <c:v>3.2196240755215655E-2</c:v>
                </c:pt>
                <c:pt idx="1115">
                  <c:v>3.2196525212313531E-2</c:v>
                </c:pt>
                <c:pt idx="1116">
                  <c:v>3.2196847597951717E-2</c:v>
                </c:pt>
                <c:pt idx="1117">
                  <c:v>3.2197207911890402E-2</c:v>
                </c:pt>
                <c:pt idx="1118">
                  <c:v>3.2197606154529268E-2</c:v>
                </c:pt>
                <c:pt idx="1119">
                  <c:v>3.2198042325628506E-2</c:v>
                </c:pt>
                <c:pt idx="1120">
                  <c:v>3.2198516425188117E-2</c:v>
                </c:pt>
                <c:pt idx="1121">
                  <c:v>3.2199104696299941E-2</c:v>
                </c:pt>
                <c:pt idx="1122">
                  <c:v>3.2199660071245972E-2</c:v>
                </c:pt>
                <c:pt idx="1123">
                  <c:v>3.2200253374572441E-2</c:v>
                </c:pt>
                <c:pt idx="1124">
                  <c:v>3.2200884606519153E-2</c:v>
                </c:pt>
                <c:pt idx="1125">
                  <c:v>3.2201553766846303E-2</c:v>
                </c:pt>
                <c:pt idx="1126">
                  <c:v>3.2202260855793696E-2</c:v>
                </c:pt>
                <c:pt idx="1127">
                  <c:v>3.2203005873121526E-2</c:v>
                </c:pt>
                <c:pt idx="1128">
                  <c:v>3.2203788818989665E-2</c:v>
                </c:pt>
                <c:pt idx="1129">
                  <c:v>3.2204609693398112E-2</c:v>
                </c:pt>
                <c:pt idx="1130">
                  <c:v>3.2205468496346867E-2</c:v>
                </c:pt>
                <c:pt idx="1131">
                  <c:v>3.2206365227676059E-2</c:v>
                </c:pt>
                <c:pt idx="1132">
                  <c:v>3.2207299887625496E-2</c:v>
                </c:pt>
                <c:pt idx="1133">
                  <c:v>3.2208272475955368E-2</c:v>
                </c:pt>
                <c:pt idx="1134">
                  <c:v>3.220928299282555E-2</c:v>
                </c:pt>
                <c:pt idx="1135">
                  <c:v>3.2210331438156103E-2</c:v>
                </c:pt>
                <c:pt idx="1136">
                  <c:v>3.2211417812106902E-2</c:v>
                </c:pt>
                <c:pt idx="1137">
                  <c:v>3.2212542114518072E-2</c:v>
                </c:pt>
                <c:pt idx="1138">
                  <c:v>3.2213704345389615E-2</c:v>
                </c:pt>
                <c:pt idx="1139">
                  <c:v>3.2214904504721531E-2</c:v>
                </c:pt>
                <c:pt idx="1140">
                  <c:v>3.2216142592593755E-2</c:v>
                </c:pt>
                <c:pt idx="1141">
                  <c:v>3.2218952923361854E-2</c:v>
                </c:pt>
                <c:pt idx="1142">
                  <c:v>3.221873255371932E-2</c:v>
                </c:pt>
                <c:pt idx="1143">
                  <c:v>3.222008442721247E-2</c:v>
                </c:pt>
                <c:pt idx="1144">
                  <c:v>3.2221474229086056E-2</c:v>
                </c:pt>
                <c:pt idx="1145">
                  <c:v>3.222290195949995E-2</c:v>
                </c:pt>
                <c:pt idx="1146">
                  <c:v>3.2224367618374217E-2</c:v>
                </c:pt>
                <c:pt idx="1147">
                  <c:v>3.2225871205788792E-2</c:v>
                </c:pt>
                <c:pt idx="1148">
                  <c:v>3.222741272166374E-2</c:v>
                </c:pt>
                <c:pt idx="1149">
                  <c:v>3.222899216599906E-2</c:v>
                </c:pt>
                <c:pt idx="1150">
                  <c:v>3.2230609538954624E-2</c:v>
                </c:pt>
                <c:pt idx="1151">
                  <c:v>3.2232264840370561E-2</c:v>
                </c:pt>
                <c:pt idx="1152">
                  <c:v>3.2233958070246871E-2</c:v>
                </c:pt>
                <c:pt idx="1153">
                  <c:v>3.2235689228663489E-2</c:v>
                </c:pt>
                <c:pt idx="1154">
                  <c:v>3.2237458315620415E-2</c:v>
                </c:pt>
                <c:pt idx="1155">
                  <c:v>3.2239265331037714E-2</c:v>
                </c:pt>
                <c:pt idx="1156">
                  <c:v>3.2241110274995322E-2</c:v>
                </c:pt>
                <c:pt idx="1157">
                  <c:v>3.2242993147413301E-2</c:v>
                </c:pt>
                <c:pt idx="1158">
                  <c:v>3.2244913948451526E-2</c:v>
                </c:pt>
                <c:pt idx="1159">
                  <c:v>3.2246872677870186E-2</c:v>
                </c:pt>
                <c:pt idx="1160">
                  <c:v>3.2248869335829156E-2</c:v>
                </c:pt>
                <c:pt idx="1161">
                  <c:v>3.2250903922328433E-2</c:v>
                </c:pt>
                <c:pt idx="1162">
                  <c:v>3.2252976437368019E-2</c:v>
                </c:pt>
                <c:pt idx="1163">
                  <c:v>3.2255086880867978E-2</c:v>
                </c:pt>
                <c:pt idx="1164">
                  <c:v>3.2257235252908245E-2</c:v>
                </c:pt>
                <c:pt idx="1165">
                  <c:v>3.2259421553488821E-2</c:v>
                </c:pt>
                <c:pt idx="1166">
                  <c:v>3.2261645782529769E-2</c:v>
                </c:pt>
                <c:pt idx="1167">
                  <c:v>3.2263907940190961E-2</c:v>
                </c:pt>
                <c:pt idx="1168">
                  <c:v>3.226620802623259E-2</c:v>
                </c:pt>
                <c:pt idx="1169">
                  <c:v>3.2268546040814527E-2</c:v>
                </c:pt>
                <c:pt idx="1170">
                  <c:v>3.2270921984016709E-2</c:v>
                </c:pt>
                <c:pt idx="1171">
                  <c:v>3.2273335855599328E-2</c:v>
                </c:pt>
                <c:pt idx="1172">
                  <c:v>3.2275787655722254E-2</c:v>
                </c:pt>
                <c:pt idx="1173">
                  <c:v>3.2278636156197749E-2</c:v>
                </c:pt>
                <c:pt idx="1174">
                  <c:v>3.2281169231787032E-2</c:v>
                </c:pt>
                <c:pt idx="1175">
                  <c:v>3.2283740235836689E-2</c:v>
                </c:pt>
                <c:pt idx="1176">
                  <c:v>3.2286349168426653E-2</c:v>
                </c:pt>
                <c:pt idx="1177">
                  <c:v>3.2288996029636863E-2</c:v>
                </c:pt>
                <c:pt idx="1178">
                  <c:v>3.2291680819227508E-2</c:v>
                </c:pt>
                <c:pt idx="1179">
                  <c:v>3.2294403537438399E-2</c:v>
                </c:pt>
                <c:pt idx="1180">
                  <c:v>3.2297164184189597E-2</c:v>
                </c:pt>
                <c:pt idx="1181">
                  <c:v>3.2299962759401168E-2</c:v>
                </c:pt>
                <c:pt idx="1182">
                  <c:v>3.2302799263232984E-2</c:v>
                </c:pt>
                <c:pt idx="1183">
                  <c:v>3.2305673695525172E-2</c:v>
                </c:pt>
                <c:pt idx="1184">
                  <c:v>3.2308586056277733E-2</c:v>
                </c:pt>
                <c:pt idx="1185">
                  <c:v>3.2311536345650538E-2</c:v>
                </c:pt>
                <c:pt idx="1186">
                  <c:v>3.2314524563483715E-2</c:v>
                </c:pt>
                <c:pt idx="1187">
                  <c:v>3.2317550709937137E-2</c:v>
                </c:pt>
                <c:pt idx="1188">
                  <c:v>3.2320614784930868E-2</c:v>
                </c:pt>
                <c:pt idx="1189">
                  <c:v>3.2323716788384971E-2</c:v>
                </c:pt>
                <c:pt idx="1190">
                  <c:v>3.2326856720379382E-2</c:v>
                </c:pt>
                <c:pt idx="1191">
                  <c:v>3.2330025628075632E-2</c:v>
                </c:pt>
                <c:pt idx="1192">
                  <c:v>3.2333170278135981E-2</c:v>
                </c:pt>
                <c:pt idx="1193">
                  <c:v>3.2340069162106744E-2</c:v>
                </c:pt>
                <c:pt idx="1194">
                  <c:v>3.234313845375425E-2</c:v>
                </c:pt>
                <c:pt idx="1195">
                  <c:v>3.2346174528985472E-2</c:v>
                </c:pt>
                <c:pt idx="1196">
                  <c:v>3.234917738780041E-2</c:v>
                </c:pt>
                <c:pt idx="1197">
                  <c:v>3.2352147030145773E-2</c:v>
                </c:pt>
                <c:pt idx="1198">
                  <c:v>3.2355083456048206E-2</c:v>
                </c:pt>
                <c:pt idx="1199">
                  <c:v>3.2357986665534355E-2</c:v>
                </c:pt>
                <c:pt idx="1200">
                  <c:v>3.2360856658577575E-2</c:v>
                </c:pt>
                <c:pt idx="1201">
                  <c:v>3.2365349258456355E-2</c:v>
                </c:pt>
                <c:pt idx="1202">
                  <c:v>3.236649699530858E-2</c:v>
                </c:pt>
                <c:pt idx="1203">
                  <c:v>3.2369267338996366E-2</c:v>
                </c:pt>
                <c:pt idx="1204">
                  <c:v>3.2372004466267867E-2</c:v>
                </c:pt>
                <c:pt idx="1205">
                  <c:v>3.2376355699414994E-2</c:v>
                </c:pt>
                <c:pt idx="1206">
                  <c:v>3.2377379071402146E-2</c:v>
                </c:pt>
                <c:pt idx="1207">
                  <c:v>3.2380016549291568E-2</c:v>
                </c:pt>
                <c:pt idx="1208">
                  <c:v>3.238262081068477E-2</c:v>
                </c:pt>
                <c:pt idx="1209">
                  <c:v>3.2385191855661688E-2</c:v>
                </c:pt>
                <c:pt idx="1210">
                  <c:v>3.2387729684142386E-2</c:v>
                </c:pt>
                <c:pt idx="1211">
                  <c:v>3.2390234296153508E-2</c:v>
                </c:pt>
                <c:pt idx="1212">
                  <c:v>3.2392705691748347E-2</c:v>
                </c:pt>
                <c:pt idx="1213">
                  <c:v>3.239514387082032E-2</c:v>
                </c:pt>
                <c:pt idx="1214">
                  <c:v>3.2397548833422718E-2</c:v>
                </c:pt>
                <c:pt idx="1215">
                  <c:v>3.2399920579582187E-2</c:v>
                </c:pt>
                <c:pt idx="1216">
                  <c:v>3.2402259109245435E-2</c:v>
                </c:pt>
                <c:pt idx="1217">
                  <c:v>3.2404564422412463E-2</c:v>
                </c:pt>
                <c:pt idx="1218">
                  <c:v>3.2406836519109916E-2</c:v>
                </c:pt>
                <c:pt idx="1219">
                  <c:v>3.2410692594222468E-2</c:v>
                </c:pt>
                <c:pt idx="1220">
                  <c:v>3.2411281063069453E-2</c:v>
                </c:pt>
                <c:pt idx="1221">
                  <c:v>3.2413453510331536E-2</c:v>
                </c:pt>
                <c:pt idx="1222">
                  <c:v>3.2415592741070753E-2</c:v>
                </c:pt>
                <c:pt idx="1223">
                  <c:v>3.2417698755393687E-2</c:v>
                </c:pt>
                <c:pt idx="1224">
                  <c:v>3.2419771553167109E-2</c:v>
                </c:pt>
                <c:pt idx="1225">
                  <c:v>3.2421811134444312E-2</c:v>
                </c:pt>
                <c:pt idx="1226">
                  <c:v>3.2423817499225294E-2</c:v>
                </c:pt>
                <c:pt idx="1227">
                  <c:v>3.2425790647510055E-2</c:v>
                </c:pt>
                <c:pt idx="1228">
                  <c:v>3.2427730579325242E-2</c:v>
                </c:pt>
                <c:pt idx="1229">
                  <c:v>3.2429637294617564E-2</c:v>
                </c:pt>
                <c:pt idx="1230">
                  <c:v>3.243151079344031E-2</c:v>
                </c:pt>
                <c:pt idx="1231">
                  <c:v>3.2433351075713546E-2</c:v>
                </c:pt>
                <c:pt idx="1232">
                  <c:v>3.2435158141490561E-2</c:v>
                </c:pt>
                <c:pt idx="1233">
                  <c:v>3.2438518474842137E-2</c:v>
                </c:pt>
                <c:pt idx="1234">
                  <c:v>3.2438672623555931E-2</c:v>
                </c:pt>
                <c:pt idx="1235">
                  <c:v>3.244038003981764E-2</c:v>
                </c:pt>
                <c:pt idx="1236">
                  <c:v>3.2442054239583129E-2</c:v>
                </c:pt>
                <c:pt idx="1237">
                  <c:v>3.2443695222825752E-2</c:v>
                </c:pt>
                <c:pt idx="1238">
                  <c:v>3.2445302989572156E-2</c:v>
                </c:pt>
                <c:pt idx="1239">
                  <c:v>3.2448450683097985E-2</c:v>
                </c:pt>
                <c:pt idx="1240">
                  <c:v>3.2448418873496365E-2</c:v>
                </c:pt>
                <c:pt idx="1241">
                  <c:v>3.2449926990674172E-2</c:v>
                </c:pt>
                <c:pt idx="1242">
                  <c:v>3.2451401891355758E-2</c:v>
                </c:pt>
                <c:pt idx="1243">
                  <c:v>3.2454407765225568E-2</c:v>
                </c:pt>
                <c:pt idx="1244">
                  <c:v>3.2454252043123688E-2</c:v>
                </c:pt>
                <c:pt idx="1245">
                  <c:v>3.2455627294210032E-2</c:v>
                </c:pt>
                <c:pt idx="1246">
                  <c:v>3.2456969328800156E-2</c:v>
                </c:pt>
                <c:pt idx="1247">
                  <c:v>3.2458278146867414E-2</c:v>
                </c:pt>
                <c:pt idx="1248">
                  <c:v>3.2459553748411807E-2</c:v>
                </c:pt>
                <c:pt idx="1249">
                  <c:v>3.2460796133406689E-2</c:v>
                </c:pt>
                <c:pt idx="1250">
                  <c:v>3.2462005301878705E-2</c:v>
                </c:pt>
                <c:pt idx="1251">
                  <c:v>3.2463181253854501E-2</c:v>
                </c:pt>
                <c:pt idx="1252">
                  <c:v>3.246432398925414E-2</c:v>
                </c:pt>
                <c:pt idx="1253">
                  <c:v>3.2466975104714635E-2</c:v>
                </c:pt>
                <c:pt idx="1254">
                  <c:v>3.2466509810511468E-2</c:v>
                </c:pt>
                <c:pt idx="1255">
                  <c:v>3.2467552896342511E-2</c:v>
                </c:pt>
                <c:pt idx="1256">
                  <c:v>3.2468562765650688E-2</c:v>
                </c:pt>
                <c:pt idx="1257">
                  <c:v>3.2471071893942494E-2</c:v>
                </c:pt>
                <c:pt idx="1258">
                  <c:v>3.2470482854645155E-2</c:v>
                </c:pt>
                <c:pt idx="1259">
                  <c:v>3.24713930743048E-2</c:v>
                </c:pt>
                <c:pt idx="1260">
                  <c:v>3.2472270077468224E-2</c:v>
                </c:pt>
                <c:pt idx="1261">
                  <c:v>3.2473113864082137E-2</c:v>
                </c:pt>
                <c:pt idx="1262">
                  <c:v>3.247392443419983E-2</c:v>
                </c:pt>
                <c:pt idx="1263">
                  <c:v>3.2474701787714721E-2</c:v>
                </c:pt>
                <c:pt idx="1264">
                  <c:v>3.2475445924733393E-2</c:v>
                </c:pt>
                <c:pt idx="1265">
                  <c:v>3.2476156845175908E-2</c:v>
                </c:pt>
                <c:pt idx="1266">
                  <c:v>3.2476834549122202E-2</c:v>
                </c:pt>
                <c:pt idx="1267">
                  <c:v>3.247747903649234E-2</c:v>
                </c:pt>
                <c:pt idx="1268">
                  <c:v>3.2478090307339613E-2</c:v>
                </c:pt>
                <c:pt idx="1269">
                  <c:v>3.247866836166402E-2</c:v>
                </c:pt>
                <c:pt idx="1270">
                  <c:v>3.2479213199412271E-2</c:v>
                </c:pt>
                <c:pt idx="1271">
                  <c:v>3.2481224995362101E-2</c:v>
                </c:pt>
                <c:pt idx="1272">
                  <c:v>3.2480203225286886E-2</c:v>
                </c:pt>
                <c:pt idx="1273">
                  <c:v>3.2480648413439894E-2</c:v>
                </c:pt>
                <c:pt idx="1274">
                  <c:v>3.2481060385016747E-2</c:v>
                </c:pt>
                <c:pt idx="1275">
                  <c:v>3.2481439140070734E-2</c:v>
                </c:pt>
                <c:pt idx="1276">
                  <c:v>3.248178467857521E-2</c:v>
                </c:pt>
                <c:pt idx="1277">
                  <c:v>3.2479249989743053E-2</c:v>
                </c:pt>
                <c:pt idx="1278">
                  <c:v>3.2479519556032344E-2</c:v>
                </c:pt>
                <c:pt idx="1279">
                  <c:v>3.2479755911767327E-2</c:v>
                </c:pt>
                <c:pt idx="1280">
                  <c:v>3.2479959057107877E-2</c:v>
                </c:pt>
                <c:pt idx="1281">
                  <c:v>3.2480128991814183E-2</c:v>
                </c:pt>
                <c:pt idx="1282">
                  <c:v>3.2480265715806311E-2</c:v>
                </c:pt>
                <c:pt idx="1283">
                  <c:v>3.2480369229483941E-2</c:v>
                </c:pt>
                <c:pt idx="1284">
                  <c:v>3.2480439532447392E-2</c:v>
                </c:pt>
                <c:pt idx="1285">
                  <c:v>3.248047921270647E-2</c:v>
                </c:pt>
                <c:pt idx="1286">
                  <c:v>3.2480478350276343E-2</c:v>
                </c:pt>
                <c:pt idx="1287">
                  <c:v>3.2480444277211973E-2</c:v>
                </c:pt>
                <c:pt idx="1288">
                  <c:v>3.2480376993753168E-2</c:v>
                </c:pt>
                <c:pt idx="1289">
                  <c:v>3.2480276499500249E-2</c:v>
                </c:pt>
                <c:pt idx="1290">
                  <c:v>3.2480142794852895E-2</c:v>
                </c:pt>
                <c:pt idx="1291">
                  <c:v>3.2479975879571299E-2</c:v>
                </c:pt>
                <c:pt idx="1292">
                  <c:v>3.2479775753895268E-2</c:v>
                </c:pt>
                <c:pt idx="1293">
                  <c:v>3.2479542417505058E-2</c:v>
                </c:pt>
                <c:pt idx="1294">
                  <c:v>3.2479275870640478E-2</c:v>
                </c:pt>
                <c:pt idx="1295">
                  <c:v>3.2478930579644683E-2</c:v>
                </c:pt>
                <c:pt idx="1296">
                  <c:v>3.2478592867306588E-2</c:v>
                </c:pt>
                <c:pt idx="1297">
                  <c:v>3.2479659140296491E-2</c:v>
                </c:pt>
                <c:pt idx="1298">
                  <c:v>3.247781781096748E-2</c:v>
                </c:pt>
                <c:pt idx="1299">
                  <c:v>3.247738046688653E-2</c:v>
                </c:pt>
                <c:pt idx="1300">
                  <c:v>3.2476909912411145E-2</c:v>
                </c:pt>
                <c:pt idx="1301">
                  <c:v>3.2477833689745772E-2</c:v>
                </c:pt>
                <c:pt idx="1302">
                  <c:v>3.2477294293258296E-2</c:v>
                </c:pt>
                <c:pt idx="1303">
                  <c:v>3.2475298985339407E-2</c:v>
                </c:pt>
                <c:pt idx="1304">
                  <c:v>3.247469558856686E-2</c:v>
                </c:pt>
                <c:pt idx="1305">
                  <c:v>3.2474058981240006E-2</c:v>
                </c:pt>
                <c:pt idx="1306">
                  <c:v>3.2473389163358846E-2</c:v>
                </c:pt>
                <c:pt idx="1307">
                  <c:v>3.2472686135003315E-2</c:v>
                </c:pt>
                <c:pt idx="1308">
                  <c:v>3.2471949895933605E-2</c:v>
                </c:pt>
                <c:pt idx="1309">
                  <c:v>3.2471180446469461E-2</c:v>
                </c:pt>
                <c:pt idx="1310">
                  <c:v>3.2470377786291138E-2</c:v>
                </c:pt>
                <c:pt idx="1311">
                  <c:v>3.2469541915718381E-2</c:v>
                </c:pt>
                <c:pt idx="1312">
                  <c:v>3.2468672834591317E-2</c:v>
                </c:pt>
                <c:pt idx="1313">
                  <c:v>3.2467770542750074E-2</c:v>
                </c:pt>
                <c:pt idx="1314">
                  <c:v>3.2466835040594333E-2</c:v>
                </c:pt>
                <c:pt idx="1315">
                  <c:v>3.2465866327724413E-2</c:v>
                </c:pt>
                <c:pt idx="1316">
                  <c:v>3.2464864404300187E-2</c:v>
                </c:pt>
                <c:pt idx="1317">
                  <c:v>3.246382927040159E-2</c:v>
                </c:pt>
                <c:pt idx="1318">
                  <c:v>3.2462760925948686E-2</c:v>
                </c:pt>
                <c:pt idx="1319">
                  <c:v>3.246165937086154E-2</c:v>
                </c:pt>
                <c:pt idx="1320">
                  <c:v>3.2460524605300023E-2</c:v>
                </c:pt>
                <c:pt idx="1321">
                  <c:v>3.24593566291842E-2</c:v>
                </c:pt>
                <c:pt idx="1322">
                  <c:v>3.2458155442594006E-2</c:v>
                </c:pt>
                <c:pt idx="1323">
                  <c:v>3.2456921045369569E-2</c:v>
                </c:pt>
                <c:pt idx="1324">
                  <c:v>3.245565343751089E-2</c:v>
                </c:pt>
                <c:pt idx="1325">
                  <c:v>3.2454352619257776E-2</c:v>
                </c:pt>
                <c:pt idx="1326">
                  <c:v>3.2453018590450355E-2</c:v>
                </c:pt>
                <c:pt idx="1327">
                  <c:v>3.2451651351008692E-2</c:v>
                </c:pt>
                <c:pt idx="1328">
                  <c:v>3.2450250901092659E-2</c:v>
                </c:pt>
                <c:pt idx="1329">
                  <c:v>3.2448817240622319E-2</c:v>
                </c:pt>
                <c:pt idx="1330">
                  <c:v>3.2447350369597672E-2</c:v>
                </c:pt>
                <c:pt idx="1331">
                  <c:v>3.2445850287938782E-2</c:v>
                </c:pt>
                <c:pt idx="1332">
                  <c:v>3.2444316995805522E-2</c:v>
                </c:pt>
                <c:pt idx="1333">
                  <c:v>3.2442750493197892E-2</c:v>
                </c:pt>
                <c:pt idx="1334">
                  <c:v>3.2441150780035954E-2</c:v>
                </c:pt>
                <c:pt idx="1335">
                  <c:v>3.2439517856239775E-2</c:v>
                </c:pt>
                <c:pt idx="1336">
                  <c:v>3.2437851721969224E-2</c:v>
                </c:pt>
                <c:pt idx="1337">
                  <c:v>3.2436152377144367E-2</c:v>
                </c:pt>
                <c:pt idx="1338">
                  <c:v>3.243441982184514E-2</c:v>
                </c:pt>
                <c:pt idx="1339">
                  <c:v>3.2432654055831733E-2</c:v>
                </c:pt>
                <c:pt idx="1340">
                  <c:v>3.2430855079423893E-2</c:v>
                </c:pt>
                <c:pt idx="1341">
                  <c:v>3.2429022892461745E-2</c:v>
                </c:pt>
                <c:pt idx="1342">
                  <c:v>3.2427157494945291E-2</c:v>
                </c:pt>
                <c:pt idx="1343">
                  <c:v>3.2425258886874531E-2</c:v>
                </c:pt>
                <c:pt idx="1344">
                  <c:v>3.2423327068249463E-2</c:v>
                </c:pt>
                <c:pt idx="1345">
                  <c:v>3.2421362039150026E-2</c:v>
                </c:pt>
                <c:pt idx="1346">
                  <c:v>3.2419363799416345E-2</c:v>
                </c:pt>
                <c:pt idx="1347">
                  <c:v>3.2418645437246596E-2</c:v>
                </c:pt>
                <c:pt idx="1348">
                  <c:v>3.2415267688445937E-2</c:v>
                </c:pt>
                <c:pt idx="1349">
                  <c:v>3.2414477785662754E-2</c:v>
                </c:pt>
                <c:pt idx="1350">
                  <c:v>3.2411038735338238E-2</c:v>
                </c:pt>
                <c:pt idx="1351">
                  <c:v>3.2408874443072833E-2</c:v>
                </c:pt>
                <c:pt idx="1352">
                  <c:v>3.2406676940173185E-2</c:v>
                </c:pt>
                <c:pt idx="1353">
                  <c:v>3.240444622671923E-2</c:v>
                </c:pt>
                <c:pt idx="1354">
                  <c:v>3.2402182302790905E-2</c:v>
                </c:pt>
                <c:pt idx="1355">
                  <c:v>3.2399885168308273E-2</c:v>
                </c:pt>
                <c:pt idx="1356">
                  <c:v>3.2397554823351271E-2</c:v>
                </c:pt>
                <c:pt idx="1357">
                  <c:v>3.2395191267760026E-2</c:v>
                </c:pt>
                <c:pt idx="1358">
                  <c:v>3.2392794501774347E-2</c:v>
                </c:pt>
                <c:pt idx="1359">
                  <c:v>3.2390364525074489E-2</c:v>
                </c:pt>
                <c:pt idx="1360">
                  <c:v>3.2387901337980196E-2</c:v>
                </c:pt>
                <c:pt idx="1361">
                  <c:v>3.2385404940331597E-2</c:v>
                </c:pt>
                <c:pt idx="1362">
                  <c:v>3.2382875332048755E-2</c:v>
                </c:pt>
                <c:pt idx="1363">
                  <c:v>3.2380312513371479E-2</c:v>
                </c:pt>
                <c:pt idx="1364">
                  <c:v>3.2377716484139896E-2</c:v>
                </c:pt>
                <c:pt idx="1365">
                  <c:v>3.2375087244433942E-2</c:v>
                </c:pt>
                <c:pt idx="1366">
                  <c:v>3.2372424794173682E-2</c:v>
                </c:pt>
                <c:pt idx="1367">
                  <c:v>3.2369729133359115E-2</c:v>
                </c:pt>
                <c:pt idx="1368">
                  <c:v>3.2367000261990242E-2</c:v>
                </c:pt>
                <c:pt idx="1369">
                  <c:v>3.2364238180067062E-2</c:v>
                </c:pt>
                <c:pt idx="1370">
                  <c:v>3.2361442887749448E-2</c:v>
                </c:pt>
                <c:pt idx="1371">
                  <c:v>3.2358614384877527E-2</c:v>
                </c:pt>
                <c:pt idx="1372">
                  <c:v>3.2355752671531235E-2</c:v>
                </c:pt>
                <c:pt idx="1373">
                  <c:v>3.2352857747550701E-2</c:v>
                </c:pt>
                <c:pt idx="1374">
                  <c:v>3.2349929613095796E-2</c:v>
                </c:pt>
                <c:pt idx="1375">
                  <c:v>3.2346968268086584E-2</c:v>
                </c:pt>
                <c:pt idx="1376">
                  <c:v>3.2343973712682939E-2</c:v>
                </c:pt>
                <c:pt idx="1377">
                  <c:v>3.2340945946724986E-2</c:v>
                </c:pt>
                <c:pt idx="1378">
                  <c:v>3.2337884970132791E-2</c:v>
                </c:pt>
                <c:pt idx="1379">
                  <c:v>3.2334790783226097E-2</c:v>
                </c:pt>
                <c:pt idx="1380">
                  <c:v>3.2331663385605225E-2</c:v>
                </c:pt>
                <c:pt idx="1381">
                  <c:v>3.2328502777589918E-2</c:v>
                </c:pt>
                <c:pt idx="1382">
                  <c:v>3.2325308958940369E-2</c:v>
                </c:pt>
                <c:pt idx="1383">
                  <c:v>3.2322081929896385E-2</c:v>
                </c:pt>
                <c:pt idx="1384">
                  <c:v>3.2318821690298094E-2</c:v>
                </c:pt>
                <c:pt idx="1385">
                  <c:v>3.2315528240305369E-2</c:v>
                </c:pt>
                <c:pt idx="1386">
                  <c:v>3.2312201579678401E-2</c:v>
                </c:pt>
                <c:pt idx="1387">
                  <c:v>3.2308841708577063E-2</c:v>
                </c:pt>
                <c:pt idx="1388">
                  <c:v>3.230544862708129E-2</c:v>
                </c:pt>
                <c:pt idx="1389">
                  <c:v>3.2302022334871339E-2</c:v>
                </c:pt>
                <c:pt idx="1390">
                  <c:v>3.2298562832266953E-2</c:v>
                </c:pt>
                <c:pt idx="1391">
                  <c:v>3.229507011910826E-2</c:v>
                </c:pt>
                <c:pt idx="1392">
                  <c:v>3.2291544195555133E-2</c:v>
                </c:pt>
                <c:pt idx="1393">
                  <c:v>3.2287985061367763E-2</c:v>
                </c:pt>
                <c:pt idx="1394">
                  <c:v>3.2284392716785959E-2</c:v>
                </c:pt>
                <c:pt idx="1395">
                  <c:v>3.2280767161729784E-2</c:v>
                </c:pt>
                <c:pt idx="1396">
                  <c:v>3.2277108396199239E-2</c:v>
                </c:pt>
                <c:pt idx="1397">
                  <c:v>3.2273416419954515E-2</c:v>
                </c:pt>
                <c:pt idx="1398">
                  <c:v>3.2269691233395292E-2</c:v>
                </c:pt>
                <c:pt idx="1399">
                  <c:v>3.2265932836281763E-2</c:v>
                </c:pt>
                <c:pt idx="1400">
                  <c:v>3.2262141228693864E-2</c:v>
                </c:pt>
                <c:pt idx="1401">
                  <c:v>3.2259487105532614E-2</c:v>
                </c:pt>
                <c:pt idx="1402">
                  <c:v>3.2254458381935081E-2</c:v>
                </c:pt>
                <c:pt idx="1403">
                  <c:v>3.2250567142924069E-2</c:v>
                </c:pt>
                <c:pt idx="1404">
                  <c:v>3.2246642693438687E-2</c:v>
                </c:pt>
                <c:pt idx="1405">
                  <c:v>3.2242685033319063E-2</c:v>
                </c:pt>
                <c:pt idx="1406">
                  <c:v>3.2238694162725068E-2</c:v>
                </c:pt>
                <c:pt idx="1407">
                  <c:v>3.2234670081816574E-2</c:v>
                </c:pt>
                <c:pt idx="1408">
                  <c:v>3.2230612790193902E-2</c:v>
                </c:pt>
                <c:pt idx="1409">
                  <c:v>3.2226522288256731E-2</c:v>
                </c:pt>
                <c:pt idx="1410">
                  <c:v>3.2222398575765254E-2</c:v>
                </c:pt>
                <c:pt idx="1411">
                  <c:v>3.2218241652879342E-2</c:v>
                </c:pt>
                <c:pt idx="1412">
                  <c:v>3.2214051519439124E-2</c:v>
                </c:pt>
                <c:pt idx="1413">
                  <c:v>3.2209828175444599E-2</c:v>
                </c:pt>
                <c:pt idx="1414">
                  <c:v>3.2205571621135576E-2</c:v>
                </c:pt>
                <c:pt idx="1415">
                  <c:v>3.2201281856272246E-2</c:v>
                </c:pt>
                <c:pt idx="1416">
                  <c:v>3.2196958880854609E-2</c:v>
                </c:pt>
                <c:pt idx="1417">
                  <c:v>3.2192602695122474E-2</c:v>
                </c:pt>
                <c:pt idx="1418">
                  <c:v>3.2188213298836033E-2</c:v>
                </c:pt>
                <c:pt idx="1419">
                  <c:v>3.218379069207522E-2</c:v>
                </c:pt>
                <c:pt idx="1420">
                  <c:v>3.2179334874680166E-2</c:v>
                </c:pt>
                <c:pt idx="1421">
                  <c:v>3.2174845847050548E-2</c:v>
                </c:pt>
                <c:pt idx="1422">
                  <c:v>3.2170323609026497E-2</c:v>
                </c:pt>
                <c:pt idx="1423">
                  <c:v>3.2165768160368202E-2</c:v>
                </c:pt>
                <c:pt idx="1424">
                  <c:v>3.2161179501155601E-2</c:v>
                </c:pt>
                <c:pt idx="1425">
                  <c:v>3.2156557631628502E-2</c:v>
                </c:pt>
                <c:pt idx="1426">
                  <c:v>3.2151902551547096E-2</c:v>
                </c:pt>
                <c:pt idx="1427">
                  <c:v>3.2147214261071255E-2</c:v>
                </c:pt>
                <c:pt idx="1428">
                  <c:v>3.2142492760121044E-2</c:v>
                </c:pt>
                <c:pt idx="1429">
                  <c:v>3.2137738048696463E-2</c:v>
                </c:pt>
                <c:pt idx="1430">
                  <c:v>3.2132950126717574E-2</c:v>
                </c:pt>
                <c:pt idx="1431">
                  <c:v>3.2128128994424188E-2</c:v>
                </c:pt>
                <c:pt idx="1432">
                  <c:v>3.2123274651736367E-2</c:v>
                </c:pt>
                <c:pt idx="1433">
                  <c:v>3.2118387098494239E-2</c:v>
                </c:pt>
                <c:pt idx="1434">
                  <c:v>3.211346633477774E-2</c:v>
                </c:pt>
                <c:pt idx="1435">
                  <c:v>3.2108512360666808E-2</c:v>
                </c:pt>
                <c:pt idx="1436">
                  <c:v>3.2103525175921632E-2</c:v>
                </c:pt>
                <c:pt idx="1437">
                  <c:v>3.209850478102183E-2</c:v>
                </c:pt>
                <c:pt idx="1438">
                  <c:v>3.2093451175487786E-2</c:v>
                </c:pt>
                <c:pt idx="1439">
                  <c:v>3.2088364359559307E-2</c:v>
                </c:pt>
                <c:pt idx="1440">
                  <c:v>3.2083244333236394E-2</c:v>
                </c:pt>
                <c:pt idx="1441">
                  <c:v>3.2078091096359174E-2</c:v>
                </c:pt>
                <c:pt idx="1442">
                  <c:v>3.2072904649087519E-2</c:v>
                </c:pt>
                <c:pt idx="1443">
                  <c:v>3.206768499142143E-2</c:v>
                </c:pt>
                <c:pt idx="1444">
                  <c:v>3.2062432123280971E-2</c:v>
                </c:pt>
                <c:pt idx="1445">
                  <c:v>3.2057146044586204E-2</c:v>
                </c:pt>
                <c:pt idx="1446">
                  <c:v>3.205182675557694E-2</c:v>
                </c:pt>
                <c:pt idx="1447">
                  <c:v>3.2046474256173241E-2</c:v>
                </c:pt>
                <c:pt idx="1448">
                  <c:v>3.2041088546295171E-2</c:v>
                </c:pt>
                <c:pt idx="1449">
                  <c:v>3.2035669626022667E-2</c:v>
                </c:pt>
                <c:pt idx="1450">
                  <c:v>3.2030217495195856E-2</c:v>
                </c:pt>
                <c:pt idx="1451">
                  <c:v>3.2024734315685421E-2</c:v>
                </c:pt>
                <c:pt idx="1452">
                  <c:v>3.2019244434415839E-2</c:v>
                </c:pt>
                <c:pt idx="1453">
                  <c:v>3.2014786094118897E-2</c:v>
                </c:pt>
                <c:pt idx="1454">
                  <c:v>3.2008265386744839E-2</c:v>
                </c:pt>
                <c:pt idx="1455">
                  <c:v>3.2002776220423357E-2</c:v>
                </c:pt>
                <c:pt idx="1456">
                  <c:v>3.1997287292311327E-2</c:v>
                </c:pt>
                <c:pt idx="1457">
                  <c:v>3.1991798602488686E-2</c:v>
                </c:pt>
                <c:pt idx="1458">
                  <c:v>3.1986310151035369E-2</c:v>
                </c:pt>
                <c:pt idx="1459">
                  <c:v>3.1980821937711568E-2</c:v>
                </c:pt>
                <c:pt idx="1460">
                  <c:v>3.1975333962837027E-2</c:v>
                </c:pt>
                <c:pt idx="1461">
                  <c:v>3.1969846226251875E-2</c:v>
                </c:pt>
                <c:pt idx="1462">
                  <c:v>3.1964358727876174E-2</c:v>
                </c:pt>
                <c:pt idx="1463">
                  <c:v>3.1958871467789862E-2</c:v>
                </c:pt>
                <c:pt idx="1464">
                  <c:v>3.1953384446072874E-2</c:v>
                </c:pt>
                <c:pt idx="1465">
                  <c:v>3.1947897662565339E-2</c:v>
                </c:pt>
                <c:pt idx="1466">
                  <c:v>3.1942411117427127E-2</c:v>
                </c:pt>
                <c:pt idx="1467">
                  <c:v>3.1936924810498368E-2</c:v>
                </c:pt>
                <c:pt idx="1468">
                  <c:v>3.1931438742018869E-2</c:v>
                </c:pt>
                <c:pt idx="1469">
                  <c:v>3.1925952911748823E-2</c:v>
                </c:pt>
                <c:pt idx="1470">
                  <c:v>3.1920467319688228E-2</c:v>
                </c:pt>
                <c:pt idx="1471">
                  <c:v>3.1914981965996958E-2</c:v>
                </c:pt>
                <c:pt idx="1472">
                  <c:v>3.1909496850595076E-2</c:v>
                </c:pt>
                <c:pt idx="1473">
                  <c:v>3.1904011973402646E-2</c:v>
                </c:pt>
                <c:pt idx="1474">
                  <c:v>3.1898527334659477E-2</c:v>
                </c:pt>
                <c:pt idx="1475">
                  <c:v>3.1893042934045823E-2</c:v>
                </c:pt>
                <c:pt idx="1476">
                  <c:v>3.1887558771801494E-2</c:v>
                </c:pt>
                <c:pt idx="1477">
                  <c:v>3.1882074848006425E-2</c:v>
                </c:pt>
                <c:pt idx="1478">
                  <c:v>3.1876591162340873E-2</c:v>
                </c:pt>
                <c:pt idx="1479">
                  <c:v>3.1871107714964708E-2</c:v>
                </c:pt>
                <c:pt idx="1480">
                  <c:v>3.1865624505877932E-2</c:v>
                </c:pt>
                <c:pt idx="1481">
                  <c:v>3.1860141535080544E-2</c:v>
                </c:pt>
                <c:pt idx="1482">
                  <c:v>3.1854658802572544E-2</c:v>
                </c:pt>
                <c:pt idx="1483">
                  <c:v>3.1849176308433869E-2</c:v>
                </c:pt>
                <c:pt idx="1484">
                  <c:v>3.1843694052584581E-2</c:v>
                </c:pt>
                <c:pt idx="1485">
                  <c:v>3.1837428909060606E-2</c:v>
                </c:pt>
                <c:pt idx="1486">
                  <c:v>3.1831947163842855E-2</c:v>
                </c:pt>
                <c:pt idx="1487">
                  <c:v>3.1826465656754621E-2</c:v>
                </c:pt>
                <c:pt idx="1488">
                  <c:v>3.1820984388115647E-2</c:v>
                </c:pt>
                <c:pt idx="1489">
                  <c:v>3.1815503357766062E-2</c:v>
                </c:pt>
                <c:pt idx="1490">
                  <c:v>3.1810022565625928E-2</c:v>
                </c:pt>
                <c:pt idx="1491">
                  <c:v>3.1804542011855119E-2</c:v>
                </c:pt>
                <c:pt idx="1492">
                  <c:v>3.1799061696293762E-2</c:v>
                </c:pt>
                <c:pt idx="1493">
                  <c:v>3.1793581619181666E-2</c:v>
                </c:pt>
                <c:pt idx="1494">
                  <c:v>3.1788101780119149E-2</c:v>
                </c:pt>
                <c:pt idx="1495">
                  <c:v>3.1782622179585829E-2</c:v>
                </c:pt>
                <c:pt idx="1496">
                  <c:v>3.1777142817261961E-2</c:v>
                </c:pt>
                <c:pt idx="1497">
                  <c:v>3.1771663693227481E-2</c:v>
                </c:pt>
                <c:pt idx="1498">
                  <c:v>3.1766184807482389E-2</c:v>
                </c:pt>
                <c:pt idx="1499">
                  <c:v>3.1760706160026686E-2</c:v>
                </c:pt>
                <c:pt idx="1500">
                  <c:v>3.1755227750780435E-2</c:v>
                </c:pt>
                <c:pt idx="1501">
                  <c:v>3.1749749579983444E-2</c:v>
                </c:pt>
                <c:pt idx="1502">
                  <c:v>3.1744271647475841E-2</c:v>
                </c:pt>
                <c:pt idx="1503">
                  <c:v>3.1738793953177691E-2</c:v>
                </c:pt>
                <c:pt idx="1504">
                  <c:v>3.1733316497168929E-2</c:v>
                </c:pt>
                <c:pt idx="1505">
                  <c:v>3.1729070477872767E-2</c:v>
                </c:pt>
                <c:pt idx="1506">
                  <c:v>3.1723592601213824E-2</c:v>
                </c:pt>
                <c:pt idx="1507">
                  <c:v>3.1718114963110722E-2</c:v>
                </c:pt>
                <c:pt idx="1508">
                  <c:v>3.1712637563510171E-2</c:v>
                </c:pt>
                <c:pt idx="1509">
                  <c:v>3.1707160402385526E-2</c:v>
                </c:pt>
                <c:pt idx="1510">
                  <c:v>3.1701683479736786E-2</c:v>
                </c:pt>
                <c:pt idx="1511">
                  <c:v>3.1696206795617243E-2</c:v>
                </c:pt>
                <c:pt idx="1512">
                  <c:v>3.1690730350000251E-2</c:v>
                </c:pt>
                <c:pt idx="1513">
                  <c:v>3.1686257261960282E-2</c:v>
                </c:pt>
                <c:pt idx="1514">
                  <c:v>3.1679778174300566E-2</c:v>
                </c:pt>
                <c:pt idx="1515">
                  <c:v>3.1674302444137936E-2</c:v>
                </c:pt>
                <c:pt idx="1516">
                  <c:v>3.1668826952557794E-2</c:v>
                </c:pt>
                <c:pt idx="1517">
                  <c:v>3.1664352959768216E-2</c:v>
                </c:pt>
                <c:pt idx="1518">
                  <c:v>3.1657876684825226E-2</c:v>
                </c:pt>
                <c:pt idx="1519">
                  <c:v>3.1652401908699446E-2</c:v>
                </c:pt>
                <c:pt idx="1520">
                  <c:v>3.1646927371076217E-2</c:v>
                </c:pt>
                <c:pt idx="1521">
                  <c:v>3.1641453072008829E-2</c:v>
                </c:pt>
                <c:pt idx="1522">
                  <c:v>3.1635979011390702E-2</c:v>
                </c:pt>
                <c:pt idx="1523">
                  <c:v>3.1630505189275127E-2</c:v>
                </c:pt>
                <c:pt idx="1524">
                  <c:v>3.1625031605635456E-2</c:v>
                </c:pt>
                <c:pt idx="1525">
                  <c:v>3.1619558260551628E-2</c:v>
                </c:pt>
                <c:pt idx="1526">
                  <c:v>3.1614085153996996E-2</c:v>
                </c:pt>
                <c:pt idx="1527">
                  <c:v>3.1608612285891624E-2</c:v>
                </c:pt>
                <c:pt idx="1528">
                  <c:v>3.1603139656235513E-2</c:v>
                </c:pt>
                <c:pt idx="1529">
                  <c:v>3.1597667265161888E-2</c:v>
                </c:pt>
                <c:pt idx="1530">
                  <c:v>3.159219511256417E-2</c:v>
                </c:pt>
                <c:pt idx="1531">
                  <c:v>3.1587717966377049E-2</c:v>
                </c:pt>
                <c:pt idx="1532">
                  <c:v>3.158125152284974E-2</c:v>
                </c:pt>
                <c:pt idx="1533">
                  <c:v>3.157578008573303E-2</c:v>
                </c:pt>
                <c:pt idx="1534">
                  <c:v>3.157030888717216E-2</c:v>
                </c:pt>
                <c:pt idx="1535">
                  <c:v>3.1564837927033906E-2</c:v>
                </c:pt>
                <c:pt idx="1536">
                  <c:v>3.1559367205478139E-2</c:v>
                </c:pt>
                <c:pt idx="1537">
                  <c:v>3.1549568757265334E-2</c:v>
                </c:pt>
                <c:pt idx="1538">
                  <c:v>3.1544099539306814E-2</c:v>
                </c:pt>
                <c:pt idx="1539">
                  <c:v>3.1538630559717618E-2</c:v>
                </c:pt>
                <c:pt idx="1540">
                  <c:v>3.1533161818497746E-2</c:v>
                </c:pt>
                <c:pt idx="1541">
                  <c:v>3.1527693315487326E-2</c:v>
                </c:pt>
                <c:pt idx="1542">
                  <c:v>3.1522225050846231E-2</c:v>
                </c:pt>
                <c:pt idx="1543">
                  <c:v>3.1516757024334652E-2</c:v>
                </c:pt>
                <c:pt idx="1544">
                  <c:v>3.1511289236272333E-2</c:v>
                </c:pt>
                <c:pt idx="1545">
                  <c:v>3.1505040627282099E-2</c:v>
                </c:pt>
                <c:pt idx="1546">
                  <c:v>3.1499573349851318E-2</c:v>
                </c:pt>
                <c:pt idx="1547">
                  <c:v>3.1494106310629988E-2</c:v>
                </c:pt>
                <c:pt idx="1548">
                  <c:v>3.1488639509698046E-2</c:v>
                </c:pt>
                <c:pt idx="1549">
                  <c:v>3.1483172947135429E-2</c:v>
                </c:pt>
                <c:pt idx="1550">
                  <c:v>3.1477706622782264E-2</c:v>
                </c:pt>
                <c:pt idx="1551">
                  <c:v>3.1472240536718488E-2</c:v>
                </c:pt>
                <c:pt idx="1552">
                  <c:v>3.1466774688944099E-2</c:v>
                </c:pt>
                <c:pt idx="1553">
                  <c:v>3.1461309079539035E-2</c:v>
                </c:pt>
                <c:pt idx="1554">
                  <c:v>3.1455843708343423E-2</c:v>
                </c:pt>
                <c:pt idx="1555">
                  <c:v>3.1449597861623602E-2</c:v>
                </c:pt>
                <c:pt idx="1556">
                  <c:v>3.1444133001219399E-2</c:v>
                </c:pt>
                <c:pt idx="1557">
                  <c:v>3.1439650788138707E-2</c:v>
                </c:pt>
                <c:pt idx="1558">
                  <c:v>3.1433203994959413E-2</c:v>
                </c:pt>
                <c:pt idx="1559">
                  <c:v>3.1427739849343439E-2</c:v>
                </c:pt>
                <c:pt idx="1560">
                  <c:v>3.1422275941936917E-2</c:v>
                </c:pt>
                <c:pt idx="1561">
                  <c:v>3.1417792842165504E-2</c:v>
                </c:pt>
                <c:pt idx="1562">
                  <c:v>3.1412328951665458E-2</c:v>
                </c:pt>
                <c:pt idx="1563">
                  <c:v>3.1405885649613552E-2</c:v>
                </c:pt>
                <c:pt idx="1564">
                  <c:v>3.1400422695364583E-2</c:v>
                </c:pt>
                <c:pt idx="1565">
                  <c:v>3.1394959979564874E-2</c:v>
                </c:pt>
                <c:pt idx="1566">
                  <c:v>3.1389497501814745E-2</c:v>
                </c:pt>
                <c:pt idx="1567">
                  <c:v>3.1384035262593812E-2</c:v>
                </c:pt>
                <c:pt idx="1568">
                  <c:v>3.1378573261502396E-2</c:v>
                </c:pt>
                <c:pt idx="1569">
                  <c:v>3.137311149886024E-2</c:v>
                </c:pt>
                <c:pt idx="1570">
                  <c:v>3.1367649974427536E-2</c:v>
                </c:pt>
                <c:pt idx="1571">
                  <c:v>3.1362188688204284E-2</c:v>
                </c:pt>
                <c:pt idx="1572">
                  <c:v>3.1356727640350357E-2</c:v>
                </c:pt>
                <c:pt idx="1573">
                  <c:v>3.1351266830785818E-2</c:v>
                </c:pt>
                <c:pt idx="1574">
                  <c:v>3.1345806259590603E-2</c:v>
                </c:pt>
                <c:pt idx="1575">
                  <c:v>3.134034592660484E-2</c:v>
                </c:pt>
                <c:pt idx="1576">
                  <c:v>3.1334885831908466E-2</c:v>
                </c:pt>
                <c:pt idx="1577">
                  <c:v>3.1329425975581415E-2</c:v>
                </c:pt>
                <c:pt idx="1578">
                  <c:v>3.1323966357383881E-2</c:v>
                </c:pt>
                <c:pt idx="1579">
                  <c:v>3.1318506977555671E-2</c:v>
                </c:pt>
                <c:pt idx="1580">
                  <c:v>3.131304783601685E-2</c:v>
                </c:pt>
                <c:pt idx="1581">
                  <c:v>3.1307588932847352E-2</c:v>
                </c:pt>
                <c:pt idx="1582">
                  <c:v>3.1302130267887307E-2</c:v>
                </c:pt>
                <c:pt idx="1583">
                  <c:v>3.1296671841296586E-2</c:v>
                </c:pt>
                <c:pt idx="1584">
                  <c:v>3.1291213652835381E-2</c:v>
                </c:pt>
                <c:pt idx="1585">
                  <c:v>3.1285755702903373E-2</c:v>
                </c:pt>
                <c:pt idx="1586">
                  <c:v>3.128029799110088E-2</c:v>
                </c:pt>
                <c:pt idx="1587">
                  <c:v>3.127484051750784E-2</c:v>
                </c:pt>
                <c:pt idx="1588">
                  <c:v>3.1269383282364061E-2</c:v>
                </c:pt>
                <c:pt idx="1589">
                  <c:v>3.1263926285509669E-2</c:v>
                </c:pt>
                <c:pt idx="1590">
                  <c:v>3.1258469526864729E-2</c:v>
                </c:pt>
                <c:pt idx="1591">
                  <c:v>3.1253013006509178E-2</c:v>
                </c:pt>
                <c:pt idx="1592">
                  <c:v>3.1247556724602887E-2</c:v>
                </c:pt>
                <c:pt idx="1593">
                  <c:v>3.1242100680826113E-2</c:v>
                </c:pt>
                <c:pt idx="1594">
                  <c:v>3.1236644875338726E-2</c:v>
                </c:pt>
                <c:pt idx="1595">
                  <c:v>3.1231189308220664E-2</c:v>
                </c:pt>
                <c:pt idx="1596">
                  <c:v>3.1225733979471926E-2</c:v>
                </c:pt>
                <c:pt idx="1597">
                  <c:v>3.1220278888772768E-2</c:v>
                </c:pt>
                <c:pt idx="1598">
                  <c:v>3.121482403652287E-2</c:v>
                </c:pt>
                <c:pt idx="1599">
                  <c:v>3.1209369422562361E-2</c:v>
                </c:pt>
                <c:pt idx="1600">
                  <c:v>3.120391504689124E-2</c:v>
                </c:pt>
                <c:pt idx="1601">
                  <c:v>3.1198460909509507E-2</c:v>
                </c:pt>
                <c:pt idx="1602">
                  <c:v>3.1193007010337226E-2</c:v>
                </c:pt>
                <c:pt idx="1603">
                  <c:v>3.1187553349614205E-2</c:v>
                </c:pt>
                <c:pt idx="1604">
                  <c:v>3.1182099927100637E-2</c:v>
                </c:pt>
                <c:pt idx="1605">
                  <c:v>3.1176646742796521E-2</c:v>
                </c:pt>
                <c:pt idx="1606">
                  <c:v>3.1171193796941665E-2</c:v>
                </c:pt>
                <c:pt idx="1607">
                  <c:v>3.1164962150462827E-2</c:v>
                </c:pt>
                <c:pt idx="1608">
                  <c:v>3.1159509715079636E-2</c:v>
                </c:pt>
                <c:pt idx="1609">
                  <c:v>3.1155195643606248E-2</c:v>
                </c:pt>
                <c:pt idx="1610">
                  <c:v>3.1149742809448711E-2</c:v>
                </c:pt>
                <c:pt idx="1611">
                  <c:v>3.1144290213793724E-2</c:v>
                </c:pt>
                <c:pt idx="1612">
                  <c:v>3.1138837856614643E-2</c:v>
                </c:pt>
                <c:pt idx="1613">
                  <c:v>3.1129136223437825E-2</c:v>
                </c:pt>
                <c:pt idx="1614">
                  <c:v>3.1123685354081942E-2</c:v>
                </c:pt>
                <c:pt idx="1615">
                  <c:v>3.1118234722935512E-2</c:v>
                </c:pt>
                <c:pt idx="1616">
                  <c:v>3.1112005722020442E-2</c:v>
                </c:pt>
                <c:pt idx="1617">
                  <c:v>3.1106555601505548E-2</c:v>
                </c:pt>
                <c:pt idx="1618">
                  <c:v>3.1101105719439914E-2</c:v>
                </c:pt>
                <c:pt idx="1619">
                  <c:v>3.1095656075503797E-2</c:v>
                </c:pt>
                <c:pt idx="1620">
                  <c:v>3.1090206669937004E-2</c:v>
                </c:pt>
                <c:pt idx="1621">
                  <c:v>3.1084757502579663E-2</c:v>
                </c:pt>
                <c:pt idx="1622">
                  <c:v>3.1079308573591646E-2</c:v>
                </c:pt>
                <c:pt idx="1623">
                  <c:v>3.1073859882813082E-2</c:v>
                </c:pt>
                <c:pt idx="1624">
                  <c:v>3.1068411430403842E-2</c:v>
                </c:pt>
                <c:pt idx="1625">
                  <c:v>3.1062963216204054E-2</c:v>
                </c:pt>
                <c:pt idx="1626">
                  <c:v>3.105751524037359E-2</c:v>
                </c:pt>
                <c:pt idx="1627">
                  <c:v>3.1052067502832514E-2</c:v>
                </c:pt>
                <c:pt idx="1628">
                  <c:v>3.1046620003580827E-2</c:v>
                </c:pt>
                <c:pt idx="1629">
                  <c:v>3.1041172742458656E-2</c:v>
                </c:pt>
                <c:pt idx="1630">
                  <c:v>3.1035725719865681E-2</c:v>
                </c:pt>
                <c:pt idx="1631">
                  <c:v>3.1030278935402222E-2</c:v>
                </c:pt>
                <c:pt idx="1632">
                  <c:v>3.1024832389308088E-2</c:v>
                </c:pt>
                <c:pt idx="1633">
                  <c:v>3.1019386081583278E-2</c:v>
                </c:pt>
                <c:pt idx="1634">
                  <c:v>3.1013940011987984E-2</c:v>
                </c:pt>
                <c:pt idx="1635">
                  <c:v>3.100849418084195E-2</c:v>
                </c:pt>
                <c:pt idx="1636">
                  <c:v>3.1003048587825432E-2</c:v>
                </c:pt>
                <c:pt idx="1637">
                  <c:v>3.0997603233178239E-2</c:v>
                </c:pt>
                <c:pt idx="1638">
                  <c:v>3.0992158116820434E-2</c:v>
                </c:pt>
                <c:pt idx="1639">
                  <c:v>3.0986713238831953E-2</c:v>
                </c:pt>
                <c:pt idx="1640">
                  <c:v>3.0981268598972989E-2</c:v>
                </c:pt>
                <c:pt idx="1641">
                  <c:v>3.0975824197563284E-2</c:v>
                </c:pt>
                <c:pt idx="1642">
                  <c:v>3.0970380034363032E-2</c:v>
                </c:pt>
                <c:pt idx="1643">
                  <c:v>3.0964936109452168E-2</c:v>
                </c:pt>
                <c:pt idx="1644">
                  <c:v>3.0959492422830692E-2</c:v>
                </c:pt>
                <c:pt idx="1645">
                  <c:v>3.0954048974498605E-2</c:v>
                </c:pt>
                <c:pt idx="1646">
                  <c:v>3.0948605764375969E-2</c:v>
                </c:pt>
                <c:pt idx="1647">
                  <c:v>3.0943162792702594E-2</c:v>
                </c:pt>
                <c:pt idx="1648">
                  <c:v>3.0937720059318607E-2</c:v>
                </c:pt>
                <c:pt idx="1649">
                  <c:v>3.0932277564064137E-2</c:v>
                </c:pt>
                <c:pt idx="1650">
                  <c:v>3.0926835307258926E-2</c:v>
                </c:pt>
                <c:pt idx="1651">
                  <c:v>3.0921393288743104E-2</c:v>
                </c:pt>
                <c:pt idx="1652">
                  <c:v>3.0915951508356798E-2</c:v>
                </c:pt>
                <c:pt idx="1653">
                  <c:v>3.0910509966419752E-2</c:v>
                </c:pt>
                <c:pt idx="1654">
                  <c:v>3.0905068662692159E-2</c:v>
                </c:pt>
                <c:pt idx="1655">
                  <c:v>3.089962759733389E-2</c:v>
                </c:pt>
                <c:pt idx="1656">
                  <c:v>3.0894186770185073E-2</c:v>
                </c:pt>
                <c:pt idx="1657">
                  <c:v>3.0888746181325644E-2</c:v>
                </c:pt>
                <c:pt idx="1658">
                  <c:v>3.0883305830835539E-2</c:v>
                </c:pt>
                <c:pt idx="1659">
                  <c:v>3.0877865718554887E-2</c:v>
                </c:pt>
                <c:pt idx="1660">
                  <c:v>3.0872425844643558E-2</c:v>
                </c:pt>
                <c:pt idx="1661">
                  <c:v>3.0866986208941682E-2</c:v>
                </c:pt>
                <c:pt idx="1662">
                  <c:v>3.0861546811449259E-2</c:v>
                </c:pt>
                <c:pt idx="1663">
                  <c:v>3.0856107652486031E-2</c:v>
                </c:pt>
                <c:pt idx="1664">
                  <c:v>3.0850668731732256E-2</c:v>
                </c:pt>
                <c:pt idx="1665">
                  <c:v>3.0845230049187933E-2</c:v>
                </c:pt>
                <c:pt idx="1666">
                  <c:v>3.0839791604932998E-2</c:v>
                </c:pt>
                <c:pt idx="1667">
                  <c:v>3.0834353399127323E-2</c:v>
                </c:pt>
                <c:pt idx="1668">
                  <c:v>3.0828915431531101E-2</c:v>
                </c:pt>
                <c:pt idx="1669">
                  <c:v>3.0823477702224267E-2</c:v>
                </c:pt>
                <c:pt idx="1670">
                  <c:v>3.0818040211126885E-2</c:v>
                </c:pt>
                <c:pt idx="1671">
                  <c:v>3.0812602958238955E-2</c:v>
                </c:pt>
                <c:pt idx="1672">
                  <c:v>3.0807165943880221E-2</c:v>
                </c:pt>
                <c:pt idx="1673">
                  <c:v>3.080172916773094E-2</c:v>
                </c:pt>
                <c:pt idx="1674">
                  <c:v>3.0796292629791111E-2</c:v>
                </c:pt>
                <c:pt idx="1675">
                  <c:v>3.0790856330300542E-2</c:v>
                </c:pt>
                <c:pt idx="1676">
                  <c:v>3.078542026893949E-2</c:v>
                </c:pt>
                <c:pt idx="1677">
                  <c:v>3.0779984445947761E-2</c:v>
                </c:pt>
                <c:pt idx="1678">
                  <c:v>3.0774548861245421E-2</c:v>
                </c:pt>
                <c:pt idx="1679">
                  <c:v>3.0769113514752533E-2</c:v>
                </c:pt>
                <c:pt idx="1680">
                  <c:v>3.0763678406708905E-2</c:v>
                </c:pt>
                <c:pt idx="1681">
                  <c:v>3.0758243536794794E-2</c:v>
                </c:pt>
                <c:pt idx="1682">
                  <c:v>3.0752808905250006E-2</c:v>
                </c:pt>
                <c:pt idx="1683">
                  <c:v>3.0747374511914671E-2</c:v>
                </c:pt>
                <c:pt idx="1684">
                  <c:v>3.0741940357028597E-2</c:v>
                </c:pt>
                <c:pt idx="1685">
                  <c:v>3.0736506440272038E-2</c:v>
                </c:pt>
                <c:pt idx="1686">
                  <c:v>3.0731072761964739E-2</c:v>
                </c:pt>
                <c:pt idx="1687">
                  <c:v>3.0725639321866893E-2</c:v>
                </c:pt>
                <c:pt idx="1688">
                  <c:v>3.0720206120058435E-2</c:v>
                </c:pt>
                <c:pt idx="1689">
                  <c:v>3.0714773156539366E-2</c:v>
                </c:pt>
                <c:pt idx="1690">
                  <c:v>3.0709340431309684E-2</c:v>
                </c:pt>
                <c:pt idx="1691">
                  <c:v>3.0703907944369391E-2</c:v>
                </c:pt>
                <c:pt idx="1692">
                  <c:v>3.0698475695718486E-2</c:v>
                </c:pt>
                <c:pt idx="1693">
                  <c:v>3.0693043685356969E-2</c:v>
                </c:pt>
                <c:pt idx="1694">
                  <c:v>3.068761191328484E-2</c:v>
                </c:pt>
                <c:pt idx="1695">
                  <c:v>3.06821803795021E-2</c:v>
                </c:pt>
                <c:pt idx="1696">
                  <c:v>3.0676749084008748E-2</c:v>
                </c:pt>
                <c:pt idx="1697">
                  <c:v>3.0671318026804784E-2</c:v>
                </c:pt>
                <c:pt idx="1698">
                  <c:v>3.0665887207970144E-2</c:v>
                </c:pt>
                <c:pt idx="1699">
                  <c:v>3.0660456627344956E-2</c:v>
                </c:pt>
                <c:pt idx="1700">
                  <c:v>3.0655026285009157E-2</c:v>
                </c:pt>
                <c:pt idx="1701">
                  <c:v>3.0649596180962746E-2</c:v>
                </c:pt>
                <c:pt idx="1702">
                  <c:v>3.0644166315205723E-2</c:v>
                </c:pt>
                <c:pt idx="1703">
                  <c:v>3.0638736687818025E-2</c:v>
                </c:pt>
                <c:pt idx="1704">
                  <c:v>3.0633307298639778E-2</c:v>
                </c:pt>
                <c:pt idx="1705">
                  <c:v>3.062787814775092E-2</c:v>
                </c:pt>
                <c:pt idx="1706">
                  <c:v>3.062244923515145E-2</c:v>
                </c:pt>
                <c:pt idx="1707">
                  <c:v>3.0617020560921304E-2</c:v>
                </c:pt>
                <c:pt idx="1708">
                  <c:v>3.0611592124900611E-2</c:v>
                </c:pt>
                <c:pt idx="1709">
                  <c:v>3.0606163927169305E-2</c:v>
                </c:pt>
                <c:pt idx="1710">
                  <c:v>3.0600736913850568E-2</c:v>
                </c:pt>
                <c:pt idx="1711">
                  <c:v>3.0595314403649709E-2</c:v>
                </c:pt>
                <c:pt idx="1712">
                  <c:v>3.0589896691450846E-2</c:v>
                </c:pt>
                <c:pt idx="1713">
                  <c:v>3.0584483777014171E-2</c:v>
                </c:pt>
                <c:pt idx="1714">
                  <c:v>3.0579075660579491E-2</c:v>
                </c:pt>
                <c:pt idx="1715">
                  <c:v>3.0573672341986935E-2</c:v>
                </c:pt>
                <c:pt idx="1716">
                  <c:v>3.0568273821396375E-2</c:v>
                </c:pt>
                <c:pt idx="1717">
                  <c:v>3.0562880098488066E-2</c:v>
                </c:pt>
                <c:pt idx="1718">
                  <c:v>3.0557491173501816E-2</c:v>
                </c:pt>
                <c:pt idx="1719">
                  <c:v>3.0552107046437627E-2</c:v>
                </c:pt>
                <c:pt idx="1720">
                  <c:v>3.0546727717375433E-2</c:v>
                </c:pt>
                <c:pt idx="1721">
                  <c:v>3.0541353186075426E-2</c:v>
                </c:pt>
                <c:pt idx="1722">
                  <c:v>3.0535983452777415E-2</c:v>
                </c:pt>
                <c:pt idx="1723">
                  <c:v>3.0530618517241592E-2</c:v>
                </c:pt>
                <c:pt idx="1724">
                  <c:v>3.0525258379627829E-2</c:v>
                </c:pt>
                <c:pt idx="1725">
                  <c:v>3.0519903039936125E-2</c:v>
                </c:pt>
                <c:pt idx="1726">
                  <c:v>3.0514552498086545E-2</c:v>
                </c:pt>
                <c:pt idx="1727">
                  <c:v>3.0509206754159024E-2</c:v>
                </c:pt>
                <c:pt idx="1728">
                  <c:v>3.0503865808153563E-2</c:v>
                </c:pt>
                <c:pt idx="1729">
                  <c:v>3.0498529659990226E-2</c:v>
                </c:pt>
                <c:pt idx="1730">
                  <c:v>3.0493198309669012E-2</c:v>
                </c:pt>
                <c:pt idx="1731">
                  <c:v>3.0487871757269858E-2</c:v>
                </c:pt>
                <c:pt idx="1732">
                  <c:v>3.0482550002872699E-2</c:v>
                </c:pt>
                <c:pt idx="1733">
                  <c:v>3.0477233046157792E-2</c:v>
                </c:pt>
                <c:pt idx="1734">
                  <c:v>3.0471920887524817E-2</c:v>
                </c:pt>
                <c:pt idx="1735">
                  <c:v>3.0466613526574093E-2</c:v>
                </c:pt>
                <c:pt idx="1736">
                  <c:v>3.0461310963705301E-2</c:v>
                </c:pt>
                <c:pt idx="1737">
                  <c:v>3.0456013198598697E-2</c:v>
                </c:pt>
                <c:pt idx="1738">
                  <c:v>3.0450720231414152E-2</c:v>
                </c:pt>
                <c:pt idx="1739">
                  <c:v>3.0445432062071731E-2</c:v>
                </c:pt>
                <c:pt idx="1740">
                  <c:v>3.044014869065137E-2</c:v>
                </c:pt>
                <c:pt idx="1741">
                  <c:v>3.0434870117153068E-2</c:v>
                </c:pt>
                <c:pt idx="1742">
                  <c:v>3.042959634149689E-2</c:v>
                </c:pt>
                <c:pt idx="1743">
                  <c:v>3.0424327363762771E-2</c:v>
                </c:pt>
                <c:pt idx="1744">
                  <c:v>3.0419972500892456E-2</c:v>
                </c:pt>
                <c:pt idx="1745">
                  <c:v>3.0413803801900841E-2</c:v>
                </c:pt>
                <c:pt idx="1746">
                  <c:v>3.0408549217693093E-2</c:v>
                </c:pt>
                <c:pt idx="1747">
                  <c:v>3.0403299431487341E-2</c:v>
                </c:pt>
                <c:pt idx="1748">
                  <c:v>3.0398054443043776E-2</c:v>
                </c:pt>
                <c:pt idx="1749">
                  <c:v>3.0392814252682143E-2</c:v>
                </c:pt>
                <c:pt idx="1750">
                  <c:v>3.0387578860082698E-2</c:v>
                </c:pt>
                <c:pt idx="1751">
                  <c:v>3.0382348265405312E-2</c:v>
                </c:pt>
                <c:pt idx="1752">
                  <c:v>3.037712246857005E-2</c:v>
                </c:pt>
                <c:pt idx="1753">
                  <c:v>3.0371901469656848E-2</c:v>
                </c:pt>
                <c:pt idx="1754">
                  <c:v>3.0366685268585769E-2</c:v>
                </c:pt>
                <c:pt idx="1755">
                  <c:v>3.0361473865356814E-2</c:v>
                </c:pt>
                <c:pt idx="1756">
                  <c:v>3.0356267260129854E-2</c:v>
                </c:pt>
                <c:pt idx="1757">
                  <c:v>3.0351065452665082E-2</c:v>
                </c:pt>
                <c:pt idx="1758">
                  <c:v>3.034586844312237E-2</c:v>
                </c:pt>
                <c:pt idx="1759">
                  <c:v>3.0340676231421781E-2</c:v>
                </c:pt>
                <c:pt idx="1760">
                  <c:v>3.0335488817643252E-2</c:v>
                </c:pt>
                <c:pt idx="1761">
                  <c:v>3.0330306201786783E-2</c:v>
                </c:pt>
                <c:pt idx="1762">
                  <c:v>3.0325128383772437E-2</c:v>
                </c:pt>
                <c:pt idx="1763">
                  <c:v>3.0319955363600215E-2</c:v>
                </c:pt>
                <c:pt idx="1764">
                  <c:v>3.0314787141350052E-2</c:v>
                </c:pt>
                <c:pt idx="1765">
                  <c:v>3.0309623716942014E-2</c:v>
                </c:pt>
                <c:pt idx="1766">
                  <c:v>3.0304465090456034E-2</c:v>
                </c:pt>
                <c:pt idx="1767">
                  <c:v>3.0299311261892115E-2</c:v>
                </c:pt>
                <c:pt idx="1768">
                  <c:v>3.0294162231090382E-2</c:v>
                </c:pt>
                <c:pt idx="1769">
                  <c:v>3.028828349950885E-2</c:v>
                </c:pt>
                <c:pt idx="1770">
                  <c:v>3.0283144749922997E-2</c:v>
                </c:pt>
                <c:pt idx="1771">
                  <c:v>3.0278010798259203E-2</c:v>
                </c:pt>
                <c:pt idx="1772">
                  <c:v>3.0272881644357597E-2</c:v>
                </c:pt>
                <c:pt idx="1773">
                  <c:v>3.0267757288457986E-2</c:v>
                </c:pt>
                <c:pt idx="1774">
                  <c:v>3.0262637730400499E-2</c:v>
                </c:pt>
                <c:pt idx="1775">
                  <c:v>3.0257522970265072E-2</c:v>
                </c:pt>
                <c:pt idx="1776">
                  <c:v>3.0252413007891832E-2</c:v>
                </c:pt>
                <c:pt idx="1777">
                  <c:v>3.0247307843520588E-2</c:v>
                </c:pt>
                <c:pt idx="1778">
                  <c:v>3.0242207476831595E-2</c:v>
                </c:pt>
                <c:pt idx="1779">
                  <c:v>3.0237111908224534E-2</c:v>
                </c:pt>
                <c:pt idx="1780">
                  <c:v>3.0232021137379661E-2</c:v>
                </c:pt>
                <c:pt idx="1781">
                  <c:v>3.0226935164456847E-2</c:v>
                </c:pt>
                <c:pt idx="1782">
                  <c:v>3.0221853989376157E-2</c:v>
                </c:pt>
                <c:pt idx="1783">
                  <c:v>3.0216777612217527E-2</c:v>
                </c:pt>
                <c:pt idx="1784">
                  <c:v>3.0211706032980956E-2</c:v>
                </c:pt>
                <c:pt idx="1785">
                  <c:v>3.0206639251506573E-2</c:v>
                </c:pt>
                <c:pt idx="1786">
                  <c:v>3.0201577267954249E-2</c:v>
                </c:pt>
                <c:pt idx="1787">
                  <c:v>3.0196520082244049E-2</c:v>
                </c:pt>
                <c:pt idx="1788">
                  <c:v>3.0191467694535845E-2</c:v>
                </c:pt>
                <c:pt idx="1789">
                  <c:v>3.0186420104509892E-2</c:v>
                </c:pt>
                <c:pt idx="1790">
                  <c:v>3.0181377312485935E-2</c:v>
                </c:pt>
                <c:pt idx="1791">
                  <c:v>3.0176339318304102E-2</c:v>
                </c:pt>
                <c:pt idx="1792">
                  <c:v>3.0171306121964392E-2</c:v>
                </c:pt>
                <c:pt idx="1793">
                  <c:v>3.0166277723546742E-2</c:v>
                </c:pt>
                <c:pt idx="1794">
                  <c:v>3.0161254122891279E-2</c:v>
                </c:pt>
                <c:pt idx="1795">
                  <c:v>3.0156235320317748E-2</c:v>
                </c:pt>
                <c:pt idx="1796">
                  <c:v>3.0152125971616428E-2</c:v>
                </c:pt>
                <c:pt idx="1797">
                  <c:v>3.0146212108537185E-2</c:v>
                </c:pt>
                <c:pt idx="1798">
                  <c:v>3.0141207699410089E-2</c:v>
                </c:pt>
                <c:pt idx="1799">
                  <c:v>3.0136208088205052E-2</c:v>
                </c:pt>
                <c:pt idx="1800">
                  <c:v>3.0131213274922075E-2</c:v>
                </c:pt>
                <c:pt idx="1801">
                  <c:v>3.0126223259481222E-2</c:v>
                </c:pt>
                <c:pt idx="1802">
                  <c:v>3.0121238041802556E-2</c:v>
                </c:pt>
                <c:pt idx="1803">
                  <c:v>3.0116257622205822E-2</c:v>
                </c:pt>
                <c:pt idx="1804">
                  <c:v>3.0111282000371276E-2</c:v>
                </c:pt>
                <c:pt idx="1805">
                  <c:v>3.0106311176378853E-2</c:v>
                </c:pt>
                <c:pt idx="1806">
                  <c:v>3.0101345150308489E-2</c:v>
                </c:pt>
                <c:pt idx="1807">
                  <c:v>3.0096383922000314E-2</c:v>
                </c:pt>
                <c:pt idx="1808">
                  <c:v>3.0091427491614198E-2</c:v>
                </c:pt>
                <c:pt idx="1809">
                  <c:v>3.0086475859150141E-2</c:v>
                </c:pt>
                <c:pt idx="1810">
                  <c:v>3.0081529024528209E-2</c:v>
                </c:pt>
                <c:pt idx="1811">
                  <c:v>3.0076586987748399E-2</c:v>
                </c:pt>
                <c:pt idx="1812">
                  <c:v>3.007164974889065E-2</c:v>
                </c:pt>
                <c:pt idx="1813">
                  <c:v>3.0066717307875024E-2</c:v>
                </c:pt>
                <c:pt idx="1814">
                  <c:v>3.0061789664781458E-2</c:v>
                </c:pt>
                <c:pt idx="1815">
                  <c:v>3.0056866819530015E-2</c:v>
                </c:pt>
                <c:pt idx="1816">
                  <c:v>3.005194877204076E-2</c:v>
                </c:pt>
                <c:pt idx="1817">
                  <c:v>3.0047938665394014E-2</c:v>
                </c:pt>
                <c:pt idx="1818">
                  <c:v>3.0042127070908364E-2</c:v>
                </c:pt>
                <c:pt idx="1819">
                  <c:v>3.0037223417105352E-2</c:v>
                </c:pt>
                <c:pt idx="1820">
                  <c:v>3.0032324561064527E-2</c:v>
                </c:pt>
                <c:pt idx="1821">
                  <c:v>3.0026731743575397E-2</c:v>
                </c:pt>
                <c:pt idx="1822">
                  <c:v>3.0021843168830387E-2</c:v>
                </c:pt>
                <c:pt idx="1823">
                  <c:v>3.0016959391847564E-2</c:v>
                </c:pt>
                <c:pt idx="1824">
                  <c:v>3.0012080412866737E-2</c:v>
                </c:pt>
                <c:pt idx="1825">
                  <c:v>3.0007206231648098E-2</c:v>
                </c:pt>
                <c:pt idx="1826">
                  <c:v>3.0002336848271582E-2</c:v>
                </c:pt>
                <c:pt idx="1827">
                  <c:v>2.9997472262897062E-2</c:v>
                </c:pt>
                <c:pt idx="1828">
                  <c:v>2.9992612475204794E-2</c:v>
                </c:pt>
                <c:pt idx="1829">
                  <c:v>2.9987757485594457E-2</c:v>
                </c:pt>
                <c:pt idx="1830">
                  <c:v>2.9982907293666372E-2</c:v>
                </c:pt>
                <c:pt idx="1831">
                  <c:v>2.9978061899740283E-2</c:v>
                </c:pt>
                <c:pt idx="1832">
                  <c:v>2.9973221303576381E-2</c:v>
                </c:pt>
                <c:pt idx="1833">
                  <c:v>2.9968385505334538E-2</c:v>
                </c:pt>
                <c:pt idx="1834">
                  <c:v>2.996355450493482E-2</c:v>
                </c:pt>
                <c:pt idx="1835">
                  <c:v>2.995872830245716E-2</c:v>
                </c:pt>
                <c:pt idx="1836">
                  <c:v>2.9953906897821625E-2</c:v>
                </c:pt>
                <c:pt idx="1837">
                  <c:v>2.9949090290948277E-2</c:v>
                </c:pt>
                <c:pt idx="1838">
                  <c:v>2.9944278482076925E-2</c:v>
                </c:pt>
                <c:pt idx="1839">
                  <c:v>2.9939471471047696E-2</c:v>
                </c:pt>
                <c:pt idx="1840">
                  <c:v>2.9934669257860591E-2</c:v>
                </c:pt>
                <c:pt idx="1841">
                  <c:v>2.9929871842435674E-2</c:v>
                </c:pt>
                <c:pt idx="1842">
                  <c:v>2.9925079224932816E-2</c:v>
                </c:pt>
                <c:pt idx="1843">
                  <c:v>2.9920291405352017E-2</c:v>
                </c:pt>
                <c:pt idx="1844">
                  <c:v>2.9915508383613343E-2</c:v>
                </c:pt>
                <c:pt idx="1845">
                  <c:v>2.9910730159716792E-2</c:v>
                </c:pt>
                <c:pt idx="1846">
                  <c:v>2.9905956733662364E-2</c:v>
                </c:pt>
                <c:pt idx="1847">
                  <c:v>2.9901188105529997E-2</c:v>
                </c:pt>
                <c:pt idx="1848">
                  <c:v>2.9899128242649731E-2</c:v>
                </c:pt>
                <c:pt idx="1849">
                  <c:v>2.9891665242871568E-2</c:v>
                </c:pt>
                <c:pt idx="1850">
                  <c:v>2.9886911008185635E-2</c:v>
                </c:pt>
                <c:pt idx="1851">
                  <c:v>2.9882161571501697E-2</c:v>
                </c:pt>
                <c:pt idx="1852">
                  <c:v>2.9877416932659884E-2</c:v>
                </c:pt>
                <c:pt idx="1853">
                  <c:v>2.9872677091660194E-2</c:v>
                </c:pt>
                <c:pt idx="1854">
                  <c:v>2.9867942048582563E-2</c:v>
                </c:pt>
                <c:pt idx="1855">
                  <c:v>2.986321180326712E-2</c:v>
                </c:pt>
                <c:pt idx="1856">
                  <c:v>2.9858486355873737E-2</c:v>
                </c:pt>
                <c:pt idx="1857">
                  <c:v>2.9853765706322477E-2</c:v>
                </c:pt>
                <c:pt idx="1858">
                  <c:v>2.9849049854693277E-2</c:v>
                </c:pt>
                <c:pt idx="1859">
                  <c:v>2.9844338800826264E-2</c:v>
                </c:pt>
                <c:pt idx="1860">
                  <c:v>2.9839632544881312E-2</c:v>
                </c:pt>
                <c:pt idx="1861">
                  <c:v>2.9834931086778482E-2</c:v>
                </c:pt>
                <c:pt idx="1862">
                  <c:v>2.9830234426597713E-2</c:v>
                </c:pt>
                <c:pt idx="1863">
                  <c:v>2.9825542564179131E-2</c:v>
                </c:pt>
                <c:pt idx="1864">
                  <c:v>2.9820855499682608E-2</c:v>
                </c:pt>
                <c:pt idx="1865">
                  <c:v>2.9816173233028209E-2</c:v>
                </c:pt>
                <c:pt idx="1866">
                  <c:v>2.9811495764135998E-2</c:v>
                </c:pt>
                <c:pt idx="1867">
                  <c:v>2.9806823093245782E-2</c:v>
                </c:pt>
                <c:pt idx="1868">
                  <c:v>2.9802155220117754E-2</c:v>
                </c:pt>
                <c:pt idx="1869">
                  <c:v>2.9798626961818897E-2</c:v>
                </c:pt>
                <c:pt idx="1870">
                  <c:v>2.9793969284428456E-2</c:v>
                </c:pt>
                <c:pt idx="1871">
                  <c:v>2.9789316405812727E-2</c:v>
                </c:pt>
                <c:pt idx="1872">
                  <c:v>2.9784668325945063E-2</c:v>
                </c:pt>
                <c:pt idx="1873">
                  <c:v>2.978002504485211E-2</c:v>
                </c:pt>
                <c:pt idx="1874">
                  <c:v>2.9775386562533868E-2</c:v>
                </c:pt>
                <c:pt idx="1875">
                  <c:v>2.9770752879016982E-2</c:v>
                </c:pt>
                <c:pt idx="1876">
                  <c:v>2.9767024062954395E-2</c:v>
                </c:pt>
                <c:pt idx="1877">
                  <c:v>2.9761499908227407E-2</c:v>
                </c:pt>
                <c:pt idx="1878">
                  <c:v>2.9756880620981363E-2</c:v>
                </c:pt>
                <c:pt idx="1879">
                  <c:v>2.9752266132536676E-2</c:v>
                </c:pt>
                <c:pt idx="1880">
                  <c:v>2.9748556356390399E-2</c:v>
                </c:pt>
                <c:pt idx="1881">
                  <c:v>2.9743051551891497E-2</c:v>
                </c:pt>
                <c:pt idx="1882">
                  <c:v>2.9738451459717652E-2</c:v>
                </c:pt>
                <c:pt idx="1883">
                  <c:v>2.9733856166318517E-2</c:v>
                </c:pt>
                <c:pt idx="1884">
                  <c:v>2.9729265671694094E-2</c:v>
                </c:pt>
                <c:pt idx="1885">
                  <c:v>2.9724679975844381E-2</c:v>
                </c:pt>
                <c:pt idx="1886">
                  <c:v>2.9720099078742734E-2</c:v>
                </c:pt>
                <c:pt idx="1887">
                  <c:v>2.9715522980389153E-2</c:v>
                </c:pt>
                <c:pt idx="1888">
                  <c:v>2.9710951680810282E-2</c:v>
                </c:pt>
                <c:pt idx="1889">
                  <c:v>2.9706385179979478E-2</c:v>
                </c:pt>
                <c:pt idx="1890">
                  <c:v>2.9701823477950029E-2</c:v>
                </c:pt>
                <c:pt idx="1891">
                  <c:v>2.9697266574668646E-2</c:v>
                </c:pt>
                <c:pt idx="1892">
                  <c:v>2.9692714470108683E-2</c:v>
                </c:pt>
                <c:pt idx="1893">
                  <c:v>2.9688167164350077E-2</c:v>
                </c:pt>
                <c:pt idx="1894">
                  <c:v>2.9684524085145103E-2</c:v>
                </c:pt>
                <c:pt idx="1895">
                  <c:v>2.9679086949103706E-2</c:v>
                </c:pt>
                <c:pt idx="1896">
                  <c:v>2.9674554039615941E-2</c:v>
                </c:pt>
                <c:pt idx="1897">
                  <c:v>2.9670025928876242E-2</c:v>
                </c:pt>
                <c:pt idx="1898">
                  <c:v>2.9665502616884609E-2</c:v>
                </c:pt>
                <c:pt idx="1899">
                  <c:v>2.9660984103694332E-2</c:v>
                </c:pt>
                <c:pt idx="1900">
                  <c:v>2.9652739080017199E-2</c:v>
                </c:pt>
                <c:pt idx="1901">
                  <c:v>2.9648232277885711E-2</c:v>
                </c:pt>
                <c:pt idx="1902">
                  <c:v>2.9643730273436475E-2</c:v>
                </c:pt>
                <c:pt idx="1903">
                  <c:v>2.9639233066909298E-2</c:v>
                </c:pt>
                <c:pt idx="1904">
                  <c:v>2.9634740658304182E-2</c:v>
                </c:pt>
                <c:pt idx="1905">
                  <c:v>2.9630253047541188E-2</c:v>
                </c:pt>
                <c:pt idx="1906">
                  <c:v>2.9625770234460447E-2</c:v>
                </c:pt>
                <c:pt idx="1907">
                  <c:v>2.9621292219461637E-2</c:v>
                </c:pt>
                <c:pt idx="1908">
                  <c:v>2.9616819002145078E-2</c:v>
                </c:pt>
                <c:pt idx="1909">
                  <c:v>2.9611712628820896E-2</c:v>
                </c:pt>
                <c:pt idx="1910">
                  <c:v>2.9607249692720217E-2</c:v>
                </c:pt>
                <c:pt idx="1911">
                  <c:v>2.9602791554301788E-2</c:v>
                </c:pt>
                <c:pt idx="1912">
                  <c:v>2.9598338213965292E-2</c:v>
                </c:pt>
                <c:pt idx="1913">
                  <c:v>2.9593889671311047E-2</c:v>
                </c:pt>
                <c:pt idx="1914">
                  <c:v>2.9589445926578861E-2</c:v>
                </c:pt>
                <c:pt idx="1915">
                  <c:v>2.9585006979688799E-2</c:v>
                </c:pt>
                <c:pt idx="1916">
                  <c:v>2.9580572830640861E-2</c:v>
                </c:pt>
                <c:pt idx="1917">
                  <c:v>2.9576143479514982E-2</c:v>
                </c:pt>
                <c:pt idx="1918">
                  <c:v>2.957261762114971E-2</c:v>
                </c:pt>
                <c:pt idx="1919">
                  <c:v>2.9567299170629724E-2</c:v>
                </c:pt>
                <c:pt idx="1920">
                  <c:v>2.956288421295028E-2</c:v>
                </c:pt>
                <c:pt idx="1921">
                  <c:v>2.9558474053192896E-2</c:v>
                </c:pt>
                <c:pt idx="1922">
                  <c:v>2.9554068691277635E-2</c:v>
                </c:pt>
                <c:pt idx="1923">
                  <c:v>2.9549668127124562E-2</c:v>
                </c:pt>
                <c:pt idx="1924">
                  <c:v>2.9545272360893549E-2</c:v>
                </c:pt>
                <c:pt idx="1925">
                  <c:v>2.9540881392424723E-2</c:v>
                </c:pt>
                <c:pt idx="1926">
                  <c:v>2.9536495221877956E-2</c:v>
                </c:pt>
                <c:pt idx="1927">
                  <c:v>2.953211384925325E-2</c:v>
                </c:pt>
                <c:pt idx="1928">
                  <c:v>2.9527737274390731E-2</c:v>
                </c:pt>
                <c:pt idx="1929">
                  <c:v>2.9523365497370335E-2</c:v>
                </c:pt>
                <c:pt idx="1930">
                  <c:v>2.9518998518271999E-2</c:v>
                </c:pt>
                <c:pt idx="1931">
                  <c:v>2.9514636336855915E-2</c:v>
                </c:pt>
                <c:pt idx="1932">
                  <c:v>2.951027895336189E-2</c:v>
                </c:pt>
                <c:pt idx="1933">
                  <c:v>2.9505926367789925E-2</c:v>
                </c:pt>
                <c:pt idx="1934">
                  <c:v>2.9501578579980148E-2</c:v>
                </c:pt>
                <c:pt idx="1935">
                  <c:v>2.949723559009243E-2</c:v>
                </c:pt>
                <c:pt idx="1936">
                  <c:v>2.94928973979669E-2</c:v>
                </c:pt>
                <c:pt idx="1937">
                  <c:v>2.9488564003763429E-2</c:v>
                </c:pt>
                <c:pt idx="1938">
                  <c:v>2.9484235407402082E-2</c:v>
                </c:pt>
                <c:pt idx="1939">
                  <c:v>2.9479911608882858E-2</c:v>
                </c:pt>
                <c:pt idx="1940">
                  <c:v>2.9475592608205758E-2</c:v>
                </c:pt>
                <c:pt idx="1941">
                  <c:v>2.9471278405290846E-2</c:v>
                </c:pt>
                <c:pt idx="1942">
                  <c:v>2.9466969000297993E-2</c:v>
                </c:pt>
                <c:pt idx="1943">
                  <c:v>2.9462664393147264E-2</c:v>
                </c:pt>
                <c:pt idx="1944">
                  <c:v>2.9458364583838659E-2</c:v>
                </c:pt>
                <c:pt idx="1945">
                  <c:v>2.9454069572372177E-2</c:v>
                </c:pt>
                <c:pt idx="1946">
                  <c:v>2.9449779358667882E-2</c:v>
                </c:pt>
                <c:pt idx="1947">
                  <c:v>2.9445493942965584E-2</c:v>
                </c:pt>
                <c:pt idx="1948">
                  <c:v>2.9441213325025473E-2</c:v>
                </c:pt>
                <c:pt idx="1949">
                  <c:v>2.9436937504847549E-2</c:v>
                </c:pt>
                <c:pt idx="1950">
                  <c:v>2.9432666482591685E-2</c:v>
                </c:pt>
                <c:pt idx="1951">
                  <c:v>2.9428400258177945E-2</c:v>
                </c:pt>
                <c:pt idx="1952">
                  <c:v>2.9424138831606328E-2</c:v>
                </c:pt>
                <c:pt idx="1953">
                  <c:v>2.9419882202956771E-2</c:v>
                </c:pt>
                <c:pt idx="1954">
                  <c:v>2.9415630372149337E-2</c:v>
                </c:pt>
                <c:pt idx="1955">
                  <c:v>2.9411383339024155E-2</c:v>
                </c:pt>
                <c:pt idx="1956">
                  <c:v>2.9407141103900969E-2</c:v>
                </c:pt>
                <c:pt idx="1957">
                  <c:v>2.940290366653997E-2</c:v>
                </c:pt>
                <c:pt idx="1958">
                  <c:v>2.9398671027021095E-2</c:v>
                </c:pt>
                <c:pt idx="1959">
                  <c:v>2.9394443185344343E-2</c:v>
                </c:pt>
                <c:pt idx="1960">
                  <c:v>2.9390220141509715E-2</c:v>
                </c:pt>
                <c:pt idx="1961">
                  <c:v>2.9386001895517211E-2</c:v>
                </c:pt>
                <c:pt idx="1962">
                  <c:v>2.9381788447446766E-2</c:v>
                </c:pt>
                <c:pt idx="1963">
                  <c:v>2.9377579797138509E-2</c:v>
                </c:pt>
                <c:pt idx="1964">
                  <c:v>2.9373375944672375E-2</c:v>
                </c:pt>
                <c:pt idx="1965">
                  <c:v>2.9369176890048365E-2</c:v>
                </c:pt>
                <c:pt idx="1966">
                  <c:v>2.9364982633346415E-2</c:v>
                </c:pt>
                <c:pt idx="1967">
                  <c:v>2.9360793174406652E-2</c:v>
                </c:pt>
                <c:pt idx="1968">
                  <c:v>2.9356608513309013E-2</c:v>
                </c:pt>
                <c:pt idx="1969">
                  <c:v>2.9352428650053497E-2</c:v>
                </c:pt>
                <c:pt idx="1970">
                  <c:v>2.9348253584640105E-2</c:v>
                </c:pt>
                <c:pt idx="1971">
                  <c:v>2.9344083317068836E-2</c:v>
                </c:pt>
                <c:pt idx="1972">
                  <c:v>2.9339917847259755E-2</c:v>
                </c:pt>
                <c:pt idx="1973">
                  <c:v>2.9335757175532606E-2</c:v>
                </c:pt>
                <c:pt idx="1974">
                  <c:v>2.9331601301407773E-2</c:v>
                </c:pt>
                <c:pt idx="1975">
                  <c:v>2.9327450225204998E-2</c:v>
                </c:pt>
                <c:pt idx="1976">
                  <c:v>2.9323303946764412E-2</c:v>
                </c:pt>
                <c:pt idx="1977">
                  <c:v>2.9319162466325821E-2</c:v>
                </c:pt>
                <c:pt idx="1978">
                  <c:v>2.9315025783649418E-2</c:v>
                </c:pt>
                <c:pt idx="1979">
                  <c:v>2.9310893898815138E-2</c:v>
                </c:pt>
                <c:pt idx="1980">
                  <c:v>2.9306766811822982E-2</c:v>
                </c:pt>
                <c:pt idx="1981">
                  <c:v>2.9302644522672949E-2</c:v>
                </c:pt>
                <c:pt idx="1982">
                  <c:v>2.9298527031285104E-2</c:v>
                </c:pt>
                <c:pt idx="1983">
                  <c:v>2.9294414337819319E-2</c:v>
                </c:pt>
                <c:pt idx="1984">
                  <c:v>2.9290306442195657E-2</c:v>
                </c:pt>
                <c:pt idx="1985">
                  <c:v>2.9286203344334183E-2</c:v>
                </c:pt>
                <c:pt idx="1986">
                  <c:v>2.9282105044394768E-2</c:v>
                </c:pt>
                <c:pt idx="1987">
                  <c:v>2.9278011542217541E-2</c:v>
                </c:pt>
                <c:pt idx="1988">
                  <c:v>2.9273922837882438E-2</c:v>
                </c:pt>
                <c:pt idx="1989">
                  <c:v>2.9269838931469394E-2</c:v>
                </c:pt>
                <c:pt idx="1990">
                  <c:v>2.9265759822818538E-2</c:v>
                </c:pt>
                <c:pt idx="1991">
                  <c:v>2.9261685512009805E-2</c:v>
                </c:pt>
                <c:pt idx="1992">
                  <c:v>2.9257615999043196E-2</c:v>
                </c:pt>
                <c:pt idx="1993">
                  <c:v>2.9253551283998647E-2</c:v>
                </c:pt>
                <c:pt idx="1994">
                  <c:v>2.9249491366716285E-2</c:v>
                </c:pt>
                <c:pt idx="1995">
                  <c:v>2.9245436247276047E-2</c:v>
                </c:pt>
                <c:pt idx="1996">
                  <c:v>2.9241385925677932E-2</c:v>
                </c:pt>
                <c:pt idx="1997">
                  <c:v>2.9237340401921941E-2</c:v>
                </c:pt>
                <c:pt idx="1998">
                  <c:v>2.9233299675928137E-2</c:v>
                </c:pt>
                <c:pt idx="1999">
                  <c:v>2.9229263747856393E-2</c:v>
                </c:pt>
                <c:pt idx="2000">
                  <c:v>2.9225232617546837E-2</c:v>
                </c:pt>
                <c:pt idx="2001">
                  <c:v>2.922120628515934E-2</c:v>
                </c:pt>
                <c:pt idx="2002">
                  <c:v>2.9217184750613967E-2</c:v>
                </c:pt>
                <c:pt idx="2003">
                  <c:v>2.9213168013750845E-2</c:v>
                </c:pt>
                <c:pt idx="2004">
                  <c:v>2.9208583332396287E-2</c:v>
                </c:pt>
                <c:pt idx="2005">
                  <c:v>2.9204576876669108E-2</c:v>
                </c:pt>
                <c:pt idx="2006">
                  <c:v>2.9200575218863989E-2</c:v>
                </c:pt>
                <c:pt idx="2007">
                  <c:v>2.9196578358821057E-2</c:v>
                </c:pt>
                <c:pt idx="2008">
                  <c:v>2.9192586296700185E-2</c:v>
                </c:pt>
                <c:pt idx="2009">
                  <c:v>2.9188599032421436E-2</c:v>
                </c:pt>
                <c:pt idx="2010">
                  <c:v>2.9184616565904875E-2</c:v>
                </c:pt>
                <c:pt idx="2011">
                  <c:v>2.9180638897230438E-2</c:v>
                </c:pt>
                <c:pt idx="2012">
                  <c:v>2.9176666026318188E-2</c:v>
                </c:pt>
                <c:pt idx="2013">
                  <c:v>2.9172697953248061E-2</c:v>
                </c:pt>
                <c:pt idx="2014">
                  <c:v>2.9168734678099995E-2</c:v>
                </c:pt>
                <c:pt idx="2015">
                  <c:v>2.9164776200714115E-2</c:v>
                </c:pt>
                <c:pt idx="2016">
                  <c:v>2.9160822521250296E-2</c:v>
                </c:pt>
                <c:pt idx="2017">
                  <c:v>2.9156873639548664E-2</c:v>
                </c:pt>
                <c:pt idx="2018">
                  <c:v>2.9152929555849028E-2</c:v>
                </c:pt>
                <c:pt idx="2019">
                  <c:v>2.9148990269751707E-2</c:v>
                </c:pt>
                <c:pt idx="2020">
                  <c:v>2.9145055781656382E-2</c:v>
                </c:pt>
                <c:pt idx="2021">
                  <c:v>2.9141126091243308E-2</c:v>
                </c:pt>
                <c:pt idx="2022">
                  <c:v>2.9137201198752294E-2</c:v>
                </c:pt>
                <c:pt idx="2023">
                  <c:v>2.9133281104023467E-2</c:v>
                </c:pt>
                <c:pt idx="2024">
                  <c:v>2.9130264816283891E-2</c:v>
                </c:pt>
                <c:pt idx="2025">
                  <c:v>2.9125455308172121E-2</c:v>
                </c:pt>
                <c:pt idx="2026">
                  <c:v>2.9121549606969666E-2</c:v>
                </c:pt>
                <c:pt idx="2027">
                  <c:v>2.9117648703609333E-2</c:v>
                </c:pt>
                <c:pt idx="2028">
                  <c:v>2.9113752598091125E-2</c:v>
                </c:pt>
                <c:pt idx="2029">
                  <c:v>2.910986129041504E-2</c:v>
                </c:pt>
                <c:pt idx="2030">
                  <c:v>2.9105974780581079E-2</c:v>
                </c:pt>
                <c:pt idx="2031">
                  <c:v>2.9102093068509305E-2</c:v>
                </c:pt>
                <c:pt idx="2032">
                  <c:v>2.9098216154279655E-2</c:v>
                </c:pt>
                <c:pt idx="2033">
                  <c:v>2.9094344038052E-2</c:v>
                </c:pt>
                <c:pt idx="2034">
                  <c:v>2.9090476719426661E-2</c:v>
                </c:pt>
                <c:pt idx="2035">
                  <c:v>2.9086614198723382E-2</c:v>
                </c:pt>
                <c:pt idx="2036">
                  <c:v>2.9082756475942162E-2</c:v>
                </c:pt>
                <c:pt idx="2037">
                  <c:v>2.9078903550763258E-2</c:v>
                </c:pt>
                <c:pt idx="2038">
                  <c:v>2.9075055423586349E-2</c:v>
                </c:pt>
                <c:pt idx="2039">
                  <c:v>2.9071212094171628E-2</c:v>
                </c:pt>
                <c:pt idx="2040">
                  <c:v>2.906737356259903E-2</c:v>
                </c:pt>
                <c:pt idx="2041">
                  <c:v>2.9063539828868556E-2</c:v>
                </c:pt>
                <c:pt idx="2042">
                  <c:v>2.9059710892980206E-2</c:v>
                </c:pt>
                <c:pt idx="2043">
                  <c:v>2.9055886754854043E-2</c:v>
                </c:pt>
                <c:pt idx="2044">
                  <c:v>2.9052067414729876E-2</c:v>
                </c:pt>
                <c:pt idx="2045">
                  <c:v>2.9048252872287961E-2</c:v>
                </c:pt>
                <c:pt idx="2046">
                  <c:v>2.9044443127688169E-2</c:v>
                </c:pt>
                <c:pt idx="2047">
                  <c:v>2.90406381809305E-2</c:v>
                </c:pt>
                <c:pt idx="2048">
                  <c:v>2.9036838032014956E-2</c:v>
                </c:pt>
                <c:pt idx="2049">
                  <c:v>2.9033042680941534E-2</c:v>
                </c:pt>
                <c:pt idx="2050">
                  <c:v>2.9029252127550365E-2</c:v>
                </c:pt>
                <c:pt idx="2051">
                  <c:v>2.9025466372161191E-2</c:v>
                </c:pt>
                <c:pt idx="2052">
                  <c:v>2.9021685414534204E-2</c:v>
                </c:pt>
                <c:pt idx="2053">
                  <c:v>2.9017909254749341E-2</c:v>
                </c:pt>
                <c:pt idx="2054">
                  <c:v>2.9014137892806602E-2</c:v>
                </c:pt>
                <c:pt idx="2055">
                  <c:v>2.901037132862605E-2</c:v>
                </c:pt>
                <c:pt idx="2056">
                  <c:v>2.9006072558885876E-2</c:v>
                </c:pt>
                <c:pt idx="2057">
                  <c:v>2.9002316275761331E-2</c:v>
                </c:pt>
                <c:pt idx="2058">
                  <c:v>2.8998564790478909E-2</c:v>
                </c:pt>
                <c:pt idx="2059">
                  <c:v>2.8994818103118547E-2</c:v>
                </c:pt>
                <c:pt idx="2060">
                  <c:v>2.8991076213440437E-2</c:v>
                </c:pt>
                <c:pt idx="2061">
                  <c:v>2.8987339121684386E-2</c:v>
                </c:pt>
                <c:pt idx="2062">
                  <c:v>2.8983606827770458E-2</c:v>
                </c:pt>
                <c:pt idx="2063">
                  <c:v>2.8979879331618719E-2</c:v>
                </c:pt>
                <c:pt idx="2064">
                  <c:v>2.8976156633309103E-2</c:v>
                </c:pt>
                <c:pt idx="2065">
                  <c:v>2.897243873284161E-2</c:v>
                </c:pt>
                <c:pt idx="2066">
                  <c:v>2.8968725630216241E-2</c:v>
                </c:pt>
                <c:pt idx="2067">
                  <c:v>2.896501732535306E-2</c:v>
                </c:pt>
                <c:pt idx="2068">
                  <c:v>2.8961313818411938E-2</c:v>
                </c:pt>
                <c:pt idx="2069">
                  <c:v>2.8957615109233004E-2</c:v>
                </c:pt>
                <c:pt idx="2070">
                  <c:v>2.8953921197896193E-2</c:v>
                </c:pt>
                <c:pt idx="2071">
                  <c:v>2.895023208432157E-2</c:v>
                </c:pt>
                <c:pt idx="2072">
                  <c:v>2.8946547768669006E-2</c:v>
                </c:pt>
                <c:pt idx="2073">
                  <c:v>2.8942868250778631E-2</c:v>
                </c:pt>
                <c:pt idx="2074">
                  <c:v>2.8939193530650442E-2</c:v>
                </c:pt>
                <c:pt idx="2075">
                  <c:v>2.8935523608604186E-2</c:v>
                </c:pt>
                <c:pt idx="2076">
                  <c:v>2.8933137259352648E-2</c:v>
                </c:pt>
                <c:pt idx="2077">
                  <c:v>2.8929477715511354E-2</c:v>
                </c:pt>
                <c:pt idx="2078">
                  <c:v>2.8925822970338189E-2</c:v>
                </c:pt>
                <c:pt idx="2079">
                  <c:v>2.8922173023833153E-2</c:v>
                </c:pt>
                <c:pt idx="2080">
                  <c:v>2.8918527875996247E-2</c:v>
                </c:pt>
                <c:pt idx="2081">
                  <c:v>2.8914887526827471E-2</c:v>
                </c:pt>
                <c:pt idx="2082">
                  <c:v>2.8911251976273533E-2</c:v>
                </c:pt>
                <c:pt idx="2083">
                  <c:v>2.8907621224494306E-2</c:v>
                </c:pt>
                <c:pt idx="2084">
                  <c:v>2.890489673860408E-2</c:v>
                </c:pt>
                <c:pt idx="2085">
                  <c:v>2.890037411678037E-2</c:v>
                </c:pt>
                <c:pt idx="2086">
                  <c:v>2.8896757760952241E-2</c:v>
                </c:pt>
                <c:pt idx="2087">
                  <c:v>2.8893146203792242E-2</c:v>
                </c:pt>
                <c:pt idx="2088">
                  <c:v>2.8890441123459176E-2</c:v>
                </c:pt>
                <c:pt idx="2089">
                  <c:v>2.888593748537005E-2</c:v>
                </c:pt>
                <c:pt idx="2090">
                  <c:v>2.8882340324241085E-2</c:v>
                </c:pt>
                <c:pt idx="2091">
                  <c:v>2.8878747961726958E-2</c:v>
                </c:pt>
                <c:pt idx="2092">
                  <c:v>2.8875160397854316E-2</c:v>
                </c:pt>
                <c:pt idx="2093">
                  <c:v>2.8871577632649803E-2</c:v>
                </c:pt>
                <c:pt idx="2094">
                  <c:v>2.8867999666140065E-2</c:v>
                </c:pt>
                <c:pt idx="2095">
                  <c:v>2.8864426498245166E-2</c:v>
                </c:pt>
                <c:pt idx="2096">
                  <c:v>2.8860858129045042E-2</c:v>
                </c:pt>
                <c:pt idx="2097">
                  <c:v>2.8857294558486402E-2</c:v>
                </c:pt>
                <c:pt idx="2098">
                  <c:v>2.8853735786595891E-2</c:v>
                </c:pt>
                <c:pt idx="2099">
                  <c:v>2.885018181337351E-2</c:v>
                </c:pt>
                <c:pt idx="2100">
                  <c:v>2.8846632638765968E-2</c:v>
                </c:pt>
                <c:pt idx="2101">
                  <c:v>2.8843088262906491E-2</c:v>
                </c:pt>
                <c:pt idx="2102">
                  <c:v>2.8840451155034419E-2</c:v>
                </c:pt>
                <c:pt idx="2103">
                  <c:v>2.88360139070587E-2</c:v>
                </c:pt>
                <c:pt idx="2104">
                  <c:v>2.8832483927123675E-2</c:v>
                </c:pt>
                <c:pt idx="2105">
                  <c:v>2.8828958745830136E-2</c:v>
                </c:pt>
                <c:pt idx="2106">
                  <c:v>2.8825438363204725E-2</c:v>
                </c:pt>
                <c:pt idx="2107">
                  <c:v>2.8821922779220799E-2</c:v>
                </c:pt>
                <c:pt idx="2108">
                  <c:v>2.8818411993931647E-2</c:v>
                </c:pt>
                <c:pt idx="2109">
                  <c:v>2.881490600728398E-2</c:v>
                </c:pt>
                <c:pt idx="2110">
                  <c:v>2.8811404819304443E-2</c:v>
                </c:pt>
                <c:pt idx="2111">
                  <c:v>2.8807908429939744E-2</c:v>
                </c:pt>
                <c:pt idx="2112">
                  <c:v>2.8804416839243174E-2</c:v>
                </c:pt>
                <c:pt idx="2113">
                  <c:v>2.8800930047214734E-2</c:v>
                </c:pt>
                <c:pt idx="2114">
                  <c:v>2.8797448053854424E-2</c:v>
                </c:pt>
                <c:pt idx="2115">
                  <c:v>2.8793970859108953E-2</c:v>
                </c:pt>
                <c:pt idx="2116">
                  <c:v>2.8791401805732253E-2</c:v>
                </c:pt>
                <c:pt idx="2117">
                  <c:v>2.8787030865622398E-2</c:v>
                </c:pt>
                <c:pt idx="2118">
                  <c:v>2.8783568066828025E-2</c:v>
                </c:pt>
                <c:pt idx="2119">
                  <c:v>2.8780110066728426E-2</c:v>
                </c:pt>
                <c:pt idx="2120">
                  <c:v>2.8776656865243666E-2</c:v>
                </c:pt>
                <c:pt idx="2121">
                  <c:v>2.8773208462453681E-2</c:v>
                </c:pt>
                <c:pt idx="2122">
                  <c:v>2.8770668600299754E-2</c:v>
                </c:pt>
                <c:pt idx="2123">
                  <c:v>2.8766326052744873E-2</c:v>
                </c:pt>
                <c:pt idx="2124">
                  <c:v>2.876289204587934E-2</c:v>
                </c:pt>
                <c:pt idx="2125">
                  <c:v>2.8759462837681937E-2</c:v>
                </c:pt>
                <c:pt idx="2126">
                  <c:v>2.8756942444667644E-2</c:v>
                </c:pt>
                <c:pt idx="2127">
                  <c:v>2.8752618817158293E-2</c:v>
                </c:pt>
                <c:pt idx="2128">
                  <c:v>2.8749204004885343E-2</c:v>
                </c:pt>
                <c:pt idx="2129">
                  <c:v>2.8745793991253876E-2</c:v>
                </c:pt>
                <c:pt idx="2130">
                  <c:v>2.8742388776290539E-2</c:v>
                </c:pt>
                <c:pt idx="2131">
                  <c:v>2.8738988359942041E-2</c:v>
                </c:pt>
                <c:pt idx="2132">
                  <c:v>2.8735592742261673E-2</c:v>
                </c:pt>
                <c:pt idx="2133">
                  <c:v>2.8732201923222789E-2</c:v>
                </c:pt>
                <c:pt idx="2134">
                  <c:v>2.8728815902825389E-2</c:v>
                </c:pt>
                <c:pt idx="2135">
                  <c:v>2.8725434681069473E-2</c:v>
                </c:pt>
                <c:pt idx="2136">
                  <c:v>2.8722962989997658E-2</c:v>
                </c:pt>
                <c:pt idx="2137">
                  <c:v>2.8718686633508739E-2</c:v>
                </c:pt>
                <c:pt idx="2138">
                  <c:v>2.8715319807677275E-2</c:v>
                </c:pt>
                <c:pt idx="2139">
                  <c:v>2.8711957780513941E-2</c:v>
                </c:pt>
                <c:pt idx="2140">
                  <c:v>2.8709505581789863E-2</c:v>
                </c:pt>
                <c:pt idx="2141">
                  <c:v>2.8705248122085081E-2</c:v>
                </c:pt>
                <c:pt idx="2142">
                  <c:v>2.8701900490819554E-2</c:v>
                </c:pt>
                <c:pt idx="2143">
                  <c:v>2.8698557658248802E-2</c:v>
                </c:pt>
                <c:pt idx="2144">
                  <c:v>2.8695219624266244E-2</c:v>
                </c:pt>
                <c:pt idx="2145">
                  <c:v>2.869188638892517E-2</c:v>
                </c:pt>
                <c:pt idx="2146">
                  <c:v>2.868855795227887E-2</c:v>
                </c:pt>
                <c:pt idx="2147">
                  <c:v>2.8685234314167474E-2</c:v>
                </c:pt>
                <c:pt idx="2148">
                  <c:v>2.8681915474830788E-2</c:v>
                </c:pt>
                <c:pt idx="2149">
                  <c:v>2.8678601434029005E-2</c:v>
                </c:pt>
                <c:pt idx="2150">
                  <c:v>2.8675292191948643E-2</c:v>
                </c:pt>
                <c:pt idx="2151">
                  <c:v>2.8671987748429828E-2</c:v>
                </c:pt>
                <c:pt idx="2152">
                  <c:v>2.8668688103579143E-2</c:v>
                </c:pt>
                <c:pt idx="2153">
                  <c:v>2.8665393257369942E-2</c:v>
                </c:pt>
                <c:pt idx="2154">
                  <c:v>2.8663009333977918E-2</c:v>
                </c:pt>
                <c:pt idx="2155">
                  <c:v>2.8658817960849348E-2</c:v>
                </c:pt>
                <c:pt idx="2156">
                  <c:v>2.8655537510564599E-2</c:v>
                </c:pt>
                <c:pt idx="2157">
                  <c:v>2.865226185889469E-2</c:v>
                </c:pt>
                <c:pt idx="2158">
                  <c:v>2.8648991005839619E-2</c:v>
                </c:pt>
                <c:pt idx="2159">
                  <c:v>2.8645724951479323E-2</c:v>
                </c:pt>
                <c:pt idx="2160">
                  <c:v>2.8639254344282605E-2</c:v>
                </c:pt>
                <c:pt idx="2161">
                  <c:v>2.8635999775987742E-2</c:v>
                </c:pt>
                <c:pt idx="2162">
                  <c:v>2.8632750005375129E-2</c:v>
                </c:pt>
                <c:pt idx="2163">
                  <c:v>2.8629505032764513E-2</c:v>
                </c:pt>
                <c:pt idx="2164">
                  <c:v>2.862626485799602E-2</c:v>
                </c:pt>
                <c:pt idx="2165">
                  <c:v>2.8623029481069651E-2</c:v>
                </c:pt>
                <c:pt idx="2166">
                  <c:v>2.8619798901745597E-2</c:v>
                </c:pt>
                <c:pt idx="2167">
                  <c:v>2.8616573120423539E-2</c:v>
                </c:pt>
                <c:pt idx="2168">
                  <c:v>2.8613352136863668E-2</c:v>
                </c:pt>
                <c:pt idx="2169">
                  <c:v>2.8609676887558777E-2</c:v>
                </c:pt>
                <c:pt idx="2170">
                  <c:v>2.8606466184974977E-2</c:v>
                </c:pt>
                <c:pt idx="2171">
                  <c:v>2.8603260280153364E-2</c:v>
                </c:pt>
                <c:pt idx="2172">
                  <c:v>2.8600059173333747E-2</c:v>
                </c:pt>
                <c:pt idx="2173">
                  <c:v>2.8596862864116446E-2</c:v>
                </c:pt>
                <c:pt idx="2174">
                  <c:v>2.8593671352741268E-2</c:v>
                </c:pt>
                <c:pt idx="2175">
                  <c:v>2.8590484639208213E-2</c:v>
                </c:pt>
                <c:pt idx="2176">
                  <c:v>2.8587302723677155E-2</c:v>
                </c:pt>
                <c:pt idx="2177">
                  <c:v>2.8584125605668476E-2</c:v>
                </c:pt>
                <c:pt idx="2178">
                  <c:v>2.858186141207586E-2</c:v>
                </c:pt>
                <c:pt idx="2179">
                  <c:v>2.8577785763257424E-2</c:v>
                </c:pt>
                <c:pt idx="2180">
                  <c:v>2.8574623038934988E-2</c:v>
                </c:pt>
                <c:pt idx="2181">
                  <c:v>2.8571465112294803E-2</c:v>
                </c:pt>
                <c:pt idx="2182">
                  <c:v>2.8568311983336869E-2</c:v>
                </c:pt>
                <c:pt idx="2183">
                  <c:v>2.8565163652380932E-2</c:v>
                </c:pt>
                <c:pt idx="2184">
                  <c:v>2.8562020119107245E-2</c:v>
                </c:pt>
                <c:pt idx="2185">
                  <c:v>2.8558881383675683E-2</c:v>
                </c:pt>
                <c:pt idx="2186">
                  <c:v>2.8555747446006308E-2</c:v>
                </c:pt>
                <c:pt idx="2187">
                  <c:v>2.8552618306338928E-2</c:v>
                </c:pt>
                <c:pt idx="2188">
                  <c:v>2.85494939643538E-2</c:v>
                </c:pt>
                <c:pt idx="2189">
                  <c:v>2.854637442013086E-2</c:v>
                </c:pt>
                <c:pt idx="2190">
                  <c:v>2.8543259673750043E-2</c:v>
                </c:pt>
                <c:pt idx="2191">
                  <c:v>2.854014972521135E-2</c:v>
                </c:pt>
                <c:pt idx="2192">
                  <c:v>2.853704457451478E-2</c:v>
                </c:pt>
                <c:pt idx="2193">
                  <c:v>2.8533944221420526E-2</c:v>
                </c:pt>
                <c:pt idx="2194">
                  <c:v>2.8530848666408204E-2</c:v>
                </c:pt>
                <c:pt idx="2195">
                  <c:v>2.8527757909078133E-2</c:v>
                </c:pt>
                <c:pt idx="2196">
                  <c:v>2.852467194951025E-2</c:v>
                </c:pt>
                <c:pt idx="2197">
                  <c:v>2.852159078778449E-2</c:v>
                </c:pt>
                <c:pt idx="2198">
                  <c:v>2.8518514423900854E-2</c:v>
                </c:pt>
                <c:pt idx="2199">
                  <c:v>2.8515442857699469E-2</c:v>
                </c:pt>
                <c:pt idx="2200">
                  <c:v>2.8512376089420144E-2</c:v>
                </c:pt>
                <c:pt idx="2201">
                  <c:v>2.8509314119062878E-2</c:v>
                </c:pt>
                <c:pt idx="2202">
                  <c:v>2.8506256946307929E-2</c:v>
                </c:pt>
                <c:pt idx="2203">
                  <c:v>2.8503204571315166E-2</c:v>
                </c:pt>
                <c:pt idx="2204">
                  <c:v>2.8500156994324399E-2</c:v>
                </c:pt>
                <c:pt idx="2205">
                  <c:v>2.849711421509582E-2</c:v>
                </c:pt>
                <c:pt idx="2206">
                  <c:v>2.8494076233709364E-2</c:v>
                </c:pt>
                <c:pt idx="2207">
                  <c:v>2.8491043049925224E-2</c:v>
                </c:pt>
                <c:pt idx="2208">
                  <c:v>2.8488014664223016E-2</c:v>
                </c:pt>
                <c:pt idx="2209">
                  <c:v>2.8484991076123123E-2</c:v>
                </c:pt>
                <c:pt idx="2210">
                  <c:v>2.8481972285865353E-2</c:v>
                </c:pt>
                <c:pt idx="2211">
                  <c:v>2.8478958293449708E-2</c:v>
                </c:pt>
                <c:pt idx="2212">
                  <c:v>2.8475949098796249E-2</c:v>
                </c:pt>
                <c:pt idx="2213">
                  <c:v>2.8472944702064851E-2</c:v>
                </c:pt>
                <c:pt idx="2214">
                  <c:v>2.8469945103015704E-2</c:v>
                </c:pt>
                <c:pt idx="2215">
                  <c:v>2.846695030180868E-2</c:v>
                </c:pt>
                <c:pt idx="2216">
                  <c:v>2.8463960298363844E-2</c:v>
                </c:pt>
                <c:pt idx="2217">
                  <c:v>2.8460975092841068E-2</c:v>
                </c:pt>
                <c:pt idx="2218">
                  <c:v>2.8457994684920607E-2</c:v>
                </c:pt>
                <c:pt idx="2219">
                  <c:v>2.8455019075082078E-2</c:v>
                </c:pt>
                <c:pt idx="2220">
                  <c:v>2.84520482629258E-2</c:v>
                </c:pt>
                <c:pt idx="2221">
                  <c:v>2.8449082248451774E-2</c:v>
                </c:pt>
                <c:pt idx="2222">
                  <c:v>2.8446121031899807E-2</c:v>
                </c:pt>
                <c:pt idx="2223">
                  <c:v>2.8443164613189964E-2</c:v>
                </c:pt>
                <c:pt idx="2224">
                  <c:v>2.8440212992242309E-2</c:v>
                </c:pt>
                <c:pt idx="2225">
                  <c:v>2.8437266168976905E-2</c:v>
                </c:pt>
                <c:pt idx="2226">
                  <c:v>2.8434324143713496E-2</c:v>
                </c:pt>
                <c:pt idx="2227">
                  <c:v>2.8431386916212276E-2</c:v>
                </c:pt>
                <c:pt idx="2228">
                  <c:v>2.8428454486473242E-2</c:v>
                </c:pt>
                <c:pt idx="2229">
                  <c:v>2.8425526854416461E-2</c:v>
                </c:pt>
                <c:pt idx="2230">
                  <c:v>2.8422593362966708E-2</c:v>
                </c:pt>
                <c:pt idx="2231">
                  <c:v>2.8419631057285955E-2</c:v>
                </c:pt>
                <c:pt idx="2232">
                  <c:v>2.8416639117789799E-2</c:v>
                </c:pt>
                <c:pt idx="2233">
                  <c:v>2.8413617544558178E-2</c:v>
                </c:pt>
                <c:pt idx="2234">
                  <c:v>2.8410566337591092E-2</c:v>
                </c:pt>
                <c:pt idx="2235">
                  <c:v>2.8407485496568796E-2</c:v>
                </c:pt>
                <c:pt idx="2236">
                  <c:v>2.8404375021890971E-2</c:v>
                </c:pt>
                <c:pt idx="2237">
                  <c:v>2.8401234913237872E-2</c:v>
                </c:pt>
                <c:pt idx="2238">
                  <c:v>2.8398065170929243E-2</c:v>
                </c:pt>
                <c:pt idx="2239">
                  <c:v>2.8394865794725277E-2</c:v>
                </c:pt>
                <c:pt idx="2240">
                  <c:v>2.8391636784625973E-2</c:v>
                </c:pt>
                <c:pt idx="2241">
                  <c:v>2.8388378140631332E-2</c:v>
                </c:pt>
                <c:pt idx="2242">
                  <c:v>2.8385089862901225E-2</c:v>
                </c:pt>
                <c:pt idx="2243">
                  <c:v>2.8381771951355717E-2</c:v>
                </c:pt>
                <c:pt idx="2244">
                  <c:v>2.8378424405994807E-2</c:v>
                </c:pt>
                <c:pt idx="2245">
                  <c:v>2.8375047226738559E-2</c:v>
                </c:pt>
                <c:pt idx="2246">
                  <c:v>2.8371640413746846E-2</c:v>
                </c:pt>
                <c:pt idx="2247">
                  <c:v>2.8368203966779859E-2</c:v>
                </c:pt>
                <c:pt idx="2248">
                  <c:v>2.8364737886237279E-2</c:v>
                </c:pt>
                <c:pt idx="2249">
                  <c:v>2.8361242171719425E-2</c:v>
                </c:pt>
                <c:pt idx="2250">
                  <c:v>2.8357716823306234E-2</c:v>
                </c:pt>
                <c:pt idx="2251">
                  <c:v>2.8354161841157577E-2</c:v>
                </c:pt>
                <c:pt idx="2252">
                  <c:v>2.8350577225193518E-2</c:v>
                </c:pt>
                <c:pt idx="2253">
                  <c:v>2.8346962975414058E-2</c:v>
                </c:pt>
                <c:pt idx="2254">
                  <c:v>2.8343319091819197E-2</c:v>
                </c:pt>
                <c:pt idx="2255">
                  <c:v>2.833964557448887E-2</c:v>
                </c:pt>
                <c:pt idx="2256">
                  <c:v>2.8335942423183269E-2</c:v>
                </c:pt>
                <c:pt idx="2257">
                  <c:v>2.8332209638222139E-2</c:v>
                </c:pt>
                <c:pt idx="2258">
                  <c:v>2.8328447219205799E-2</c:v>
                </c:pt>
                <c:pt idx="2259">
                  <c:v>2.832465516653393E-2</c:v>
                </c:pt>
                <c:pt idx="2260">
                  <c:v>2.8320833480206531E-2</c:v>
                </c:pt>
                <c:pt idx="2261">
                  <c:v>2.8316982159823922E-2</c:v>
                </c:pt>
                <c:pt idx="2262">
                  <c:v>2.8313101205705848E-2</c:v>
                </c:pt>
                <c:pt idx="2263">
                  <c:v>2.8309190617772373E-2</c:v>
                </c:pt>
                <c:pt idx="2264">
                  <c:v>2.8305250396023496E-2</c:v>
                </c:pt>
                <c:pt idx="2265">
                  <c:v>2.8301280540379281E-2</c:v>
                </c:pt>
                <c:pt idx="2266">
                  <c:v>2.8297281051159473E-2</c:v>
                </c:pt>
                <c:pt idx="2267">
                  <c:v>2.8293251928124263E-2</c:v>
                </c:pt>
                <c:pt idx="2268">
                  <c:v>2.8289193171033844E-2</c:v>
                </c:pt>
                <c:pt idx="2269">
                  <c:v>2.8285104780287895E-2</c:v>
                </c:pt>
                <c:pt idx="2270">
                  <c:v>2.8280986755806481E-2</c:v>
                </c:pt>
                <c:pt idx="2271">
                  <c:v>2.8276839097429729E-2</c:v>
                </c:pt>
                <c:pt idx="2272">
                  <c:v>2.8272661805157639E-2</c:v>
                </c:pt>
                <c:pt idx="2273">
                  <c:v>2.8268454879309957E-2</c:v>
                </c:pt>
                <c:pt idx="2274">
                  <c:v>2.8264218319487E-2</c:v>
                </c:pt>
                <c:pt idx="2275">
                  <c:v>2.825995212608845E-2</c:v>
                </c:pt>
                <c:pt idx="2276">
                  <c:v>2.825565629863469E-2</c:v>
                </c:pt>
                <c:pt idx="2277">
                  <c:v>2.8251330837445465E-2</c:v>
                </c:pt>
                <c:pt idx="2278">
                  <c:v>2.8246975742600711E-2</c:v>
                </c:pt>
                <c:pt idx="2279">
                  <c:v>2.8242591013860618E-2</c:v>
                </c:pt>
                <c:pt idx="2280">
                  <c:v>2.8238176651225189E-2</c:v>
                </c:pt>
                <c:pt idx="2281">
                  <c:v>2.8233732655014165E-2</c:v>
                </c:pt>
                <c:pt idx="2282">
                  <c:v>2.8229259024907805E-2</c:v>
                </c:pt>
                <c:pt idx="2283">
                  <c:v>2.8224755760986042E-2</c:v>
                </c:pt>
                <c:pt idx="2284">
                  <c:v>2.8220222863328814E-2</c:v>
                </c:pt>
                <c:pt idx="2285">
                  <c:v>2.8215660331776249E-2</c:v>
                </c:pt>
                <c:pt idx="2286">
                  <c:v>2.8211068166488218E-2</c:v>
                </c:pt>
                <c:pt idx="2287">
                  <c:v>2.8206446367544658E-2</c:v>
                </c:pt>
                <c:pt idx="2288">
                  <c:v>2.8201794934705759E-2</c:v>
                </c:pt>
                <c:pt idx="2289">
                  <c:v>2.8197113868211332E-2</c:v>
                </c:pt>
                <c:pt idx="2290">
                  <c:v>2.8192403167741631E-2</c:v>
                </c:pt>
                <c:pt idx="2291">
                  <c:v>2.81876628336164E-2</c:v>
                </c:pt>
                <c:pt idx="2292">
                  <c:v>2.8182892865755704E-2</c:v>
                </c:pt>
                <c:pt idx="2293">
                  <c:v>2.8178093263999671E-2</c:v>
                </c:pt>
                <c:pt idx="2294">
                  <c:v>2.8173264028428235E-2</c:v>
                </c:pt>
                <c:pt idx="2295">
                  <c:v>2.8168405159281207E-2</c:v>
                </c:pt>
                <c:pt idx="2296">
                  <c:v>2.8163516656078968E-2</c:v>
                </c:pt>
                <c:pt idx="2297">
                  <c:v>2.8158598519301137E-2</c:v>
                </c:pt>
                <c:pt idx="2298">
                  <c:v>2.8153650748707904E-2</c:v>
                </c:pt>
                <c:pt idx="2299">
                  <c:v>2.8148673344459141E-2</c:v>
                </c:pt>
                <c:pt idx="2300">
                  <c:v>2.8143666306235104E-2</c:v>
                </c:pt>
                <c:pt idx="2301">
                  <c:v>2.8138629634355539E-2</c:v>
                </c:pt>
                <c:pt idx="2302">
                  <c:v>2.8133563328740507E-2</c:v>
                </c:pt>
                <c:pt idx="2303">
                  <c:v>2.8128467389390011E-2</c:v>
                </c:pt>
                <c:pt idx="2304">
                  <c:v>2.8123341816144176E-2</c:v>
                </c:pt>
                <c:pt idx="2305">
                  <c:v>2.8118186609162876E-2</c:v>
                </c:pt>
                <c:pt idx="2306">
                  <c:v>2.8113001768526047E-2</c:v>
                </c:pt>
                <c:pt idx="2307">
                  <c:v>2.8107787294073816E-2</c:v>
                </c:pt>
                <c:pt idx="2308">
                  <c:v>2.8102543185806184E-2</c:v>
                </c:pt>
                <c:pt idx="2309">
                  <c:v>2.8097269443803086E-2</c:v>
                </c:pt>
                <c:pt idx="2310">
                  <c:v>2.8091966068144458E-2</c:v>
                </c:pt>
                <c:pt idx="2311">
                  <c:v>2.8086633058670429E-2</c:v>
                </c:pt>
                <c:pt idx="2312">
                  <c:v>2.8081270415380999E-2</c:v>
                </c:pt>
                <c:pt idx="2313">
                  <c:v>2.8075878138356103E-2</c:v>
                </c:pt>
                <c:pt idx="2314">
                  <c:v>2.8070456227595741E-2</c:v>
                </c:pt>
                <c:pt idx="2315">
                  <c:v>2.8065004683019978E-2</c:v>
                </c:pt>
                <c:pt idx="2316">
                  <c:v>2.805873806035919E-2</c:v>
                </c:pt>
                <c:pt idx="2317">
                  <c:v>2.8053223014898876E-2</c:v>
                </c:pt>
                <c:pt idx="2318">
                  <c:v>2.8047678335862969E-2</c:v>
                </c:pt>
                <c:pt idx="2319">
                  <c:v>2.804210402301166E-2</c:v>
                </c:pt>
                <c:pt idx="2320">
                  <c:v>2.803650007634495E-2</c:v>
                </c:pt>
                <c:pt idx="2321">
                  <c:v>2.8030866495862838E-2</c:v>
                </c:pt>
                <c:pt idx="2322">
                  <c:v>2.8025203281805133E-2</c:v>
                </c:pt>
                <c:pt idx="2323">
                  <c:v>2.8019510434011963E-2</c:v>
                </c:pt>
                <c:pt idx="2324">
                  <c:v>2.8013787952323455E-2</c:v>
                </c:pt>
                <c:pt idx="2325">
                  <c:v>2.8008035837219225E-2</c:v>
                </c:pt>
                <c:pt idx="2326">
                  <c:v>2.8002254088059786E-2</c:v>
                </c:pt>
                <c:pt idx="2327">
                  <c:v>2.7996442705404689E-2</c:v>
                </c:pt>
                <c:pt idx="2328">
                  <c:v>2.7990601688774319E-2</c:v>
                </c:pt>
                <c:pt idx="2329">
                  <c:v>2.7984731038648292E-2</c:v>
                </c:pt>
                <c:pt idx="2330">
                  <c:v>2.7978830754626927E-2</c:v>
                </c:pt>
                <c:pt idx="2331">
                  <c:v>2.7972900836950032E-2</c:v>
                </c:pt>
                <c:pt idx="2332">
                  <c:v>2.7966941285457736E-2</c:v>
                </c:pt>
                <c:pt idx="2333">
                  <c:v>2.7960952100389846E-2</c:v>
                </c:pt>
                <c:pt idx="2334">
                  <c:v>2.7954933281586491E-2</c:v>
                </c:pt>
                <c:pt idx="2335">
                  <c:v>2.7948884828967735E-2</c:v>
                </c:pt>
                <c:pt idx="2336">
                  <c:v>2.7943455795385042E-2</c:v>
                </c:pt>
                <c:pt idx="2337">
                  <c:v>2.7936699022603761E-2</c:v>
                </c:pt>
                <c:pt idx="2338">
                  <c:v>2.7930561668938481E-2</c:v>
                </c:pt>
                <c:pt idx="2339">
                  <c:v>2.7924394681377862E-2</c:v>
                </c:pt>
                <c:pt idx="2340">
                  <c:v>2.7918198060321586E-2</c:v>
                </c:pt>
                <c:pt idx="2341">
                  <c:v>2.7911971805529845E-2</c:v>
                </c:pt>
                <c:pt idx="2342">
                  <c:v>2.790571591676283E-2</c:v>
                </c:pt>
                <c:pt idx="2343">
                  <c:v>2.7899430394500158E-2</c:v>
                </c:pt>
                <c:pt idx="2344">
                  <c:v>2.7893115238581956E-2</c:v>
                </c:pt>
                <c:pt idx="2345">
                  <c:v>2.7886770448848353E-2</c:v>
                </c:pt>
                <c:pt idx="2346">
                  <c:v>2.7880396025299348E-2</c:v>
                </c:pt>
                <c:pt idx="2347">
                  <c:v>2.7873991968414558E-2</c:v>
                </c:pt>
                <c:pt idx="2348">
                  <c:v>2.7867558277554494E-2</c:v>
                </c:pt>
                <c:pt idx="2349">
                  <c:v>2.7861094952958965E-2</c:v>
                </c:pt>
                <c:pt idx="2350">
                  <c:v>2.7854601994787842E-2</c:v>
                </c:pt>
                <c:pt idx="2351">
                  <c:v>2.7848079402801318E-2</c:v>
                </c:pt>
                <c:pt idx="2352">
                  <c:v>2.7841527177319136E-2</c:v>
                </c:pt>
                <c:pt idx="2353">
                  <c:v>2.7834945317941617E-2</c:v>
                </c:pt>
                <c:pt idx="2354">
                  <c:v>2.7828333825068441E-2</c:v>
                </c:pt>
                <c:pt idx="2355">
                  <c:v>2.7821692698379863E-2</c:v>
                </c:pt>
                <c:pt idx="2356">
                  <c:v>2.7815021937955819E-2</c:v>
                </c:pt>
                <c:pt idx="2357">
                  <c:v>2.780832154379631E-2</c:v>
                </c:pt>
                <c:pt idx="2358">
                  <c:v>2.780159151622108E-2</c:v>
                </c:pt>
                <c:pt idx="2359">
                  <c:v>2.7794831854830448E-2</c:v>
                </c:pt>
                <c:pt idx="2360">
                  <c:v>2.7788042559624415E-2</c:v>
                </c:pt>
                <c:pt idx="2361">
                  <c:v>2.7781223630842788E-2</c:v>
                </c:pt>
                <c:pt idx="2362">
                  <c:v>2.7774375068485568E-2</c:v>
                </c:pt>
                <c:pt idx="2363">
                  <c:v>2.7767496872233011E-2</c:v>
                </c:pt>
                <c:pt idx="2364">
                  <c:v>2.7760589042484796E-2</c:v>
                </c:pt>
                <c:pt idx="2365">
                  <c:v>2.7753651579081051E-2</c:v>
                </c:pt>
                <c:pt idx="2366">
                  <c:v>2.7746684481861905E-2</c:v>
                </c:pt>
                <c:pt idx="2367">
                  <c:v>2.773968775098723E-2</c:v>
                </c:pt>
                <c:pt idx="2368">
                  <c:v>2.7733226450252779E-2</c:v>
                </c:pt>
                <c:pt idx="2369">
                  <c:v>2.7725605388511099E-2</c:v>
                </c:pt>
                <c:pt idx="2370">
                  <c:v>2.7718519756669835E-2</c:v>
                </c:pt>
                <c:pt idx="2371">
                  <c:v>2.7711404491093106E-2</c:v>
                </c:pt>
                <c:pt idx="2372">
                  <c:v>2.7704259592020719E-2</c:v>
                </c:pt>
                <c:pt idx="2373">
                  <c:v>2.7697085059212867E-2</c:v>
                </c:pt>
                <c:pt idx="2374">
                  <c:v>2.7689880892749485E-2</c:v>
                </c:pt>
                <c:pt idx="2375">
                  <c:v>2.7682647092630575E-2</c:v>
                </c:pt>
                <c:pt idx="2376">
                  <c:v>2.767538365893607E-2</c:v>
                </c:pt>
                <c:pt idx="2377">
                  <c:v>2.76680905915061E-2</c:v>
                </c:pt>
                <c:pt idx="2378">
                  <c:v>2.7660767890420601E-2</c:v>
                </c:pt>
                <c:pt idx="2379">
                  <c:v>2.7653415555679572E-2</c:v>
                </c:pt>
                <c:pt idx="2380">
                  <c:v>2.7646033587283014E-2</c:v>
                </c:pt>
                <c:pt idx="2381">
                  <c:v>2.7638621985390799E-2</c:v>
                </c:pt>
                <c:pt idx="2382">
                  <c:v>2.7631180749683182E-2</c:v>
                </c:pt>
                <c:pt idx="2383">
                  <c:v>2.7623709880399971E-2</c:v>
                </c:pt>
                <c:pt idx="2384">
                  <c:v>2.7616209377461232E-2</c:v>
                </c:pt>
                <c:pt idx="2385">
                  <c:v>2.7608679240946898E-2</c:v>
                </c:pt>
                <c:pt idx="2386">
                  <c:v>2.76011194706971E-2</c:v>
                </c:pt>
                <c:pt idx="2387">
                  <c:v>2.7593530066871708E-2</c:v>
                </c:pt>
                <c:pt idx="2388">
                  <c:v>2.7585911029390786E-2</c:v>
                </c:pt>
                <c:pt idx="2389">
                  <c:v>2.7578771107257261E-2</c:v>
                </c:pt>
                <c:pt idx="2390">
                  <c:v>2.7570584053462355E-2</c:v>
                </c:pt>
                <c:pt idx="2391">
                  <c:v>2.7562876115174717E-2</c:v>
                </c:pt>
                <c:pt idx="2392">
                  <c:v>2.755513854323155E-2</c:v>
                </c:pt>
                <c:pt idx="2393">
                  <c:v>2.7546259317876576E-2</c:v>
                </c:pt>
                <c:pt idx="2394">
                  <c:v>2.753845824520873E-2</c:v>
                </c:pt>
                <c:pt idx="2395">
                  <c:v>2.7530627538965291E-2</c:v>
                </c:pt>
                <c:pt idx="2396">
                  <c:v>2.7522767199146259E-2</c:v>
                </c:pt>
                <c:pt idx="2397">
                  <c:v>2.7514877225831569E-2</c:v>
                </c:pt>
                <c:pt idx="2398">
                  <c:v>2.7506957618541605E-2</c:v>
                </c:pt>
                <c:pt idx="2399">
                  <c:v>2.7499008378075729E-2</c:v>
                </c:pt>
                <c:pt idx="2400">
                  <c:v>2.7491029503794451E-2</c:v>
                </c:pt>
                <c:pt idx="2401">
                  <c:v>2.7483020995857643E-2</c:v>
                </c:pt>
                <c:pt idx="2402">
                  <c:v>2.7474982854345242E-2</c:v>
                </c:pt>
                <c:pt idx="2403">
                  <c:v>2.746691507941712E-2</c:v>
                </c:pt>
                <c:pt idx="2404">
                  <c:v>2.7458817670673596E-2</c:v>
                </c:pt>
                <c:pt idx="2405">
                  <c:v>2.7450690628354479E-2</c:v>
                </c:pt>
                <c:pt idx="2406">
                  <c:v>2.7442533952619641E-2</c:v>
                </c:pt>
                <c:pt idx="2407">
                  <c:v>2.7434347642989465E-2</c:v>
                </c:pt>
                <c:pt idx="2408">
                  <c:v>2.7426131699943568E-2</c:v>
                </c:pt>
                <c:pt idx="2409">
                  <c:v>2.7417886123242141E-2</c:v>
                </c:pt>
                <c:pt idx="2410">
                  <c:v>2.7409610913124993E-2</c:v>
                </c:pt>
                <c:pt idx="2411">
                  <c:v>2.740130606927238E-2</c:v>
                </c:pt>
                <c:pt idx="2412">
                  <c:v>2.7392971591844173E-2</c:v>
                </c:pt>
                <c:pt idx="2413">
                  <c:v>2.7384607480840373E-2</c:v>
                </c:pt>
                <c:pt idx="2414">
                  <c:v>2.7376213736420851E-2</c:v>
                </c:pt>
                <c:pt idx="2415">
                  <c:v>2.7367790358265864E-2</c:v>
                </c:pt>
                <c:pt idx="2416">
                  <c:v>2.7359337346375412E-2</c:v>
                </c:pt>
                <c:pt idx="2417">
                  <c:v>2.7350854701149174E-2</c:v>
                </c:pt>
                <c:pt idx="2418">
                  <c:v>2.7342342422267407E-2</c:v>
                </c:pt>
                <c:pt idx="2419">
                  <c:v>2.7333800509730111E-2</c:v>
                </c:pt>
                <c:pt idx="2420">
                  <c:v>2.7326498826012457E-2</c:v>
                </c:pt>
                <c:pt idx="2421">
                  <c:v>2.7316627784248482E-2</c:v>
                </c:pt>
                <c:pt idx="2422">
                  <c:v>2.7307996971064341E-2</c:v>
                </c:pt>
                <c:pt idx="2423">
                  <c:v>2.7299336524304607E-2</c:v>
                </c:pt>
                <c:pt idx="2424">
                  <c:v>2.7290646444129152E-2</c:v>
                </c:pt>
                <c:pt idx="2425">
                  <c:v>2.7281926730298167E-2</c:v>
                </c:pt>
                <c:pt idx="2426">
                  <c:v>2.7273177382971525E-2</c:v>
                </c:pt>
                <c:pt idx="2427">
                  <c:v>2.7264398401909418E-2</c:v>
                </c:pt>
                <c:pt idx="2428">
                  <c:v>2.7255589787591461E-2</c:v>
                </c:pt>
                <c:pt idx="2429">
                  <c:v>2.7246751539617975E-2</c:v>
                </c:pt>
                <c:pt idx="2430">
                  <c:v>2.7237883657909023E-2</c:v>
                </c:pt>
                <c:pt idx="2431">
                  <c:v>2.7228986142864287E-2</c:v>
                </c:pt>
                <c:pt idx="2432">
                  <c:v>2.7220058994323892E-2</c:v>
                </c:pt>
                <c:pt idx="2433">
                  <c:v>2.7211102212127969E-2</c:v>
                </c:pt>
                <c:pt idx="2434">
                  <c:v>2.720211579619658E-2</c:v>
                </c:pt>
                <c:pt idx="2435">
                  <c:v>2.7193099747089278E-2</c:v>
                </c:pt>
                <c:pt idx="2436">
                  <c:v>2.718405406424651E-2</c:v>
                </c:pt>
                <c:pt idx="2437">
                  <c:v>2.7174978747988021E-2</c:v>
                </c:pt>
                <c:pt idx="2438">
                  <c:v>2.7165873798153939E-2</c:v>
                </c:pt>
                <c:pt idx="2439">
                  <c:v>2.7156739214744263E-2</c:v>
                </c:pt>
                <c:pt idx="2440">
                  <c:v>2.7147574997758994E-2</c:v>
                </c:pt>
                <c:pt idx="2441">
                  <c:v>2.7137794153384576E-2</c:v>
                </c:pt>
                <c:pt idx="2442">
                  <c:v>2.712856081116044E-2</c:v>
                </c:pt>
                <c:pt idx="2443">
                  <c:v>2.7119297831390554E-2</c:v>
                </c:pt>
                <c:pt idx="2444">
                  <c:v>2.7110005214181498E-2</c:v>
                </c:pt>
                <c:pt idx="2445">
                  <c:v>2.7100682959426692E-2</c:v>
                </c:pt>
                <c:pt idx="2446">
                  <c:v>2.7091331067179425E-2</c:v>
                </c:pt>
                <c:pt idx="2447">
                  <c:v>2.7081949537519634E-2</c:v>
                </c:pt>
                <c:pt idx="2448">
                  <c:v>2.7072882679608501E-2</c:v>
                </c:pt>
                <c:pt idx="2449">
                  <c:v>2.7063097565669381E-2</c:v>
                </c:pt>
                <c:pt idx="2450">
                  <c:v>2.705362712363879E-2</c:v>
                </c:pt>
                <c:pt idx="2451">
                  <c:v>2.7044127044062449E-2</c:v>
                </c:pt>
                <c:pt idx="2452">
                  <c:v>2.7034930316935935E-2</c:v>
                </c:pt>
                <c:pt idx="2453">
                  <c:v>2.7025037972618904E-2</c:v>
                </c:pt>
                <c:pt idx="2454">
                  <c:v>2.701544898080499E-2</c:v>
                </c:pt>
                <c:pt idx="2455">
                  <c:v>2.7005830351498616E-2</c:v>
                </c:pt>
                <c:pt idx="2456">
                  <c:v>2.6996182084806364E-2</c:v>
                </c:pt>
                <c:pt idx="2457">
                  <c:v>2.6986504180674942E-2</c:v>
                </c:pt>
                <c:pt idx="2458">
                  <c:v>2.6976796639157641E-2</c:v>
                </c:pt>
                <c:pt idx="2459">
                  <c:v>2.6967059460254461E-2</c:v>
                </c:pt>
                <c:pt idx="2460">
                  <c:v>2.6957292643965403E-2</c:v>
                </c:pt>
                <c:pt idx="2461">
                  <c:v>2.6947496190290465E-2</c:v>
                </c:pt>
                <c:pt idx="2462">
                  <c:v>2.6937670099256295E-2</c:v>
                </c:pt>
                <c:pt idx="2463">
                  <c:v>2.6927814370836245E-2</c:v>
                </c:pt>
                <c:pt idx="2464">
                  <c:v>2.6917929005030317E-2</c:v>
                </c:pt>
                <c:pt idx="2465">
                  <c:v>2.6908014001945091E-2</c:v>
                </c:pt>
                <c:pt idx="2466">
                  <c:v>2.6898362485912042E-2</c:v>
                </c:pt>
                <c:pt idx="2467">
                  <c:v>2.6888095083696939E-2</c:v>
                </c:pt>
                <c:pt idx="2468">
                  <c:v>2.6878091168560658E-2</c:v>
                </c:pt>
                <c:pt idx="2469">
                  <c:v>2.6868057616091789E-2</c:v>
                </c:pt>
                <c:pt idx="2470">
                  <c:v>2.6857994426316978E-2</c:v>
                </c:pt>
                <c:pt idx="2471">
                  <c:v>2.6847901599209578E-2</c:v>
                </c:pt>
                <c:pt idx="2472">
                  <c:v>2.6832881700658007E-2</c:v>
                </c:pt>
                <c:pt idx="2473">
                  <c:v>2.6822722645540864E-2</c:v>
                </c:pt>
                <c:pt idx="2474">
                  <c:v>2.6812533956688256E-2</c:v>
                </c:pt>
                <c:pt idx="2475">
                  <c:v>2.6802315634659735E-2</c:v>
                </c:pt>
                <c:pt idx="2476">
                  <c:v>2.6792067678975684E-2</c:v>
                </c:pt>
                <c:pt idx="2477">
                  <c:v>2.6781790090035784E-2</c:v>
                </c:pt>
                <c:pt idx="2478">
                  <c:v>2.6771482867600227E-2</c:v>
                </c:pt>
                <c:pt idx="2479">
                  <c:v>2.6761146011669013E-2</c:v>
                </c:pt>
                <c:pt idx="2480">
                  <c:v>2.6750779522322077E-2</c:v>
                </c:pt>
                <c:pt idx="2481">
                  <c:v>2.6738895820059838E-2</c:v>
                </c:pt>
                <c:pt idx="2482">
                  <c:v>2.6728465830707648E-2</c:v>
                </c:pt>
                <c:pt idx="2483">
                  <c:v>2.6718006207779865E-2</c:v>
                </c:pt>
                <c:pt idx="2484">
                  <c:v>2.6707516951436361E-2</c:v>
                </c:pt>
                <c:pt idx="2485">
                  <c:v>2.6696998061677135E-2</c:v>
                </c:pt>
                <c:pt idx="2486">
                  <c:v>2.668644953866206E-2</c:v>
                </c:pt>
                <c:pt idx="2487">
                  <c:v>2.6675871382071392E-2</c:v>
                </c:pt>
                <c:pt idx="2488">
                  <c:v>2.6665263591985067E-2</c:v>
                </c:pt>
                <c:pt idx="2489">
                  <c:v>2.6654626168802764E-2</c:v>
                </c:pt>
                <c:pt idx="2490">
                  <c:v>2.6644217903672995E-2</c:v>
                </c:pt>
                <c:pt idx="2491">
                  <c:v>2.663339553027555E-2</c:v>
                </c:pt>
                <c:pt idx="2492">
                  <c:v>2.6622842953303305E-2</c:v>
                </c:pt>
                <c:pt idx="2493">
                  <c:v>2.6612332285926854E-2</c:v>
                </c:pt>
                <c:pt idx="2494">
                  <c:v>2.6601863527906389E-2</c:v>
                </c:pt>
                <c:pt idx="2495">
                  <c:v>2.6591436679082037E-2</c:v>
                </c:pt>
                <c:pt idx="2496">
                  <c:v>2.6581051739693606E-2</c:v>
                </c:pt>
                <c:pt idx="2497">
                  <c:v>2.6570708709741098E-2</c:v>
                </c:pt>
                <c:pt idx="2498">
                  <c:v>2.6560407588984702E-2</c:v>
                </c:pt>
                <c:pt idx="2499">
                  <c:v>2.6550148377664229E-2</c:v>
                </c:pt>
                <c:pt idx="2500">
                  <c:v>2.6539931075699741E-2</c:v>
                </c:pt>
                <c:pt idx="2501">
                  <c:v>2.6529755682931366E-2</c:v>
                </c:pt>
                <c:pt idx="2502">
                  <c:v>2.6519622199598913E-2</c:v>
                </c:pt>
                <c:pt idx="2503">
                  <c:v>2.6509530625622446E-2</c:v>
                </c:pt>
                <c:pt idx="2504">
                  <c:v>2.64994809610819E-2</c:v>
                </c:pt>
                <c:pt idx="2505">
                  <c:v>2.6489473205737468E-2</c:v>
                </c:pt>
                <c:pt idx="2506">
                  <c:v>2.6479507359669086E-2</c:v>
                </c:pt>
                <c:pt idx="2507">
                  <c:v>2.6469583422956688E-2</c:v>
                </c:pt>
                <c:pt idx="2508">
                  <c:v>2.6459701395600277E-2</c:v>
                </c:pt>
                <c:pt idx="2509">
                  <c:v>2.6449861277439979E-2</c:v>
                </c:pt>
                <c:pt idx="2510">
                  <c:v>2.6440063068635666E-2</c:v>
                </c:pt>
                <c:pt idx="2511">
                  <c:v>2.6430306769187339E-2</c:v>
                </c:pt>
                <c:pt idx="2512">
                  <c:v>2.6420592379015062E-2</c:v>
                </c:pt>
                <c:pt idx="2513">
                  <c:v>2.6410919898038898E-2</c:v>
                </c:pt>
                <c:pt idx="2514">
                  <c:v>2.6401289326498656E-2</c:v>
                </c:pt>
                <c:pt idx="2515">
                  <c:v>2.6391700664234463E-2</c:v>
                </c:pt>
                <c:pt idx="2516">
                  <c:v>2.638215391124632E-2</c:v>
                </c:pt>
                <c:pt idx="2517">
                  <c:v>2.637264906745429E-2</c:v>
                </c:pt>
                <c:pt idx="2518">
                  <c:v>2.6363186133098182E-2</c:v>
                </c:pt>
                <c:pt idx="2519">
                  <c:v>2.6353765107858251E-2</c:v>
                </c:pt>
                <c:pt idx="2520">
                  <c:v>2.634438599189437E-2</c:v>
                </c:pt>
                <c:pt idx="2521">
                  <c:v>2.6335048785286475E-2</c:v>
                </c:pt>
                <c:pt idx="2522">
                  <c:v>2.6325753488034564E-2</c:v>
                </c:pt>
                <c:pt idx="2523">
                  <c:v>2.6316500099898832E-2</c:v>
                </c:pt>
                <c:pt idx="2524">
                  <c:v>2.6307288621039149E-2</c:v>
                </c:pt>
                <c:pt idx="2525">
                  <c:v>2.6298119051375579E-2</c:v>
                </c:pt>
                <c:pt idx="2526">
                  <c:v>2.6288991391067995E-2</c:v>
                </c:pt>
                <c:pt idx="2527">
                  <c:v>2.6279905640036461E-2</c:v>
                </c:pt>
                <c:pt idx="2528">
                  <c:v>2.6270861798121103E-2</c:v>
                </c:pt>
                <c:pt idx="2529">
                  <c:v>2.6261859865561732E-2</c:v>
                </c:pt>
                <c:pt idx="2530">
                  <c:v>2.625289984227841E-2</c:v>
                </c:pt>
                <c:pt idx="2531">
                  <c:v>2.6243981728191201E-2</c:v>
                </c:pt>
                <c:pt idx="2532">
                  <c:v>2.6235105523140234E-2</c:v>
                </c:pt>
                <c:pt idx="2533">
                  <c:v>2.6226271227525189E-2</c:v>
                </c:pt>
                <c:pt idx="2534">
                  <c:v>2.6217478841106256E-2</c:v>
                </c:pt>
                <c:pt idx="2535">
                  <c:v>2.6208728363883438E-2</c:v>
                </c:pt>
                <c:pt idx="2536">
                  <c:v>2.6200019796016605E-2</c:v>
                </c:pt>
                <c:pt idx="2537">
                  <c:v>2.6191353137265949E-2</c:v>
                </c:pt>
                <c:pt idx="2538">
                  <c:v>2.6182728387631471E-2</c:v>
                </c:pt>
                <c:pt idx="2539">
                  <c:v>2.6174145547352978E-2</c:v>
                </c:pt>
                <c:pt idx="2540">
                  <c:v>2.6165604616270599E-2</c:v>
                </c:pt>
                <c:pt idx="2541">
                  <c:v>2.6157105594384333E-2</c:v>
                </c:pt>
                <c:pt idx="2542">
                  <c:v>2.6148648481614245E-2</c:v>
                </c:pt>
                <c:pt idx="2543">
                  <c:v>2.614023327804027E-2</c:v>
                </c:pt>
                <c:pt idx="2544">
                  <c:v>2.6131859983742345E-2</c:v>
                </c:pt>
                <c:pt idx="2545">
                  <c:v>2.6123528598640533E-2</c:v>
                </c:pt>
                <c:pt idx="2546">
                  <c:v>2.6115239122734835E-2</c:v>
                </c:pt>
                <c:pt idx="2547">
                  <c:v>2.610699155602525E-2</c:v>
                </c:pt>
                <c:pt idx="2548">
                  <c:v>2.6098785898591714E-2</c:v>
                </c:pt>
                <c:pt idx="2549">
                  <c:v>2.6090622150034548E-2</c:v>
                </c:pt>
                <c:pt idx="2550">
                  <c:v>2.6082500310833368E-2</c:v>
                </c:pt>
                <c:pt idx="2551">
                  <c:v>2.6074420380908236E-2</c:v>
                </c:pt>
                <c:pt idx="2552">
                  <c:v>2.6066382360099283E-2</c:v>
                </c:pt>
                <c:pt idx="2553">
                  <c:v>2.6058386248406507E-2</c:v>
                </c:pt>
                <c:pt idx="2554">
                  <c:v>2.605043204598978E-2</c:v>
                </c:pt>
                <c:pt idx="2555">
                  <c:v>2.604251975268923E-2</c:v>
                </c:pt>
                <c:pt idx="2556">
                  <c:v>2.6034649368504859E-2</c:v>
                </c:pt>
                <c:pt idx="2557">
                  <c:v>2.60268208935166E-2</c:v>
                </c:pt>
                <c:pt idx="2558">
                  <c:v>2.6019034327644519E-2</c:v>
                </c:pt>
                <c:pt idx="2559">
                  <c:v>2.6011289671048488E-2</c:v>
                </c:pt>
                <c:pt idx="2560">
                  <c:v>2.6003586923408761E-2</c:v>
                </c:pt>
                <c:pt idx="2561">
                  <c:v>2.5995926085045085E-2</c:v>
                </c:pt>
                <c:pt idx="2562">
                  <c:v>2.5988307155877521E-2</c:v>
                </c:pt>
                <c:pt idx="2563">
                  <c:v>2.5980730135826136E-2</c:v>
                </c:pt>
                <c:pt idx="2564">
                  <c:v>2.5973195024810991E-2</c:v>
                </c:pt>
                <c:pt idx="2565">
                  <c:v>2.5965701823071896E-2</c:v>
                </c:pt>
                <c:pt idx="2566">
                  <c:v>2.5958250530448979E-2</c:v>
                </c:pt>
                <c:pt idx="2567">
                  <c:v>2.5950841146782366E-2</c:v>
                </c:pt>
                <c:pt idx="2568">
                  <c:v>2.5943473672391804E-2</c:v>
                </c:pt>
                <c:pt idx="2569">
                  <c:v>2.5936148107197354E-2</c:v>
                </c:pt>
                <c:pt idx="2570">
                  <c:v>2.5928864451039146E-2</c:v>
                </c:pt>
                <c:pt idx="2571">
                  <c:v>2.5921622703997116E-2</c:v>
                </c:pt>
                <c:pt idx="2572">
                  <c:v>2.5914422866151199E-2</c:v>
                </c:pt>
                <c:pt idx="2573">
                  <c:v>2.5907264937421459E-2</c:v>
                </c:pt>
                <c:pt idx="2574">
                  <c:v>2.5900148917648025E-2</c:v>
                </c:pt>
                <c:pt idx="2575">
                  <c:v>2.5893074807070704E-2</c:v>
                </c:pt>
                <c:pt idx="2576">
                  <c:v>2.588504142662984E-2</c:v>
                </c:pt>
                <c:pt idx="2577">
                  <c:v>2.5878057121335729E-2</c:v>
                </c:pt>
                <c:pt idx="2578">
                  <c:v>2.5871114725077859E-2</c:v>
                </c:pt>
                <c:pt idx="2579">
                  <c:v>2.5864214238175975E-2</c:v>
                </c:pt>
                <c:pt idx="2580">
                  <c:v>2.5857355660070525E-2</c:v>
                </c:pt>
                <c:pt idx="2581">
                  <c:v>2.5850538991161187E-2</c:v>
                </c:pt>
                <c:pt idx="2582">
                  <c:v>2.5843764231368027E-2</c:v>
                </c:pt>
                <c:pt idx="2583">
                  <c:v>2.5837031380531172E-2</c:v>
                </c:pt>
                <c:pt idx="2584">
                  <c:v>2.5830340438970367E-2</c:v>
                </c:pt>
                <c:pt idx="2585">
                  <c:v>2.5823691406525739E-2</c:v>
                </c:pt>
                <c:pt idx="2586">
                  <c:v>2.5817084283037417E-2</c:v>
                </c:pt>
                <c:pt idx="2587">
                  <c:v>2.5810519068665272E-2</c:v>
                </c:pt>
                <c:pt idx="2588">
                  <c:v>2.580399576348924E-2</c:v>
                </c:pt>
                <c:pt idx="2589">
                  <c:v>2.579751436734945E-2</c:v>
                </c:pt>
                <c:pt idx="2590">
                  <c:v>2.5791074880165965E-2</c:v>
                </c:pt>
                <c:pt idx="2591">
                  <c:v>2.5784677302098657E-2</c:v>
                </c:pt>
                <c:pt idx="2592">
                  <c:v>2.5778321633227463E-2</c:v>
                </c:pt>
                <c:pt idx="2593">
                  <c:v>2.5772007873312575E-2</c:v>
                </c:pt>
                <c:pt idx="2594">
                  <c:v>2.5765736022433927E-2</c:v>
                </c:pt>
                <c:pt idx="2595">
                  <c:v>2.5759506080591521E-2</c:v>
                </c:pt>
                <c:pt idx="2596">
                  <c:v>2.5753798882237611E-2</c:v>
                </c:pt>
                <c:pt idx="2597">
                  <c:v>2.5747171924495049E-2</c:v>
                </c:pt>
                <c:pt idx="2598">
                  <c:v>2.5741067709761367E-2</c:v>
                </c:pt>
                <c:pt idx="2599">
                  <c:v>2.5735005404303735E-2</c:v>
                </c:pt>
                <c:pt idx="2600">
                  <c:v>2.5728985008042216E-2</c:v>
                </c:pt>
                <c:pt idx="2601">
                  <c:v>2.5723006520497194E-2</c:v>
                </c:pt>
                <c:pt idx="2602">
                  <c:v>2.5717069942068349E-2</c:v>
                </c:pt>
                <c:pt idx="2603">
                  <c:v>2.5711175272835618E-2</c:v>
                </c:pt>
                <c:pt idx="2604">
                  <c:v>2.5705322512639128E-2</c:v>
                </c:pt>
                <c:pt idx="2605">
                  <c:v>2.569951166147888E-2</c:v>
                </c:pt>
                <c:pt idx="2606">
                  <c:v>2.5693742719354873E-2</c:v>
                </c:pt>
                <c:pt idx="2607">
                  <c:v>2.5688015686187171E-2</c:v>
                </c:pt>
                <c:pt idx="2608">
                  <c:v>2.5682330562135647E-2</c:v>
                </c:pt>
                <c:pt idx="2609">
                  <c:v>2.5676687347040428E-2</c:v>
                </c:pt>
                <c:pt idx="2610">
                  <c:v>2.5671086041141322E-2</c:v>
                </c:pt>
                <c:pt idx="2611">
                  <c:v>2.5665526644198522E-2</c:v>
                </c:pt>
                <c:pt idx="2612">
                  <c:v>2.5660009156212027E-2</c:v>
                </c:pt>
                <c:pt idx="2613">
                  <c:v>2.5654533577261773E-2</c:v>
                </c:pt>
                <c:pt idx="2614">
                  <c:v>2.5649099907427697E-2</c:v>
                </c:pt>
                <c:pt idx="2615">
                  <c:v>2.5643708146629862E-2</c:v>
                </c:pt>
                <c:pt idx="2616">
                  <c:v>2.5638358294788333E-2</c:v>
                </c:pt>
                <c:pt idx="2617">
                  <c:v>2.5633050351983044E-2</c:v>
                </c:pt>
                <c:pt idx="2618">
                  <c:v>2.5627784318293934E-2</c:v>
                </c:pt>
                <c:pt idx="2619">
                  <c:v>2.5622560193561128E-2</c:v>
                </c:pt>
                <c:pt idx="2620">
                  <c:v>2.5617377977704692E-2</c:v>
                </c:pt>
                <c:pt idx="2621">
                  <c:v>2.5612237671044369E-2</c:v>
                </c:pt>
                <c:pt idx="2622">
                  <c:v>2.5607139273420287E-2</c:v>
                </c:pt>
                <c:pt idx="2623">
                  <c:v>2.5602082784592639E-2</c:v>
                </c:pt>
                <c:pt idx="2624">
                  <c:v>2.5597068204961104E-2</c:v>
                </c:pt>
                <c:pt idx="2625">
                  <c:v>2.5592095534285875E-2</c:v>
                </c:pt>
                <c:pt idx="2626">
                  <c:v>2.5587164772646886E-2</c:v>
                </c:pt>
                <c:pt idx="2627">
                  <c:v>2.5582275919804331E-2</c:v>
                </c:pt>
                <c:pt idx="2628">
                  <c:v>2.5576739976900242E-2</c:v>
                </c:pt>
                <c:pt idx="2629">
                  <c:v>2.5571940929260961E-2</c:v>
                </c:pt>
                <c:pt idx="2630">
                  <c:v>2.5567183790577985E-2</c:v>
                </c:pt>
                <c:pt idx="2631">
                  <c:v>2.5562468560931251E-2</c:v>
                </c:pt>
                <c:pt idx="2632">
                  <c:v>2.5557795240240821E-2</c:v>
                </c:pt>
                <c:pt idx="2633">
                  <c:v>2.5553163828586634E-2</c:v>
                </c:pt>
                <c:pt idx="2634">
                  <c:v>2.5548574325888751E-2</c:v>
                </c:pt>
                <c:pt idx="2635">
                  <c:v>2.5544026732147174E-2</c:v>
                </c:pt>
                <c:pt idx="2636">
                  <c:v>2.5539521047361902E-2</c:v>
                </c:pt>
                <c:pt idx="2637">
                  <c:v>2.5535057271772743E-2</c:v>
                </c:pt>
                <c:pt idx="2638">
                  <c:v>2.553063540513989E-2</c:v>
                </c:pt>
                <c:pt idx="2639">
                  <c:v>2.5526255447223534E-2</c:v>
                </c:pt>
                <c:pt idx="2640">
                  <c:v>2.5521917398663163E-2</c:v>
                </c:pt>
                <c:pt idx="2641">
                  <c:v>2.5517621258739354E-2</c:v>
                </c:pt>
                <c:pt idx="2642">
                  <c:v>2.5513367027931722E-2</c:v>
                </c:pt>
                <c:pt idx="2643">
                  <c:v>2.5509154706160331E-2</c:v>
                </c:pt>
                <c:pt idx="2644">
                  <c:v>2.5504984293425181E-2</c:v>
                </c:pt>
                <c:pt idx="2645">
                  <c:v>2.5500855789566401E-2</c:v>
                </c:pt>
                <c:pt idx="2646">
                  <c:v>2.549676919458399E-2</c:v>
                </c:pt>
                <c:pt idx="2647">
                  <c:v>2.5492724508717757E-2</c:v>
                </c:pt>
                <c:pt idx="2648">
                  <c:v>2.5489390598263384E-2</c:v>
                </c:pt>
                <c:pt idx="2649">
                  <c:v>2.5485441145178811E-2</c:v>
                </c:pt>
                <c:pt idx="2650">
                  <c:v>2.5481533607072393E-2</c:v>
                </c:pt>
                <c:pt idx="2651">
                  <c:v>2.5477667983890839E-2</c:v>
                </c:pt>
                <c:pt idx="2652">
                  <c:v>2.5473844275767377E-2</c:v>
                </c:pt>
                <c:pt idx="2653">
                  <c:v>2.5470062482595424E-2</c:v>
                </c:pt>
                <c:pt idx="2654">
                  <c:v>2.5466322604348335E-2</c:v>
                </c:pt>
                <c:pt idx="2655">
                  <c:v>2.5462624641132692E-2</c:v>
                </c:pt>
                <c:pt idx="2656">
                  <c:v>2.5459609460094512E-2</c:v>
                </c:pt>
                <c:pt idx="2657">
                  <c:v>2.5455354459555934E-2</c:v>
                </c:pt>
                <c:pt idx="2658">
                  <c:v>2.5451782241168175E-2</c:v>
                </c:pt>
                <c:pt idx="2659">
                  <c:v>2.5448251937785216E-2</c:v>
                </c:pt>
                <c:pt idx="2660">
                  <c:v>2.5445415388916093E-2</c:v>
                </c:pt>
                <c:pt idx="2661">
                  <c:v>2.5441317075820535E-2</c:v>
                </c:pt>
                <c:pt idx="2662">
                  <c:v>2.5437912517238814E-2</c:v>
                </c:pt>
                <c:pt idx="2663">
                  <c:v>2.5434549873635248E-2</c:v>
                </c:pt>
                <c:pt idx="2664">
                  <c:v>2.5431229144903256E-2</c:v>
                </c:pt>
                <c:pt idx="2665">
                  <c:v>2.5427950331176064E-2</c:v>
                </c:pt>
                <c:pt idx="2666">
                  <c:v>2.542471343234709E-2</c:v>
                </c:pt>
                <c:pt idx="2667">
                  <c:v>2.5421518448416336E-2</c:v>
                </c:pt>
                <c:pt idx="2668">
                  <c:v>2.5418365379410446E-2</c:v>
                </c:pt>
                <c:pt idx="2669">
                  <c:v>2.5415254225302775E-2</c:v>
                </c:pt>
                <c:pt idx="2670">
                  <c:v>2.5412184986199904E-2</c:v>
                </c:pt>
                <c:pt idx="2671">
                  <c:v>2.5409157661968607E-2</c:v>
                </c:pt>
                <c:pt idx="2672">
                  <c:v>2.5406172252635528E-2</c:v>
                </c:pt>
                <c:pt idx="2673">
                  <c:v>2.5403228758200669E-2</c:v>
                </c:pt>
                <c:pt idx="2674">
                  <c:v>2.5401017798372116E-2</c:v>
                </c:pt>
                <c:pt idx="2675">
                  <c:v>2.5397467513998961E-2</c:v>
                </c:pt>
                <c:pt idx="2676">
                  <c:v>2.5394649764285404E-2</c:v>
                </c:pt>
                <c:pt idx="2677">
                  <c:v>2.539187392944342E-2</c:v>
                </c:pt>
                <c:pt idx="2678">
                  <c:v>2.5389140009499656E-2</c:v>
                </c:pt>
                <c:pt idx="2679">
                  <c:v>2.538644800445411E-2</c:v>
                </c:pt>
                <c:pt idx="2680">
                  <c:v>2.5383797914200201E-2</c:v>
                </c:pt>
                <c:pt idx="2681">
                  <c:v>2.5381189738951093E-2</c:v>
                </c:pt>
                <c:pt idx="2682">
                  <c:v>2.5378623478520268E-2</c:v>
                </c:pt>
                <c:pt idx="2683">
                  <c:v>2.5376099132961016E-2</c:v>
                </c:pt>
                <c:pt idx="2684">
                  <c:v>2.5373616702299984E-2</c:v>
                </c:pt>
                <c:pt idx="2685">
                  <c:v>2.5371176186483879E-2</c:v>
                </c:pt>
                <c:pt idx="2686">
                  <c:v>2.5368777585539348E-2</c:v>
                </c:pt>
                <c:pt idx="2687">
                  <c:v>2.5366420899466391E-2</c:v>
                </c:pt>
                <c:pt idx="2688">
                  <c:v>2.5364836112224953E-2</c:v>
                </c:pt>
                <c:pt idx="2689">
                  <c:v>2.5361833271961842E-2</c:v>
                </c:pt>
                <c:pt idx="2690">
                  <c:v>2.5359602330450315E-2</c:v>
                </c:pt>
                <c:pt idx="2691">
                  <c:v>2.5357413303837006E-2</c:v>
                </c:pt>
                <c:pt idx="2692">
                  <c:v>2.5355266192068626E-2</c:v>
                </c:pt>
                <c:pt idx="2693">
                  <c:v>2.5353160995145174E-2</c:v>
                </c:pt>
                <c:pt idx="2694">
                  <c:v>2.5351844745522545E-2</c:v>
                </c:pt>
                <c:pt idx="2695">
                  <c:v>2.5349076345833055E-2</c:v>
                </c:pt>
                <c:pt idx="2696">
                  <c:v>2.5347096893444387E-2</c:v>
                </c:pt>
                <c:pt idx="2697">
                  <c:v>2.5345159355900648E-2</c:v>
                </c:pt>
                <c:pt idx="2698">
                  <c:v>2.5344022190658677E-2</c:v>
                </c:pt>
                <c:pt idx="2699">
                  <c:v>2.5341410025321309E-2</c:v>
                </c:pt>
                <c:pt idx="2700">
                  <c:v>2.5339598232339E-2</c:v>
                </c:pt>
                <c:pt idx="2701">
                  <c:v>2.5337828354174974E-2</c:v>
                </c:pt>
                <c:pt idx="2702">
                  <c:v>2.5336100390802585E-2</c:v>
                </c:pt>
                <c:pt idx="2703">
                  <c:v>2.5334414342275124E-2</c:v>
                </c:pt>
                <c:pt idx="2704">
                  <c:v>2.5332770208592592E-2</c:v>
                </c:pt>
                <c:pt idx="2705">
                  <c:v>2.5331167989675052E-2</c:v>
                </c:pt>
                <c:pt idx="2706">
                  <c:v>2.5329607685655731E-2</c:v>
                </c:pt>
                <c:pt idx="2707">
                  <c:v>2.5328089296454692E-2</c:v>
                </c:pt>
                <c:pt idx="2708">
                  <c:v>2.5327400049095505E-2</c:v>
                </c:pt>
                <c:pt idx="2709">
                  <c:v>2.5325178262507464E-2</c:v>
                </c:pt>
                <c:pt idx="2710">
                  <c:v>2.5323785617761274E-2</c:v>
                </c:pt>
                <c:pt idx="2711">
                  <c:v>2.5322434887833367E-2</c:v>
                </c:pt>
                <c:pt idx="2712">
                  <c:v>2.5321924890329139E-2</c:v>
                </c:pt>
                <c:pt idx="2713">
                  <c:v>2.5319859172432402E-2</c:v>
                </c:pt>
                <c:pt idx="2714">
                  <c:v>2.5318634186932698E-2</c:v>
                </c:pt>
                <c:pt idx="2715">
                  <c:v>2.5317451116277923E-2</c:v>
                </c:pt>
                <c:pt idx="2716">
                  <c:v>2.5316309960388139E-2</c:v>
                </c:pt>
                <c:pt idx="2717">
                  <c:v>2.5315210719343284E-2</c:v>
                </c:pt>
                <c:pt idx="2718">
                  <c:v>2.5314153393116712E-2</c:v>
                </c:pt>
                <c:pt idx="2719">
                  <c:v>2.5313137981708422E-2</c:v>
                </c:pt>
                <c:pt idx="2720">
                  <c:v>2.5312164485118416E-2</c:v>
                </c:pt>
                <c:pt idx="2721">
                  <c:v>2.5311232903293401E-2</c:v>
                </c:pt>
                <c:pt idx="2722">
                  <c:v>2.531034323628667E-2</c:v>
                </c:pt>
                <c:pt idx="2723">
                  <c:v>2.530949548404493E-2</c:v>
                </c:pt>
                <c:pt idx="2724">
                  <c:v>2.5308689646674765E-2</c:v>
                </c:pt>
                <c:pt idx="2725">
                  <c:v>2.5307925724069591E-2</c:v>
                </c:pt>
                <c:pt idx="2726">
                  <c:v>2.5308043472733743E-2</c:v>
                </c:pt>
                <c:pt idx="2727">
                  <c:v>2.5306523623260802E-2</c:v>
                </c:pt>
                <c:pt idx="2728">
                  <c:v>2.5305885445137122E-2</c:v>
                </c:pt>
                <c:pt idx="2729">
                  <c:v>2.5305289181698498E-2</c:v>
                </c:pt>
                <c:pt idx="2730">
                  <c:v>2.5304734833104803E-2</c:v>
                </c:pt>
                <c:pt idx="2731">
                  <c:v>2.5304222399356036E-2</c:v>
                </c:pt>
                <c:pt idx="2732">
                  <c:v>2.5301846530814132E-2</c:v>
                </c:pt>
                <c:pt idx="2733">
                  <c:v>2.530142996083562E-2</c:v>
                </c:pt>
                <c:pt idx="2734">
                  <c:v>2.5301055299813413E-2</c:v>
                </c:pt>
                <c:pt idx="2735">
                  <c:v>2.5300722547667576E-2</c:v>
                </c:pt>
                <c:pt idx="2736">
                  <c:v>2.5300431704398108E-2</c:v>
                </c:pt>
                <c:pt idx="2737">
                  <c:v>2.5300182770084945E-2</c:v>
                </c:pt>
                <c:pt idx="2738">
                  <c:v>2.5299975744568215E-2</c:v>
                </c:pt>
                <c:pt idx="2739">
                  <c:v>2.5299810627847918E-2</c:v>
                </c:pt>
                <c:pt idx="2740">
                  <c:v>2.5299673240306575E-2</c:v>
                </c:pt>
                <c:pt idx="2741">
                  <c:v>2.529959792862968E-2</c:v>
                </c:pt>
                <c:pt idx="2742">
                  <c:v>2.5299564525749219E-2</c:v>
                </c:pt>
                <c:pt idx="2743">
                  <c:v>2.5299573031745126E-2</c:v>
                </c:pt>
                <c:pt idx="2744">
                  <c:v>2.5299623446697339E-2</c:v>
                </c:pt>
                <c:pt idx="2745">
                  <c:v>2.5299715770605857E-2</c:v>
                </c:pt>
                <c:pt idx="2746">
                  <c:v>2.5299850003310809E-2</c:v>
                </c:pt>
                <c:pt idx="2747">
                  <c:v>2.5300026145052001E-2</c:v>
                </c:pt>
                <c:pt idx="2748">
                  <c:v>2.5300244195589627E-2</c:v>
                </c:pt>
                <c:pt idx="2749">
                  <c:v>2.5300504008960445E-2</c:v>
                </c:pt>
                <c:pt idx="2750">
                  <c:v>2.5300820850073791E-2</c:v>
                </c:pt>
                <c:pt idx="2751">
                  <c:v>2.5301096944980728E-2</c:v>
                </c:pt>
                <c:pt idx="2752">
                  <c:v>2.5302280688364043E-2</c:v>
                </c:pt>
                <c:pt idx="2753">
                  <c:v>2.5301645940469797E-2</c:v>
                </c:pt>
                <c:pt idx="2754">
                  <c:v>2.5301918841051929E-2</c:v>
                </c:pt>
                <c:pt idx="2755">
                  <c:v>2.5302190676645964E-2</c:v>
                </c:pt>
                <c:pt idx="2756">
                  <c:v>2.5303369933178388E-2</c:v>
                </c:pt>
                <c:pt idx="2757">
                  <c:v>2.5303639582121562E-2</c:v>
                </c:pt>
                <c:pt idx="2758">
                  <c:v>2.5302999794858394E-2</c:v>
                </c:pt>
                <c:pt idx="2759">
                  <c:v>2.5303267371219462E-2</c:v>
                </c:pt>
                <c:pt idx="2760">
                  <c:v>2.5303533882672369E-2</c:v>
                </c:pt>
                <c:pt idx="2761">
                  <c:v>2.5303799329536858E-2</c:v>
                </c:pt>
                <c:pt idx="2762">
                  <c:v>2.5304063711493185E-2</c:v>
                </c:pt>
                <c:pt idx="2763">
                  <c:v>2.5304327028381479E-2</c:v>
                </c:pt>
                <c:pt idx="2764">
                  <c:v>2.5304589280761292E-2</c:v>
                </c:pt>
                <c:pt idx="2765">
                  <c:v>2.530485046807307E-2</c:v>
                </c:pt>
                <c:pt idx="2766">
                  <c:v>2.5305110590716495E-2</c:v>
                </c:pt>
                <c:pt idx="2767">
                  <c:v>2.5305369648371823E-2</c:v>
                </c:pt>
                <c:pt idx="2768">
                  <c:v>2.5305627641358797E-2</c:v>
                </c:pt>
                <c:pt idx="2769">
                  <c:v>2.5305884569517545E-2</c:v>
                </c:pt>
                <c:pt idx="2770">
                  <c:v>2.5306140432768132E-2</c:v>
                </c:pt>
                <c:pt idx="2771">
                  <c:v>2.5306395231110557E-2</c:v>
                </c:pt>
                <c:pt idx="2772">
                  <c:v>2.5306648964864564E-2</c:v>
                </c:pt>
                <c:pt idx="2773">
                  <c:v>2.5306901633550538E-2</c:v>
                </c:pt>
                <c:pt idx="2774">
                  <c:v>2.5307153237408286E-2</c:v>
                </c:pt>
                <c:pt idx="2775">
                  <c:v>2.5307403776677617E-2</c:v>
                </c:pt>
                <c:pt idx="2776">
                  <c:v>2.5307653250878914E-2</c:v>
                </c:pt>
                <c:pt idx="2777">
                  <c:v>2.5307901660331922E-2</c:v>
                </c:pt>
                <c:pt idx="2778">
                  <c:v>2.5308149004876768E-2</c:v>
                </c:pt>
                <c:pt idx="2779">
                  <c:v>2.5308395284833196E-2</c:v>
                </c:pt>
                <c:pt idx="2780">
                  <c:v>2.5308640499801527E-2</c:v>
                </c:pt>
                <c:pt idx="2781">
                  <c:v>2.530888464978176E-2</c:v>
                </c:pt>
                <c:pt idx="2782">
                  <c:v>2.5309127735253512E-2</c:v>
                </c:pt>
                <c:pt idx="2783">
                  <c:v>2.5309369755737166E-2</c:v>
                </c:pt>
                <c:pt idx="2784">
                  <c:v>2.5309610711392594E-2</c:v>
                </c:pt>
                <c:pt idx="2785">
                  <c:v>2.5309850602219797E-2</c:v>
                </c:pt>
                <c:pt idx="2786">
                  <c:v>2.531008942829871E-2</c:v>
                </c:pt>
                <c:pt idx="2787">
                  <c:v>2.5310327189389525E-2</c:v>
                </c:pt>
                <c:pt idx="2788">
                  <c:v>2.5310563885652115E-2</c:v>
                </c:pt>
                <c:pt idx="2789">
                  <c:v>2.5310799517166416E-2</c:v>
                </c:pt>
                <c:pt idx="2790">
                  <c:v>2.5311034083852491E-2</c:v>
                </c:pt>
                <c:pt idx="2791">
                  <c:v>2.5311267585790276E-2</c:v>
                </c:pt>
                <c:pt idx="2792">
                  <c:v>2.5311500022739963E-2</c:v>
                </c:pt>
                <c:pt idx="2793">
                  <c:v>2.5311731395021297E-2</c:v>
                </c:pt>
                <c:pt idx="2794">
                  <c:v>2.531196170239447E-2</c:v>
                </c:pt>
                <c:pt idx="2795">
                  <c:v>2.5312190944859481E-2</c:v>
                </c:pt>
                <c:pt idx="2796">
                  <c:v>2.5312419122496266E-2</c:v>
                </c:pt>
                <c:pt idx="2797">
                  <c:v>2.5312646235384761E-2</c:v>
                </c:pt>
                <c:pt idx="2798">
                  <c:v>2.5312872283365095E-2</c:v>
                </c:pt>
                <c:pt idx="2799">
                  <c:v>2.531309726659714E-2</c:v>
                </c:pt>
                <c:pt idx="2800">
                  <c:v>2.5313321185080895E-2</c:v>
                </c:pt>
                <c:pt idx="2801">
                  <c:v>2.5313544038656488E-2</c:v>
                </c:pt>
                <c:pt idx="2802">
                  <c:v>2.5314671608693828E-2</c:v>
                </c:pt>
                <c:pt idx="2803">
                  <c:v>2.5313986551243062E-2</c:v>
                </c:pt>
                <c:pt idx="2804">
                  <c:v>2.5315111870440887E-2</c:v>
                </c:pt>
                <c:pt idx="2805">
                  <c:v>2.5314424804596669E-2</c:v>
                </c:pt>
                <c:pt idx="2806">
                  <c:v>2.5314642333951198E-2</c:v>
                </c:pt>
                <c:pt idx="2807">
                  <c:v>2.5314858798477502E-2</c:v>
                </c:pt>
                <c:pt idx="2808">
                  <c:v>2.5315074198415388E-2</c:v>
                </c:pt>
                <c:pt idx="2809">
                  <c:v>2.5315288533285241E-2</c:v>
                </c:pt>
                <c:pt idx="2810">
                  <c:v>2.5315501803406804E-2</c:v>
                </c:pt>
                <c:pt idx="2811">
                  <c:v>2.5315714008700141E-2</c:v>
                </c:pt>
                <c:pt idx="2812">
                  <c:v>2.5315925149165253E-2</c:v>
                </c:pt>
                <c:pt idx="2813">
                  <c:v>2.5316135224722203E-2</c:v>
                </c:pt>
                <c:pt idx="2814">
                  <c:v>2.5316344235450927E-2</c:v>
                </c:pt>
                <c:pt idx="2815">
                  <c:v>2.5316552181351426E-2</c:v>
                </c:pt>
                <c:pt idx="2816">
                  <c:v>2.5316759062663508E-2</c:v>
                </c:pt>
                <c:pt idx="2817">
                  <c:v>2.5316964878827619E-2</c:v>
                </c:pt>
                <c:pt idx="2818">
                  <c:v>2.5317169630243441E-2</c:v>
                </c:pt>
                <c:pt idx="2819">
                  <c:v>2.5317373316910974E-2</c:v>
                </c:pt>
                <c:pt idx="2820">
                  <c:v>2.5317575938830217E-2</c:v>
                </c:pt>
                <c:pt idx="2821">
                  <c:v>2.5317777495761362E-2</c:v>
                </c:pt>
                <c:pt idx="2822">
                  <c:v>2.5317977987944218E-2</c:v>
                </c:pt>
                <c:pt idx="2823">
                  <c:v>2.5318177415218912E-2</c:v>
                </c:pt>
                <c:pt idx="2824">
                  <c:v>2.5318375777665381E-2</c:v>
                </c:pt>
                <c:pt idx="2825">
                  <c:v>2.531857307536356E-2</c:v>
                </c:pt>
                <c:pt idx="2826">
                  <c:v>2.5318769308153577E-2</c:v>
                </c:pt>
                <c:pt idx="2827">
                  <c:v>2.5318964476195305E-2</c:v>
                </c:pt>
                <c:pt idx="2828">
                  <c:v>2.5319158579328871E-2</c:v>
                </c:pt>
                <c:pt idx="2829">
                  <c:v>2.5319351617634211E-2</c:v>
                </c:pt>
                <c:pt idx="2830">
                  <c:v>2.5319543591191263E-2</c:v>
                </c:pt>
                <c:pt idx="2831">
                  <c:v>2.5319734500000024E-2</c:v>
                </c:pt>
                <c:pt idx="2832">
                  <c:v>2.5319924343740752E-2</c:v>
                </c:pt>
                <c:pt idx="2833">
                  <c:v>2.5320113122813126E-2</c:v>
                </c:pt>
                <c:pt idx="2834">
                  <c:v>2.5320300836897403E-2</c:v>
                </c:pt>
                <c:pt idx="2835">
                  <c:v>2.532048748623339E-2</c:v>
                </c:pt>
                <c:pt idx="2836">
                  <c:v>2.5320673070901023E-2</c:v>
                </c:pt>
                <c:pt idx="2837">
                  <c:v>2.5320857590580559E-2</c:v>
                </c:pt>
                <c:pt idx="2838">
                  <c:v>2.5321041045431869E-2</c:v>
                </c:pt>
                <c:pt idx="2839">
                  <c:v>2.5321223435454954E-2</c:v>
                </c:pt>
                <c:pt idx="2840">
                  <c:v>2.5321404760729749E-2</c:v>
                </c:pt>
                <c:pt idx="2841">
                  <c:v>2.5321585021176318E-2</c:v>
                </c:pt>
                <c:pt idx="2842">
                  <c:v>2.5321764216554854E-2</c:v>
                </c:pt>
                <c:pt idx="2843">
                  <c:v>2.5321942347424908E-2</c:v>
                </c:pt>
                <c:pt idx="2844">
                  <c:v>2.5322119413386801E-2</c:v>
                </c:pt>
                <c:pt idx="2845">
                  <c:v>2.5322295414360596E-2</c:v>
                </c:pt>
                <c:pt idx="2846">
                  <c:v>2.5322470350666038E-2</c:v>
                </c:pt>
                <c:pt idx="2847">
                  <c:v>2.5322644222063317E-2</c:v>
                </c:pt>
                <c:pt idx="2848">
                  <c:v>2.5322817028712308E-2</c:v>
                </c:pt>
                <c:pt idx="2849">
                  <c:v>2.5322988770453136E-2</c:v>
                </c:pt>
                <c:pt idx="2850">
                  <c:v>2.5323159447285803E-2</c:v>
                </c:pt>
                <c:pt idx="2851">
                  <c:v>2.5323329059450117E-2</c:v>
                </c:pt>
                <c:pt idx="2852">
                  <c:v>2.5323497606706269E-2</c:v>
                </c:pt>
                <c:pt idx="2853">
                  <c:v>2.5323665089134195E-2</c:v>
                </c:pt>
                <c:pt idx="2854">
                  <c:v>2.5323831506733896E-2</c:v>
                </c:pt>
                <c:pt idx="2855">
                  <c:v>2.5323996859505371E-2</c:v>
                </c:pt>
                <c:pt idx="2856">
                  <c:v>2.5325063552439353E-2</c:v>
                </c:pt>
                <c:pt idx="2857">
                  <c:v>2.5324324370643581E-2</c:v>
                </c:pt>
                <c:pt idx="2858">
                  <c:v>2.5324486529010315E-2</c:v>
                </c:pt>
                <c:pt idx="2859">
                  <c:v>2.5324647622388952E-2</c:v>
                </c:pt>
                <c:pt idx="2860">
                  <c:v>2.5324807651019299E-2</c:v>
                </c:pt>
                <c:pt idx="2861">
                  <c:v>2.532496661482142E-2</c:v>
                </c:pt>
                <c:pt idx="2862">
                  <c:v>2.5325124513795316E-2</c:v>
                </c:pt>
                <c:pt idx="2863">
                  <c:v>2.5325281347861051E-2</c:v>
                </c:pt>
                <c:pt idx="2864">
                  <c:v>2.5325437117258431E-2</c:v>
                </c:pt>
                <c:pt idx="2865">
                  <c:v>2.5325591821667714E-2</c:v>
                </c:pt>
                <c:pt idx="2866">
                  <c:v>2.532574546148858E-2</c:v>
                </c:pt>
                <c:pt idx="2867">
                  <c:v>2.5325898036241412E-2</c:v>
                </c:pt>
                <c:pt idx="2868">
                  <c:v>2.5326049546166018E-2</c:v>
                </c:pt>
                <c:pt idx="2869">
                  <c:v>2.5326199991422271E-2</c:v>
                </c:pt>
                <c:pt idx="2870">
                  <c:v>2.5326349371770362E-2</c:v>
                </c:pt>
                <c:pt idx="2871">
                  <c:v>2.5326497687290228E-2</c:v>
                </c:pt>
                <c:pt idx="2872">
                  <c:v>2.5326644937901932E-2</c:v>
                </c:pt>
                <c:pt idx="2873">
                  <c:v>2.5326791123845283E-2</c:v>
                </c:pt>
                <c:pt idx="2874">
                  <c:v>2.5326936244880471E-2</c:v>
                </c:pt>
                <c:pt idx="2875">
                  <c:v>2.5327080301007499E-2</c:v>
                </c:pt>
                <c:pt idx="2876">
                  <c:v>2.5327223292386236E-2</c:v>
                </c:pt>
                <c:pt idx="2877">
                  <c:v>2.5327365219016684E-2</c:v>
                </c:pt>
                <c:pt idx="2878">
                  <c:v>2.5327506080659035E-2</c:v>
                </c:pt>
                <c:pt idx="2879">
                  <c:v>2.5327645877473159E-2</c:v>
                </c:pt>
                <c:pt idx="2880">
                  <c:v>2.5327784609698867E-2</c:v>
                </c:pt>
                <c:pt idx="2881">
                  <c:v>2.532792227685654E-2</c:v>
                </c:pt>
                <c:pt idx="2882">
                  <c:v>2.5328058879185988E-2</c:v>
                </c:pt>
                <c:pt idx="2883">
                  <c:v>2.5328194416767147E-2</c:v>
                </c:pt>
                <c:pt idx="2884">
                  <c:v>2.5328328889440144E-2</c:v>
                </c:pt>
                <c:pt idx="2885">
                  <c:v>2.5328462297444787E-2</c:v>
                </c:pt>
                <c:pt idx="2886">
                  <c:v>2.5328594640461333E-2</c:v>
                </c:pt>
                <c:pt idx="2887">
                  <c:v>2.5328725918809525E-2</c:v>
                </c:pt>
                <c:pt idx="2888">
                  <c:v>2.5328856132169619E-2</c:v>
                </c:pt>
                <c:pt idx="2889">
                  <c:v>2.5328985280701488E-2</c:v>
                </c:pt>
                <c:pt idx="2890">
                  <c:v>2.5329113364485067E-2</c:v>
                </c:pt>
                <c:pt idx="2891">
                  <c:v>2.5329240383440421E-2</c:v>
                </c:pt>
                <c:pt idx="2892">
                  <c:v>2.5329366337647485E-2</c:v>
                </c:pt>
                <c:pt idx="2893">
                  <c:v>2.5329491226786516E-2</c:v>
                </c:pt>
                <c:pt idx="2894">
                  <c:v>2.5329615051257193E-2</c:v>
                </c:pt>
                <c:pt idx="2895">
                  <c:v>2.5329737810819708E-2</c:v>
                </c:pt>
                <c:pt idx="2896">
                  <c:v>2.5329859505633934E-2</c:v>
                </c:pt>
                <c:pt idx="2897">
                  <c:v>2.5329980135619934E-2</c:v>
                </c:pt>
                <c:pt idx="2898">
                  <c:v>2.5330099700777708E-2</c:v>
                </c:pt>
                <c:pt idx="2899">
                  <c:v>2.5330218201027321E-2</c:v>
                </c:pt>
                <c:pt idx="2900">
                  <c:v>2.5330335636368773E-2</c:v>
                </c:pt>
                <c:pt idx="2901">
                  <c:v>2.5330452007121806E-2</c:v>
                </c:pt>
                <c:pt idx="2902">
                  <c:v>2.5330567312886743E-2</c:v>
                </c:pt>
                <c:pt idx="2903">
                  <c:v>2.5330681553903389E-2</c:v>
                </c:pt>
                <c:pt idx="2904">
                  <c:v>2.5330794729931938E-2</c:v>
                </c:pt>
                <c:pt idx="2905">
                  <c:v>2.5330906841372069E-2</c:v>
                </c:pt>
                <c:pt idx="2906">
                  <c:v>2.5331017887904039E-2</c:v>
                </c:pt>
                <c:pt idx="2907">
                  <c:v>2.5331127869527847E-2</c:v>
                </c:pt>
                <c:pt idx="2908">
                  <c:v>2.5332135733679984E-2</c:v>
                </c:pt>
                <c:pt idx="2909">
                  <c:v>2.5331344638450659E-2</c:v>
                </c:pt>
                <c:pt idx="2910">
                  <c:v>2.5331451425509854E-2</c:v>
                </c:pt>
                <c:pt idx="2911">
                  <c:v>2.5331557147740824E-2</c:v>
                </c:pt>
                <c:pt idx="2912">
                  <c:v>2.533166180530344E-2</c:v>
                </c:pt>
                <c:pt idx="2913">
                  <c:v>2.5331765398117767E-2</c:v>
                </c:pt>
                <c:pt idx="2914">
                  <c:v>2.5331867925943996E-2</c:v>
                </c:pt>
                <c:pt idx="2915">
                  <c:v>2.5331969388862063E-2</c:v>
                </c:pt>
                <c:pt idx="2916">
                  <c:v>2.5332069787111777E-2</c:v>
                </c:pt>
                <c:pt idx="2917">
                  <c:v>2.5332169120453329E-2</c:v>
                </c:pt>
                <c:pt idx="2918">
                  <c:v>2.5332267388966656E-2</c:v>
                </c:pt>
                <c:pt idx="2919">
                  <c:v>2.5332364592651757E-2</c:v>
                </c:pt>
                <c:pt idx="2920">
                  <c:v>2.5332460731668505E-2</c:v>
                </c:pt>
                <c:pt idx="2921">
                  <c:v>2.5332555805697154E-2</c:v>
                </c:pt>
                <c:pt idx="2922">
                  <c:v>2.5332649814817643E-2</c:v>
                </c:pt>
                <c:pt idx="2923">
                  <c:v>2.5332742759349713E-2</c:v>
                </c:pt>
                <c:pt idx="2924">
                  <c:v>2.533283463881375E-2</c:v>
                </c:pt>
                <c:pt idx="2925">
                  <c:v>2.5332925453609434E-2</c:v>
                </c:pt>
                <c:pt idx="2926">
                  <c:v>2.5333015203337084E-2</c:v>
                </c:pt>
                <c:pt idx="2927">
                  <c:v>2.5333103888556252E-2</c:v>
                </c:pt>
                <c:pt idx="2928">
                  <c:v>2.5333191508787323E-2</c:v>
                </c:pt>
                <c:pt idx="2929">
                  <c:v>2.5333278064190168E-2</c:v>
                </c:pt>
                <c:pt idx="2930">
                  <c:v>2.5333363554764787E-2</c:v>
                </c:pt>
                <c:pt idx="2931">
                  <c:v>2.5333447980591117E-2</c:v>
                </c:pt>
                <c:pt idx="2932">
                  <c:v>2.5333531341429349E-2</c:v>
                </c:pt>
                <c:pt idx="2933">
                  <c:v>2.5333613637439356E-2</c:v>
                </c:pt>
                <c:pt idx="2934">
                  <c:v>2.5333694868860945E-2</c:v>
                </c:pt>
                <c:pt idx="2935">
                  <c:v>2.5333775035294437E-2</c:v>
                </c:pt>
                <c:pt idx="2936">
                  <c:v>2.5333854136899703E-2</c:v>
                </c:pt>
                <c:pt idx="2937">
                  <c:v>2.5333932173596807E-2</c:v>
                </c:pt>
                <c:pt idx="2938">
                  <c:v>2.5334009145705494E-2</c:v>
                </c:pt>
                <c:pt idx="2939">
                  <c:v>2.5334085052826083E-2</c:v>
                </c:pt>
                <c:pt idx="2940">
                  <c:v>2.5334170499915487E-2</c:v>
                </c:pt>
                <c:pt idx="2941">
                  <c:v>2.5334244125181371E-2</c:v>
                </c:pt>
                <c:pt idx="2942">
                  <c:v>2.5334316685619029E-2</c:v>
                </c:pt>
                <c:pt idx="2943">
                  <c:v>2.5334388181388334E-2</c:v>
                </c:pt>
                <c:pt idx="2944">
                  <c:v>2.5334458612249477E-2</c:v>
                </c:pt>
                <c:pt idx="2945">
                  <c:v>2.5334527978202459E-2</c:v>
                </c:pt>
                <c:pt idx="2946">
                  <c:v>2.5334596279487087E-2</c:v>
                </c:pt>
                <c:pt idx="2947">
                  <c:v>2.5334663515863554E-2</c:v>
                </c:pt>
                <c:pt idx="2948">
                  <c:v>2.533472968749173E-2</c:v>
                </c:pt>
                <c:pt idx="2949">
                  <c:v>2.5334794794051874E-2</c:v>
                </c:pt>
                <c:pt idx="2950">
                  <c:v>2.5334858835943663E-2</c:v>
                </c:pt>
                <c:pt idx="2951">
                  <c:v>2.5334921813087163E-2</c:v>
                </c:pt>
                <c:pt idx="2952">
                  <c:v>2.5334983725242566E-2</c:v>
                </c:pt>
                <c:pt idx="2953">
                  <c:v>2.5335044572649679E-2</c:v>
                </c:pt>
                <c:pt idx="2954">
                  <c:v>2.5335104355228566E-2</c:v>
                </c:pt>
                <c:pt idx="2955">
                  <c:v>2.5335163072979228E-2</c:v>
                </c:pt>
                <c:pt idx="2956">
                  <c:v>2.5335220725741792E-2</c:v>
                </c:pt>
                <c:pt idx="2957">
                  <c:v>2.5335277313995874E-2</c:v>
                </c:pt>
                <c:pt idx="2958">
                  <c:v>2.5335332837181923E-2</c:v>
                </c:pt>
                <c:pt idx="2959">
                  <c:v>2.5335387295619682E-2</c:v>
                </c:pt>
                <c:pt idx="2960">
                  <c:v>2.5337238798250894E-2</c:v>
                </c:pt>
                <c:pt idx="2961">
                  <c:v>2.5337290830069747E-2</c:v>
                </c:pt>
                <c:pt idx="2962">
                  <c:v>2.5337341796953794E-2</c:v>
                </c:pt>
                <c:pt idx="2963">
                  <c:v>2.5337391698849743E-2</c:v>
                </c:pt>
                <c:pt idx="2964">
                  <c:v>2.5337440535757594E-2</c:v>
                </c:pt>
                <c:pt idx="2965">
                  <c:v>2.5337488307677347E-2</c:v>
                </c:pt>
                <c:pt idx="2966">
                  <c:v>2.5337535014635648E-2</c:v>
                </c:pt>
                <c:pt idx="2967">
                  <c:v>2.5337580656579206E-2</c:v>
                </c:pt>
                <c:pt idx="2968">
                  <c:v>2.5338519989004382E-2</c:v>
                </c:pt>
                <c:pt idx="2969">
                  <c:v>2.533766874560861E-2</c:v>
                </c:pt>
                <c:pt idx="2970">
                  <c:v>2.533771119261452E-2</c:v>
                </c:pt>
                <c:pt idx="2971">
                  <c:v>2.5337752574658978E-2</c:v>
                </c:pt>
                <c:pt idx="2972">
                  <c:v>2.5338687354665712E-2</c:v>
                </c:pt>
                <c:pt idx="2973">
                  <c:v>2.5337832143810246E-2</c:v>
                </c:pt>
                <c:pt idx="2974">
                  <c:v>2.5337870330943701E-2</c:v>
                </c:pt>
                <c:pt idx="2975">
                  <c:v>2.5337907453062414E-2</c:v>
                </c:pt>
                <c:pt idx="2976">
                  <c:v>2.5337943510246319E-2</c:v>
                </c:pt>
                <c:pt idx="2977">
                  <c:v>2.5337978502415481E-2</c:v>
                </c:pt>
                <c:pt idx="2978">
                  <c:v>2.5338012429596546E-2</c:v>
                </c:pt>
                <c:pt idx="2979">
                  <c:v>2.5338045291789513E-2</c:v>
                </c:pt>
                <c:pt idx="2980">
                  <c:v>2.5338077089074318E-2</c:v>
                </c:pt>
                <c:pt idx="2981">
                  <c:v>2.5338107821317735E-2</c:v>
                </c:pt>
                <c:pt idx="2982">
                  <c:v>2.5338137488599699E-2</c:v>
                </c:pt>
                <c:pt idx="2983">
                  <c:v>2.5338166090893566E-2</c:v>
                </c:pt>
                <c:pt idx="2984">
                  <c:v>2.533819362822598E-2</c:v>
                </c:pt>
                <c:pt idx="2985">
                  <c:v>2.5338220100543651E-2</c:v>
                </c:pt>
                <c:pt idx="2986">
                  <c:v>2.5339138937656713E-2</c:v>
                </c:pt>
                <c:pt idx="2987">
                  <c:v>2.5338269850294637E-2</c:v>
                </c:pt>
                <c:pt idx="2988">
                  <c:v>2.5338293127701306E-2</c:v>
                </c:pt>
                <c:pt idx="2989">
                  <c:v>2.5338315340119877E-2</c:v>
                </c:pt>
                <c:pt idx="2990">
                  <c:v>2.5338336487576996E-2</c:v>
                </c:pt>
                <c:pt idx="2991">
                  <c:v>2.5338356570046017E-2</c:v>
                </c:pt>
                <c:pt idx="2992">
                  <c:v>2.5336597615464029E-2</c:v>
                </c:pt>
                <c:pt idx="2993">
                  <c:v>2.5336615261188911E-2</c:v>
                </c:pt>
                <c:pt idx="2994">
                  <c:v>2.533663184200563E-2</c:v>
                </c:pt>
                <c:pt idx="2995">
                  <c:v>2.533664735807406E-2</c:v>
                </c:pt>
                <c:pt idx="2996">
                  <c:v>2.5336661809474137E-2</c:v>
                </c:pt>
                <c:pt idx="2997">
                  <c:v>2.5336675195886116E-2</c:v>
                </c:pt>
                <c:pt idx="2998">
                  <c:v>2.5336687517389933E-2</c:v>
                </c:pt>
                <c:pt idx="2999">
                  <c:v>2.5336698774145461E-2</c:v>
                </c:pt>
                <c:pt idx="3000">
                  <c:v>2.5336710335297496E-2</c:v>
                </c:pt>
                <c:pt idx="3001">
                  <c:v>2.5336719310278255E-2</c:v>
                </c:pt>
                <c:pt idx="3002">
                  <c:v>2.5336727220270916E-2</c:v>
                </c:pt>
                <c:pt idx="3003">
                  <c:v>2.5336734065675159E-2</c:v>
                </c:pt>
                <c:pt idx="3004">
                  <c:v>2.5336739846171241E-2</c:v>
                </c:pt>
                <c:pt idx="3005">
                  <c:v>2.5336744561919033E-2</c:v>
                </c:pt>
                <c:pt idx="3006">
                  <c:v>2.5336748212678728E-2</c:v>
                </c:pt>
                <c:pt idx="3007">
                  <c:v>2.5336750798610197E-2</c:v>
                </c:pt>
                <c:pt idx="3008">
                  <c:v>2.5336752319873312E-2</c:v>
                </c:pt>
                <c:pt idx="3009">
                  <c:v>2.5336752779905325E-2</c:v>
                </c:pt>
                <c:pt idx="3010">
                  <c:v>2.5336752779905325E-2</c:v>
                </c:pt>
                <c:pt idx="3011">
                  <c:v>2.5336752779825389E-2</c:v>
                </c:pt>
                <c:pt idx="3012">
                  <c:v>2.5337644378540247E-2</c:v>
                </c:pt>
                <c:pt idx="3013">
                  <c:v>2.5336752779905325E-2</c:v>
                </c:pt>
                <c:pt idx="3014">
                  <c:v>2.5336752779905325E-2</c:v>
                </c:pt>
                <c:pt idx="3015">
                  <c:v>2.5336752779825389E-2</c:v>
                </c:pt>
                <c:pt idx="3016">
                  <c:v>2.5337644378540247E-2</c:v>
                </c:pt>
                <c:pt idx="3017">
                  <c:v>2.5337644378540247E-2</c:v>
                </c:pt>
                <c:pt idx="3018">
                  <c:v>2.5336752779905325E-2</c:v>
                </c:pt>
                <c:pt idx="3019">
                  <c:v>2.5336752779825389E-2</c:v>
                </c:pt>
                <c:pt idx="3020">
                  <c:v>2.5336752779905325E-2</c:v>
                </c:pt>
                <c:pt idx="3021">
                  <c:v>2.5336752779905325E-2</c:v>
                </c:pt>
                <c:pt idx="3022">
                  <c:v>2.5336752779825389E-2</c:v>
                </c:pt>
                <c:pt idx="3023">
                  <c:v>2.5336752779905325E-2</c:v>
                </c:pt>
                <c:pt idx="3024">
                  <c:v>2.5336752779905325E-2</c:v>
                </c:pt>
                <c:pt idx="3025">
                  <c:v>2.5336752779905325E-2</c:v>
                </c:pt>
                <c:pt idx="3026">
                  <c:v>2.5336752779825389E-2</c:v>
                </c:pt>
                <c:pt idx="3027">
                  <c:v>2.5336752779825389E-2</c:v>
                </c:pt>
                <c:pt idx="3028">
                  <c:v>2.5336752779905325E-2</c:v>
                </c:pt>
                <c:pt idx="3029">
                  <c:v>2.5336752779825389E-2</c:v>
                </c:pt>
                <c:pt idx="3030">
                  <c:v>2.5336752779825389E-2</c:v>
                </c:pt>
                <c:pt idx="3031">
                  <c:v>2.5336752779825389E-2</c:v>
                </c:pt>
                <c:pt idx="3032">
                  <c:v>2.5336752779905325E-2</c:v>
                </c:pt>
                <c:pt idx="3033">
                  <c:v>2.5336752779825389E-2</c:v>
                </c:pt>
                <c:pt idx="3034">
                  <c:v>2.5336752779905325E-2</c:v>
                </c:pt>
                <c:pt idx="3035">
                  <c:v>2.5336752779905325E-2</c:v>
                </c:pt>
                <c:pt idx="3036">
                  <c:v>2.5336752779905325E-2</c:v>
                </c:pt>
                <c:pt idx="3037">
                  <c:v>2.5336752779825389E-2</c:v>
                </c:pt>
                <c:pt idx="3038">
                  <c:v>2.5336752779905325E-2</c:v>
                </c:pt>
                <c:pt idx="3039">
                  <c:v>2.5336752779905325E-2</c:v>
                </c:pt>
                <c:pt idx="3040">
                  <c:v>2.5336752779825389E-2</c:v>
                </c:pt>
                <c:pt idx="3041">
                  <c:v>2.5336752779825389E-2</c:v>
                </c:pt>
                <c:pt idx="3042">
                  <c:v>2.5336752779905325E-2</c:v>
                </c:pt>
                <c:pt idx="3043">
                  <c:v>2.5336752779905325E-2</c:v>
                </c:pt>
                <c:pt idx="3044">
                  <c:v>2.5336752779825389E-2</c:v>
                </c:pt>
                <c:pt idx="3045">
                  <c:v>2.5336752779905325E-2</c:v>
                </c:pt>
                <c:pt idx="3046">
                  <c:v>2.5336752779905325E-2</c:v>
                </c:pt>
                <c:pt idx="3047">
                  <c:v>2.5336752779905325E-2</c:v>
                </c:pt>
                <c:pt idx="3048">
                  <c:v>2.5336752779825389E-2</c:v>
                </c:pt>
                <c:pt idx="3049">
                  <c:v>2.5336752779905325E-2</c:v>
                </c:pt>
                <c:pt idx="3050">
                  <c:v>2.5336752779825389E-2</c:v>
                </c:pt>
                <c:pt idx="3051">
                  <c:v>2.5336752779825389E-2</c:v>
                </c:pt>
                <c:pt idx="3052">
                  <c:v>2.5336752779905325E-2</c:v>
                </c:pt>
                <c:pt idx="3053">
                  <c:v>2.5336752779905325E-2</c:v>
                </c:pt>
                <c:pt idx="3054">
                  <c:v>2.5336752779825389E-2</c:v>
                </c:pt>
                <c:pt idx="3055">
                  <c:v>2.5336752779825389E-2</c:v>
                </c:pt>
                <c:pt idx="3056">
                  <c:v>2.5336752779905325E-2</c:v>
                </c:pt>
                <c:pt idx="3057">
                  <c:v>2.5336752779905325E-2</c:v>
                </c:pt>
                <c:pt idx="3058">
                  <c:v>2.5336752779825389E-2</c:v>
                </c:pt>
                <c:pt idx="3059">
                  <c:v>2.5336752779825389E-2</c:v>
                </c:pt>
                <c:pt idx="3060">
                  <c:v>2.5336752779905325E-2</c:v>
                </c:pt>
                <c:pt idx="3061">
                  <c:v>2.5336752779905325E-2</c:v>
                </c:pt>
                <c:pt idx="3062">
                  <c:v>2.5336752779825389E-2</c:v>
                </c:pt>
                <c:pt idx="3063">
                  <c:v>2.5336752779825389E-2</c:v>
                </c:pt>
                <c:pt idx="3064">
                  <c:v>2.5338536019035018E-2</c:v>
                </c:pt>
                <c:pt idx="3065">
                  <c:v>2.5338536019035018E-2</c:v>
                </c:pt>
                <c:pt idx="3066">
                  <c:v>2.5338536019061664E-2</c:v>
                </c:pt>
                <c:pt idx="3067">
                  <c:v>2.5338536019035018E-2</c:v>
                </c:pt>
                <c:pt idx="3068">
                  <c:v>2.5336752779905325E-2</c:v>
                </c:pt>
                <c:pt idx="3069">
                  <c:v>2.5336752779905325E-2</c:v>
                </c:pt>
                <c:pt idx="3070">
                  <c:v>2.5336752779905325E-2</c:v>
                </c:pt>
                <c:pt idx="3071">
                  <c:v>2.5336752779825389E-2</c:v>
                </c:pt>
                <c:pt idx="3072">
                  <c:v>2.5336752779905325E-2</c:v>
                </c:pt>
                <c:pt idx="3073">
                  <c:v>2.5336752779905325E-2</c:v>
                </c:pt>
                <c:pt idx="3074">
                  <c:v>2.5336752779825389E-2</c:v>
                </c:pt>
                <c:pt idx="3075">
                  <c:v>2.5336752779905325E-2</c:v>
                </c:pt>
                <c:pt idx="3076">
                  <c:v>2.5336752779905325E-2</c:v>
                </c:pt>
                <c:pt idx="3077">
                  <c:v>2.5336752779905325E-2</c:v>
                </c:pt>
                <c:pt idx="3078">
                  <c:v>2.5336752779825389E-2</c:v>
                </c:pt>
                <c:pt idx="3079">
                  <c:v>2.5336752779905325E-2</c:v>
                </c:pt>
                <c:pt idx="3080">
                  <c:v>2.5336752779905325E-2</c:v>
                </c:pt>
                <c:pt idx="3081">
                  <c:v>2.5336752779825389E-2</c:v>
                </c:pt>
                <c:pt idx="3082">
                  <c:v>2.5336752779825389E-2</c:v>
                </c:pt>
                <c:pt idx="3083">
                  <c:v>2.5336752779905325E-2</c:v>
                </c:pt>
                <c:pt idx="3084">
                  <c:v>2.5336752779905325E-2</c:v>
                </c:pt>
                <c:pt idx="3085">
                  <c:v>2.5336752779825389E-2</c:v>
                </c:pt>
                <c:pt idx="3086">
                  <c:v>2.5336752779905325E-2</c:v>
                </c:pt>
                <c:pt idx="3087">
                  <c:v>2.5336752779825389E-2</c:v>
                </c:pt>
                <c:pt idx="3088">
                  <c:v>2.5336752779825389E-2</c:v>
                </c:pt>
                <c:pt idx="3089">
                  <c:v>2.5336752779825389E-2</c:v>
                </c:pt>
                <c:pt idx="3090">
                  <c:v>2.5336752779985261E-2</c:v>
                </c:pt>
                <c:pt idx="3091">
                  <c:v>2.5336752779905325E-2</c:v>
                </c:pt>
                <c:pt idx="3092">
                  <c:v>2.5336752779825389E-2</c:v>
                </c:pt>
                <c:pt idx="3093">
                  <c:v>2.5336752779905325E-2</c:v>
                </c:pt>
                <c:pt idx="3094">
                  <c:v>2.5336752779825389E-2</c:v>
                </c:pt>
                <c:pt idx="3095">
                  <c:v>2.5336752779905325E-2</c:v>
                </c:pt>
                <c:pt idx="3096">
                  <c:v>2.5336752779825389E-2</c:v>
                </c:pt>
                <c:pt idx="3097">
                  <c:v>2.5336752779905325E-2</c:v>
                </c:pt>
                <c:pt idx="3098">
                  <c:v>2.5336752779905325E-2</c:v>
                </c:pt>
                <c:pt idx="3099">
                  <c:v>2.5336752779825389E-2</c:v>
                </c:pt>
                <c:pt idx="3100">
                  <c:v>2.5336752779825389E-2</c:v>
                </c:pt>
                <c:pt idx="3101">
                  <c:v>2.5336752779985261E-2</c:v>
                </c:pt>
                <c:pt idx="3102">
                  <c:v>2.5336752779905325E-2</c:v>
                </c:pt>
                <c:pt idx="3103">
                  <c:v>2.5336752779825389E-2</c:v>
                </c:pt>
                <c:pt idx="3104">
                  <c:v>2.5336752779905325E-2</c:v>
                </c:pt>
                <c:pt idx="3105">
                  <c:v>2.5336752779905325E-2</c:v>
                </c:pt>
                <c:pt idx="3106">
                  <c:v>2.5336752779825389E-2</c:v>
                </c:pt>
                <c:pt idx="3107">
                  <c:v>2.5336752779825389E-2</c:v>
                </c:pt>
                <c:pt idx="3108">
                  <c:v>2.5336752779905325E-2</c:v>
                </c:pt>
                <c:pt idx="3109">
                  <c:v>2.5336752779905325E-2</c:v>
                </c:pt>
                <c:pt idx="3110">
                  <c:v>2.5336752779825389E-2</c:v>
                </c:pt>
                <c:pt idx="3111">
                  <c:v>2.5336752779825389E-2</c:v>
                </c:pt>
                <c:pt idx="3112">
                  <c:v>2.5336752779905325E-2</c:v>
                </c:pt>
                <c:pt idx="3113">
                  <c:v>2.5336752779825389E-2</c:v>
                </c:pt>
                <c:pt idx="3114">
                  <c:v>2.5336752779905325E-2</c:v>
                </c:pt>
                <c:pt idx="3115">
                  <c:v>2.5336752779905325E-2</c:v>
                </c:pt>
                <c:pt idx="3116">
                  <c:v>2.5336752779905325E-2</c:v>
                </c:pt>
                <c:pt idx="3117">
                  <c:v>2.5336752779825389E-2</c:v>
                </c:pt>
                <c:pt idx="3118">
                  <c:v>2.5336752779825389E-2</c:v>
                </c:pt>
                <c:pt idx="3119">
                  <c:v>2.5336752779905325E-2</c:v>
                </c:pt>
                <c:pt idx="3120">
                  <c:v>2.5336752779905325E-2</c:v>
                </c:pt>
                <c:pt idx="3121">
                  <c:v>2.5336752779825389E-2</c:v>
                </c:pt>
                <c:pt idx="3122">
                  <c:v>2.5336752779905325E-2</c:v>
                </c:pt>
                <c:pt idx="3123">
                  <c:v>2.5336752779905325E-2</c:v>
                </c:pt>
                <c:pt idx="3124">
                  <c:v>2.5336752779905325E-2</c:v>
                </c:pt>
                <c:pt idx="3125">
                  <c:v>2.5336752779825389E-2</c:v>
                </c:pt>
                <c:pt idx="3126">
                  <c:v>2.5336752779905325E-2</c:v>
                </c:pt>
                <c:pt idx="3127">
                  <c:v>2.5336752779905325E-2</c:v>
                </c:pt>
                <c:pt idx="3128">
                  <c:v>2.5336752779825389E-2</c:v>
                </c:pt>
                <c:pt idx="3129">
                  <c:v>2.5336752779825389E-2</c:v>
                </c:pt>
                <c:pt idx="3130">
                  <c:v>2.5336752779905325E-2</c:v>
                </c:pt>
                <c:pt idx="3131">
                  <c:v>2.5336752779905325E-2</c:v>
                </c:pt>
                <c:pt idx="3132">
                  <c:v>2.5336752779825389E-2</c:v>
                </c:pt>
                <c:pt idx="3133">
                  <c:v>2.5336752779905325E-2</c:v>
                </c:pt>
                <c:pt idx="3134">
                  <c:v>2.5336752779905325E-2</c:v>
                </c:pt>
                <c:pt idx="3135">
                  <c:v>2.5336752779825389E-2</c:v>
                </c:pt>
                <c:pt idx="3136">
                  <c:v>2.5336752779825389E-2</c:v>
                </c:pt>
                <c:pt idx="3137">
                  <c:v>2.5336752779905325E-2</c:v>
                </c:pt>
                <c:pt idx="3138">
                  <c:v>2.5336752779905325E-2</c:v>
                </c:pt>
                <c:pt idx="3139">
                  <c:v>2.5336752779825389E-2</c:v>
                </c:pt>
                <c:pt idx="3140">
                  <c:v>2.5336752779905325E-2</c:v>
                </c:pt>
                <c:pt idx="3141">
                  <c:v>2.5336752779905325E-2</c:v>
                </c:pt>
                <c:pt idx="3142">
                  <c:v>2.5336752779905325E-2</c:v>
                </c:pt>
                <c:pt idx="3143">
                  <c:v>2.5336752779825389E-2</c:v>
                </c:pt>
                <c:pt idx="3144">
                  <c:v>2.5336752779905325E-2</c:v>
                </c:pt>
                <c:pt idx="3145">
                  <c:v>2.5336752779905325E-2</c:v>
                </c:pt>
                <c:pt idx="3146">
                  <c:v>2.5336752779825389E-2</c:v>
                </c:pt>
                <c:pt idx="3147">
                  <c:v>2.5336752779825389E-2</c:v>
                </c:pt>
                <c:pt idx="3148">
                  <c:v>2.5336752779905325E-2</c:v>
                </c:pt>
                <c:pt idx="3149">
                  <c:v>2.5336752779905325E-2</c:v>
                </c:pt>
                <c:pt idx="3150">
                  <c:v>2.5336752779825389E-2</c:v>
                </c:pt>
                <c:pt idx="3151">
                  <c:v>2.5336752779905325E-2</c:v>
                </c:pt>
                <c:pt idx="3152">
                  <c:v>2.5336752779905325E-2</c:v>
                </c:pt>
                <c:pt idx="3153">
                  <c:v>2.5336752779825389E-2</c:v>
                </c:pt>
                <c:pt idx="3154">
                  <c:v>2.5336752779825389E-2</c:v>
                </c:pt>
                <c:pt idx="3155">
                  <c:v>2.5336752779905325E-2</c:v>
                </c:pt>
                <c:pt idx="3156">
                  <c:v>2.5336752779905325E-2</c:v>
                </c:pt>
                <c:pt idx="3157">
                  <c:v>2.5336752779825389E-2</c:v>
                </c:pt>
                <c:pt idx="3158">
                  <c:v>2.5336752779905325E-2</c:v>
                </c:pt>
                <c:pt idx="3159">
                  <c:v>2.5336752779905325E-2</c:v>
                </c:pt>
                <c:pt idx="3160">
                  <c:v>2.5336752779905325E-2</c:v>
                </c:pt>
                <c:pt idx="3161">
                  <c:v>2.5336752779905325E-2</c:v>
                </c:pt>
                <c:pt idx="3162">
                  <c:v>2.5336752779905325E-2</c:v>
                </c:pt>
                <c:pt idx="3163">
                  <c:v>2.5336752779985261E-2</c:v>
                </c:pt>
                <c:pt idx="3164">
                  <c:v>2.5336752779825389E-2</c:v>
                </c:pt>
                <c:pt idx="3165">
                  <c:v>2.5336752779825389E-2</c:v>
                </c:pt>
                <c:pt idx="3166">
                  <c:v>2.5336752779905325E-2</c:v>
                </c:pt>
                <c:pt idx="3167">
                  <c:v>2.5336752779905325E-2</c:v>
                </c:pt>
                <c:pt idx="3168">
                  <c:v>2.5336752779825389E-2</c:v>
                </c:pt>
                <c:pt idx="3169">
                  <c:v>2.5336752779905325E-2</c:v>
                </c:pt>
                <c:pt idx="3170">
                  <c:v>2.5336752779905325E-2</c:v>
                </c:pt>
                <c:pt idx="3171">
                  <c:v>2.5336752779905325E-2</c:v>
                </c:pt>
                <c:pt idx="3172">
                  <c:v>2.5336752779825389E-2</c:v>
                </c:pt>
                <c:pt idx="3173">
                  <c:v>2.5336752779905325E-2</c:v>
                </c:pt>
                <c:pt idx="3174">
                  <c:v>2.5336752779825389E-2</c:v>
                </c:pt>
                <c:pt idx="3175">
                  <c:v>2.5336752779905325E-2</c:v>
                </c:pt>
                <c:pt idx="3176">
                  <c:v>2.5336752779825389E-2</c:v>
                </c:pt>
                <c:pt idx="3177">
                  <c:v>2.5336752779905325E-2</c:v>
                </c:pt>
                <c:pt idx="3178">
                  <c:v>2.5336752779905325E-2</c:v>
                </c:pt>
                <c:pt idx="3179">
                  <c:v>2.5336752779825389E-2</c:v>
                </c:pt>
                <c:pt idx="3180">
                  <c:v>2.5336752779905325E-2</c:v>
                </c:pt>
                <c:pt idx="3181">
                  <c:v>2.5336752779905325E-2</c:v>
                </c:pt>
                <c:pt idx="3182">
                  <c:v>2.5336752779825389E-2</c:v>
                </c:pt>
                <c:pt idx="3183">
                  <c:v>2.5336752779825389E-2</c:v>
                </c:pt>
                <c:pt idx="3184">
                  <c:v>2.5336752779905325E-2</c:v>
                </c:pt>
                <c:pt idx="3185">
                  <c:v>2.5336752779905325E-2</c:v>
                </c:pt>
                <c:pt idx="3186">
                  <c:v>2.5336752779825389E-2</c:v>
                </c:pt>
                <c:pt idx="3187">
                  <c:v>2.5336752779905325E-2</c:v>
                </c:pt>
                <c:pt idx="3188">
                  <c:v>2.5336752779905325E-2</c:v>
                </c:pt>
                <c:pt idx="3189">
                  <c:v>2.5336752779905325E-2</c:v>
                </c:pt>
                <c:pt idx="3190">
                  <c:v>2.5336752779825389E-2</c:v>
                </c:pt>
                <c:pt idx="3191">
                  <c:v>2.5336752779905325E-2</c:v>
                </c:pt>
                <c:pt idx="3192">
                  <c:v>2.5336752779905325E-2</c:v>
                </c:pt>
                <c:pt idx="3193">
                  <c:v>2.5336752779825389E-2</c:v>
                </c:pt>
                <c:pt idx="3194">
                  <c:v>2.5336752779825389E-2</c:v>
                </c:pt>
                <c:pt idx="3195">
                  <c:v>2.5336752779825389E-2</c:v>
                </c:pt>
                <c:pt idx="3196">
                  <c:v>2.5336752779905325E-2</c:v>
                </c:pt>
                <c:pt idx="3197">
                  <c:v>2.5336752779905325E-2</c:v>
                </c:pt>
                <c:pt idx="3198">
                  <c:v>2.5336752779905325E-2</c:v>
                </c:pt>
                <c:pt idx="3199">
                  <c:v>2.5337644378540247E-2</c:v>
                </c:pt>
                <c:pt idx="3200">
                  <c:v>2.5336752779905325E-2</c:v>
                </c:pt>
                <c:pt idx="3201">
                  <c:v>2.5336752779825389E-2</c:v>
                </c:pt>
                <c:pt idx="3202">
                  <c:v>2.5336752779905325E-2</c:v>
                </c:pt>
                <c:pt idx="3203">
                  <c:v>2.5336752779905325E-2</c:v>
                </c:pt>
                <c:pt idx="3204">
                  <c:v>2.5336752779825389E-2</c:v>
                </c:pt>
                <c:pt idx="3205">
                  <c:v>2.5336752779825389E-2</c:v>
                </c:pt>
                <c:pt idx="3206">
                  <c:v>2.5336752779905325E-2</c:v>
                </c:pt>
                <c:pt idx="3207">
                  <c:v>2.5336752779985261E-2</c:v>
                </c:pt>
                <c:pt idx="3208">
                  <c:v>2.5336752779825389E-2</c:v>
                </c:pt>
                <c:pt idx="3209">
                  <c:v>2.5336752779905325E-2</c:v>
                </c:pt>
                <c:pt idx="3210">
                  <c:v>2.5336752779905325E-2</c:v>
                </c:pt>
                <c:pt idx="3211">
                  <c:v>2.5336752779825389E-2</c:v>
                </c:pt>
                <c:pt idx="3212">
                  <c:v>2.5336752779825389E-2</c:v>
                </c:pt>
                <c:pt idx="3213">
                  <c:v>2.5336752779905325E-2</c:v>
                </c:pt>
                <c:pt idx="3214">
                  <c:v>2.5336752779825389E-2</c:v>
                </c:pt>
                <c:pt idx="3215">
                  <c:v>2.5336752779825389E-2</c:v>
                </c:pt>
                <c:pt idx="3216">
                  <c:v>2.5336752779905325E-2</c:v>
                </c:pt>
                <c:pt idx="3217">
                  <c:v>2.5336752779905325E-2</c:v>
                </c:pt>
                <c:pt idx="3218">
                  <c:v>2.5336752779905325E-2</c:v>
                </c:pt>
                <c:pt idx="3219">
                  <c:v>2.5336752779825389E-2</c:v>
                </c:pt>
                <c:pt idx="3220">
                  <c:v>2.5336752779905325E-2</c:v>
                </c:pt>
                <c:pt idx="3221">
                  <c:v>2.5336752779905325E-2</c:v>
                </c:pt>
                <c:pt idx="3222">
                  <c:v>2.5336752779825389E-2</c:v>
                </c:pt>
                <c:pt idx="3223">
                  <c:v>2.5336752779825389E-2</c:v>
                </c:pt>
                <c:pt idx="3224">
                  <c:v>2.5336752779825389E-2</c:v>
                </c:pt>
                <c:pt idx="3225">
                  <c:v>2.5336752779905325E-2</c:v>
                </c:pt>
                <c:pt idx="3226">
                  <c:v>2.5336752779905325E-2</c:v>
                </c:pt>
                <c:pt idx="3227">
                  <c:v>2.5336752779825389E-2</c:v>
                </c:pt>
                <c:pt idx="3228">
                  <c:v>2.5336752779825389E-2</c:v>
                </c:pt>
                <c:pt idx="3229">
                  <c:v>2.5336752779905325E-2</c:v>
                </c:pt>
                <c:pt idx="3230">
                  <c:v>2.5336752779905325E-2</c:v>
                </c:pt>
                <c:pt idx="3231">
                  <c:v>2.5336752779825389E-2</c:v>
                </c:pt>
                <c:pt idx="3232">
                  <c:v>2.5336752779825389E-2</c:v>
                </c:pt>
                <c:pt idx="3233">
                  <c:v>2.5336752779905325E-2</c:v>
                </c:pt>
                <c:pt idx="3234">
                  <c:v>2.5336752779825389E-2</c:v>
                </c:pt>
                <c:pt idx="3235">
                  <c:v>2.5336752779905325E-2</c:v>
                </c:pt>
                <c:pt idx="3236">
                  <c:v>2.5336752779905325E-2</c:v>
                </c:pt>
                <c:pt idx="3237">
                  <c:v>2.5336752779905325E-2</c:v>
                </c:pt>
                <c:pt idx="3238">
                  <c:v>2.5336752779905325E-2</c:v>
                </c:pt>
                <c:pt idx="3239">
                  <c:v>2.5336752779905325E-2</c:v>
                </c:pt>
                <c:pt idx="3240">
                  <c:v>2.5336752779905325E-2</c:v>
                </c:pt>
                <c:pt idx="3241">
                  <c:v>2.5336752779905325E-2</c:v>
                </c:pt>
                <c:pt idx="3242">
                  <c:v>2.5336752779825389E-2</c:v>
                </c:pt>
                <c:pt idx="3243">
                  <c:v>2.5336752779825389E-2</c:v>
                </c:pt>
                <c:pt idx="3244">
                  <c:v>2.5336752779905325E-2</c:v>
                </c:pt>
                <c:pt idx="3245">
                  <c:v>2.5336752779905325E-2</c:v>
                </c:pt>
                <c:pt idx="3246">
                  <c:v>2.5336752779825389E-2</c:v>
                </c:pt>
                <c:pt idx="3247">
                  <c:v>2.5336752779905325E-2</c:v>
                </c:pt>
                <c:pt idx="3248">
                  <c:v>2.5336752779905325E-2</c:v>
                </c:pt>
                <c:pt idx="3249">
                  <c:v>2.5336752779825389E-2</c:v>
                </c:pt>
                <c:pt idx="3250">
                  <c:v>2.5336752779905325E-2</c:v>
                </c:pt>
                <c:pt idx="3251">
                  <c:v>2.5337644378540247E-2</c:v>
                </c:pt>
                <c:pt idx="3252">
                  <c:v>2.5336752779825389E-2</c:v>
                </c:pt>
                <c:pt idx="3253">
                  <c:v>2.5336752779905325E-2</c:v>
                </c:pt>
                <c:pt idx="3254">
                  <c:v>2.5336752779905325E-2</c:v>
                </c:pt>
                <c:pt idx="3255">
                  <c:v>2.5336752779905325E-2</c:v>
                </c:pt>
                <c:pt idx="3256">
                  <c:v>2.5336752779825389E-2</c:v>
                </c:pt>
                <c:pt idx="3257">
                  <c:v>2.5336752779985261E-2</c:v>
                </c:pt>
                <c:pt idx="3258">
                  <c:v>2.5336752779905325E-2</c:v>
                </c:pt>
                <c:pt idx="3259">
                  <c:v>2.5336752779905325E-2</c:v>
                </c:pt>
                <c:pt idx="3260">
                  <c:v>2.5336752779825389E-2</c:v>
                </c:pt>
                <c:pt idx="3261">
                  <c:v>2.5336752779825389E-2</c:v>
                </c:pt>
                <c:pt idx="3262">
                  <c:v>2.5336752779905325E-2</c:v>
                </c:pt>
                <c:pt idx="3263">
                  <c:v>2.5336752779825389E-2</c:v>
                </c:pt>
                <c:pt idx="3264">
                  <c:v>2.5336752779825389E-2</c:v>
                </c:pt>
                <c:pt idx="3265">
                  <c:v>2.5336752779905325E-2</c:v>
                </c:pt>
                <c:pt idx="3266">
                  <c:v>2.5336752779905325E-2</c:v>
                </c:pt>
                <c:pt idx="3267">
                  <c:v>2.5336752779825389E-2</c:v>
                </c:pt>
                <c:pt idx="3268">
                  <c:v>2.5336752779905325E-2</c:v>
                </c:pt>
                <c:pt idx="3269">
                  <c:v>2.5336752779905325E-2</c:v>
                </c:pt>
                <c:pt idx="3270">
                  <c:v>2.5336752779905325E-2</c:v>
                </c:pt>
                <c:pt idx="3271">
                  <c:v>2.5336752779825389E-2</c:v>
                </c:pt>
                <c:pt idx="3272">
                  <c:v>2.5337644378540247E-2</c:v>
                </c:pt>
                <c:pt idx="3273">
                  <c:v>2.5336752779905325E-2</c:v>
                </c:pt>
                <c:pt idx="3274">
                  <c:v>2.5336752779825389E-2</c:v>
                </c:pt>
                <c:pt idx="3275">
                  <c:v>2.5336752779825389E-2</c:v>
                </c:pt>
                <c:pt idx="3276">
                  <c:v>2.5336752779905325E-2</c:v>
                </c:pt>
                <c:pt idx="3277">
                  <c:v>2.5336752779825389E-2</c:v>
                </c:pt>
                <c:pt idx="3278">
                  <c:v>2.5336752779905325E-2</c:v>
                </c:pt>
                <c:pt idx="3279">
                  <c:v>2.5336752779825389E-2</c:v>
                </c:pt>
                <c:pt idx="3280">
                  <c:v>2.5336752779825389E-2</c:v>
                </c:pt>
                <c:pt idx="3281">
                  <c:v>2.5336752779905325E-2</c:v>
                </c:pt>
                <c:pt idx="3282">
                  <c:v>2.5336752779985261E-2</c:v>
                </c:pt>
                <c:pt idx="3283">
                  <c:v>2.5336752779825389E-2</c:v>
                </c:pt>
                <c:pt idx="3284">
                  <c:v>2.5336752779905325E-2</c:v>
                </c:pt>
                <c:pt idx="3285">
                  <c:v>2.5336752779905325E-2</c:v>
                </c:pt>
                <c:pt idx="3286">
                  <c:v>2.5336752779825389E-2</c:v>
                </c:pt>
                <c:pt idx="3287">
                  <c:v>2.5336752779825389E-2</c:v>
                </c:pt>
                <c:pt idx="3288">
                  <c:v>2.5336752779905325E-2</c:v>
                </c:pt>
                <c:pt idx="3289">
                  <c:v>2.5336752779825389E-2</c:v>
                </c:pt>
                <c:pt idx="3290">
                  <c:v>2.5336752779825389E-2</c:v>
                </c:pt>
                <c:pt idx="3291">
                  <c:v>2.5336752779985261E-2</c:v>
                </c:pt>
                <c:pt idx="3292">
                  <c:v>2.5336752779905325E-2</c:v>
                </c:pt>
                <c:pt idx="3293">
                  <c:v>2.5336752779905325E-2</c:v>
                </c:pt>
                <c:pt idx="3294">
                  <c:v>2.5336752779825389E-2</c:v>
                </c:pt>
                <c:pt idx="3295">
                  <c:v>2.5336752779905325E-2</c:v>
                </c:pt>
                <c:pt idx="3296">
                  <c:v>2.5336752779985261E-2</c:v>
                </c:pt>
                <c:pt idx="3297">
                  <c:v>2.5336752779825389E-2</c:v>
                </c:pt>
                <c:pt idx="3298">
                  <c:v>2.5336752779825389E-2</c:v>
                </c:pt>
                <c:pt idx="3299">
                  <c:v>2.5336752779905325E-2</c:v>
                </c:pt>
                <c:pt idx="3300">
                  <c:v>2.5336752779905325E-2</c:v>
                </c:pt>
                <c:pt idx="3301">
                  <c:v>2.5336752779825389E-2</c:v>
                </c:pt>
                <c:pt idx="3302">
                  <c:v>2.5336752779905325E-2</c:v>
                </c:pt>
                <c:pt idx="3303">
                  <c:v>2.5339427701389639E-2</c:v>
                </c:pt>
                <c:pt idx="3304">
                  <c:v>2.5336752779825389E-2</c:v>
                </c:pt>
                <c:pt idx="3305">
                  <c:v>2.5336752779825389E-2</c:v>
                </c:pt>
                <c:pt idx="3306">
                  <c:v>2.5336752779905325E-2</c:v>
                </c:pt>
                <c:pt idx="3307">
                  <c:v>2.5336752779905325E-2</c:v>
                </c:pt>
                <c:pt idx="3308">
                  <c:v>2.5336752779825389E-2</c:v>
                </c:pt>
                <c:pt idx="3309">
                  <c:v>2.5336752779825389E-2</c:v>
                </c:pt>
                <c:pt idx="3310">
                  <c:v>2.5336752779905325E-2</c:v>
                </c:pt>
                <c:pt idx="3311">
                  <c:v>2.5336752779905325E-2</c:v>
                </c:pt>
                <c:pt idx="3312">
                  <c:v>2.5336752779745453E-2</c:v>
                </c:pt>
                <c:pt idx="3313">
                  <c:v>2.5336752779905325E-2</c:v>
                </c:pt>
                <c:pt idx="3314">
                  <c:v>2.5336752779985261E-2</c:v>
                </c:pt>
                <c:pt idx="3315">
                  <c:v>2.5336752779825389E-2</c:v>
                </c:pt>
                <c:pt idx="3316">
                  <c:v>2.5336752779825389E-2</c:v>
                </c:pt>
                <c:pt idx="3317">
                  <c:v>2.5336752779905325E-2</c:v>
                </c:pt>
                <c:pt idx="3318">
                  <c:v>2.5336752779905325E-2</c:v>
                </c:pt>
                <c:pt idx="3319">
                  <c:v>2.5336752779825389E-2</c:v>
                </c:pt>
                <c:pt idx="3320">
                  <c:v>2.5336752779905325E-2</c:v>
                </c:pt>
                <c:pt idx="3321">
                  <c:v>2.5336752779825389E-2</c:v>
                </c:pt>
                <c:pt idx="3322">
                  <c:v>2.5336752779905325E-2</c:v>
                </c:pt>
                <c:pt idx="3323">
                  <c:v>2.5336752779825389E-2</c:v>
                </c:pt>
                <c:pt idx="3324">
                  <c:v>2.5338536019035018E-2</c:v>
                </c:pt>
                <c:pt idx="3325">
                  <c:v>2.5338536019061664E-2</c:v>
                </c:pt>
                <c:pt idx="3326">
                  <c:v>2.5338536019035018E-2</c:v>
                </c:pt>
                <c:pt idx="3327">
                  <c:v>2.5338536019035018E-2</c:v>
                </c:pt>
                <c:pt idx="3328">
                  <c:v>2.5338536019035018E-2</c:v>
                </c:pt>
                <c:pt idx="3329">
                  <c:v>2.5338536019061664E-2</c:v>
                </c:pt>
                <c:pt idx="3330">
                  <c:v>2.5338536019035018E-2</c:v>
                </c:pt>
                <c:pt idx="3331">
                  <c:v>2.5339427701369654E-2</c:v>
                </c:pt>
                <c:pt idx="3332">
                  <c:v>2.5338536019061664E-2</c:v>
                </c:pt>
                <c:pt idx="3333">
                  <c:v>2.5338536019061664E-2</c:v>
                </c:pt>
                <c:pt idx="3334">
                  <c:v>2.5338536019035018E-2</c:v>
                </c:pt>
                <c:pt idx="3335">
                  <c:v>2.5339427701389639E-2</c:v>
                </c:pt>
                <c:pt idx="3336">
                  <c:v>2.5338536019061664E-2</c:v>
                </c:pt>
                <c:pt idx="3337">
                  <c:v>2.5338536019061664E-2</c:v>
                </c:pt>
                <c:pt idx="3338">
                  <c:v>2.5338536019008373E-2</c:v>
                </c:pt>
                <c:pt idx="3339">
                  <c:v>2.5338536019061664E-2</c:v>
                </c:pt>
                <c:pt idx="3340">
                  <c:v>2.5338536019061664E-2</c:v>
                </c:pt>
                <c:pt idx="3341">
                  <c:v>2.5338536019061664E-2</c:v>
                </c:pt>
                <c:pt idx="3342">
                  <c:v>2.5338536019035018E-2</c:v>
                </c:pt>
                <c:pt idx="3343">
                  <c:v>2.5338536019061664E-2</c:v>
                </c:pt>
                <c:pt idx="3344">
                  <c:v>2.5338536019035018E-2</c:v>
                </c:pt>
                <c:pt idx="3345">
                  <c:v>2.5338536019061664E-2</c:v>
                </c:pt>
                <c:pt idx="3346">
                  <c:v>2.5338536019061664E-2</c:v>
                </c:pt>
                <c:pt idx="3347">
                  <c:v>2.5338536019035018E-2</c:v>
                </c:pt>
                <c:pt idx="3348">
                  <c:v>2.5338536019061664E-2</c:v>
                </c:pt>
                <c:pt idx="3349">
                  <c:v>2.5339427701369654E-2</c:v>
                </c:pt>
                <c:pt idx="3350">
                  <c:v>2.5338536019035018E-2</c:v>
                </c:pt>
                <c:pt idx="3351">
                  <c:v>2.5338536019061664E-2</c:v>
                </c:pt>
                <c:pt idx="3352">
                  <c:v>2.5338536019061664E-2</c:v>
                </c:pt>
                <c:pt idx="3353">
                  <c:v>2.5338536019061664E-2</c:v>
                </c:pt>
                <c:pt idx="3354">
                  <c:v>2.5338536019061664E-2</c:v>
                </c:pt>
                <c:pt idx="3355">
                  <c:v>2.5336752779905325E-2</c:v>
                </c:pt>
                <c:pt idx="3356">
                  <c:v>2.5336752779825389E-2</c:v>
                </c:pt>
                <c:pt idx="3357">
                  <c:v>2.5336752779825389E-2</c:v>
                </c:pt>
                <c:pt idx="3358">
                  <c:v>2.5336752779905325E-2</c:v>
                </c:pt>
                <c:pt idx="3359">
                  <c:v>2.5336752779905325E-2</c:v>
                </c:pt>
                <c:pt idx="3360">
                  <c:v>2.5336752779905325E-2</c:v>
                </c:pt>
                <c:pt idx="3361">
                  <c:v>2.5336752779825389E-2</c:v>
                </c:pt>
                <c:pt idx="3362">
                  <c:v>2.5336752779905325E-2</c:v>
                </c:pt>
                <c:pt idx="3363">
                  <c:v>2.5336752779905325E-2</c:v>
                </c:pt>
                <c:pt idx="3364">
                  <c:v>2.5336752779905325E-2</c:v>
                </c:pt>
                <c:pt idx="3365">
                  <c:v>2.5336752779905325E-2</c:v>
                </c:pt>
                <c:pt idx="3366">
                  <c:v>2.5336752779825389E-2</c:v>
                </c:pt>
                <c:pt idx="3367">
                  <c:v>2.5336752779905325E-2</c:v>
                </c:pt>
                <c:pt idx="3368">
                  <c:v>2.5336752779825389E-2</c:v>
                </c:pt>
                <c:pt idx="3369">
                  <c:v>2.5336752779905325E-2</c:v>
                </c:pt>
                <c:pt idx="3370">
                  <c:v>2.5336752779825389E-2</c:v>
                </c:pt>
                <c:pt idx="3371">
                  <c:v>2.5336752779905325E-2</c:v>
                </c:pt>
                <c:pt idx="3372">
                  <c:v>2.5336752779905325E-2</c:v>
                </c:pt>
                <c:pt idx="3373">
                  <c:v>2.5337644378540247E-2</c:v>
                </c:pt>
                <c:pt idx="3374">
                  <c:v>2.5336752779905325E-2</c:v>
                </c:pt>
                <c:pt idx="3375">
                  <c:v>2.5336752779905325E-2</c:v>
                </c:pt>
                <c:pt idx="3376">
                  <c:v>2.5336752779905325E-2</c:v>
                </c:pt>
                <c:pt idx="3377">
                  <c:v>2.5336752779745453E-2</c:v>
                </c:pt>
                <c:pt idx="3378">
                  <c:v>2.5336752779905325E-2</c:v>
                </c:pt>
                <c:pt idx="3379">
                  <c:v>2.5336752779905325E-2</c:v>
                </c:pt>
                <c:pt idx="3380">
                  <c:v>2.5336752779825389E-2</c:v>
                </c:pt>
                <c:pt idx="3381">
                  <c:v>2.5336752779825389E-2</c:v>
                </c:pt>
                <c:pt idx="3382">
                  <c:v>2.5336752779905325E-2</c:v>
                </c:pt>
                <c:pt idx="3383">
                  <c:v>2.5336752779825389E-2</c:v>
                </c:pt>
                <c:pt idx="3384">
                  <c:v>2.5336752779825389E-2</c:v>
                </c:pt>
                <c:pt idx="3385">
                  <c:v>2.5336752779905325E-2</c:v>
                </c:pt>
                <c:pt idx="3386">
                  <c:v>2.5336752779905325E-2</c:v>
                </c:pt>
                <c:pt idx="3387">
                  <c:v>2.5336752779905325E-2</c:v>
                </c:pt>
                <c:pt idx="3388">
                  <c:v>2.5336752779825389E-2</c:v>
                </c:pt>
                <c:pt idx="3389">
                  <c:v>2.5336752779985261E-2</c:v>
                </c:pt>
                <c:pt idx="3390">
                  <c:v>2.5336752779905325E-2</c:v>
                </c:pt>
                <c:pt idx="3391">
                  <c:v>2.5336752779825389E-2</c:v>
                </c:pt>
                <c:pt idx="3392">
                  <c:v>2.5336752779905325E-2</c:v>
                </c:pt>
                <c:pt idx="3393">
                  <c:v>2.5336752779905325E-2</c:v>
                </c:pt>
                <c:pt idx="3394">
                  <c:v>2.5336752779825389E-2</c:v>
                </c:pt>
                <c:pt idx="3395">
                  <c:v>2.5336752779825389E-2</c:v>
                </c:pt>
                <c:pt idx="3396">
                  <c:v>2.5336752779985261E-2</c:v>
                </c:pt>
                <c:pt idx="3397">
                  <c:v>2.5336752779905325E-2</c:v>
                </c:pt>
                <c:pt idx="3398">
                  <c:v>2.5336752779825389E-2</c:v>
                </c:pt>
                <c:pt idx="3399">
                  <c:v>2.5336752779825389E-2</c:v>
                </c:pt>
                <c:pt idx="3400">
                  <c:v>2.5336752779905325E-2</c:v>
                </c:pt>
                <c:pt idx="3401">
                  <c:v>2.5336752779905325E-2</c:v>
                </c:pt>
                <c:pt idx="3402">
                  <c:v>2.5336752779745453E-2</c:v>
                </c:pt>
                <c:pt idx="3403">
                  <c:v>2.5336752779825389E-2</c:v>
                </c:pt>
                <c:pt idx="3404">
                  <c:v>2.5336752779905325E-2</c:v>
                </c:pt>
                <c:pt idx="3405">
                  <c:v>2.5336752779825389E-2</c:v>
                </c:pt>
                <c:pt idx="3406">
                  <c:v>2.5336752779825389E-2</c:v>
                </c:pt>
                <c:pt idx="3407">
                  <c:v>2.5336752779825389E-2</c:v>
                </c:pt>
                <c:pt idx="3408">
                  <c:v>2.5336752779905325E-2</c:v>
                </c:pt>
                <c:pt idx="3409">
                  <c:v>2.5336752779825389E-2</c:v>
                </c:pt>
                <c:pt idx="3410">
                  <c:v>2.5336752779905325E-2</c:v>
                </c:pt>
                <c:pt idx="3411">
                  <c:v>2.5336752779905325E-2</c:v>
                </c:pt>
                <c:pt idx="3412">
                  <c:v>2.5336752779905325E-2</c:v>
                </c:pt>
                <c:pt idx="3413">
                  <c:v>2.5336752779905325E-2</c:v>
                </c:pt>
                <c:pt idx="3414">
                  <c:v>2.5336752779905325E-2</c:v>
                </c:pt>
                <c:pt idx="3415">
                  <c:v>2.5336752779905325E-2</c:v>
                </c:pt>
                <c:pt idx="3416">
                  <c:v>2.5336752779825389E-2</c:v>
                </c:pt>
                <c:pt idx="3417">
                  <c:v>2.5336752779825389E-2</c:v>
                </c:pt>
                <c:pt idx="3418">
                  <c:v>2.5336752779905325E-2</c:v>
                </c:pt>
                <c:pt idx="3419">
                  <c:v>2.5336752779905325E-2</c:v>
                </c:pt>
                <c:pt idx="3420">
                  <c:v>2.5336752779825389E-2</c:v>
                </c:pt>
                <c:pt idx="3421">
                  <c:v>2.5336752779905325E-2</c:v>
                </c:pt>
                <c:pt idx="3422">
                  <c:v>2.5336752779905325E-2</c:v>
                </c:pt>
                <c:pt idx="3423">
                  <c:v>2.5336752779905325E-2</c:v>
                </c:pt>
                <c:pt idx="3424">
                  <c:v>2.5336752779905325E-2</c:v>
                </c:pt>
                <c:pt idx="3425">
                  <c:v>2.5336752779905325E-2</c:v>
                </c:pt>
                <c:pt idx="3426">
                  <c:v>2.5336752779825389E-2</c:v>
                </c:pt>
                <c:pt idx="3427">
                  <c:v>2.5336752779825389E-2</c:v>
                </c:pt>
                <c:pt idx="3428">
                  <c:v>2.5336752779825389E-2</c:v>
                </c:pt>
                <c:pt idx="3429">
                  <c:v>2.5336752779985261E-2</c:v>
                </c:pt>
                <c:pt idx="3430">
                  <c:v>2.5336752779905325E-2</c:v>
                </c:pt>
                <c:pt idx="3431">
                  <c:v>2.5336752779825389E-2</c:v>
                </c:pt>
                <c:pt idx="3432">
                  <c:v>2.5336752779905325E-2</c:v>
                </c:pt>
                <c:pt idx="3433">
                  <c:v>2.5336752779905325E-2</c:v>
                </c:pt>
                <c:pt idx="3434">
                  <c:v>2.5336752779905325E-2</c:v>
                </c:pt>
                <c:pt idx="3435">
                  <c:v>2.5336752779825389E-2</c:v>
                </c:pt>
                <c:pt idx="3436">
                  <c:v>2.5336752779905325E-2</c:v>
                </c:pt>
                <c:pt idx="3437">
                  <c:v>2.5336752779905325E-2</c:v>
                </c:pt>
                <c:pt idx="3438">
                  <c:v>2.5336752779825389E-2</c:v>
                </c:pt>
                <c:pt idx="3439">
                  <c:v>2.5336752779905325E-2</c:v>
                </c:pt>
                <c:pt idx="3440">
                  <c:v>2.5336752779905325E-2</c:v>
                </c:pt>
                <c:pt idx="3441">
                  <c:v>2.5336752779905325E-2</c:v>
                </c:pt>
                <c:pt idx="3442">
                  <c:v>2.5336752779905325E-2</c:v>
                </c:pt>
                <c:pt idx="3443">
                  <c:v>2.5336752779905325E-2</c:v>
                </c:pt>
                <c:pt idx="3444">
                  <c:v>2.5336752779905325E-2</c:v>
                </c:pt>
                <c:pt idx="3445">
                  <c:v>2.5336752779825389E-2</c:v>
                </c:pt>
                <c:pt idx="3446">
                  <c:v>2.5336752779825389E-2</c:v>
                </c:pt>
                <c:pt idx="3447">
                  <c:v>2.5336752779825389E-2</c:v>
                </c:pt>
                <c:pt idx="3448">
                  <c:v>2.5336752779905325E-2</c:v>
                </c:pt>
                <c:pt idx="3449">
                  <c:v>2.5336752779825389E-2</c:v>
                </c:pt>
                <c:pt idx="3450">
                  <c:v>2.5336752779905325E-2</c:v>
                </c:pt>
                <c:pt idx="3451">
                  <c:v>2.5336752779825389E-2</c:v>
                </c:pt>
                <c:pt idx="3452">
                  <c:v>2.5336752779825389E-2</c:v>
                </c:pt>
                <c:pt idx="3453">
                  <c:v>2.5336752779825389E-2</c:v>
                </c:pt>
                <c:pt idx="3454">
                  <c:v>2.5336752779905325E-2</c:v>
                </c:pt>
                <c:pt idx="3455">
                  <c:v>2.5336752779825389E-2</c:v>
                </c:pt>
                <c:pt idx="3456">
                  <c:v>2.5336752779825389E-2</c:v>
                </c:pt>
                <c:pt idx="3457">
                  <c:v>2.5336752779905325E-2</c:v>
                </c:pt>
                <c:pt idx="3458">
                  <c:v>2.5336752779905325E-2</c:v>
                </c:pt>
                <c:pt idx="3459">
                  <c:v>2.5336752779905325E-2</c:v>
                </c:pt>
                <c:pt idx="3460">
                  <c:v>2.5336752779825389E-2</c:v>
                </c:pt>
                <c:pt idx="3461">
                  <c:v>2.5336752779825389E-2</c:v>
                </c:pt>
                <c:pt idx="3462">
                  <c:v>2.5336752779985261E-2</c:v>
                </c:pt>
                <c:pt idx="3463">
                  <c:v>2.5336752779905325E-2</c:v>
                </c:pt>
                <c:pt idx="3464">
                  <c:v>2.5336752779825389E-2</c:v>
                </c:pt>
                <c:pt idx="3465">
                  <c:v>2.5336752779825389E-2</c:v>
                </c:pt>
                <c:pt idx="3466">
                  <c:v>2.5336752779905325E-2</c:v>
                </c:pt>
                <c:pt idx="3467">
                  <c:v>2.5336752779905325E-2</c:v>
                </c:pt>
                <c:pt idx="3468">
                  <c:v>2.5336752779825389E-2</c:v>
                </c:pt>
                <c:pt idx="3469">
                  <c:v>2.5336752779825389E-2</c:v>
                </c:pt>
                <c:pt idx="3470">
                  <c:v>2.5336752779905325E-2</c:v>
                </c:pt>
                <c:pt idx="3471">
                  <c:v>2.5336752779905325E-2</c:v>
                </c:pt>
                <c:pt idx="3472">
                  <c:v>2.5336752779825389E-2</c:v>
                </c:pt>
                <c:pt idx="3473">
                  <c:v>2.5336752779905325E-2</c:v>
                </c:pt>
                <c:pt idx="3474">
                  <c:v>2.5336752779905325E-2</c:v>
                </c:pt>
                <c:pt idx="3475">
                  <c:v>2.5336752779905325E-2</c:v>
                </c:pt>
                <c:pt idx="3476">
                  <c:v>2.5336752779825389E-2</c:v>
                </c:pt>
                <c:pt idx="3477">
                  <c:v>2.5336752779905325E-2</c:v>
                </c:pt>
                <c:pt idx="3478">
                  <c:v>2.5336752779825389E-2</c:v>
                </c:pt>
                <c:pt idx="3479">
                  <c:v>2.5337644378580215E-2</c:v>
                </c:pt>
                <c:pt idx="3480">
                  <c:v>2.5336752779825389E-2</c:v>
                </c:pt>
                <c:pt idx="3481">
                  <c:v>2.5336752779905325E-2</c:v>
                </c:pt>
                <c:pt idx="3482">
                  <c:v>2.5336752779905325E-2</c:v>
                </c:pt>
                <c:pt idx="3483">
                  <c:v>2.5336752779825389E-2</c:v>
                </c:pt>
                <c:pt idx="3484">
                  <c:v>2.5336752779905325E-2</c:v>
                </c:pt>
                <c:pt idx="3485">
                  <c:v>2.5336752779905325E-2</c:v>
                </c:pt>
                <c:pt idx="3486">
                  <c:v>2.5336752779825389E-2</c:v>
                </c:pt>
                <c:pt idx="3487">
                  <c:v>2.5336752779825389E-2</c:v>
                </c:pt>
                <c:pt idx="3488">
                  <c:v>2.5336752779905325E-2</c:v>
                </c:pt>
                <c:pt idx="3489">
                  <c:v>2.5336752779905325E-2</c:v>
                </c:pt>
                <c:pt idx="3490">
                  <c:v>2.5336752779825389E-2</c:v>
                </c:pt>
                <c:pt idx="3491">
                  <c:v>2.5336752779905325E-2</c:v>
                </c:pt>
                <c:pt idx="3492">
                  <c:v>2.5336752779905325E-2</c:v>
                </c:pt>
                <c:pt idx="3493">
                  <c:v>2.5336752779825389E-2</c:v>
                </c:pt>
                <c:pt idx="3494">
                  <c:v>2.5336752779825389E-2</c:v>
                </c:pt>
                <c:pt idx="3495">
                  <c:v>2.5336752779905325E-2</c:v>
                </c:pt>
                <c:pt idx="3496">
                  <c:v>2.5336752779905325E-2</c:v>
                </c:pt>
                <c:pt idx="3497">
                  <c:v>2.5336752779825389E-2</c:v>
                </c:pt>
                <c:pt idx="3498">
                  <c:v>2.5336752779745453E-2</c:v>
                </c:pt>
                <c:pt idx="3499">
                  <c:v>2.5336752779905325E-2</c:v>
                </c:pt>
                <c:pt idx="3500">
                  <c:v>2.5336752779905325E-2</c:v>
                </c:pt>
                <c:pt idx="3501">
                  <c:v>2.5336752779825389E-2</c:v>
                </c:pt>
                <c:pt idx="3502">
                  <c:v>2.5336752779905325E-2</c:v>
                </c:pt>
                <c:pt idx="3503">
                  <c:v>2.5336752779985261E-2</c:v>
                </c:pt>
                <c:pt idx="3504">
                  <c:v>2.5336752779905325E-2</c:v>
                </c:pt>
                <c:pt idx="3505">
                  <c:v>2.5336752779825389E-2</c:v>
                </c:pt>
                <c:pt idx="3506">
                  <c:v>2.5336752779905325E-2</c:v>
                </c:pt>
                <c:pt idx="3507">
                  <c:v>2.5336752779905325E-2</c:v>
                </c:pt>
                <c:pt idx="3508">
                  <c:v>2.5336752779905325E-2</c:v>
                </c:pt>
                <c:pt idx="3509">
                  <c:v>2.5336752779905325E-2</c:v>
                </c:pt>
                <c:pt idx="3510">
                  <c:v>2.5336752779905325E-2</c:v>
                </c:pt>
                <c:pt idx="3511">
                  <c:v>2.5336752779905325E-2</c:v>
                </c:pt>
                <c:pt idx="3512">
                  <c:v>2.5336752779905325E-2</c:v>
                </c:pt>
                <c:pt idx="3513">
                  <c:v>2.5336752779905325E-2</c:v>
                </c:pt>
                <c:pt idx="3514">
                  <c:v>2.5336752779905325E-2</c:v>
                </c:pt>
                <c:pt idx="3515">
                  <c:v>2.5336752779825389E-2</c:v>
                </c:pt>
                <c:pt idx="3516">
                  <c:v>2.5336752779905325E-2</c:v>
                </c:pt>
                <c:pt idx="3517">
                  <c:v>2.5336752779825389E-2</c:v>
                </c:pt>
                <c:pt idx="3518">
                  <c:v>2.5336752779905325E-2</c:v>
                </c:pt>
                <c:pt idx="3519">
                  <c:v>2.5336752779905325E-2</c:v>
                </c:pt>
                <c:pt idx="3520">
                  <c:v>2.5336752779825389E-2</c:v>
                </c:pt>
                <c:pt idx="3521">
                  <c:v>2.5336752779905325E-2</c:v>
                </c:pt>
                <c:pt idx="3522">
                  <c:v>2.5336752779905325E-2</c:v>
                </c:pt>
                <c:pt idx="3523">
                  <c:v>2.5336752779905325E-2</c:v>
                </c:pt>
                <c:pt idx="3524">
                  <c:v>2.5336752779825389E-2</c:v>
                </c:pt>
                <c:pt idx="3525">
                  <c:v>2.5336752779905325E-2</c:v>
                </c:pt>
                <c:pt idx="3526">
                  <c:v>2.5336752779985261E-2</c:v>
                </c:pt>
                <c:pt idx="3527">
                  <c:v>2.5336752779905325E-2</c:v>
                </c:pt>
                <c:pt idx="3528">
                  <c:v>2.5336752779825389E-2</c:v>
                </c:pt>
                <c:pt idx="3529">
                  <c:v>2.5336752779905325E-2</c:v>
                </c:pt>
                <c:pt idx="3530">
                  <c:v>2.5336752779905325E-2</c:v>
                </c:pt>
                <c:pt idx="3531">
                  <c:v>2.5338536019035018E-2</c:v>
                </c:pt>
                <c:pt idx="3532">
                  <c:v>2.5338536019061664E-2</c:v>
                </c:pt>
                <c:pt idx="3533">
                  <c:v>2.5338536019035018E-2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464128"/>
        <c:axId val="572465920"/>
      </c:lineChart>
      <c:dateAx>
        <c:axId val="572464128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72465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2465920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24641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6">
          <cell r="D6" t="str">
            <v>USDON#0000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45.7109375" style="17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1.5.0 - MS VC++ 9.0 - Multithreaded Dynamic Runtime library - Release Configuration - Oct 13 2014 15:51:57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/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str">
        <f>_xll.qlPiecewiseYieldCurve(D16,NDays,Calendar,_xll.ohPack(Selected!D2:D126),DayCounter,,,Accuracy,TraitsID,InterpolatorID,Permanent,,ObjectOverwrite)</f>
        <v>_USDYCON#0001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>_xll.ohRangeRetrieveError(YieldCurve)</f>
        <v/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M19&amp;"("&amp;M20&amp;","&amp;M21&amp;")"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42004</v>
      </c>
      <c r="E21" s="211">
        <f>DATE(YEAR(D21+1),12,31)</f>
        <v>42369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>
        <f>_xll.qlTermStructureReferenceDate(YieldCurve)</f>
        <v>41943</v>
      </c>
      <c r="D27" s="218">
        <f>MAX(_xll.ohPack(Selected!J1:J126))</f>
        <v>1</v>
      </c>
      <c r="E27" s="176"/>
      <c r="F27" s="176"/>
      <c r="G27" s="172"/>
    </row>
    <row r="28" spans="1:14" x14ac:dyDescent="0.2">
      <c r="B28" s="174"/>
      <c r="C28" s="219">
        <f>MAX(_xll.ohPack(Selected!I2:I126))</f>
        <v>60210</v>
      </c>
      <c r="D28" s="185">
        <f>MIN(_xll.ohPack(Selected!J1:J126))</f>
        <v>0.24378494621413926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>_xll.ohRangeRetrieveError(Selected!J1)</f>
        <v/>
      </c>
      <c r="E29" s="176"/>
      <c r="F29" s="176"/>
      <c r="G29" s="172"/>
    </row>
    <row r="30" spans="1:14" ht="11.25" customHeight="1" x14ac:dyDescent="0.2">
      <c r="B30" s="174"/>
      <c r="C30" s="220" t="str">
        <f>[1]Libor!$D$6</f>
        <v>USDON#0000</v>
      </c>
      <c r="D30" s="185" t="b">
        <f>_xll.qlRelinkableHandleLinkTo(C30,YieldCurve)</f>
        <v>1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b">
        <f>_xll.qlExtrapolatorEnableExtrapolation(YieldCurve,TRUE)</f>
        <v>1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obj_00360#0001</v>
      </c>
      <c r="B2" s="168" t="str">
        <f>_xll.qlRateHelperQuoteName(A2)</f>
        <v>USDOND_Quote</v>
      </c>
      <c r="C2" s="11">
        <f>_xll.qlRateHelperQuoteValue($A2,Trigger)</f>
        <v>2.2000000000000001E-3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41943</v>
      </c>
      <c r="I2" s="9">
        <f>_xll.qlRateHelperLatestDate($A2,Trigger)</f>
        <v>41946</v>
      </c>
    </row>
    <row r="3" spans="1:9" x14ac:dyDescent="0.2">
      <c r="A3" s="12" t="str">
        <f>FRAs!G3</f>
        <v>obj_00337#0001</v>
      </c>
      <c r="B3" s="168" t="str">
        <f>_xll.qlRateHelperQuoteName(A3)</f>
        <v>USDTND_Quote</v>
      </c>
      <c r="C3" s="11">
        <f>_xll.qlRateHelperQuoteValue($A3,Trigger)</f>
        <v>2.2000000000000001E-3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41946</v>
      </c>
      <c r="I3" s="9">
        <f>_xll.qlRateHelperLatestDate($A3,Trigger)</f>
        <v>41947</v>
      </c>
    </row>
    <row r="4" spans="1:9" x14ac:dyDescent="0.2">
      <c r="A4" s="12" t="str">
        <f>FRAs!G4</f>
        <v>obj_00336#0001</v>
      </c>
      <c r="B4" s="168" t="str">
        <f>_xll.qlRateHelperQuoteName(A4)</f>
        <v>USDSND_Quote</v>
      </c>
      <c r="C4" s="11">
        <f>_xll.qlRateHelperQuoteValue($A4,Trigger)</f>
        <v>2.2000000000000001E-3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41947</v>
      </c>
      <c r="I4" s="9">
        <f>_xll.qlRateHelperLatestDate($A4,Trigger)</f>
        <v>41948</v>
      </c>
    </row>
    <row r="5" spans="1:9" x14ac:dyDescent="0.2">
      <c r="A5" s="18" t="str">
        <f>Swaps!J6</f>
        <v>obj_00347#0001</v>
      </c>
      <c r="B5" s="169" t="str">
        <f>_xll.qlRateHelperQuoteName(A5)</f>
        <v>USDOISSW_Quote</v>
      </c>
      <c r="C5" s="17">
        <f>_xll.qlRateHelperQuoteValue($A5,Trigger)</f>
        <v>8.8999999999999995E-4</v>
      </c>
      <c r="D5" s="17" t="e">
        <f>_xll.qlSwapRateHelperSpread($A5,Trigger)</f>
        <v>#NUM!</v>
      </c>
      <c r="E5" s="98" t="b">
        <v>1</v>
      </c>
      <c r="F5" s="16">
        <v>50</v>
      </c>
      <c r="G5" s="16">
        <v>1</v>
      </c>
      <c r="H5" s="15">
        <f>_xll.qlRateHelperEarliestDate($A5,Trigger)</f>
        <v>41947</v>
      </c>
      <c r="I5" s="14">
        <f>_xll.qlRateHelperLatestDate($A5,Trigger)</f>
        <v>41955</v>
      </c>
    </row>
    <row r="6" spans="1:9" x14ac:dyDescent="0.2">
      <c r="A6" s="12" t="str">
        <f>Swaps!J7</f>
        <v>obj_00339#0001</v>
      </c>
      <c r="B6" s="168" t="str">
        <f>_xll.qlRateHelperQuoteName(A6)</f>
        <v>USDOIS2W_Quote</v>
      </c>
      <c r="C6" s="11">
        <f>_xll.qlRateHelperQuoteValue($A6,Trigger)</f>
        <v>8.8999999999999995E-4</v>
      </c>
      <c r="D6" s="11" t="e">
        <f>_xll.qlSwapRateHelperSpread($A6,Trigger)</f>
        <v>#NUM!</v>
      </c>
      <c r="E6" s="6" t="b">
        <v>1</v>
      </c>
      <c r="F6" s="6">
        <v>50</v>
      </c>
      <c r="G6" s="6">
        <v>1</v>
      </c>
      <c r="H6" s="10">
        <f>_xll.qlRateHelperEarliestDate($A6,Trigger)</f>
        <v>41947</v>
      </c>
      <c r="I6" s="9">
        <f>_xll.qlRateHelperLatestDate($A6,Trigger)</f>
        <v>41961</v>
      </c>
    </row>
    <row r="7" spans="1:9" x14ac:dyDescent="0.2">
      <c r="A7" s="12" t="str">
        <f>Swaps!J8</f>
        <v>obj_00350#0001</v>
      </c>
      <c r="B7" s="168" t="str">
        <f>_xll.qlRateHelperQuoteName(A7)</f>
        <v>USDOIS3W_Quote</v>
      </c>
      <c r="C7" s="11">
        <f>_xll.qlRateHelperQuoteValue($A7,Trigger)</f>
        <v>9.2999999999999995E-4</v>
      </c>
      <c r="D7" s="11" t="e">
        <f>_xll.qlSwapRateHelperSpread($A7,Trigger)</f>
        <v>#NUM!</v>
      </c>
      <c r="E7" s="6" t="b">
        <v>1</v>
      </c>
      <c r="F7" s="6">
        <v>50</v>
      </c>
      <c r="G7" s="6">
        <v>1</v>
      </c>
      <c r="H7" s="10">
        <f>_xll.qlRateHelperEarliestDate($A7,Trigger)</f>
        <v>41947</v>
      </c>
      <c r="I7" s="9">
        <f>_xll.qlRateHelperLatestDate($A7,Trigger)</f>
        <v>41968</v>
      </c>
    </row>
    <row r="8" spans="1:9" x14ac:dyDescent="0.2">
      <c r="A8" s="12" t="str">
        <f>Swaps!J9</f>
        <v>obj_0032a#0001</v>
      </c>
      <c r="B8" s="168" t="str">
        <f>_xll.qlRateHelperQuoteName(A8)</f>
        <v>USDOIS1M_Quote</v>
      </c>
      <c r="C8" s="11">
        <f>_xll.qlRateHelperQuoteValue($A8,Trigger)</f>
        <v>9.3999999999999997E-4</v>
      </c>
      <c r="D8" s="11" t="e">
        <f>_xll.qlSwapRateHelperSpread($A8,Trigger)</f>
        <v>#NUM!</v>
      </c>
      <c r="E8" s="6" t="b">
        <v>1</v>
      </c>
      <c r="F8" s="6">
        <v>50</v>
      </c>
      <c r="G8" s="6">
        <v>1</v>
      </c>
      <c r="H8" s="10">
        <f>_xll.qlRateHelperEarliestDate($A8,Trigger)</f>
        <v>41947</v>
      </c>
      <c r="I8" s="9">
        <f>_xll.qlRateHelperLatestDate($A8,Trigger)</f>
        <v>41977</v>
      </c>
    </row>
    <row r="9" spans="1:9" x14ac:dyDescent="0.2">
      <c r="A9" s="12" t="str">
        <f>Swaps!J10</f>
        <v>obj_00353#0001</v>
      </c>
      <c r="B9" s="168" t="str">
        <f>_xll.qlRateHelperQuoteName(A9)</f>
        <v>USDOIS2M_Quote</v>
      </c>
      <c r="C9" s="11">
        <f>_xll.qlRateHelperQuoteValue($A9,Trigger)</f>
        <v>9.7000000000000005E-4</v>
      </c>
      <c r="D9" s="11" t="e">
        <f>_xll.qlSwapRateHelperSpread($A9,Trigger)</f>
        <v>#NUM!</v>
      </c>
      <c r="E9" s="6" t="b">
        <v>1</v>
      </c>
      <c r="F9" s="6">
        <v>50</v>
      </c>
      <c r="G9" s="6">
        <v>1</v>
      </c>
      <c r="H9" s="10">
        <f>_xll.qlRateHelperEarliestDate($A9,Trigger)</f>
        <v>41947</v>
      </c>
      <c r="I9" s="9">
        <f>_xll.qlRateHelperLatestDate($A9,Trigger)</f>
        <v>42009</v>
      </c>
    </row>
    <row r="10" spans="1:9" x14ac:dyDescent="0.2">
      <c r="A10" s="12" t="str">
        <f>Swaps!J11</f>
        <v>obj_00346#0001</v>
      </c>
      <c r="B10" s="168" t="str">
        <f>_xll.qlRateHelperQuoteName(A10)</f>
        <v>USDOIS3M_Quote</v>
      </c>
      <c r="C10" s="11">
        <f>_xll.qlRateHelperQuoteValue($A10,Trigger)</f>
        <v>9.7000000000000005E-4</v>
      </c>
      <c r="D10" s="11" t="e">
        <f>_xll.qlSwapRateHelperSpread($A10,Trigger)</f>
        <v>#NUM!</v>
      </c>
      <c r="E10" s="6" t="b">
        <v>1</v>
      </c>
      <c r="F10" s="6">
        <v>50</v>
      </c>
      <c r="G10" s="6">
        <v>1</v>
      </c>
      <c r="H10" s="10">
        <f>_xll.qlRateHelperEarliestDate($A10,Trigger)</f>
        <v>41947</v>
      </c>
      <c r="I10" s="9">
        <f>_xll.qlRateHelperLatestDate($A10,Trigger)</f>
        <v>42039</v>
      </c>
    </row>
    <row r="11" spans="1:9" x14ac:dyDescent="0.2">
      <c r="A11" s="12" t="str">
        <f>Swaps!J12</f>
        <v>obj_0033a#0001</v>
      </c>
      <c r="B11" s="168" t="str">
        <f>_xll.qlRateHelperQuoteName(A11)</f>
        <v>USDOIS4M_Quote</v>
      </c>
      <c r="C11" s="11">
        <f>_xll.qlRateHelperQuoteValue($A11,Trigger)</f>
        <v>9.7999999999999997E-4</v>
      </c>
      <c r="D11" s="11" t="e">
        <f>_xll.qlSwapRateHelperSpread($A11,Trigger)</f>
        <v>#NUM!</v>
      </c>
      <c r="E11" s="6" t="b">
        <v>1</v>
      </c>
      <c r="F11" s="6">
        <v>50</v>
      </c>
      <c r="G11" s="6">
        <v>1</v>
      </c>
      <c r="H11" s="10">
        <f>_xll.qlRateHelperEarliestDate($A11,Trigger)</f>
        <v>41947</v>
      </c>
      <c r="I11" s="9">
        <f>_xll.qlRateHelperLatestDate($A11,Trigger)</f>
        <v>42067</v>
      </c>
    </row>
    <row r="12" spans="1:9" x14ac:dyDescent="0.2">
      <c r="A12" s="12" t="str">
        <f>Swaps!J13</f>
        <v>obj_0035c#0001</v>
      </c>
      <c r="B12" s="168" t="str">
        <f>_xll.qlRateHelperQuoteName(A12)</f>
        <v>USDOIS5M_Quote</v>
      </c>
      <c r="C12" s="11">
        <f>_xll.qlRateHelperQuoteValue($A12,Trigger)</f>
        <v>1E-3</v>
      </c>
      <c r="D12" s="11" t="e">
        <f>_xll.qlSwapRateHelperSpread($A12,Trigger)</f>
        <v>#NUM!</v>
      </c>
      <c r="E12" s="6" t="b">
        <v>1</v>
      </c>
      <c r="F12" s="6">
        <v>50</v>
      </c>
      <c r="G12" s="6">
        <v>1</v>
      </c>
      <c r="H12" s="10">
        <f>_xll.qlRateHelperEarliestDate($A12,Trigger)</f>
        <v>41947</v>
      </c>
      <c r="I12" s="9">
        <f>_xll.qlRateHelperLatestDate($A12,Trigger)</f>
        <v>42100</v>
      </c>
    </row>
    <row r="13" spans="1:9" x14ac:dyDescent="0.2">
      <c r="A13" s="12" t="str">
        <f>Swaps!J14</f>
        <v>obj_00355#0001</v>
      </c>
      <c r="B13" s="168" t="str">
        <f>_xll.qlRateHelperQuoteName(A13)</f>
        <v>USDOIS6M_Quote</v>
      </c>
      <c r="C13" s="11">
        <f>_xll.qlRateHelperQuoteValue($A13,Trigger)</f>
        <v>1.0200000000000001E-3</v>
      </c>
      <c r="D13" s="11" t="e">
        <f>_xll.qlSwapRateHelperSpread($A13,Trigger)</f>
        <v>#NUM!</v>
      </c>
      <c r="E13" s="6" t="b">
        <v>1</v>
      </c>
      <c r="F13" s="6">
        <v>50</v>
      </c>
      <c r="G13" s="6">
        <v>1</v>
      </c>
      <c r="H13" s="10">
        <f>_xll.qlRateHelperEarliestDate($A13,Trigger)</f>
        <v>41947</v>
      </c>
      <c r="I13" s="9">
        <f>_xll.qlRateHelperLatestDate($A13,Trigger)</f>
        <v>42128</v>
      </c>
    </row>
    <row r="14" spans="1:9" x14ac:dyDescent="0.2">
      <c r="A14" s="12" t="str">
        <f>Swaps!J15</f>
        <v>obj_0035a#0001</v>
      </c>
      <c r="B14" s="168" t="str">
        <f>_xll.qlRateHelperQuoteName(A14)</f>
        <v>USDOIS7M_Quote</v>
      </c>
      <c r="C14" s="11">
        <f>_xll.qlRateHelperQuoteValue($A14,Trigger)</f>
        <v>1.06E-3</v>
      </c>
      <c r="D14" s="11" t="e">
        <f>_xll.qlSwapRateHelperSpread($A14,Trigger)</f>
        <v>#NUM!</v>
      </c>
      <c r="E14" s="6" t="b">
        <v>1</v>
      </c>
      <c r="F14" s="6">
        <v>50</v>
      </c>
      <c r="G14" s="6">
        <v>1</v>
      </c>
      <c r="H14" s="10">
        <f>_xll.qlRateHelperEarliestDate($A14,Trigger)</f>
        <v>41947</v>
      </c>
      <c r="I14" s="9">
        <f>_xll.qlRateHelperLatestDate($A14,Trigger)</f>
        <v>42159</v>
      </c>
    </row>
    <row r="15" spans="1:9" x14ac:dyDescent="0.2">
      <c r="A15" s="12" t="str">
        <f>Swaps!J16</f>
        <v>obj_0032e#0001</v>
      </c>
      <c r="B15" s="168" t="str">
        <f>_xll.qlRateHelperQuoteName(A15)</f>
        <v>USDOIS8M_Quote</v>
      </c>
      <c r="C15" s="11">
        <f>_xll.qlRateHelperQuoteValue($A15,Trigger)</f>
        <v>1.15E-3</v>
      </c>
      <c r="D15" s="11" t="e">
        <f>_xll.qlSwapRateHelperSpread($A15,Trigger)</f>
        <v>#NUM!</v>
      </c>
      <c r="E15" s="6" t="b">
        <v>1</v>
      </c>
      <c r="F15" s="6">
        <v>50</v>
      </c>
      <c r="G15" s="6">
        <v>1</v>
      </c>
      <c r="H15" s="10">
        <f>_xll.qlRateHelperEarliestDate($A15,Trigger)</f>
        <v>41947</v>
      </c>
      <c r="I15" s="9">
        <f>_xll.qlRateHelperLatestDate($A15,Trigger)</f>
        <v>42191</v>
      </c>
    </row>
    <row r="16" spans="1:9" x14ac:dyDescent="0.2">
      <c r="A16" s="12" t="str">
        <f>Swaps!J17</f>
        <v>obj_0035f#0001</v>
      </c>
      <c r="B16" s="168" t="str">
        <f>_xll.qlRateHelperQuoteName(A16)</f>
        <v>USDOIS9M_Quote</v>
      </c>
      <c r="C16" s="11">
        <f>_xll.qlRateHelperQuoteValue($A16,Trigger)</f>
        <v>1.2700000000000001E-3</v>
      </c>
      <c r="D16" s="11" t="e">
        <f>_xll.qlSwapRateHelperSpread($A16,Trigger)</f>
        <v>#NUM!</v>
      </c>
      <c r="E16" s="6" t="b">
        <v>1</v>
      </c>
      <c r="F16" s="6">
        <v>50</v>
      </c>
      <c r="G16" s="6">
        <v>1</v>
      </c>
      <c r="H16" s="10">
        <f>_xll.qlRateHelperEarliestDate($A16,Trigger)</f>
        <v>41947</v>
      </c>
      <c r="I16" s="9">
        <f>_xll.qlRateHelperLatestDate($A16,Trigger)</f>
        <v>42220</v>
      </c>
    </row>
    <row r="17" spans="1:9" x14ac:dyDescent="0.2">
      <c r="A17" s="12" t="str">
        <f>Swaps!J18</f>
        <v>obj_0034e#0001</v>
      </c>
      <c r="B17" s="168" t="str">
        <f>_xll.qlRateHelperQuoteName(A17)</f>
        <v>USDOIS10M_Quote</v>
      </c>
      <c r="C17" s="11">
        <f>_xll.qlRateHelperQuoteValue($A17,Trigger)</f>
        <v>1.4000000000000002E-3</v>
      </c>
      <c r="D17" s="11" t="e">
        <f>_xll.qlSwapRateHelperSpread($A17,Trigger)</f>
        <v>#NUM!</v>
      </c>
      <c r="E17" s="6" t="b">
        <v>1</v>
      </c>
      <c r="F17" s="6">
        <v>50</v>
      </c>
      <c r="G17" s="6">
        <v>1</v>
      </c>
      <c r="H17" s="10">
        <f>_xll.qlRateHelperEarliestDate($A17,Trigger)</f>
        <v>41947</v>
      </c>
      <c r="I17" s="9">
        <f>_xll.qlRateHelperLatestDate($A17,Trigger)</f>
        <v>42251</v>
      </c>
    </row>
    <row r="18" spans="1:9" x14ac:dyDescent="0.2">
      <c r="A18" s="12" t="str">
        <f>Swaps!J19</f>
        <v>obj_00342#0001</v>
      </c>
      <c r="B18" s="168" t="str">
        <f>_xll.qlRateHelperQuoteName(A18)</f>
        <v>USDOIS11M_Quote</v>
      </c>
      <c r="C18" s="11">
        <f>_xll.qlRateHelperQuoteValue($A18,Trigger)</f>
        <v>1.56E-3</v>
      </c>
      <c r="D18" s="11" t="e">
        <f>_xll.qlSwapRateHelperSpread($A18,Trigger)</f>
        <v>#NUM!</v>
      </c>
      <c r="E18" s="6" t="b">
        <v>1</v>
      </c>
      <c r="F18" s="6">
        <v>50</v>
      </c>
      <c r="G18" s="6">
        <v>1</v>
      </c>
      <c r="H18" s="10">
        <f>_xll.qlRateHelperEarliestDate($A18,Trigger)</f>
        <v>41947</v>
      </c>
      <c r="I18" s="9">
        <f>_xll.qlRateHelperLatestDate($A18,Trigger)</f>
        <v>42282</v>
      </c>
    </row>
    <row r="19" spans="1:9" x14ac:dyDescent="0.2">
      <c r="A19" s="12" t="str">
        <f>Swaps!J20</f>
        <v>obj_0035b#0001</v>
      </c>
      <c r="B19" s="168" t="str">
        <f>_xll.qlRateHelperQuoteName(A19)</f>
        <v>USDOIS1Y_Quote</v>
      </c>
      <c r="C19" s="11">
        <f>_xll.qlRateHelperQuoteValue($A19,Trigger)</f>
        <v>1.7599999999999998E-3</v>
      </c>
      <c r="D19" s="11" t="e">
        <f>_xll.qlSwapRateHelperSpread($A19,Trigger)</f>
        <v>#NUM!</v>
      </c>
      <c r="E19" s="6" t="b">
        <v>1</v>
      </c>
      <c r="F19" s="6">
        <v>50</v>
      </c>
      <c r="G19" s="6">
        <v>1</v>
      </c>
      <c r="H19" s="10">
        <f>_xll.qlRateHelperEarliestDate($A19,Trigger)</f>
        <v>41947</v>
      </c>
      <c r="I19" s="9">
        <f>_xll.qlRateHelperLatestDate($A19,Trigger)</f>
        <v>42312</v>
      </c>
    </row>
    <row r="20" spans="1:9" x14ac:dyDescent="0.2">
      <c r="A20" s="12" t="str">
        <f>Swaps!J21</f>
        <v>obj_0035d#0001</v>
      </c>
      <c r="B20" s="168" t="str">
        <f>_xll.qlRateHelperQuoteName(A20)</f>
        <v>USDOIS13M_Quote</v>
      </c>
      <c r="C20" s="11">
        <f>_xll.qlRateHelperQuoteValue($A20,Trigger)</f>
        <v>1.97E-3</v>
      </c>
      <c r="D20" s="11" t="e">
        <f>_xll.qlSwapRateHelperSpread($A20,Trigger)</f>
        <v>#NUM!</v>
      </c>
      <c r="E20" s="6" t="b">
        <v>1</v>
      </c>
      <c r="F20" s="6">
        <v>50</v>
      </c>
      <c r="G20" s="6">
        <v>1</v>
      </c>
      <c r="H20" s="10">
        <f>_xll.qlRateHelperEarliestDate($A20,Trigger)</f>
        <v>41947</v>
      </c>
      <c r="I20" s="9">
        <f>_xll.qlRateHelperLatestDate($A20,Trigger)</f>
        <v>42342</v>
      </c>
    </row>
    <row r="21" spans="1:9" x14ac:dyDescent="0.2">
      <c r="A21" s="12" t="str">
        <f>Swaps!J22</f>
        <v>obj_0035e#0001</v>
      </c>
      <c r="B21" s="168" t="str">
        <f>_xll.qlRateHelperQuoteName(A21)</f>
        <v>USDOIS14M_Quote</v>
      </c>
      <c r="C21" s="11">
        <f>_xll.qlRateHelperQuoteValue($A21,Trigger)</f>
        <v>2.2199999999999998E-3</v>
      </c>
      <c r="D21" s="11" t="e">
        <f>_xll.qlSwapRateHelperSpread($A21,Trigger)</f>
        <v>#NUM!</v>
      </c>
      <c r="E21" s="6" t="b">
        <v>1</v>
      </c>
      <c r="F21" s="6">
        <v>50</v>
      </c>
      <c r="G21" s="6">
        <v>1</v>
      </c>
      <c r="H21" s="10">
        <f>_xll.qlRateHelperEarliestDate($A21,Trigger)</f>
        <v>41947</v>
      </c>
      <c r="I21" s="9">
        <f>_xll.qlRateHelperLatestDate($A21,Trigger)</f>
        <v>42373</v>
      </c>
    </row>
    <row r="22" spans="1:9" x14ac:dyDescent="0.2">
      <c r="A22" s="12" t="str">
        <f>Swaps!J23</f>
        <v>obj_00354#0001</v>
      </c>
      <c r="B22" s="168" t="str">
        <f>_xll.qlRateHelperQuoteName(A22)</f>
        <v>USDOIS15M_Quote</v>
      </c>
      <c r="C22" s="11">
        <f>_xll.qlRateHelperQuoteValue($A22,Trigger)</f>
        <v>2.1100000000000003E-3</v>
      </c>
      <c r="D22" s="11" t="e">
        <f>_xll.qlSwapRateHelperSpread($A22,Trigger)</f>
        <v>#NUM!</v>
      </c>
      <c r="E22" s="6" t="b">
        <v>1</v>
      </c>
      <c r="F22" s="6">
        <v>50</v>
      </c>
      <c r="G22" s="6">
        <v>1</v>
      </c>
      <c r="H22" s="10">
        <f>_xll.qlRateHelperEarliestDate($A22,Trigger)</f>
        <v>41947</v>
      </c>
      <c r="I22" s="9">
        <f>_xll.qlRateHelperLatestDate($A22,Trigger)</f>
        <v>42404</v>
      </c>
    </row>
    <row r="23" spans="1:9" x14ac:dyDescent="0.2">
      <c r="A23" s="12" t="str">
        <f>Swaps!J24</f>
        <v>obj_0033b#0001</v>
      </c>
      <c r="B23" s="168" t="str">
        <f>_xll.qlRateHelperQuoteName(A23)</f>
        <v>USDOIS16M_Quote</v>
      </c>
      <c r="C23" s="11">
        <f>_xll.qlRateHelperQuoteValue($A23,Trigger)</f>
        <v>2.7300000000000002E-3</v>
      </c>
      <c r="D23" s="11" t="e">
        <f>_xll.qlSwapRateHelperSpread($A23,Trigger)</f>
        <v>#NUM!</v>
      </c>
      <c r="E23" s="6" t="b">
        <v>1</v>
      </c>
      <c r="F23" s="6">
        <v>50</v>
      </c>
      <c r="G23" s="6">
        <v>1</v>
      </c>
      <c r="H23" s="10">
        <f>_xll.qlRateHelperEarliestDate($A23,Trigger)</f>
        <v>41947</v>
      </c>
      <c r="I23" s="9">
        <f>_xll.qlRateHelperLatestDate($A23,Trigger)</f>
        <v>42433</v>
      </c>
    </row>
    <row r="24" spans="1:9" x14ac:dyDescent="0.2">
      <c r="A24" s="12" t="str">
        <f>Swaps!J25</f>
        <v>obj_0032b#0001</v>
      </c>
      <c r="B24" s="168" t="str">
        <f>_xll.qlRateHelperQuoteName(A24)</f>
        <v>USDOIS17M_Quote</v>
      </c>
      <c r="C24" s="11">
        <f>_xll.qlRateHelperQuoteValue($A24,Trigger)</f>
        <v>3.0100000000000001E-3</v>
      </c>
      <c r="D24" s="11" t="e">
        <f>_xll.qlSwapRateHelperSpread($A24,Trigger)</f>
        <v>#NUM!</v>
      </c>
      <c r="E24" s="6" t="b">
        <v>1</v>
      </c>
      <c r="F24" s="6">
        <v>50</v>
      </c>
      <c r="G24" s="6">
        <v>1</v>
      </c>
      <c r="H24" s="10">
        <f>_xll.qlRateHelperEarliestDate($A24,Trigger)</f>
        <v>41947</v>
      </c>
      <c r="I24" s="9">
        <f>_xll.qlRateHelperLatestDate($A24,Trigger)</f>
        <v>42464</v>
      </c>
    </row>
    <row r="25" spans="1:9" x14ac:dyDescent="0.2">
      <c r="A25" s="12" t="str">
        <f>Swaps!J26</f>
        <v>obj_00358#0001</v>
      </c>
      <c r="B25" s="168" t="str">
        <f>_xll.qlRateHelperQuoteName(A25)</f>
        <v>USDOIS18M_Quote</v>
      </c>
      <c r="C25" s="11">
        <f>_xll.qlRateHelperQuoteValue($A25,Trigger)</f>
        <v>3.2999999999999995E-3</v>
      </c>
      <c r="D25" s="11" t="e">
        <f>_xll.qlSwapRateHelperSpread($A25,Trigger)</f>
        <v>#NUM!</v>
      </c>
      <c r="E25" s="6" t="b">
        <v>1</v>
      </c>
      <c r="F25" s="6">
        <v>50</v>
      </c>
      <c r="G25" s="6">
        <v>1</v>
      </c>
      <c r="H25" s="10">
        <f>_xll.qlRateHelperEarliestDate($A25,Trigger)</f>
        <v>41947</v>
      </c>
      <c r="I25" s="9">
        <f>_xll.qlRateHelperLatestDate($A25,Trigger)</f>
        <v>42494</v>
      </c>
    </row>
    <row r="26" spans="1:9" x14ac:dyDescent="0.2">
      <c r="A26" s="12" t="str">
        <f>Swaps!J27</f>
        <v>obj_0034d#0001</v>
      </c>
      <c r="B26" s="168" t="str">
        <f>_xll.qlRateHelperQuoteName(A26)</f>
        <v>USDOIS19M_Quote</v>
      </c>
      <c r="C26" s="11">
        <f>_xll.qlRateHelperQuoteValue($A26,Trigger)</f>
        <v>3.63E-3</v>
      </c>
      <c r="D26" s="11" t="e">
        <f>_xll.qlSwapRateHelperSpread($A26,Trigger)</f>
        <v>#NUM!</v>
      </c>
      <c r="E26" s="6" t="b">
        <v>1</v>
      </c>
      <c r="F26" s="6">
        <v>50</v>
      </c>
      <c r="G26" s="6">
        <v>1</v>
      </c>
      <c r="H26" s="10">
        <f>_xll.qlRateHelperEarliestDate($A26,Trigger)</f>
        <v>41947</v>
      </c>
      <c r="I26" s="9">
        <f>_xll.qlRateHelperLatestDate($A26,Trigger)</f>
        <v>42527</v>
      </c>
    </row>
    <row r="27" spans="1:9" x14ac:dyDescent="0.2">
      <c r="A27" s="12" t="str">
        <f>Swaps!J28</f>
        <v>obj_00330#0001</v>
      </c>
      <c r="B27" s="168" t="str">
        <f>_xll.qlRateHelperQuoteName(A27)</f>
        <v>USDOIS20M_Quote</v>
      </c>
      <c r="C27" s="11">
        <f>_xll.qlRateHelperQuoteValue($A27,Trigger)</f>
        <v>3.9300000000000003E-3</v>
      </c>
      <c r="D27" s="11" t="e">
        <f>_xll.qlSwapRateHelperSpread($A27,Trigger)</f>
        <v>#NUM!</v>
      </c>
      <c r="E27" s="6" t="b">
        <v>1</v>
      </c>
      <c r="F27" s="6">
        <v>50</v>
      </c>
      <c r="G27" s="6">
        <v>1</v>
      </c>
      <c r="H27" s="10">
        <f>_xll.qlRateHelperEarliestDate($A27,Trigger)</f>
        <v>41947</v>
      </c>
      <c r="I27" s="9">
        <f>_xll.qlRateHelperLatestDate($A27,Trigger)</f>
        <v>42556</v>
      </c>
    </row>
    <row r="28" spans="1:9" x14ac:dyDescent="0.2">
      <c r="A28" s="12" t="str">
        <f>Swaps!J29</f>
        <v>obj_0033e#0001</v>
      </c>
      <c r="B28" s="168" t="str">
        <f>_xll.qlRateHelperQuoteName(A28)</f>
        <v>USDOIS21M_Quote</v>
      </c>
      <c r="C28" s="11">
        <f>_xll.qlRateHelperQuoteValue($A28,Trigger)</f>
        <v>4.2500000000000003E-3</v>
      </c>
      <c r="D28" s="11" t="e">
        <f>_xll.qlSwapRateHelperSpread($A28,Trigger)</f>
        <v>#NUM!</v>
      </c>
      <c r="E28" s="6" t="b">
        <v>1</v>
      </c>
      <c r="F28" s="6">
        <v>50</v>
      </c>
      <c r="G28" s="6">
        <v>1</v>
      </c>
      <c r="H28" s="10">
        <f>_xll.qlRateHelperEarliestDate($A28,Trigger)</f>
        <v>41947</v>
      </c>
      <c r="I28" s="9">
        <f>_xll.qlRateHelperLatestDate($A28,Trigger)</f>
        <v>42586</v>
      </c>
    </row>
    <row r="29" spans="1:9" x14ac:dyDescent="0.2">
      <c r="A29" s="12" t="str">
        <f>Swaps!J30</f>
        <v>obj_0033f#0001</v>
      </c>
      <c r="B29" s="168" t="str">
        <f>_xll.qlRateHelperQuoteName(A29)</f>
        <v>USDOIS22M_Quote</v>
      </c>
      <c r="C29" s="11">
        <f>_xll.qlRateHelperQuoteValue($A29,Trigger)</f>
        <v>4.5999999999999999E-3</v>
      </c>
      <c r="D29" s="11" t="e">
        <f>_xll.qlSwapRateHelperSpread($A29,Trigger)</f>
        <v>#NUM!</v>
      </c>
      <c r="E29" s="6" t="b">
        <v>1</v>
      </c>
      <c r="F29" s="6">
        <v>50</v>
      </c>
      <c r="G29" s="6">
        <v>1</v>
      </c>
      <c r="H29" s="10">
        <f>_xll.qlRateHelperEarliestDate($A29,Trigger)</f>
        <v>41947</v>
      </c>
      <c r="I29" s="9">
        <f>_xll.qlRateHelperLatestDate($A29,Trigger)</f>
        <v>42619</v>
      </c>
    </row>
    <row r="30" spans="1:9" x14ac:dyDescent="0.2">
      <c r="A30" s="12" t="str">
        <f>Swaps!J31</f>
        <v>obj_0033c#0001</v>
      </c>
      <c r="B30" s="168" t="str">
        <f>_xll.qlRateHelperQuoteName(A30)</f>
        <v>USDOIS23M_Quote</v>
      </c>
      <c r="C30" s="11">
        <f>_xll.qlRateHelperQuoteValue($A30,Trigger)</f>
        <v>4.8999999999999998E-3</v>
      </c>
      <c r="D30" s="11" t="e">
        <f>_xll.qlSwapRateHelperSpread($A30,Trigger)</f>
        <v>#NUM!</v>
      </c>
      <c r="E30" s="6" t="b">
        <v>1</v>
      </c>
      <c r="F30" s="6">
        <v>50</v>
      </c>
      <c r="G30" s="6">
        <v>1</v>
      </c>
      <c r="H30" s="10">
        <f>_xll.qlRateHelperEarliestDate($A30,Trigger)</f>
        <v>41947</v>
      </c>
      <c r="I30" s="9">
        <f>_xll.qlRateHelperLatestDate($A30,Trigger)</f>
        <v>42647</v>
      </c>
    </row>
    <row r="31" spans="1:9" x14ac:dyDescent="0.2">
      <c r="A31" s="12" t="str">
        <f>Swaps!J32</f>
        <v>obj_00328#0001</v>
      </c>
      <c r="B31" s="168" t="str">
        <f>_xll.qlRateHelperQuoteName(A31)</f>
        <v>USDOIS2Y_Quote</v>
      </c>
      <c r="C31" s="11">
        <f>_xll.qlRateHelperQuoteValue($A31,Trigger)</f>
        <v>5.2300000000000003E-3</v>
      </c>
      <c r="D31" s="11" t="e">
        <f>_xll.qlSwapRateHelperSpread($A31,Trigger)</f>
        <v>#NUM!</v>
      </c>
      <c r="E31" s="6" t="b">
        <v>1</v>
      </c>
      <c r="F31" s="6">
        <v>50</v>
      </c>
      <c r="G31" s="6">
        <v>1</v>
      </c>
      <c r="H31" s="10">
        <f>_xll.qlRateHelperEarliestDate($A31,Trigger)</f>
        <v>41947</v>
      </c>
      <c r="I31" s="9">
        <f>_xll.qlRateHelperLatestDate($A31,Trigger)</f>
        <v>42678</v>
      </c>
    </row>
    <row r="32" spans="1:9" x14ac:dyDescent="0.2">
      <c r="A32" s="12" t="str">
        <f>Swaps!J33</f>
        <v>obj_0034a#0001</v>
      </c>
      <c r="B32" s="168" t="str">
        <f>_xll.qlRateHelperQuoteName(A32)</f>
        <v>USDOIS27M_Quote</v>
      </c>
      <c r="C32" s="11">
        <f>_xll.qlRateHelperQuoteValue($A32,Trigger)</f>
        <v>6.2700000000000004E-3</v>
      </c>
      <c r="D32" s="11" t="e">
        <f>_xll.qlSwapRateHelperSpread($A32,Trigger)</f>
        <v>#NUM!</v>
      </c>
      <c r="E32" s="6" t="b">
        <v>0</v>
      </c>
      <c r="F32" s="6">
        <v>50</v>
      </c>
      <c r="G32" s="6">
        <v>1</v>
      </c>
      <c r="H32" s="10">
        <f>_xll.qlRateHelperEarliestDate($A32,Trigger)</f>
        <v>41947</v>
      </c>
      <c r="I32" s="9">
        <f>_xll.qlRateHelperLatestDate($A32,Trigger)</f>
        <v>42772</v>
      </c>
    </row>
    <row r="33" spans="1:9" x14ac:dyDescent="0.2">
      <c r="A33" s="12" t="str">
        <f>Swaps!J34</f>
        <v>obj_00359#0001</v>
      </c>
      <c r="B33" s="168" t="str">
        <f>_xll.qlRateHelperQuoteName(A33)</f>
        <v>USDOIS30M_Quote</v>
      </c>
      <c r="C33" s="11">
        <f>_xll.qlRateHelperQuoteValue($A33,Trigger)</f>
        <v>7.2499999999999995E-3</v>
      </c>
      <c r="D33" s="11" t="e">
        <f>_xll.qlSwapRateHelperSpread($A33,Trigger)</f>
        <v>#NUM!</v>
      </c>
      <c r="E33" s="6" t="b">
        <v>0</v>
      </c>
      <c r="F33" s="6">
        <v>50</v>
      </c>
      <c r="G33" s="6">
        <v>1</v>
      </c>
      <c r="H33" s="10">
        <f>_xll.qlRateHelperEarliestDate($A33,Trigger)</f>
        <v>41947</v>
      </c>
      <c r="I33" s="9">
        <f>_xll.qlRateHelperLatestDate($A33,Trigger)</f>
        <v>42859</v>
      </c>
    </row>
    <row r="34" spans="1:9" x14ac:dyDescent="0.2">
      <c r="A34" s="12" t="str">
        <f>Swaps!J35</f>
        <v>obj_0034f#0001</v>
      </c>
      <c r="B34" s="168" t="str">
        <f>_xll.qlRateHelperQuoteName(A34)</f>
        <v>USDOIS33M_Quote</v>
      </c>
      <c r="C34" s="11">
        <f>_xll.qlRateHelperQuoteValue($A34,Trigger)</f>
        <v>8.26E-3</v>
      </c>
      <c r="D34" s="11" t="e">
        <f>_xll.qlSwapRateHelperSpread($A34,Trigger)</f>
        <v>#NUM!</v>
      </c>
      <c r="E34" s="6" t="b">
        <v>0</v>
      </c>
      <c r="F34" s="6">
        <v>50</v>
      </c>
      <c r="G34" s="6">
        <v>1</v>
      </c>
      <c r="H34" s="10">
        <f>_xll.qlRateHelperEarliestDate($A34,Trigger)</f>
        <v>41947</v>
      </c>
      <c r="I34" s="9">
        <f>_xll.qlRateHelperLatestDate($A34,Trigger)</f>
        <v>42951</v>
      </c>
    </row>
    <row r="35" spans="1:9" x14ac:dyDescent="0.2">
      <c r="A35" s="12" t="str">
        <f>Swaps!J36</f>
        <v>obj_00351#0001</v>
      </c>
      <c r="B35" s="168" t="str">
        <f>_xll.qlRateHelperQuoteName(A35)</f>
        <v>USDOIS3Y_Quote</v>
      </c>
      <c r="C35" s="11">
        <f>_xll.qlRateHelperQuoteValue($A35,Trigger)</f>
        <v>9.2500000000000013E-3</v>
      </c>
      <c r="D35" s="11" t="e">
        <f>_xll.qlSwapRateHelperSpread($A35,Trigger)</f>
        <v>#NUM!</v>
      </c>
      <c r="E35" s="6" t="b">
        <v>1</v>
      </c>
      <c r="F35" s="6">
        <v>50</v>
      </c>
      <c r="G35" s="6">
        <v>1</v>
      </c>
      <c r="H35" s="10">
        <f>_xll.qlRateHelperEarliestDate($A35,Trigger)</f>
        <v>41947</v>
      </c>
      <c r="I35" s="9">
        <f>_xll.qlRateHelperLatestDate($A35,Trigger)</f>
        <v>43045</v>
      </c>
    </row>
    <row r="36" spans="1:9" x14ac:dyDescent="0.2">
      <c r="A36" s="12" t="str">
        <f>Swaps!J37</f>
        <v>obj_00356#0001</v>
      </c>
      <c r="B36" s="168" t="str">
        <f>_xll.qlRateHelperQuoteName(A36)</f>
        <v>USDOIS39M_Quote</v>
      </c>
      <c r="C36" s="11">
        <f>_xll.qlRateHelperQuoteValue($A36,Trigger)</f>
        <v>1.0160000000000001E-2</v>
      </c>
      <c r="D36" s="11" t="e">
        <f>_xll.qlSwapRateHelperSpread($A36,Trigger)</f>
        <v>#NUM!</v>
      </c>
      <c r="E36" s="6" t="b">
        <v>0</v>
      </c>
      <c r="F36" s="6">
        <v>50</v>
      </c>
      <c r="G36" s="6">
        <v>1</v>
      </c>
      <c r="H36" s="10">
        <f>_xll.qlRateHelperEarliestDate($A36,Trigger)</f>
        <v>41947</v>
      </c>
      <c r="I36" s="9">
        <f>_xll.qlRateHelperLatestDate($A36,Trigger)</f>
        <v>43136</v>
      </c>
    </row>
    <row r="37" spans="1:9" x14ac:dyDescent="0.2">
      <c r="A37" s="12" t="str">
        <f>Swaps!J38</f>
        <v>obj_00344#0001</v>
      </c>
      <c r="B37" s="168" t="str">
        <f>_xll.qlRateHelperQuoteName(A37)</f>
        <v>USDOIS42M_Quote</v>
      </c>
      <c r="C37" s="11">
        <f>_xll.qlRateHelperQuoteValue($A37,Trigger)</f>
        <v>1.0880000000000001E-2</v>
      </c>
      <c r="D37" s="11" t="e">
        <f>_xll.qlSwapRateHelperSpread($A37,Trigger)</f>
        <v>#NUM!</v>
      </c>
      <c r="E37" s="6" t="b">
        <v>0</v>
      </c>
      <c r="F37" s="6">
        <v>50</v>
      </c>
      <c r="G37" s="6">
        <v>1</v>
      </c>
      <c r="H37" s="10">
        <f>_xll.qlRateHelperEarliestDate($A37,Trigger)</f>
        <v>41947</v>
      </c>
      <c r="I37" s="9">
        <f>_xll.qlRateHelperLatestDate($A37,Trigger)</f>
        <v>43224</v>
      </c>
    </row>
    <row r="38" spans="1:9" x14ac:dyDescent="0.2">
      <c r="A38" s="12" t="str">
        <f>Swaps!J39</f>
        <v>obj_0034c#0001</v>
      </c>
      <c r="B38" s="168" t="str">
        <f>_xll.qlRateHelperQuoteName(A38)</f>
        <v>USDOIS45M_Quote</v>
      </c>
      <c r="C38" s="11">
        <f>_xll.qlRateHelperQuoteValue($A38,Trigger)</f>
        <v>1.1840000000000002E-2</v>
      </c>
      <c r="D38" s="11" t="e">
        <f>_xll.qlSwapRateHelperSpread($A38,Trigger)</f>
        <v>#NUM!</v>
      </c>
      <c r="E38" s="6" t="b">
        <v>0</v>
      </c>
      <c r="F38" s="6">
        <v>50</v>
      </c>
      <c r="G38" s="6">
        <v>1</v>
      </c>
      <c r="H38" s="10">
        <f>_xll.qlRateHelperEarliestDate($A38,Trigger)</f>
        <v>41947</v>
      </c>
      <c r="I38" s="9">
        <f>_xll.qlRateHelperLatestDate($A38,Trigger)</f>
        <v>43318</v>
      </c>
    </row>
    <row r="39" spans="1:9" x14ac:dyDescent="0.2">
      <c r="A39" s="12" t="str">
        <f>Swaps!J40</f>
        <v>obj_0032c#0001</v>
      </c>
      <c r="B39" s="168" t="str">
        <f>_xll.qlRateHelperQuoteName(A39)</f>
        <v>USDOIS4Y_Quote</v>
      </c>
      <c r="C39" s="11">
        <f>_xll.qlRateHelperQuoteValue($A39,Trigger)</f>
        <v>1.2429999999999998E-2</v>
      </c>
      <c r="D39" s="11" t="e">
        <f>_xll.qlSwapRateHelperSpread($A39,Trigger)</f>
        <v>#NUM!</v>
      </c>
      <c r="E39" s="6" t="b">
        <v>1</v>
      </c>
      <c r="F39" s="6">
        <v>50</v>
      </c>
      <c r="G39" s="6">
        <v>1</v>
      </c>
      <c r="H39" s="10">
        <f>_xll.qlRateHelperEarliestDate($A39,Trigger)</f>
        <v>41947</v>
      </c>
      <c r="I39" s="9">
        <f>_xll.qlRateHelperLatestDate($A39,Trigger)</f>
        <v>43409</v>
      </c>
    </row>
    <row r="40" spans="1:9" x14ac:dyDescent="0.2">
      <c r="A40" s="12" t="str">
        <f>Swaps!J41</f>
        <v>obj_00331#0001</v>
      </c>
      <c r="B40" s="168" t="str">
        <f>_xll.qlRateHelperQuoteName(A40)</f>
        <v>USDOIS51M_Quote</v>
      </c>
      <c r="C40" s="11">
        <f>_xll.qlRateHelperQuoteValue($A40,Trigger)</f>
        <v>1.3309999999999999E-2</v>
      </c>
      <c r="D40" s="11" t="e">
        <f>_xll.qlSwapRateHelperSpread($A40,Trigger)</f>
        <v>#NUM!</v>
      </c>
      <c r="E40" s="6" t="b">
        <v>0</v>
      </c>
      <c r="F40" s="6">
        <v>50</v>
      </c>
      <c r="G40" s="6">
        <v>1</v>
      </c>
      <c r="H40" s="10">
        <f>_xll.qlRateHelperEarliestDate($A40,Trigger)</f>
        <v>41947</v>
      </c>
      <c r="I40" s="9">
        <f>_xll.qlRateHelperLatestDate($A40,Trigger)</f>
        <v>43500</v>
      </c>
    </row>
    <row r="41" spans="1:9" x14ac:dyDescent="0.2">
      <c r="A41" s="12" t="str">
        <f>Swaps!J42</f>
        <v>obj_0032d#0001</v>
      </c>
      <c r="B41" s="168" t="str">
        <f>_xll.qlRateHelperQuoteName(A41)</f>
        <v>USDOIS54M_Quote</v>
      </c>
      <c r="C41" s="11">
        <f>_xll.qlRateHelperQuoteValue($A41,Trigger)</f>
        <v>1.375E-2</v>
      </c>
      <c r="D41" s="11" t="e">
        <f>_xll.qlSwapRateHelperSpread($A41,Trigger)</f>
        <v>#NUM!</v>
      </c>
      <c r="E41" s="6" t="b">
        <v>0</v>
      </c>
      <c r="F41" s="6">
        <v>50</v>
      </c>
      <c r="G41" s="6">
        <v>1</v>
      </c>
      <c r="H41" s="10">
        <f>_xll.qlRateHelperEarliestDate($A41,Trigger)</f>
        <v>41947</v>
      </c>
      <c r="I41" s="9">
        <f>_xll.qlRateHelperLatestDate($A41,Trigger)</f>
        <v>43591</v>
      </c>
    </row>
    <row r="42" spans="1:9" x14ac:dyDescent="0.2">
      <c r="A42" s="12" t="str">
        <f>Swaps!J43</f>
        <v>obj_00345#0001</v>
      </c>
      <c r="B42" s="168" t="str">
        <f>_xll.qlRateHelperQuoteName(A42)</f>
        <v>USDOIS57M_Quote</v>
      </c>
      <c r="C42" s="11">
        <f>_xll.qlRateHelperQuoteValue($A42,Trigger)</f>
        <v>1.4590000000000001E-2</v>
      </c>
      <c r="D42" s="11" t="e">
        <f>_xll.qlSwapRateHelperSpread($A42,Trigger)</f>
        <v>#NUM!</v>
      </c>
      <c r="E42" s="6" t="b">
        <v>0</v>
      </c>
      <c r="F42" s="6">
        <v>50</v>
      </c>
      <c r="G42" s="6">
        <v>1</v>
      </c>
      <c r="H42" s="10">
        <f>_xll.qlRateHelperEarliestDate($A42,Trigger)</f>
        <v>41947</v>
      </c>
      <c r="I42" s="9">
        <f>_xll.qlRateHelperLatestDate($A42,Trigger)</f>
        <v>43682</v>
      </c>
    </row>
    <row r="43" spans="1:9" x14ac:dyDescent="0.2">
      <c r="A43" s="12" t="str">
        <f>Swaps!J44</f>
        <v>obj_0032f#0001</v>
      </c>
      <c r="B43" s="168" t="str">
        <f>_xll.qlRateHelperQuoteName(A43)</f>
        <v>USDOIS5Y_Quote</v>
      </c>
      <c r="C43" s="11">
        <f>_xll.qlRateHelperQuoteValue($A43,Trigger)</f>
        <v>1.4929999999999999E-2</v>
      </c>
      <c r="D43" s="11" t="e">
        <f>_xll.qlSwapRateHelperSpread($A43,Trigger)</f>
        <v>#NUM!</v>
      </c>
      <c r="E43" s="6" t="b">
        <v>1</v>
      </c>
      <c r="F43" s="6">
        <v>50</v>
      </c>
      <c r="G43" s="6">
        <v>1</v>
      </c>
      <c r="H43" s="10">
        <f>_xll.qlRateHelperEarliestDate($A43,Trigger)</f>
        <v>41947</v>
      </c>
      <c r="I43" s="9">
        <f>_xll.qlRateHelperLatestDate($A43,Trigger)</f>
        <v>43773</v>
      </c>
    </row>
    <row r="44" spans="1:9" x14ac:dyDescent="0.2">
      <c r="A44" s="12" t="str">
        <f>Swaps!J45</f>
        <v>obj_0033d#0001</v>
      </c>
      <c r="B44" s="168" t="str">
        <f>_xll.qlRateHelperQuoteName(A44)</f>
        <v>USDOIS6Y_Quote</v>
      </c>
      <c r="C44" s="11">
        <f>_xll.qlRateHelperQuoteValue($A44,Trigger)</f>
        <v>1.7129999999999999E-2</v>
      </c>
      <c r="D44" s="11" t="e">
        <f>_xll.qlSwapRateHelperSpread($A44,Trigger)</f>
        <v>#NUM!</v>
      </c>
      <c r="E44" s="6" t="b">
        <v>1</v>
      </c>
      <c r="F44" s="6">
        <v>50</v>
      </c>
      <c r="G44" s="6">
        <v>1</v>
      </c>
      <c r="H44" s="10">
        <f>_xll.qlRateHelperEarliestDate($A44,Trigger)</f>
        <v>41947</v>
      </c>
      <c r="I44" s="9">
        <f>_xll.qlRateHelperLatestDate($A44,Trigger)</f>
        <v>44139</v>
      </c>
    </row>
    <row r="45" spans="1:9" x14ac:dyDescent="0.2">
      <c r="A45" s="12" t="str">
        <f>Swaps!J46</f>
        <v>obj_00357#0001</v>
      </c>
      <c r="B45" s="168" t="str">
        <f>_xll.qlRateHelperQuoteName(A45)</f>
        <v>USDOIS7Y_Quote</v>
      </c>
      <c r="C45" s="11">
        <f>_xll.qlRateHelperQuoteValue($A45,Trigger)</f>
        <v>1.8860000000000002E-2</v>
      </c>
      <c r="D45" s="11" t="e">
        <f>_xll.qlSwapRateHelperSpread($A45,Trigger)</f>
        <v>#NUM!</v>
      </c>
      <c r="E45" s="6" t="b">
        <v>1</v>
      </c>
      <c r="F45" s="6">
        <v>50</v>
      </c>
      <c r="G45" s="6">
        <v>1</v>
      </c>
      <c r="H45" s="10">
        <f>_xll.qlRateHelperEarliestDate($A45,Trigger)</f>
        <v>41947</v>
      </c>
      <c r="I45" s="9">
        <f>_xll.qlRateHelperLatestDate($A45,Trigger)</f>
        <v>44504</v>
      </c>
    </row>
    <row r="46" spans="1:9" x14ac:dyDescent="0.2">
      <c r="A46" s="12" t="str">
        <f>Swaps!J47</f>
        <v>obj_00333#0001</v>
      </c>
      <c r="B46" s="168" t="str">
        <f>_xll.qlRateHelperQuoteName(A46)</f>
        <v>USDOIS8Y_Quote</v>
      </c>
      <c r="C46" s="11">
        <f>_xll.qlRateHelperQuoteValue($A46,Trigger)</f>
        <v>2.0110000000000003E-2</v>
      </c>
      <c r="D46" s="11" t="e">
        <f>_xll.qlSwapRateHelperSpread($A46,Trigger)</f>
        <v>#NUM!</v>
      </c>
      <c r="E46" s="6" t="b">
        <v>1</v>
      </c>
      <c r="F46" s="6">
        <v>50</v>
      </c>
      <c r="G46" s="6">
        <v>1</v>
      </c>
      <c r="H46" s="10">
        <f>_xll.qlRateHelperEarliestDate($A46,Trigger)</f>
        <v>41947</v>
      </c>
      <c r="I46" s="9">
        <f>_xll.qlRateHelperLatestDate($A46,Trigger)</f>
        <v>44869</v>
      </c>
    </row>
    <row r="47" spans="1:9" x14ac:dyDescent="0.2">
      <c r="A47" s="12" t="str">
        <f>Swaps!J48</f>
        <v>obj_00348#0001</v>
      </c>
      <c r="B47" s="168" t="str">
        <f>_xll.qlRateHelperQuoteName(A47)</f>
        <v>USDOIS9Y_Quote</v>
      </c>
      <c r="C47" s="11">
        <f>_xll.qlRateHelperQuoteValue($A47,Trigger)</f>
        <v>2.1179999999999997E-2</v>
      </c>
      <c r="D47" s="11" t="e">
        <f>_xll.qlSwapRateHelperSpread($A47,Trigger)</f>
        <v>#NUM!</v>
      </c>
      <c r="E47" s="6" t="b">
        <v>1</v>
      </c>
      <c r="F47" s="6">
        <v>50</v>
      </c>
      <c r="G47" s="6">
        <v>1</v>
      </c>
      <c r="H47" s="10">
        <f>_xll.qlRateHelperEarliestDate($A47,Trigger)</f>
        <v>41947</v>
      </c>
      <c r="I47" s="9">
        <f>_xll.qlRateHelperLatestDate($A47,Trigger)</f>
        <v>45236</v>
      </c>
    </row>
    <row r="48" spans="1:9" x14ac:dyDescent="0.2">
      <c r="A48" s="12" t="str">
        <f>Swaps!J49</f>
        <v>obj_00338#0001</v>
      </c>
      <c r="B48" s="168" t="str">
        <f>_xll.qlRateHelperQuoteName(A48)</f>
        <v>USDOIS10Y_Quote</v>
      </c>
      <c r="C48" s="11">
        <f>_xll.qlRateHelperQuoteValue($A48,Trigger)</f>
        <v>2.2080000000000002E-2</v>
      </c>
      <c r="D48" s="11" t="e">
        <f>_xll.qlSwapRateHelperSpread($A48,Trigger)</f>
        <v>#NUM!</v>
      </c>
      <c r="E48" s="6" t="b">
        <v>1</v>
      </c>
      <c r="F48" s="6">
        <v>50</v>
      </c>
      <c r="G48" s="6">
        <v>1</v>
      </c>
      <c r="H48" s="10">
        <f>_xll.qlRateHelperEarliestDate($A48,Trigger)</f>
        <v>41947</v>
      </c>
      <c r="I48" s="9">
        <f>_xll.qlRateHelperLatestDate($A48,Trigger)</f>
        <v>45600</v>
      </c>
    </row>
    <row r="49" spans="1:9" x14ac:dyDescent="0.2">
      <c r="A49" s="12" t="str">
        <f>Swaps!J50</f>
        <v>obj_0034b#0001</v>
      </c>
      <c r="B49" s="168" t="str">
        <f>_xll.qlRateHelperQuoteName(A49)</f>
        <v>USDOIS12Y_Quote</v>
      </c>
      <c r="C49" s="11">
        <f>_xll.qlRateHelperQuoteValue($A49,Trigger)</f>
        <v>2.358E-2</v>
      </c>
      <c r="D49" s="11" t="e">
        <f>_xll.qlSwapRateHelperSpread($A49,Trigger)</f>
        <v>#NUM!</v>
      </c>
      <c r="E49" s="6" t="b">
        <v>1</v>
      </c>
      <c r="F49" s="6">
        <v>50</v>
      </c>
      <c r="G49" s="6">
        <v>1</v>
      </c>
      <c r="H49" s="10">
        <f>_xll.qlRateHelperEarliestDate($A49,Trigger)</f>
        <v>41947</v>
      </c>
      <c r="I49" s="9">
        <f>_xll.qlRateHelperLatestDate($A49,Trigger)</f>
        <v>46330</v>
      </c>
    </row>
    <row r="50" spans="1:9" x14ac:dyDescent="0.2">
      <c r="A50" s="12" t="str">
        <f>Swaps!J51</f>
        <v>obj_00340#0001</v>
      </c>
      <c r="B50" s="168" t="str">
        <f>_xll.qlRateHelperQuoteName(A50)</f>
        <v>USDOIS15Y_Quote</v>
      </c>
      <c r="C50" s="11">
        <f>_xll.qlRateHelperQuoteValue($A50,Trigger)</f>
        <v>2.5099999999999997E-2</v>
      </c>
      <c r="D50" s="11" t="e">
        <f>_xll.qlSwapRateHelperSpread($A50,Trigger)</f>
        <v>#NUM!</v>
      </c>
      <c r="E50" s="6" t="b">
        <v>1</v>
      </c>
      <c r="F50" s="6">
        <v>50</v>
      </c>
      <c r="G50" s="6">
        <v>1</v>
      </c>
      <c r="H50" s="10">
        <f>_xll.qlRateHelperEarliestDate($A50,Trigger)</f>
        <v>41947</v>
      </c>
      <c r="I50" s="9">
        <f>_xll.qlRateHelperLatestDate($A50,Trigger)</f>
        <v>47427</v>
      </c>
    </row>
    <row r="51" spans="1:9" x14ac:dyDescent="0.2">
      <c r="A51" s="12" t="str">
        <f>Swaps!J52</f>
        <v>obj_00352#0001</v>
      </c>
      <c r="B51" s="168" t="str">
        <f>_xll.qlRateHelperQuoteName(A51)</f>
        <v>USDOIS20Y_Quote</v>
      </c>
      <c r="C51" s="11">
        <f>_xll.qlRateHelperQuoteValue($A51,Trigger)</f>
        <v>2.6619999999999998E-2</v>
      </c>
      <c r="D51" s="11" t="e">
        <f>_xll.qlSwapRateHelperSpread($A51,Trigger)</f>
        <v>#NUM!</v>
      </c>
      <c r="E51" s="6" t="b">
        <v>1</v>
      </c>
      <c r="F51" s="6">
        <v>50</v>
      </c>
      <c r="G51" s="6">
        <v>1</v>
      </c>
      <c r="H51" s="10">
        <f>_xll.qlRateHelperEarliestDate($A51,Trigger)</f>
        <v>41947</v>
      </c>
      <c r="I51" s="9">
        <f>_xll.qlRateHelperLatestDate($A51,Trigger)</f>
        <v>49254</v>
      </c>
    </row>
    <row r="52" spans="1:9" x14ac:dyDescent="0.2">
      <c r="A52" s="12" t="str">
        <f>Swaps!J53</f>
        <v>obj_00335#0001</v>
      </c>
      <c r="B52" s="168" t="str">
        <f>_xll.qlRateHelperQuoteName(A52)</f>
        <v>USDOIS25Y_Quote</v>
      </c>
      <c r="C52" s="11">
        <f>_xll.qlRateHelperQuoteValue($A52,Trigger)</f>
        <v>2.7359999999999999E-2</v>
      </c>
      <c r="D52" s="11" t="e">
        <f>_xll.qlSwapRateHelperSpread($A52,Trigger)</f>
        <v>#NUM!</v>
      </c>
      <c r="E52" s="6" t="b">
        <v>1</v>
      </c>
      <c r="F52" s="6">
        <v>50</v>
      </c>
      <c r="G52" s="6">
        <v>1</v>
      </c>
      <c r="H52" s="10">
        <f>_xll.qlRateHelperEarliestDate($A52,Trigger)</f>
        <v>41947</v>
      </c>
      <c r="I52" s="9">
        <f>_xll.qlRateHelperLatestDate($A52,Trigger)</f>
        <v>51078</v>
      </c>
    </row>
    <row r="53" spans="1:9" x14ac:dyDescent="0.2">
      <c r="A53" s="12" t="str">
        <f>Swaps!J54</f>
        <v>obj_00343#0001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6" t="b">
        <v>0</v>
      </c>
      <c r="F53" s="6">
        <v>50</v>
      </c>
      <c r="G53" s="6">
        <v>1</v>
      </c>
      <c r="H53" s="10">
        <f>_xll.qlRateHelperEarliestDate($A53,Trigger)</f>
        <v>41947</v>
      </c>
      <c r="I53" s="9">
        <f>_xll.qlRateHelperLatestDate($A53,Trigger)</f>
        <v>51809</v>
      </c>
    </row>
    <row r="54" spans="1:9" x14ac:dyDescent="0.2">
      <c r="A54" s="12" t="str">
        <f>Swaps!J55</f>
        <v>obj_00341#0001</v>
      </c>
      <c r="B54" s="168" t="str">
        <f>_xll.qlRateHelperQuoteName(A54)</f>
        <v>USDOIS30Y_Quote</v>
      </c>
      <c r="C54" s="11">
        <f>_xll.qlRateHelperQuoteValue($A54,Trigger)</f>
        <v>2.7779999999999999E-2</v>
      </c>
      <c r="D54" s="11" t="e">
        <f>_xll.qlSwapRateHelperSpread($A54,Trigger)</f>
        <v>#NUM!</v>
      </c>
      <c r="E54" s="6" t="b">
        <v>0</v>
      </c>
      <c r="F54" s="6">
        <v>50</v>
      </c>
      <c r="G54" s="6">
        <v>1</v>
      </c>
      <c r="H54" s="10">
        <f>_xll.qlRateHelperEarliestDate($A54,Trigger)</f>
        <v>41947</v>
      </c>
      <c r="I54" s="9">
        <f>_xll.qlRateHelperLatestDate($A54,Trigger)</f>
        <v>52905</v>
      </c>
    </row>
    <row r="55" spans="1:9" x14ac:dyDescent="0.2">
      <c r="A55" s="12" t="str">
        <f>Swaps!J56</f>
        <v>obj_00332#0001</v>
      </c>
      <c r="B55" s="168" t="str">
        <f>_xll.qlRateHelperQuoteName(A55)</f>
        <v>USDOIS35Y_Quote</v>
      </c>
      <c r="C55" s="11">
        <f>_xll.qlRateHelperQuoteValue($A55,Trigger)</f>
        <v>2.7830000000000001E-2</v>
      </c>
      <c r="D55" s="11" t="e">
        <f>_xll.qlSwapRateHelperSpread($A55,Trigger)</f>
        <v>#NUM!</v>
      </c>
      <c r="E55" s="6" t="b">
        <v>1</v>
      </c>
      <c r="F55" s="6">
        <v>50</v>
      </c>
      <c r="G55" s="6">
        <v>1</v>
      </c>
      <c r="H55" s="10">
        <f>_xll.qlRateHelperEarliestDate($A55,Trigger)</f>
        <v>41947</v>
      </c>
      <c r="I55" s="9">
        <f>_xll.qlRateHelperLatestDate($A55,Trigger)</f>
        <v>54731</v>
      </c>
    </row>
    <row r="56" spans="1:9" x14ac:dyDescent="0.2">
      <c r="A56" s="12" t="str">
        <f>Swaps!J57</f>
        <v>obj_00334#0001</v>
      </c>
      <c r="B56" s="168" t="str">
        <f>_xll.qlRateHelperQuoteName(A56)</f>
        <v>USDOIS40Y_Quote</v>
      </c>
      <c r="C56" s="11">
        <f>_xll.qlRateHelperQuoteValue($A56,Trigger)</f>
        <v>2.785E-2</v>
      </c>
      <c r="D56" s="11" t="e">
        <f>_xll.qlSwapRateHelperSpread($A56,Trigger)</f>
        <v>#NUM!</v>
      </c>
      <c r="E56" s="6" t="b">
        <v>1</v>
      </c>
      <c r="F56" s="6">
        <v>50</v>
      </c>
      <c r="G56" s="6">
        <v>1</v>
      </c>
      <c r="H56" s="10">
        <f>_xll.qlRateHelperEarliestDate($A56,Trigger)</f>
        <v>41947</v>
      </c>
      <c r="I56" s="9">
        <f>_xll.qlRateHelperLatestDate($A56,Trigger)</f>
        <v>56557</v>
      </c>
    </row>
    <row r="57" spans="1:9" x14ac:dyDescent="0.2">
      <c r="A57" s="12" t="str">
        <f>Swaps!J58</f>
        <v>obj_00329#0001</v>
      </c>
      <c r="B57" s="168" t="str">
        <f>_xll.qlRateHelperQuoteName(A57)</f>
        <v>USDOIS45Y_Quote</v>
      </c>
      <c r="C57" s="11">
        <f>_xll.qlRateHelperQuoteValue($A57,Trigger)</f>
        <v>2.775E-2</v>
      </c>
      <c r="D57" s="11" t="e">
        <f>_xll.qlSwapRateHelperSpread($A57,Trigger)</f>
        <v>#NUM!</v>
      </c>
      <c r="E57" s="6" t="b">
        <v>1</v>
      </c>
      <c r="F57" s="6">
        <v>50</v>
      </c>
      <c r="G57" s="6">
        <v>1</v>
      </c>
      <c r="H57" s="10">
        <f>_xll.qlRateHelperEarliestDate($A57,Trigger)</f>
        <v>41947</v>
      </c>
      <c r="I57" s="9">
        <f>_xll.qlRateHelperLatestDate($A57,Trigger)</f>
        <v>58383</v>
      </c>
    </row>
    <row r="58" spans="1:9" x14ac:dyDescent="0.2">
      <c r="A58" s="8" t="str">
        <f>Swaps!J59</f>
        <v>obj_00349#0001</v>
      </c>
      <c r="B58" s="170" t="str">
        <f>_xll.qlRateHelperQuoteName(A58)</f>
        <v>USDOIS50Y_Quote</v>
      </c>
      <c r="C58" s="7">
        <f>_xll.qlRateHelperQuoteValue($A58,Trigger)</f>
        <v>2.7650000000000001E-2</v>
      </c>
      <c r="D58" s="7" t="e">
        <f>_xll.qlSwapRateHelperSpread($A58,Trigger)</f>
        <v>#NUM!</v>
      </c>
      <c r="E58" s="5" t="b">
        <v>1</v>
      </c>
      <c r="F58" s="5">
        <v>50</v>
      </c>
      <c r="G58" s="5">
        <v>1</v>
      </c>
      <c r="H58" s="4">
        <f>_xll.qlRateHelperEarliestDate($A58,Trigger)</f>
        <v>41947</v>
      </c>
      <c r="I58" s="3">
        <f>_xll.qlRateHelperLatestDate($A58,Trigger)</f>
        <v>60210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3" t="s">
        <v>71</v>
      </c>
      <c r="B1" s="234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obj_00360</v>
      </c>
      <c r="E2" s="27" t="str">
        <f>+_xll.qlRateHelperQuoteName(D2)</f>
        <v>USDOND_Quote</v>
      </c>
      <c r="F2" s="26">
        <f>_xll.qlRateHelperRate($D2)</f>
        <v>2.2000000000000001E-3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41943</v>
      </c>
      <c r="I2" s="24">
        <f>_xll.qlRateHelperLatestDate($D2)</f>
        <v>41946</v>
      </c>
      <c r="J2" s="96">
        <v>0.99998166700277158</v>
      </c>
    </row>
    <row r="3" spans="1:10" x14ac:dyDescent="0.2">
      <c r="A3" s="28" t="s">
        <v>67</v>
      </c>
      <c r="B3" s="29">
        <v>1</v>
      </c>
      <c r="D3" s="27" t="str">
        <v>obj_00337</v>
      </c>
      <c r="E3" s="27" t="str">
        <f>+_xll.qlRateHelperQuoteName(D3)</f>
        <v>USDTND_Quote</v>
      </c>
      <c r="F3" s="26">
        <f>_xll.qlRateHelperRate($D3)</f>
        <v>2.2000000000000001E-3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41946</v>
      </c>
      <c r="I3" s="24">
        <f>_xll.qlRateHelperLatestDate($D3)</f>
        <v>41947</v>
      </c>
      <c r="J3" s="96">
        <v>0.99997555604114208</v>
      </c>
    </row>
    <row r="4" spans="1:10" x14ac:dyDescent="0.2">
      <c r="A4" s="28" t="s">
        <v>66</v>
      </c>
      <c r="B4" s="29">
        <v>2</v>
      </c>
      <c r="D4" s="27" t="str">
        <v>obj_00347</v>
      </c>
      <c r="E4" s="27" t="str">
        <f>+_xll.qlRateHelperQuoteName(D4)</f>
        <v>USDOISSW_Quote</v>
      </c>
      <c r="F4" s="26">
        <f>_xll.qlRateHelperRate($D4)</f>
        <v>8.8999999999999995E-4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41947</v>
      </c>
      <c r="I4" s="24">
        <f>_xll.qlRateHelperLatestDate($D4)</f>
        <v>41955</v>
      </c>
      <c r="J4" s="96">
        <v>0.99995577913795464</v>
      </c>
    </row>
    <row r="5" spans="1:10" ht="12" thickBot="1" x14ac:dyDescent="0.25">
      <c r="A5" s="99" t="s">
        <v>65</v>
      </c>
      <c r="B5" s="100" t="s">
        <v>64</v>
      </c>
      <c r="D5" s="27" t="str">
        <v>obj_00339</v>
      </c>
      <c r="E5" s="27" t="str">
        <f>+_xll.qlRateHelperQuoteName(D5)</f>
        <v>USDOIS2W_Quote</v>
      </c>
      <c r="F5" s="26">
        <f>_xll.qlRateHelperRate($D5)</f>
        <v>8.8999999999999995E-4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41947</v>
      </c>
      <c r="I5" s="24">
        <f>_xll.qlRateHelperLatestDate($D5)</f>
        <v>41961</v>
      </c>
      <c r="J5" s="96">
        <v>0.99994094697392188</v>
      </c>
    </row>
    <row r="6" spans="1:10" x14ac:dyDescent="0.2">
      <c r="A6" s="101"/>
      <c r="B6" s="101"/>
      <c r="D6" s="27" t="str">
        <v>obj_00350</v>
      </c>
      <c r="E6" s="27" t="str">
        <f>+_xll.qlRateHelperQuoteName(D6)</f>
        <v>USDOIS3W_Quote</v>
      </c>
      <c r="F6" s="26">
        <f>_xll.qlRateHelperRate($D6)</f>
        <v>9.2999999999999995E-4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41947</v>
      </c>
      <c r="I6" s="24">
        <f>_xll.qlRateHelperLatestDate($D6)</f>
        <v>41968</v>
      </c>
      <c r="J6" s="96">
        <v>0.99992131031027243</v>
      </c>
    </row>
    <row r="7" spans="1:10" x14ac:dyDescent="0.2">
      <c r="D7" s="27" t="str">
        <v>obj_0032a</v>
      </c>
      <c r="E7" s="27" t="str">
        <f>+_xll.qlRateHelperQuoteName(D7)</f>
        <v>USDOIS1M_Quote</v>
      </c>
      <c r="F7" s="26">
        <f>_xll.qlRateHelperRate($D7)</f>
        <v>9.3999999999999997E-4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41947</v>
      </c>
      <c r="I7" s="24">
        <f>_xll.qlRateHelperLatestDate($D7)</f>
        <v>41977</v>
      </c>
      <c r="J7" s="96">
        <v>0.99989723075801629</v>
      </c>
    </row>
    <row r="8" spans="1:10" x14ac:dyDescent="0.2">
      <c r="D8" s="27" t="str">
        <v>obj_00353</v>
      </c>
      <c r="E8" s="27" t="str">
        <f>+_xll.qlRateHelperQuoteName(D8)</f>
        <v>USDOIS2M_Quote</v>
      </c>
      <c r="F8" s="26">
        <f>_xll.qlRateHelperRate($D8)</f>
        <v>9.7000000000000005E-4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41947</v>
      </c>
      <c r="I8" s="24">
        <f>_xll.qlRateHelperLatestDate($D8)</f>
        <v>42009</v>
      </c>
      <c r="J8" s="96">
        <v>0.99980853247130097</v>
      </c>
    </row>
    <row r="9" spans="1:10" x14ac:dyDescent="0.2">
      <c r="D9" s="27" t="str">
        <v>obj_00346</v>
      </c>
      <c r="E9" s="27" t="str">
        <f>+_xll.qlRateHelperQuoteName(D9)</f>
        <v>USDOIS3M_Quote</v>
      </c>
      <c r="F9" s="26">
        <f>_xll.qlRateHelperRate($D9)</f>
        <v>9.7000000000000005E-4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41947</v>
      </c>
      <c r="I9" s="24">
        <f>_xll.qlRateHelperLatestDate($D9)</f>
        <v>42039</v>
      </c>
      <c r="J9" s="96">
        <v>0.99972773464380993</v>
      </c>
    </row>
    <row r="10" spans="1:10" x14ac:dyDescent="0.2">
      <c r="D10" s="27" t="str">
        <v>obj_0033a</v>
      </c>
      <c r="E10" s="27" t="str">
        <f>+_xll.qlRateHelperQuoteName(D10)</f>
        <v>USDOIS4M_Quote</v>
      </c>
      <c r="F10" s="26">
        <f>_xll.qlRateHelperRate($D10)</f>
        <v>9.7999999999999997E-4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41947</v>
      </c>
      <c r="I10" s="24">
        <f>_xll.qlRateHelperLatestDate($D10)</f>
        <v>42067</v>
      </c>
      <c r="J10" s="96">
        <v>0.99964900403319323</v>
      </c>
    </row>
    <row r="11" spans="1:10" x14ac:dyDescent="0.2">
      <c r="D11" s="27" t="str">
        <v>obj_0035c</v>
      </c>
      <c r="E11" s="27" t="str">
        <f>+_xll.qlRateHelperQuoteName(D11)</f>
        <v>USDOIS5M_Quote</v>
      </c>
      <c r="F11" s="26">
        <f>_xll.qlRateHelperRate($D11)</f>
        <v>1E-3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41947</v>
      </c>
      <c r="I11" s="24">
        <f>_xll.qlRateHelperLatestDate($D11)</f>
        <v>42100</v>
      </c>
      <c r="J11" s="96">
        <v>0.99955074697350144</v>
      </c>
    </row>
    <row r="12" spans="1:10" x14ac:dyDescent="0.2">
      <c r="D12" s="27" t="str">
        <v>obj_00355</v>
      </c>
      <c r="E12" s="27" t="str">
        <f>+_xll.qlRateHelperQuoteName(D12)</f>
        <v>USDOIS6M_Quote</v>
      </c>
      <c r="F12" s="26">
        <f>_xll.qlRateHelperRate($D12)</f>
        <v>1.0200000000000001E-3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41947</v>
      </c>
      <c r="I12" s="24">
        <f>_xll.qlRateHelperLatestDate($D12)</f>
        <v>42128</v>
      </c>
      <c r="J12" s="96">
        <v>0.99946299810046502</v>
      </c>
    </row>
    <row r="13" spans="1:10" x14ac:dyDescent="0.2">
      <c r="D13" s="27" t="str">
        <v>obj_0035a</v>
      </c>
      <c r="E13" s="27" t="str">
        <f>+_xll.qlRateHelperQuoteName(D13)</f>
        <v>USDOIS7M_Quote</v>
      </c>
      <c r="F13" s="26">
        <f>_xll.qlRateHelperRate($D13)</f>
        <v>1.06E-3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41947</v>
      </c>
      <c r="I13" s="24">
        <f>_xll.qlRateHelperLatestDate($D13)</f>
        <v>42159</v>
      </c>
      <c r="J13" s="96">
        <v>0.99935173847816761</v>
      </c>
    </row>
    <row r="14" spans="1:10" x14ac:dyDescent="0.2">
      <c r="D14" s="27" t="str">
        <v>obj_0032e</v>
      </c>
      <c r="E14" s="27" t="str">
        <f>+_xll.qlRateHelperQuoteName(D14)</f>
        <v>USDOIS8M_Quote</v>
      </c>
      <c r="F14" s="26">
        <f>_xll.qlRateHelperRate($D14)</f>
        <v>1.15E-3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41947</v>
      </c>
      <c r="I14" s="24">
        <f>_xll.qlRateHelperLatestDate($D14)</f>
        <v>42191</v>
      </c>
      <c r="J14" s="96">
        <v>0.99919673769503869</v>
      </c>
    </row>
    <row r="15" spans="1:10" x14ac:dyDescent="0.2">
      <c r="D15" s="27" t="str">
        <v>obj_0035f</v>
      </c>
      <c r="E15" s="27" t="str">
        <f>+_xll.qlRateHelperQuoteName(D15)</f>
        <v>USDOIS9M_Quote</v>
      </c>
      <c r="F15" s="26">
        <f>_xll.qlRateHelperRate($D15)</f>
        <v>1.2700000000000001E-3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41947</v>
      </c>
      <c r="I15" s="24">
        <f>_xll.qlRateHelperLatestDate($D15)</f>
        <v>42220</v>
      </c>
      <c r="J15" s="96">
        <v>0.99901342286380601</v>
      </c>
    </row>
    <row r="16" spans="1:10" x14ac:dyDescent="0.2">
      <c r="D16" s="27" t="str">
        <v>obj_0034e</v>
      </c>
      <c r="E16" s="27" t="str">
        <f>+_xll.qlRateHelperQuoteName(D16)</f>
        <v>USDOIS10M_Quote</v>
      </c>
      <c r="F16" s="26">
        <f>_xll.qlRateHelperRate($D16)</f>
        <v>1.4000000000000002E-3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41947</v>
      </c>
      <c r="I16" s="24">
        <f>_xll.qlRateHelperLatestDate($D16)</f>
        <v>42251</v>
      </c>
      <c r="J16" s="96">
        <v>0.99879475868198986</v>
      </c>
    </row>
    <row r="17" spans="4:10" x14ac:dyDescent="0.2">
      <c r="D17" s="27" t="str">
        <v>obj_00342</v>
      </c>
      <c r="E17" s="27" t="str">
        <f>+_xll.qlRateHelperQuoteName(D17)</f>
        <v>USDOIS11M_Quote</v>
      </c>
      <c r="F17" s="26">
        <f>_xll.qlRateHelperRate($D17)</f>
        <v>1.56E-3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41947</v>
      </c>
      <c r="I17" s="24">
        <f>_xll.qlRateHelperLatestDate($D17)</f>
        <v>42282</v>
      </c>
      <c r="J17" s="96">
        <v>0.99852602908891641</v>
      </c>
    </row>
    <row r="18" spans="4:10" x14ac:dyDescent="0.2">
      <c r="D18" s="27" t="str">
        <v>obj_0035b</v>
      </c>
      <c r="E18" s="27" t="str">
        <f>+_xll.qlRateHelperQuoteName(D18)</f>
        <v>USDOIS1Y_Quote</v>
      </c>
      <c r="F18" s="26">
        <f>_xll.qlRateHelperRate($D18)</f>
        <v>1.7599999999999998E-3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41947</v>
      </c>
      <c r="I18" s="24">
        <f>_xll.qlRateHelperLatestDate($D18)</f>
        <v>42312</v>
      </c>
      <c r="J18" s="96">
        <v>0.99819433370788502</v>
      </c>
    </row>
    <row r="19" spans="4:10" x14ac:dyDescent="0.2">
      <c r="D19" s="27" t="str">
        <v>obj_0035d</v>
      </c>
      <c r="E19" s="27" t="str">
        <f>+_xll.qlRateHelperQuoteName(D19)</f>
        <v>USDOIS13M_Quote</v>
      </c>
      <c r="F19" s="26">
        <f>_xll.qlRateHelperRate($D19)</f>
        <v>1.97E-3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41947</v>
      </c>
      <c r="I19" s="24">
        <f>_xll.qlRateHelperLatestDate($D19)</f>
        <v>42342</v>
      </c>
      <c r="J19" s="96">
        <v>0.99781799304366181</v>
      </c>
    </row>
    <row r="20" spans="4:10" x14ac:dyDescent="0.2">
      <c r="D20" s="27" t="str">
        <v>obj_0035e</v>
      </c>
      <c r="E20" s="27" t="str">
        <f>+_xll.qlRateHelperQuoteName(D20)</f>
        <v>USDOIS14M_Quote</v>
      </c>
      <c r="F20" s="26">
        <f>_xll.qlRateHelperRate($D20)</f>
        <v>2.2199999999999998E-3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41947</v>
      </c>
      <c r="I20" s="24">
        <f>_xll.qlRateHelperLatestDate($D20)</f>
        <v>42373</v>
      </c>
      <c r="J20" s="96">
        <v>0.99735361577655324</v>
      </c>
    </row>
    <row r="21" spans="4:10" x14ac:dyDescent="0.2">
      <c r="D21" s="27" t="str">
        <v>obj_00354</v>
      </c>
      <c r="E21" s="27" t="str">
        <f>+_xll.qlRateHelperQuoteName(D21)</f>
        <v>USDOIS15M_Quote</v>
      </c>
      <c r="F21" s="26">
        <f>_xll.qlRateHelperRate($D21)</f>
        <v>2.1100000000000003E-3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41947</v>
      </c>
      <c r="I21" s="24">
        <f>_xll.qlRateHelperLatestDate($D21)</f>
        <v>42404</v>
      </c>
      <c r="J21" s="96">
        <v>0.99730234577040311</v>
      </c>
    </row>
    <row r="22" spans="4:10" x14ac:dyDescent="0.2">
      <c r="D22" s="27" t="str">
        <v>obj_0033b</v>
      </c>
      <c r="E22" s="27" t="str">
        <f>+_xll.qlRateHelperQuoteName(D22)</f>
        <v>USDOIS16M_Quote</v>
      </c>
      <c r="F22" s="26">
        <f>_xll.qlRateHelperRate($D22)</f>
        <v>2.7300000000000002E-3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41947</v>
      </c>
      <c r="I22" s="24">
        <f>_xll.qlRateHelperLatestDate($D22)</f>
        <v>42433</v>
      </c>
      <c r="J22" s="96">
        <v>0.99629845045513665</v>
      </c>
    </row>
    <row r="23" spans="4:10" x14ac:dyDescent="0.2">
      <c r="D23" s="27" t="str">
        <v>obj_0032b</v>
      </c>
      <c r="E23" s="27" t="str">
        <f>+_xll.qlRateHelperQuoteName(D23)</f>
        <v>USDOIS17M_Quote</v>
      </c>
      <c r="F23" s="26">
        <f>_xll.qlRateHelperRate($D23)</f>
        <v>3.0100000000000001E-3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41947</v>
      </c>
      <c r="I23" s="24">
        <f>_xll.qlRateHelperLatestDate($D23)</f>
        <v>42464</v>
      </c>
      <c r="J23" s="96">
        <v>0.99566388286221097</v>
      </c>
    </row>
    <row r="24" spans="4:10" x14ac:dyDescent="0.2">
      <c r="D24" s="27" t="str">
        <v>obj_00358</v>
      </c>
      <c r="E24" s="27" t="str">
        <f>+_xll.qlRateHelperQuoteName(D24)</f>
        <v>USDOIS18M_Quote</v>
      </c>
      <c r="F24" s="26">
        <f>_xll.qlRateHelperRate($D24)</f>
        <v>3.2999999999999995E-3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41947</v>
      </c>
      <c r="I24" s="24">
        <f>_xll.qlRateHelperLatestDate($D24)</f>
        <v>42494</v>
      </c>
      <c r="J24" s="96">
        <v>0.99497581285183689</v>
      </c>
    </row>
    <row r="25" spans="4:10" x14ac:dyDescent="0.2">
      <c r="D25" s="27" t="str">
        <v>obj_0034d</v>
      </c>
      <c r="E25" s="27" t="str">
        <f>+_xll.qlRateHelperQuoteName(D25)</f>
        <v>USDOIS19M_Quote</v>
      </c>
      <c r="F25" s="26">
        <f>_xll.qlRateHelperRate($D25)</f>
        <v>3.63E-3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41947</v>
      </c>
      <c r="I25" s="24">
        <f>_xll.qlRateHelperLatestDate($D25)</f>
        <v>42527</v>
      </c>
      <c r="J25" s="96">
        <v>0.99414655808640717</v>
      </c>
    </row>
    <row r="26" spans="4:10" x14ac:dyDescent="0.2">
      <c r="D26" s="27" t="str">
        <v>obj_00330</v>
      </c>
      <c r="E26" s="27" t="str">
        <f>+_xll.qlRateHelperQuoteName(D26)</f>
        <v>USDOIS20M_Quote</v>
      </c>
      <c r="F26" s="26">
        <f>_xll.qlRateHelperRate($D26)</f>
        <v>3.9300000000000003E-3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41947</v>
      </c>
      <c r="I26" s="24">
        <f>_xll.qlRateHelperLatestDate($D26)</f>
        <v>42556</v>
      </c>
      <c r="J26" s="96">
        <v>0.99335220836992777</v>
      </c>
    </row>
    <row r="27" spans="4:10" x14ac:dyDescent="0.2">
      <c r="D27" s="27" t="str">
        <v>obj_0033e</v>
      </c>
      <c r="E27" s="27" t="str">
        <f>+_xll.qlRateHelperQuoteName(D27)</f>
        <v>USDOIS21M_Quote</v>
      </c>
      <c r="F27" s="26">
        <f>_xll.qlRateHelperRate($D27)</f>
        <v>4.2500000000000003E-3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41947</v>
      </c>
      <c r="I27" s="24">
        <f>_xll.qlRateHelperLatestDate($D27)</f>
        <v>42586</v>
      </c>
      <c r="J27" s="96">
        <v>0.99246396369146817</v>
      </c>
    </row>
    <row r="28" spans="4:10" x14ac:dyDescent="0.2">
      <c r="D28" s="27" t="str">
        <v>obj_0033f</v>
      </c>
      <c r="E28" s="27" t="str">
        <f>+_xll.qlRateHelperQuoteName(D28)</f>
        <v>USDOIS22M_Quote</v>
      </c>
      <c r="F28" s="26">
        <f>_xll.qlRateHelperRate($D28)</f>
        <v>4.5999999999999999E-3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41947</v>
      </c>
      <c r="I28" s="24">
        <f>_xll.qlRateHelperLatestDate($D28)</f>
        <v>42619</v>
      </c>
      <c r="J28" s="96">
        <v>0.99143092537694322</v>
      </c>
    </row>
    <row r="29" spans="4:10" x14ac:dyDescent="0.2">
      <c r="D29" s="27" t="str">
        <v>obj_0033c</v>
      </c>
      <c r="E29" s="27" t="str">
        <f>+_xll.qlRateHelperQuoteName(D29)</f>
        <v>USDOIS23M_Quote</v>
      </c>
      <c r="F29" s="26">
        <f>_xll.qlRateHelperRate($D29)</f>
        <v>4.8999999999999998E-3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41947</v>
      </c>
      <c r="I29" s="24">
        <f>_xll.qlRateHelperLatestDate($D29)</f>
        <v>42647</v>
      </c>
      <c r="J29" s="96">
        <v>0.99050006597410767</v>
      </c>
    </row>
    <row r="30" spans="4:10" x14ac:dyDescent="0.2">
      <c r="D30" s="27" t="str">
        <v>obj_00328</v>
      </c>
      <c r="E30" s="27" t="str">
        <f>+_xll.qlRateHelperQuoteName(D30)</f>
        <v>USDOIS2Y_Quote</v>
      </c>
      <c r="F30" s="26">
        <f>_xll.qlRateHelperRate($D30)</f>
        <v>5.2300000000000003E-3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41947</v>
      </c>
      <c r="I30" s="24">
        <f>_xll.qlRateHelperLatestDate($D30)</f>
        <v>42678</v>
      </c>
      <c r="J30" s="96">
        <v>0.9894215725437483</v>
      </c>
    </row>
    <row r="31" spans="4:10" x14ac:dyDescent="0.2">
      <c r="D31" s="27" t="str">
        <v>obj_00351</v>
      </c>
      <c r="E31" s="27" t="str">
        <f>+_xll.qlRateHelperQuoteName(D31)</f>
        <v>USDOIS3Y_Quote</v>
      </c>
      <c r="F31" s="26">
        <f>_xll.qlRateHelperRate($D31)</f>
        <v>9.2500000000000013E-3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41947</v>
      </c>
      <c r="I31" s="24">
        <f>_xll.qlRateHelperLatestDate($D31)</f>
        <v>43045</v>
      </c>
      <c r="J31" s="96">
        <v>0.97214216722113767</v>
      </c>
    </row>
    <row r="32" spans="4:10" x14ac:dyDescent="0.2">
      <c r="D32" s="27" t="str">
        <v>obj_0032c</v>
      </c>
      <c r="E32" s="27" t="str">
        <f>+_xll.qlRateHelperQuoteName(D32)</f>
        <v>USDOIS4Y_Quote</v>
      </c>
      <c r="F32" s="26">
        <f>_xll.qlRateHelperRate($D32)</f>
        <v>1.2429999999999998E-2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41947</v>
      </c>
      <c r="I32" s="24">
        <f>_xll.qlRateHelperLatestDate($D32)</f>
        <v>43409</v>
      </c>
      <c r="J32" s="96">
        <v>0.95062592721868222</v>
      </c>
    </row>
    <row r="33" spans="4:10" x14ac:dyDescent="0.2">
      <c r="D33" s="27" t="str">
        <v>obj_0032f</v>
      </c>
      <c r="E33" s="27" t="str">
        <f>+_xll.qlRateHelperQuoteName(D33)</f>
        <v>USDOIS5Y_Quote</v>
      </c>
      <c r="F33" s="26">
        <f>_xll.qlRateHelperRate($D33)</f>
        <v>1.4929999999999999E-2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41947</v>
      </c>
      <c r="I33" s="24">
        <f>_xll.qlRateHelperLatestDate($D33)</f>
        <v>43773</v>
      </c>
      <c r="J33" s="96">
        <v>0.92671089391923123</v>
      </c>
    </row>
    <row r="34" spans="4:10" x14ac:dyDescent="0.2">
      <c r="D34" s="27" t="str">
        <v>obj_0033d</v>
      </c>
      <c r="E34" s="27" t="str">
        <f>+_xll.qlRateHelperQuoteName(D34)</f>
        <v>USDOIS6Y_Quote</v>
      </c>
      <c r="F34" s="26">
        <f>_xll.qlRateHelperRate($D34)</f>
        <v>1.7129999999999999E-2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41947</v>
      </c>
      <c r="I34" s="24">
        <f>_xll.qlRateHelperLatestDate($D34)</f>
        <v>44139</v>
      </c>
      <c r="J34" s="96">
        <v>0.90023695278915072</v>
      </c>
    </row>
    <row r="35" spans="4:10" x14ac:dyDescent="0.2">
      <c r="D35" s="27" t="str">
        <v>obj_00357</v>
      </c>
      <c r="E35" s="27" t="str">
        <f>+_xll.qlRateHelperQuoteName(D35)</f>
        <v>USDOIS7Y_Quote</v>
      </c>
      <c r="F35" s="26">
        <f>_xll.qlRateHelperRate($D35)</f>
        <v>1.8860000000000002E-2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41947</v>
      </c>
      <c r="I35" s="24">
        <f>_xll.qlRateHelperLatestDate($D35)</f>
        <v>44504</v>
      </c>
      <c r="J35" s="96">
        <v>0.87346182233836578</v>
      </c>
    </row>
    <row r="36" spans="4:10" x14ac:dyDescent="0.2">
      <c r="D36" s="27" t="str">
        <v>obj_00333</v>
      </c>
      <c r="E36" s="27" t="str">
        <f>+_xll.qlRateHelperQuoteName(D36)</f>
        <v>USDOIS8Y_Quote</v>
      </c>
      <c r="F36" s="26">
        <f>_xll.qlRateHelperRate($D36)</f>
        <v>2.0110000000000003E-2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41947</v>
      </c>
      <c r="I36" s="24">
        <f>_xll.qlRateHelperLatestDate($D36)</f>
        <v>44869</v>
      </c>
      <c r="J36" s="96">
        <v>0.84779089808844843</v>
      </c>
    </row>
    <row r="37" spans="4:10" x14ac:dyDescent="0.2">
      <c r="D37" s="27" t="str">
        <v>obj_00348</v>
      </c>
      <c r="E37" s="27" t="str">
        <f>+_xll.qlRateHelperQuoteName(D37)</f>
        <v>USDOIS9Y_Quote</v>
      </c>
      <c r="F37" s="26">
        <f>_xll.qlRateHelperRate($D37)</f>
        <v>2.1179999999999997E-2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>
        <f>_xll.qlRateHelperEarliestDate($D37)</f>
        <v>41947</v>
      </c>
      <c r="I37" s="24">
        <f>_xll.qlRateHelperLatestDate($D37)</f>
        <v>45236</v>
      </c>
      <c r="J37" s="96">
        <v>0.82194622830833619</v>
      </c>
    </row>
    <row r="38" spans="4:10" x14ac:dyDescent="0.2">
      <c r="D38" s="27" t="str">
        <v>obj_00338</v>
      </c>
      <c r="E38" s="27" t="str">
        <f>+_xll.qlRateHelperQuoteName(D38)</f>
        <v>USDOIS10Y_Quote</v>
      </c>
      <c r="F38" s="26">
        <f>_xll.qlRateHelperRate($D38)</f>
        <v>2.2080000000000002E-2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>
        <f>_xll.qlRateHelperEarliestDate($D38)</f>
        <v>41947</v>
      </c>
      <c r="I38" s="24">
        <f>_xll.qlRateHelperLatestDate($D38)</f>
        <v>45600</v>
      </c>
      <c r="J38" s="96">
        <v>0.7965969502636715</v>
      </c>
    </row>
    <row r="39" spans="4:10" x14ac:dyDescent="0.2">
      <c r="D39" s="27" t="str">
        <v>obj_0034b</v>
      </c>
      <c r="E39" s="27" t="str">
        <f>+_xll.qlRateHelperQuoteName(D39)</f>
        <v>USDOIS12Y_Quote</v>
      </c>
      <c r="F39" s="26">
        <f>_xll.qlRateHelperRate($D39)</f>
        <v>2.358E-2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>
        <f>_xll.qlRateHelperEarliestDate($D39)</f>
        <v>41947</v>
      </c>
      <c r="I39" s="24">
        <f>_xll.qlRateHelperLatestDate($D39)</f>
        <v>46330</v>
      </c>
      <c r="J39" s="96">
        <v>0.74649338791151709</v>
      </c>
    </row>
    <row r="40" spans="4:10" x14ac:dyDescent="0.2">
      <c r="D40" s="27" t="str">
        <v>obj_00340</v>
      </c>
      <c r="E40" s="27" t="str">
        <f>+_xll.qlRateHelperQuoteName(D40)</f>
        <v>USDOIS15Y_Quote</v>
      </c>
      <c r="F40" s="26">
        <f>_xll.qlRateHelperRate($D40)</f>
        <v>2.5099999999999997E-2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>
        <f>_xll.qlRateHelperEarliestDate($D40)</f>
        <v>41947</v>
      </c>
      <c r="I40" s="24">
        <f>_xll.qlRateHelperLatestDate($D40)</f>
        <v>47427</v>
      </c>
      <c r="J40" s="96">
        <v>0.67665728244275314</v>
      </c>
    </row>
    <row r="41" spans="4:10" x14ac:dyDescent="0.2">
      <c r="D41" s="27" t="str">
        <v>obj_00352</v>
      </c>
      <c r="E41" s="27" t="str">
        <f>+_xll.qlRateHelperQuoteName(D41)</f>
        <v>USDOIS20Y_Quote</v>
      </c>
      <c r="F41" s="26">
        <f>_xll.qlRateHelperRate($D41)</f>
        <v>2.6619999999999998E-2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>
        <f>_xll.qlRateHelperEarliestDate($D41)</f>
        <v>41947</v>
      </c>
      <c r="I41" s="24">
        <f>_xll.qlRateHelperLatestDate($D41)</f>
        <v>49254</v>
      </c>
      <c r="J41" s="96">
        <v>0.5741635936470324</v>
      </c>
    </row>
    <row r="42" spans="4:10" x14ac:dyDescent="0.2">
      <c r="D42" s="27" t="str">
        <v>obj_00335</v>
      </c>
      <c r="E42" s="27" t="str">
        <f>+_xll.qlRateHelperQuoteName(D42)</f>
        <v>USDOIS25Y_Quote</v>
      </c>
      <c r="F42" s="26">
        <f>_xll.qlRateHelperRate($D42)</f>
        <v>2.7359999999999999E-2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>
        <f>_xll.qlRateHelperEarliestDate($D42)</f>
        <v>41947</v>
      </c>
      <c r="I42" s="24">
        <f>_xll.qlRateHelperLatestDate($D42)</f>
        <v>51078</v>
      </c>
      <c r="J42" s="96">
        <v>0.48993028044733816</v>
      </c>
    </row>
    <row r="43" spans="4:10" x14ac:dyDescent="0.2">
      <c r="D43" s="27" t="str">
        <v>obj_00332</v>
      </c>
      <c r="E43" s="27" t="str">
        <f>+_xll.qlRateHelperQuoteName(D43)</f>
        <v>USDOIS35Y_Quote</v>
      </c>
      <c r="F43" s="26">
        <f>_xll.qlRateHelperRate($D43)</f>
        <v>2.7830000000000001E-2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>
        <f>_xll.qlRateHelperEarliestDate($D43)</f>
        <v>41947</v>
      </c>
      <c r="I43" s="24">
        <f>_xll.qlRateHelperLatestDate($D43)</f>
        <v>54731</v>
      </c>
      <c r="J43" s="96">
        <v>0.36354000311247636</v>
      </c>
    </row>
    <row r="44" spans="4:10" x14ac:dyDescent="0.2">
      <c r="D44" s="27" t="str">
        <v>obj_00334</v>
      </c>
      <c r="E44" s="27" t="str">
        <f>+_xll.qlRateHelperQuoteName(D44)</f>
        <v>USDOIS40Y_Quote</v>
      </c>
      <c r="F44" s="26">
        <f>_xll.qlRateHelperRate($D44)</f>
        <v>2.785E-2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>
        <f>_xll.qlRateHelperEarliestDate($D44)</f>
        <v>41947</v>
      </c>
      <c r="I44" s="24">
        <f>_xll.qlRateHelperLatestDate($D44)</f>
        <v>56557</v>
      </c>
      <c r="J44" s="96">
        <v>0.31587815428548527</v>
      </c>
    </row>
    <row r="45" spans="4:10" x14ac:dyDescent="0.2">
      <c r="D45" s="27" t="str">
        <v>obj_00329</v>
      </c>
      <c r="E45" s="27" t="str">
        <f>+_xll.qlRateHelperQuoteName(D45)</f>
        <v>USDOIS45Y_Quote</v>
      </c>
      <c r="F45" s="26">
        <f>_xll.qlRateHelperRate($D45)</f>
        <v>2.775E-2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>
        <f>_xll.qlRateHelperEarliestDate($D45)</f>
        <v>41947</v>
      </c>
      <c r="I45" s="24">
        <f>_xll.qlRateHelperLatestDate($D45)</f>
        <v>58383</v>
      </c>
      <c r="J45" s="96">
        <v>0.27721811477407532</v>
      </c>
    </row>
    <row r="46" spans="4:10" x14ac:dyDescent="0.2">
      <c r="D46" s="27" t="str">
        <v>obj_00349</v>
      </c>
      <c r="E46" s="27" t="str">
        <f>+_xll.qlRateHelperQuoteName(D46)</f>
        <v>USDOIS50Y_Quote</v>
      </c>
      <c r="F46" s="26">
        <f>_xll.qlRateHelperRate($D46)</f>
        <v>2.7650000000000001E-2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>
        <f>_xll.qlRateHelperEarliestDate($D46)</f>
        <v>41947</v>
      </c>
      <c r="I46" s="24">
        <f>_xll.qlRateHelperLatestDate($D46)</f>
        <v>60210</v>
      </c>
      <c r="J46" s="96">
        <v>0.24378494621413926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str">
        <f>_xll.qlDepositRateHelper(,D3,C3,Permanent,Trigger,ObjectOverwrite)</f>
        <v>obj_00360#0001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str">
        <f>_xll.qlFraRateHelper(,F3,B3,E3,Permanent,Trigger,ObjectOverwrite)</f>
        <v>obj_00337#0001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str">
        <f>_xll.qlFraRateHelper(,F4,B4,E4,Permanent,Trigger,ObjectOverwrite)</f>
        <v>obj_00336#0001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obj_00327#0001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str">
        <f>_xll.qlOISRateHelper(,2,C6,I6,$J$4,,Permanent,,ObjectOverwrite)</f>
        <v>obj_00347#0001</v>
      </c>
      <c r="K6" s="36" t="str">
        <f>_xll.ohRangeRetrieveError(J6)</f>
        <v/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str">
        <f>_xll.qlOISRateHelper(,2,C7,I7,$J$4,,Permanent,,ObjectOverwrite)</f>
        <v>obj_00339#0001</v>
      </c>
      <c r="K7" s="36" t="str">
        <f>_xll.ohRangeRetrieveError(J7)</f>
        <v/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str">
        <f>_xll.qlOISRateHelper(,2,C8,I8,$J$4,,Permanent,,ObjectOverwrite)</f>
        <v>obj_00350#0001</v>
      </c>
      <c r="K8" s="36" t="str">
        <f>_xll.ohRangeRetrieveError(J8)</f>
        <v/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str">
        <f>_xll.qlOISRateHelper(,2,C9,I9,$J$4,,Permanent,,ObjectOverwrite)</f>
        <v>obj_0032a#0001</v>
      </c>
      <c r="K9" s="36" t="str">
        <f>_xll.ohRangeRetrieveError(J9)</f>
        <v/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str">
        <f>_xll.qlOISRateHelper(,2,C10,I10,$J$4,,Permanent,,ObjectOverwrite)</f>
        <v>obj_00353#0001</v>
      </c>
      <c r="K10" s="36" t="str">
        <f>_xll.ohRangeRetrieveError(J10)</f>
        <v/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str">
        <f>_xll.qlOISRateHelper(,2,C11,I11,$J$4,,Permanent,,ObjectOverwrite)</f>
        <v>obj_00346#0001</v>
      </c>
      <c r="K11" s="36" t="str">
        <f>_xll.ohRangeRetrieveError(J11)</f>
        <v/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str">
        <f>_xll.qlOISRateHelper(,2,C12,I12,$J$4,,Permanent,,ObjectOverwrite)</f>
        <v>obj_0033a#0001</v>
      </c>
      <c r="K12" s="36" t="str">
        <f>_xll.ohRangeRetrieveError(J12)</f>
        <v/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str">
        <f>_xll.qlOISRateHelper(,2,C13,I13,$J$4,,Permanent,,ObjectOverwrite)</f>
        <v>obj_0035c#0001</v>
      </c>
      <c r="K13" s="36" t="str">
        <f>_xll.ohRangeRetrieveError(J13)</f>
        <v/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str">
        <f>_xll.qlOISRateHelper(,2,C14,I14,$J$4,,Permanent,,ObjectOverwrite)</f>
        <v>obj_00355#0001</v>
      </c>
      <c r="K14" s="36" t="str">
        <f>_xll.ohRangeRetrieveError(J14)</f>
        <v/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str">
        <f>_xll.qlOISRateHelper(,2,C15,I15,$J$4,,Permanent,,ObjectOverwrite)</f>
        <v>obj_0035a#0001</v>
      </c>
      <c r="K15" s="36" t="str">
        <f>_xll.ohRangeRetrieveError(J15)</f>
        <v/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str">
        <f>_xll.qlOISRateHelper(,2,C16,I16,$J$4,,Permanent,,ObjectOverwrite)</f>
        <v>obj_0032e#0001</v>
      </c>
      <c r="K16" s="36" t="str">
        <f>_xll.ohRangeRetrieveError(J16)</f>
        <v/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str">
        <f>_xll.qlOISRateHelper(,2,C17,I17,$J$4,,Permanent,,ObjectOverwrite)</f>
        <v>obj_0035f#0001</v>
      </c>
      <c r="K17" s="36" t="str">
        <f>_xll.ohRangeRetrieveError(J17)</f>
        <v/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str">
        <f>_xll.qlOISRateHelper(,2,C18,I18,$J$4,,Permanent,,ObjectOverwrite)</f>
        <v>obj_0034e#0001</v>
      </c>
      <c r="K18" s="36" t="str">
        <f>_xll.ohRangeRetrieveError(J18)</f>
        <v/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str">
        <f>_xll.qlOISRateHelper(,2,C19,I19,$J$4,,Permanent,,ObjectOverwrite)</f>
        <v>obj_00342#0001</v>
      </c>
      <c r="K19" s="36" t="str">
        <f>_xll.ohRangeRetrieveError(J19)</f>
        <v/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str">
        <f>_xll.qlOISRateHelper(,2,C20,I20,$J$4,,Permanent,,ObjectOverwrite)</f>
        <v>obj_0035b#0001</v>
      </c>
      <c r="K20" s="36" t="str">
        <f>_xll.ohRangeRetrieveError(J20)</f>
        <v/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str">
        <f>_xll.qlOISRateHelper(,2,C21,I21,$J$4,,Permanent,,ObjectOverwrite)</f>
        <v>obj_0035d#0001</v>
      </c>
      <c r="K21" s="36" t="str">
        <f>_xll.ohRangeRetrieveError(J21)</f>
        <v/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str">
        <f>_xll.qlOISRateHelper(,2,C22,I22,$J$4,,Permanent,,ObjectOverwrite)</f>
        <v>obj_0035e#0001</v>
      </c>
      <c r="K22" s="36" t="str">
        <f>_xll.ohRangeRetrieveError(J22)</f>
        <v/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str">
        <f>_xll.qlOISRateHelper(,2,C23,I23,$J$4,,Permanent,,ObjectOverwrite)</f>
        <v>obj_00354#0001</v>
      </c>
      <c r="K23" s="36" t="str">
        <f>_xll.ohRangeRetrieveError(J23)</f>
        <v/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str">
        <f>_xll.qlOISRateHelper(,2,C24,I24,$J$4,,Permanent,,ObjectOverwrite)</f>
        <v>obj_0033b#0001</v>
      </c>
      <c r="K24" s="36" t="str">
        <f>_xll.ohRangeRetrieveError(J24)</f>
        <v/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str">
        <f>_xll.qlOISRateHelper(,2,C25,I25,$J$4,,Permanent,,ObjectOverwrite)</f>
        <v>obj_0032b#0001</v>
      </c>
      <c r="K25" s="36" t="str">
        <f>_xll.ohRangeRetrieveError(J25)</f>
        <v/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str">
        <f>_xll.qlOISRateHelper(,2,C26,I26,$J$4,,Permanent,,ObjectOverwrite)</f>
        <v>obj_00358#0001</v>
      </c>
      <c r="K26" s="36" t="str">
        <f>_xll.ohRangeRetrieveError(J26)</f>
        <v/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str">
        <f>_xll.qlOISRateHelper(,2,C27,I27,$J$4,,Permanent,,ObjectOverwrite)</f>
        <v>obj_0034d#0001</v>
      </c>
      <c r="K27" s="36" t="str">
        <f>_xll.ohRangeRetrieveError(J27)</f>
        <v/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str">
        <f>_xll.qlOISRateHelper(,2,C28,I28,$J$4,,Permanent,,ObjectOverwrite)</f>
        <v>obj_00330#0001</v>
      </c>
      <c r="K28" s="36" t="str">
        <f>_xll.ohRangeRetrieveError(J28)</f>
        <v/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str">
        <f>_xll.qlOISRateHelper(,2,C29,I29,$J$4,,Permanent,,ObjectOverwrite)</f>
        <v>obj_0033e#0001</v>
      </c>
      <c r="K29" s="36" t="str">
        <f>_xll.ohRangeRetrieveError(J29)</f>
        <v/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str">
        <f>_xll.qlOISRateHelper(,2,C30,I30,$J$4,,Permanent,,ObjectOverwrite)</f>
        <v>obj_0033f#0001</v>
      </c>
      <c r="K30" s="36" t="str">
        <f>_xll.ohRangeRetrieveError(J30)</f>
        <v/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str">
        <f>_xll.qlOISRateHelper(,2,C31,I31,$J$4,,Permanent,,ObjectOverwrite)</f>
        <v>obj_0033c#0001</v>
      </c>
      <c r="K31" s="36" t="str">
        <f>_xll.ohRangeRetrieveError(J31)</f>
        <v/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str">
        <f>_xll.qlOISRateHelper(,2,C32,I32,$J$4,,Permanent,,ObjectOverwrite)</f>
        <v>obj_00328#0001</v>
      </c>
      <c r="K32" s="36" t="str">
        <f>_xll.ohRangeRetrieveError(J32)</f>
        <v/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str">
        <f>_xll.qlOISRateHelper(,2,C33,I33,$J$4,,Permanent,,ObjectOverwrite)</f>
        <v>obj_0034a#0001</v>
      </c>
      <c r="K33" s="36" t="str">
        <f>_xll.ohRangeRetrieveError(J33)</f>
        <v/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str">
        <f>_xll.qlOISRateHelper(,2,C34,I34,$J$4,,Permanent,,ObjectOverwrite)</f>
        <v>obj_00359#0001</v>
      </c>
      <c r="K34" s="36" t="str">
        <f>_xll.ohRangeRetrieveError(J34)</f>
        <v/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str">
        <f>_xll.qlOISRateHelper(,2,C35,I35,$J$4,,Permanent,,ObjectOverwrite)</f>
        <v>obj_0034f#0001</v>
      </c>
      <c r="K35" s="36" t="str">
        <f>_xll.ohRangeRetrieveError(J35)</f>
        <v/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str">
        <f>_xll.qlOISRateHelper(,2,C36,I36,$J$4,,Permanent,,ObjectOverwrite)</f>
        <v>obj_00351#0001</v>
      </c>
      <c r="K36" s="36" t="str">
        <f>_xll.ohRangeRetrieveError(J36)</f>
        <v/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str">
        <f>_xll.qlOISRateHelper(,2,C37,I37,$J$4,,Permanent,,ObjectOverwrite)</f>
        <v>obj_00356#0001</v>
      </c>
      <c r="K37" s="36" t="str">
        <f>_xll.ohRangeRetrieveError(J37)</f>
        <v/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str">
        <f>_xll.qlOISRateHelper(,2,C38,I38,$J$4,,Permanent,,ObjectOverwrite)</f>
        <v>obj_00344#0001</v>
      </c>
      <c r="K38" s="36" t="str">
        <f>_xll.ohRangeRetrieveError(J38)</f>
        <v/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str">
        <f>_xll.qlOISRateHelper(,2,C39,I39,$J$4,,Permanent,,ObjectOverwrite)</f>
        <v>obj_0034c#0001</v>
      </c>
      <c r="K39" s="36" t="str">
        <f>_xll.ohRangeRetrieveError(J39)</f>
        <v/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str">
        <f>_xll.qlOISRateHelper(,2,C40,I40,$J$4,,Permanent,,ObjectOverwrite)</f>
        <v>obj_0032c#0001</v>
      </c>
      <c r="K40" s="36" t="str">
        <f>_xll.ohRangeRetrieveError(J40)</f>
        <v/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str">
        <f>_xll.qlOISRateHelper(,2,C41,I41,$J$4,,Permanent,,ObjectOverwrite)</f>
        <v>obj_00331#0001</v>
      </c>
      <c r="K41" s="36" t="str">
        <f>_xll.ohRangeRetrieveError(J41)</f>
        <v/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str">
        <f>_xll.qlOISRateHelper(,2,C42,I42,$J$4,,Permanent,,ObjectOverwrite)</f>
        <v>obj_0032d#0001</v>
      </c>
      <c r="K42" s="36" t="str">
        <f>_xll.ohRangeRetrieveError(J42)</f>
        <v/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str">
        <f>_xll.qlOISRateHelper(,2,C43,I43,$J$4,,Permanent,,ObjectOverwrite)</f>
        <v>obj_00345#0001</v>
      </c>
      <c r="K43" s="36" t="str">
        <f>_xll.ohRangeRetrieveError(J43)</f>
        <v/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str">
        <f>_xll.qlOISRateHelper(,2,C44,I44,$J$4,,Permanent,,ObjectOverwrite)</f>
        <v>obj_0032f#0001</v>
      </c>
      <c r="K44" s="36" t="str">
        <f>_xll.ohRangeRetrieveError(J44)</f>
        <v/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str">
        <f>_xll.qlOISRateHelper(,2,C45,I45,$J$4,,Permanent,,ObjectOverwrite)</f>
        <v>obj_0033d#0001</v>
      </c>
      <c r="K45" s="36" t="str">
        <f>_xll.ohRangeRetrieveError(J45)</f>
        <v/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str">
        <f>_xll.qlOISRateHelper(,2,C46,I46,$J$4,,Permanent,,ObjectOverwrite)</f>
        <v>obj_00357#0001</v>
      </c>
      <c r="K46" s="36" t="str">
        <f>_xll.ohRangeRetrieveError(J46)</f>
        <v/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str">
        <f>_xll.qlOISRateHelper(,2,C47,I47,$J$4,,Permanent,,ObjectOverwrite)</f>
        <v>obj_00333#0001</v>
      </c>
      <c r="K47" s="36" t="str">
        <f>_xll.ohRangeRetrieveError(J47)</f>
        <v/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str">
        <f>_xll.qlOISRateHelper(,2,C48,I48,$J$4,,Permanent,,ObjectOverwrite)</f>
        <v>obj_00348#0001</v>
      </c>
      <c r="K48" s="36" t="str">
        <f>_xll.ohRangeRetrieveError(J48)</f>
        <v/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str">
        <f>_xll.qlOISRateHelper(,2,C49,I49,$J$4,,Permanent,,ObjectOverwrite)</f>
        <v>obj_00338#0001</v>
      </c>
      <c r="K49" s="36" t="str">
        <f>_xll.ohRangeRetrieveError(J49)</f>
        <v/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str">
        <f>_xll.qlOISRateHelper(,2,C50,I50,$J$4,,Permanent,,ObjectOverwrite)</f>
        <v>obj_0034b#0001</v>
      </c>
      <c r="K50" s="36" t="str">
        <f>_xll.ohRangeRetrieveError(J50)</f>
        <v/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str">
        <f>_xll.qlOISRateHelper(,2,C51,I51,$J$4,,Permanent,,ObjectOverwrite)</f>
        <v>obj_00340#0001</v>
      </c>
      <c r="K51" s="36" t="str">
        <f>_xll.ohRangeRetrieveError(J51)</f>
        <v/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str">
        <f>_xll.qlOISRateHelper(,2,C52,I52,$J$4,,Permanent,,ObjectOverwrite)</f>
        <v>obj_00352#0001</v>
      </c>
      <c r="K52" s="36" t="str">
        <f>_xll.ohRangeRetrieveError(J52)</f>
        <v/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str">
        <f>_xll.qlOISRateHelper(,2,C53,I53,$J$4,,Permanent,,ObjectOverwrite)</f>
        <v>obj_00335#0001</v>
      </c>
      <c r="K53" s="36" t="str">
        <f>_xll.ohRangeRetrieveError(J53)</f>
        <v/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str">
        <f>_xll.qlOISRateHelper(,2,C54,I54,$J$4,,Permanent,,ObjectOverwrite)</f>
        <v>obj_00343#0001</v>
      </c>
      <c r="K54" s="36" t="str">
        <f>_xll.ohRangeRetrieveError(J54)</f>
        <v/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str">
        <f>_xll.qlOISRateHelper(,2,C55,I55,$J$4,,Permanent,,ObjectOverwrite)</f>
        <v>obj_00341#0001</v>
      </c>
      <c r="K55" s="36" t="str">
        <f>_xll.ohRangeRetrieveError(J55)</f>
        <v/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str">
        <f>_xll.qlOISRateHelper(,2,C56,I56,$J$4,,Permanent,,ObjectOverwrite)</f>
        <v>obj_00332#0001</v>
      </c>
      <c r="K56" s="36" t="str">
        <f>_xll.ohRangeRetrieveError(J56)</f>
        <v/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str">
        <f>_xll.qlOISRateHelper(,2,C57,I57,$J$4,,Permanent,,ObjectOverwrite)</f>
        <v>obj_00334#0001</v>
      </c>
      <c r="K57" s="36" t="str">
        <f>_xll.ohRangeRetrieveError(J57)</f>
        <v/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str">
        <f>_xll.qlOISRateHelper(,2,C58,I58,$J$4,,Permanent,,ObjectOverwrite)</f>
        <v>obj_00329#0001</v>
      </c>
      <c r="K58" s="36" t="str">
        <f>_xll.ohRangeRetrieveError(J58)</f>
        <v/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str">
        <f>_xll.qlOISRateHelper(,2,C59,I59,$J$4,,Permanent,,ObjectOverwrite)</f>
        <v>obj_00349#0001</v>
      </c>
      <c r="K59" s="36" t="str">
        <f>_xll.ohRangeRetrieveError(J59)</f>
        <v/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AH37" sqref="AH37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41912</v>
      </c>
      <c r="D3" s="118">
        <v>12</v>
      </c>
      <c r="E3" s="117">
        <f t="shared" ref="E3:E9" si="0">EDATE($Y$11,$D3)</f>
        <v>42308</v>
      </c>
      <c r="F3" s="119">
        <f>IF(D3&lt;=12,1,IF(D3&lt;=24,3,IF(D3&lt;=120,6,IF(D3&lt;=240,12,IF(D3&lt;=360,36,60)))))</f>
        <v>1</v>
      </c>
      <c r="G3" s="120">
        <f>ROUNDDOWN(J3*10,2)/10</f>
        <v>0</v>
      </c>
      <c r="H3" s="121">
        <f t="shared" ref="H3" si="1">IF(K3-J3&gt;1%,(QUOTIENT(K3*10000,50)+1)*0.5%,(QUOTIENT(K3*10000,10)+1)*0.1%)</f>
        <v>5.0000000000000001E-3</v>
      </c>
      <c r="I3" s="122">
        <f>IF(H3-G3&lt;1%,0.1%,IF(H3-G3&lt;2%,0.25%,0.5%))</f>
        <v>1E-3</v>
      </c>
      <c r="J3" s="123">
        <f>MIN(_xll.ohPack($Z$11:INDEX($Z$11:$Z$3544,MATCH(E3+1,$Y$11:$Y$3544,1),1)))</f>
        <v>5.1277879550504224E-4</v>
      </c>
      <c r="K3" s="124">
        <f>MAX(_xll.ohPack($Z$11:INDEX($Z$11:$Z$3544,MATCH(E3+1,$Y$11:$Y$3544,1),1)))</f>
        <v>4.0921936813553828E-3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41912</v>
      </c>
      <c r="D4" s="118">
        <v>24</v>
      </c>
      <c r="E4" s="117">
        <f t="shared" si="0"/>
        <v>42674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0</v>
      </c>
      <c r="H4" s="121">
        <f>IF(K4-J4&gt;1%,(QUOTIENT(K4*10000,50)+1)*0.5%,(QUOTIENT(K4*10000,10)+1)*0.1%)</f>
        <v>0.02</v>
      </c>
      <c r="I4" s="122">
        <f t="shared" ref="I4:I9" si="4">IF(H4-G4&lt;1%,0.1%,IF(H4-G4&lt;2%,0.25%,0.5%))</f>
        <v>5.0000000000000001E-3</v>
      </c>
      <c r="J4" s="123">
        <f>MIN(_xll.ohPack($Z$11:INDEX($Z$11:$Z$3544,MATCH(E4+1,$Y$11:$Y$3544,1),1)))</f>
        <v>1.2994219436457399E-4</v>
      </c>
      <c r="K4" s="124">
        <f>MAX(_xll.ohPack($Z$11:INDEX($Z$11:$Z$3544,MATCH(E4+1,$Y$11:$Y$3544,1),1)))</f>
        <v>1.6086944776523282E-2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43769</v>
      </c>
      <c r="F5" s="119">
        <f t="shared" si="2"/>
        <v>6</v>
      </c>
      <c r="G5" s="120">
        <f t="shared" si="3"/>
        <v>0</v>
      </c>
      <c r="H5" s="121">
        <f t="shared" ref="H5:H9" si="5">IF(K5-J5&gt;1%,(QUOTIENT(K5*10000,50)+1)*0.5%,(QUOTIENT(K5*10000,10)+1)*0.1%)</f>
        <v>0.03</v>
      </c>
      <c r="I5" s="122">
        <f t="shared" si="4"/>
        <v>5.0000000000000001E-3</v>
      </c>
      <c r="J5" s="123">
        <f>MIN(_xll.ohPack($Z$11:INDEX($Z$11:$Z$3544,MATCH(E5+1,$Y$11:$Y$3544,1),1)))</f>
        <v>1.2994219436457399E-4</v>
      </c>
      <c r="K5" s="121">
        <f>MAX(_xll.ohPack($Z$11:INDEX($Z$11:$Z$3544,MATCH(E5+1,$Y$11:$Y$3544,1),1)))</f>
        <v>2.6953211018794221E-2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45596</v>
      </c>
      <c r="F6" s="119">
        <f t="shared" si="2"/>
        <v>6</v>
      </c>
      <c r="G6" s="123">
        <f t="shared" si="3"/>
        <v>0</v>
      </c>
      <c r="H6" s="121">
        <f t="shared" si="5"/>
        <v>3.5000000000000003E-2</v>
      </c>
      <c r="I6" s="122">
        <f t="shared" si="4"/>
        <v>5.0000000000000001E-3</v>
      </c>
      <c r="J6" s="123">
        <f>MIN(_xll.ohPack($Z$11:INDEX($Z$11:$Z$3544,MATCH(E6+1,$Y$11:$Y$3544,1),1)))</f>
        <v>1.2994219436457399E-4</v>
      </c>
      <c r="K6" s="121">
        <f>MAX(_xll.ohPack($Z$11:INDEX($Z$11:$Z$3544,MATCH(E6+1,$Y$11:$Y$3544,1),1)))</f>
        <v>3.1362923887385818E-2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49248</v>
      </c>
      <c r="F7" s="119">
        <f t="shared" si="2"/>
        <v>12</v>
      </c>
      <c r="G7" s="123">
        <f t="shared" si="3"/>
        <v>0</v>
      </c>
      <c r="H7" s="121">
        <f t="shared" si="5"/>
        <v>3.5000000000000003E-2</v>
      </c>
      <c r="I7" s="122">
        <f t="shared" si="4"/>
        <v>5.0000000000000001E-3</v>
      </c>
      <c r="J7" s="123">
        <f>MIN(_xll.ohPack($Z$11:INDEX($Z$11:$Z$3544,MATCH(E7+1,$Y$11:$Y$3544,1),1)))</f>
        <v>1.2994219436457399E-4</v>
      </c>
      <c r="K7" s="121">
        <f>MAX(_xll.ohPack($Z$11:INDEX($Z$11:$Z$3544,MATCH(E7+1,$Y$11:$Y$3544,1),1)))</f>
        <v>3.248178467857521E-2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52901</v>
      </c>
      <c r="F8" s="119">
        <f t="shared" si="2"/>
        <v>36</v>
      </c>
      <c r="G8" s="123">
        <f t="shared" si="3"/>
        <v>0</v>
      </c>
      <c r="H8" s="121">
        <f t="shared" si="5"/>
        <v>3.5000000000000003E-2</v>
      </c>
      <c r="I8" s="122">
        <f t="shared" si="4"/>
        <v>5.0000000000000001E-3</v>
      </c>
      <c r="J8" s="123">
        <f>MIN(_xll.ohPack($Z$11:INDEX($Z$11:$Z$3544,MATCH(E8+1,$Y$11:$Y$3544,1),1)))</f>
        <v>1.2994219436457399E-4</v>
      </c>
      <c r="K8" s="121">
        <f>MAX(_xll.ohPack($Z$11:INDEX($Z$11:$Z$3544,MATCH(E8+1,$Y$11:$Y$3544,1),1)))</f>
        <v>3.248178467857521E-2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63858</v>
      </c>
      <c r="F9" s="132">
        <f t="shared" si="2"/>
        <v>60</v>
      </c>
      <c r="G9" s="133">
        <f t="shared" si="3"/>
        <v>0</v>
      </c>
      <c r="H9" s="134">
        <f t="shared" si="5"/>
        <v>3.5000000000000003E-2</v>
      </c>
      <c r="I9" s="135">
        <f t="shared" si="4"/>
        <v>5.0000000000000001E-3</v>
      </c>
      <c r="J9" s="133">
        <f>MIN(_xll.ohPack($Z$11:INDEX($Z$11:$Z$3544,MATCH(E9+1,$Y$11:$Y$3544,1),1)))</f>
        <v>1.2994219436457399E-4</v>
      </c>
      <c r="K9" s="134">
        <f>MAX(_xll.ohPack($Z$11:INDEX($Z$11:$Z$3544,MATCH(E9+1,$Y$11:$Y$3544,1),1)))</f>
        <v>3.248178467857521E-2</v>
      </c>
      <c r="L9" s="125"/>
      <c r="V9" s="136"/>
      <c r="Z9" s="137" t="str">
        <f>_xll.qlOvernightIndex(,FamilyName,NDays,Currency,Calendar,"act/360",YieldCurve)</f>
        <v>obj_00362#0001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 t="str">
        <f t="array" ref="M11:M64">_xll.ohFilter(RateHelpers!A5:A58,IF(ISERROR(RateHelpers!C5:C58),FALSE,TRUE))</f>
        <v>obj_00347#0001</v>
      </c>
      <c r="N11" s="148" t="str">
        <f>_xll.qlRateHelperQuoteName(M11)</f>
        <v>USDOISSW_Quote</v>
      </c>
      <c r="O11" s="149">
        <f>_xll.qlRateHelperLatestDate(M11,Trigger)</f>
        <v>41955</v>
      </c>
      <c r="P11" s="150">
        <f>_xll.qlRateHelperQuoteValue(M11,_xll.ohTrigger(RecalcTrigger,YieldCurve))</f>
        <v>8.8999999999999995E-4</v>
      </c>
      <c r="Q11" s="151" t="str">
        <f>SUBSTITUTE(SUBSTITUTE(N11,"_Quote",""),"USDOIS","")</f>
        <v>SW</v>
      </c>
      <c r="R11" s="139" t="str">
        <f>_xll.qlMakeOIS(,IF(Q11="SW","1W",Q11),IborIndex,,"0D",,,,_xll.ohTrigger(RecalcTrigger,YieldCurve))</f>
        <v>obj_00369#0001</v>
      </c>
      <c r="S11" s="152">
        <f>_xll.qlOvernightIndexedSwapFairRate(R11,_xll.ohTrigger(RecalcTrigger,YieldCurve))</f>
        <v>8.8999999999783697E-4</v>
      </c>
      <c r="T11" s="153">
        <f t="shared" ref="T11:T64" si="6">S11-P11</f>
        <v>-2.1629833341085813E-15</v>
      </c>
      <c r="U11" s="154">
        <f t="array" ref="U11">MAX(ABS(T11:T63))</f>
        <v>2.580092382888817E-4</v>
      </c>
      <c r="V11" s="144"/>
      <c r="W11" s="139" t="s">
        <v>118</v>
      </c>
      <c r="X11" s="155">
        <f>_xll.qlSettingsEvaluationDate(Trigger)</f>
        <v>41943</v>
      </c>
      <c r="Y11" s="155">
        <f>_xll.qlCalendarAdvance(Calendar,X11,NDays&amp;"D")</f>
        <v>41943</v>
      </c>
      <c r="Z11" s="156">
        <f t="array" ref="Z11:Z3544">IFERROR(_xll.qlIndexFixing(IborIndex,X11:X3544,TRUE,RecalcTrigger),NA())</f>
        <v>2.2000000000144126E-3</v>
      </c>
      <c r="AA11" s="146"/>
    </row>
    <row r="12" spans="1:27" ht="12" thickBot="1" x14ac:dyDescent="0.25">
      <c r="J12" s="158"/>
      <c r="M12" s="148" t="str">
        <v>obj_00339#0001</v>
      </c>
      <c r="N12" s="148" t="str">
        <f>_xll.qlRateHelperQuoteName(M12)</f>
        <v>USDOIS2W_Quote</v>
      </c>
      <c r="O12" s="149">
        <f>_xll.qlRateHelperLatestDate(M12,Trigger)</f>
        <v>41961</v>
      </c>
      <c r="P12" s="150">
        <f>_xll.qlRateHelperQuoteValue(M12,_xll.ohTrigger(RecalcTrigger,YieldCurve))</f>
        <v>8.8999999999999995E-4</v>
      </c>
      <c r="Q12" s="151" t="str">
        <f t="shared" ref="Q12:Q63" si="7">SUBSTITUTE(SUBSTITUTE(N12,"_Quote",""),"USDOIS","")</f>
        <v>2W</v>
      </c>
      <c r="R12" s="139" t="str">
        <f>_xll.qlMakeOIS(,IF(Q12="SW","1W",Q12),IborIndex,,"0D",,,,_xll.ohTrigger(RecalcTrigger,YieldCurve))</f>
        <v>obj_0037c#0001</v>
      </c>
      <c r="S12" s="152">
        <f>_xll.qlOvernightIndexedSwapFairRate(R12,_xll.ohTrigger(RecalcTrigger,YieldCurve))</f>
        <v>8.9000000000069178E-4</v>
      </c>
      <c r="T12" s="153">
        <f t="shared" si="6"/>
        <v>6.9182940626300038E-16</v>
      </c>
      <c r="V12" s="144"/>
      <c r="W12" s="139" t="str">
        <f>W11</f>
        <v>1D</v>
      </c>
      <c r="X12" s="149">
        <f>_xll.qlCalendarAdvance(Calendar,X11,W12,"f",FALSE)</f>
        <v>41946</v>
      </c>
      <c r="Y12" s="155">
        <f>_xll.qlCalendarAdvance(Calendar,X12,NDays&amp;"D")</f>
        <v>41946</v>
      </c>
      <c r="Z12" s="156">
        <v>2.1999999633237621E-3</v>
      </c>
      <c r="AA12" s="146"/>
    </row>
    <row r="13" spans="1:27" ht="12" thickBot="1" x14ac:dyDescent="0.25">
      <c r="M13" s="148" t="str">
        <v>obj_00350#0001</v>
      </c>
      <c r="N13" s="148" t="str">
        <f>_xll.qlRateHelperQuoteName(M13)</f>
        <v>USDOIS3W_Quote</v>
      </c>
      <c r="O13" s="149">
        <f>_xll.qlRateHelperLatestDate(M13,Trigger)</f>
        <v>41968</v>
      </c>
      <c r="P13" s="150">
        <f>_xll.qlRateHelperQuoteValue(M13,_xll.ohTrigger(RecalcTrigger,YieldCurve))</f>
        <v>9.2999999999999995E-4</v>
      </c>
      <c r="Q13" s="151" t="str">
        <f t="shared" si="7"/>
        <v>3W</v>
      </c>
      <c r="R13" s="139" t="str">
        <f>_xll.qlMakeOIS(,IF(Q13="SW","1W",Q13),IborIndex,,"0D",,,,_xll.ohTrigger(RecalcTrigger,YieldCurve))</f>
        <v>obj_0036d#0001</v>
      </c>
      <c r="S13" s="152">
        <f>_xll.qlOvernightIndexedSwapFairRate(R13,_xll.ohTrigger(RecalcTrigger,YieldCurve))</f>
        <v>9.2999999631970798E-4</v>
      </c>
      <c r="T13" s="153">
        <f t="shared" si="6"/>
        <v>-3.6802919652773047E-12</v>
      </c>
      <c r="V13" s="144"/>
      <c r="W13" s="139" t="str">
        <f t="shared" ref="W13:W76" si="8">W12</f>
        <v>1D</v>
      </c>
      <c r="X13" s="149">
        <f>_xll.qlCalendarAdvance(Calendar,X12,W13,"f",FALSE)</f>
        <v>41947</v>
      </c>
      <c r="Y13" s="155">
        <f>_xll.qlCalendarAdvance(Calendar,X13,NDays&amp;"D")</f>
        <v>41947</v>
      </c>
      <c r="Z13" s="156">
        <v>1.803585976647426E-3</v>
      </c>
      <c r="AA13" s="146"/>
    </row>
    <row r="14" spans="1:27" ht="23.25" thickBot="1" x14ac:dyDescent="0.25">
      <c r="D14" s="109"/>
      <c r="E14" s="109"/>
      <c r="J14" s="232" t="s">
        <v>168</v>
      </c>
      <c r="M14" s="148" t="str">
        <v>obj_0032a#0001</v>
      </c>
      <c r="N14" s="148" t="str">
        <f>_xll.qlRateHelperQuoteName(M14)</f>
        <v>USDOIS1M_Quote</v>
      </c>
      <c r="O14" s="149">
        <f>_xll.qlRateHelperLatestDate(M14,Trigger)</f>
        <v>41977</v>
      </c>
      <c r="P14" s="150">
        <f>_xll.qlRateHelperQuoteValue(M14,_xll.ohTrigger(RecalcTrigger,YieldCurve))</f>
        <v>9.3999999999999997E-4</v>
      </c>
      <c r="Q14" s="151" t="str">
        <f t="shared" si="7"/>
        <v>1M</v>
      </c>
      <c r="R14" s="139" t="str">
        <f>_xll.qlMakeOIS(,IF(Q14="SW","1W",Q14),IborIndex,,"0D",,,,_xll.ohTrigger(RecalcTrigger,YieldCurve))</f>
        <v>obj_0038e#0001</v>
      </c>
      <c r="S14" s="152">
        <f>_xll.qlOvernightIndexedSwapFairRate(R14,_xll.ohTrigger(RecalcTrigger,YieldCurve))</f>
        <v>9.4000000059768507E-4</v>
      </c>
      <c r="T14" s="153">
        <f t="shared" si="6"/>
        <v>5.9768509586000107E-13</v>
      </c>
      <c r="V14" s="144"/>
      <c r="W14" s="139" t="str">
        <f t="shared" si="8"/>
        <v>1D</v>
      </c>
      <c r="X14" s="149">
        <f>_xll.qlCalendarAdvance(Calendar,X13,W14,"f",FALSE)</f>
        <v>41948</v>
      </c>
      <c r="Y14" s="155">
        <f>_xll.qlCalendarAdvance(Calendar,X14,NDays&amp;"D")</f>
        <v>41948</v>
      </c>
      <c r="Z14" s="156">
        <v>1.380212623391941E-3</v>
      </c>
      <c r="AA14" s="146"/>
    </row>
    <row r="15" spans="1:27" ht="12" thickBot="1" x14ac:dyDescent="0.25">
      <c r="J15" s="231" t="str">
        <f>ROUNDDOWN((_xll.qlTermStructureMaxDate(YieldCurve,Trigger)-_xll.qlTermStructureReferenceDate(YieldCurve,Trigger))/365,)&amp;"Y"</f>
        <v>50Y</v>
      </c>
      <c r="M15" s="148" t="str">
        <v>obj_00353#0001</v>
      </c>
      <c r="N15" s="148" t="str">
        <f>_xll.qlRateHelperQuoteName(M15)</f>
        <v>USDOIS2M_Quote</v>
      </c>
      <c r="O15" s="149">
        <f>_xll.qlRateHelperLatestDate(M15,Trigger)</f>
        <v>42009</v>
      </c>
      <c r="P15" s="150">
        <f>_xll.qlRateHelperQuoteValue(M15,_xll.ohTrigger(RecalcTrigger,YieldCurve))</f>
        <v>9.7000000000000005E-4</v>
      </c>
      <c r="Q15" s="151" t="str">
        <f t="shared" si="7"/>
        <v>2M</v>
      </c>
      <c r="R15" s="139" t="str">
        <f>_xll.qlMakeOIS(,IF(Q15="SW","1W",Q15),IborIndex,,"0D",,,,_xll.ohTrigger(RecalcTrigger,YieldCurve))</f>
        <v>obj_00378#0001</v>
      </c>
      <c r="S15" s="152">
        <f>_xll.qlOvernightIndexedSwapFairRate(R15,_xll.ohTrigger(RecalcTrigger,YieldCurve))</f>
        <v>9.6999999999977942E-4</v>
      </c>
      <c r="T15" s="153">
        <f t="shared" si="6"/>
        <v>-2.2063514210080015E-16</v>
      </c>
      <c r="V15" s="144"/>
      <c r="W15" s="139" t="str">
        <f t="shared" si="8"/>
        <v>1D</v>
      </c>
      <c r="X15" s="149">
        <f>_xll.qlCalendarAdvance(Calendar,X14,W15,"f",FALSE)</f>
        <v>41949</v>
      </c>
      <c r="Y15" s="155">
        <f>_xll.qlCalendarAdvance(Calendar,X15,NDays&amp;"D")</f>
        <v>41949</v>
      </c>
      <c r="Z15" s="156">
        <v>1.0380128392828425E-3</v>
      </c>
      <c r="AA15" s="159"/>
    </row>
    <row r="16" spans="1:27" x14ac:dyDescent="0.2">
      <c r="M16" s="148" t="str">
        <v>obj_00346#0001</v>
      </c>
      <c r="N16" s="148" t="str">
        <f>_xll.qlRateHelperQuoteName(M16)</f>
        <v>USDOIS3M_Quote</v>
      </c>
      <c r="O16" s="149">
        <f>_xll.qlRateHelperLatestDate(M16,Trigger)</f>
        <v>42039</v>
      </c>
      <c r="P16" s="150">
        <f>_xll.qlRateHelperQuoteValue(M16,_xll.ohTrigger(RecalcTrigger,YieldCurve))</f>
        <v>9.7000000000000005E-4</v>
      </c>
      <c r="Q16" s="151" t="str">
        <f t="shared" si="7"/>
        <v>3M</v>
      </c>
      <c r="R16" s="139" t="str">
        <f>_xll.qlMakeOIS(,IF(Q16="SW","1W",Q16),IborIndex,,"0D",,,,_xll.ohTrigger(RecalcTrigger,YieldCurve))</f>
        <v>obj_00394#0001</v>
      </c>
      <c r="S16" s="152">
        <f>_xll.qlOvernightIndexedSwapFairRate(R16,_xll.ohTrigger(RecalcTrigger,YieldCurve))</f>
        <v>9.6999999999975123E-4</v>
      </c>
      <c r="T16" s="153">
        <f t="shared" si="6"/>
        <v>-2.4882439858542327E-16</v>
      </c>
      <c r="V16" s="144"/>
      <c r="W16" s="139" t="str">
        <f t="shared" si="8"/>
        <v>1D</v>
      </c>
      <c r="X16" s="149">
        <f>_xll.qlCalendarAdvance(Calendar,X15,W16,"f",FALSE)</f>
        <v>41950</v>
      </c>
      <c r="Y16" s="155">
        <f>_xll.qlCalendarAdvance(Calendar,X16,NDays&amp;"D")</f>
        <v>41950</v>
      </c>
      <c r="Z16" s="156">
        <v>6.2419185095308194E-4</v>
      </c>
      <c r="AA16" s="159"/>
    </row>
    <row r="17" spans="13:27" x14ac:dyDescent="0.2">
      <c r="M17" s="148" t="str">
        <v>obj_0033a#0001</v>
      </c>
      <c r="N17" s="148" t="str">
        <f>_xll.qlRateHelperQuoteName(M17)</f>
        <v>USDOIS4M_Quote</v>
      </c>
      <c r="O17" s="149">
        <f>_xll.qlRateHelperLatestDate(M17,Trigger)</f>
        <v>42067</v>
      </c>
      <c r="P17" s="150">
        <f>_xll.qlRateHelperQuoteValue(M17,_xll.ohTrigger(RecalcTrigger,YieldCurve))</f>
        <v>9.7999999999999997E-4</v>
      </c>
      <c r="Q17" s="151" t="str">
        <f t="shared" si="7"/>
        <v>4M</v>
      </c>
      <c r="R17" s="139" t="str">
        <f>_xll.qlMakeOIS(,IF(Q17="SW","1W",Q17),IborIndex,,"0D",,,,_xll.ohTrigger(RecalcTrigger,YieldCurve))</f>
        <v>obj_0036b#0001</v>
      </c>
      <c r="S17" s="152">
        <f>_xll.qlOvernightIndexedSwapFairRate(R17,_xll.ohTrigger(RecalcTrigger,YieldCurve))</f>
        <v>9.7999999989384357E-4</v>
      </c>
      <c r="T17" s="153">
        <f t="shared" si="6"/>
        <v>-1.0615640311240071E-13</v>
      </c>
      <c r="V17" s="144"/>
      <c r="W17" s="139" t="str">
        <f t="shared" si="8"/>
        <v>1D</v>
      </c>
      <c r="X17" s="149">
        <f>_xll.qlCalendarAdvance(Calendar,X16,W17,"f",FALSE)</f>
        <v>41953</v>
      </c>
      <c r="Y17" s="155">
        <f>_xll.qlCalendarAdvance(Calendar,X17,NDays&amp;"D")</f>
        <v>41953</v>
      </c>
      <c r="Z17" s="156">
        <v>5.1277879550504224E-4</v>
      </c>
      <c r="AA17" s="159"/>
    </row>
    <row r="18" spans="13:27" x14ac:dyDescent="0.2">
      <c r="M18" s="148" t="str">
        <v>obj_0035c#0001</v>
      </c>
      <c r="N18" s="148" t="str">
        <f>_xll.qlRateHelperQuoteName(M18)</f>
        <v>USDOIS5M_Quote</v>
      </c>
      <c r="O18" s="149">
        <f>_xll.qlRateHelperLatestDate(M18,Trigger)</f>
        <v>42100</v>
      </c>
      <c r="P18" s="150">
        <f>_xll.qlRateHelperQuoteValue(M18,_xll.ohTrigger(RecalcTrigger,YieldCurve))</f>
        <v>1E-3</v>
      </c>
      <c r="Q18" s="151" t="str">
        <f t="shared" si="7"/>
        <v>5M</v>
      </c>
      <c r="R18" s="139" t="str">
        <f>_xll.qlMakeOIS(,IF(Q18="SW","1W",Q18),IborIndex,,"0D",,,,_xll.ohTrigger(RecalcTrigger,YieldCurve))</f>
        <v>obj_00365#0001</v>
      </c>
      <c r="S18" s="152">
        <f>_xll.qlOvernightIndexedSwapFairRate(R18,_xll.ohTrigger(RecalcTrigger,YieldCurve))</f>
        <v>1.0000000004166804E-3</v>
      </c>
      <c r="T18" s="153">
        <f t="shared" si="6"/>
        <v>4.1668036208919457E-13</v>
      </c>
      <c r="V18" s="144"/>
      <c r="W18" s="139" t="str">
        <f t="shared" si="8"/>
        <v>1D</v>
      </c>
      <c r="X18" s="149">
        <f>_xll.qlCalendarAdvance(Calendar,X17,W18,"f",FALSE)</f>
        <v>41955</v>
      </c>
      <c r="Y18" s="155">
        <f>_xll.qlCalendarAdvance(Calendar,X18,NDays&amp;"D")</f>
        <v>41955</v>
      </c>
      <c r="Z18" s="156">
        <v>6.7180888108531178E-4</v>
      </c>
      <c r="AA18" s="159"/>
    </row>
    <row r="19" spans="13:27" x14ac:dyDescent="0.2">
      <c r="M19" s="148" t="str">
        <v>obj_00355#0001</v>
      </c>
      <c r="N19" s="148" t="str">
        <f>_xll.qlRateHelperQuoteName(M19)</f>
        <v>USDOIS6M_Quote</v>
      </c>
      <c r="O19" s="149">
        <f>_xll.qlRateHelperLatestDate(M19,Trigger)</f>
        <v>42128</v>
      </c>
      <c r="P19" s="150">
        <f>_xll.qlRateHelperQuoteValue(M19,_xll.ohTrigger(RecalcTrigger,YieldCurve))</f>
        <v>1.0200000000000001E-3</v>
      </c>
      <c r="Q19" s="151" t="str">
        <f t="shared" si="7"/>
        <v>6M</v>
      </c>
      <c r="R19" s="139" t="str">
        <f>_xll.qlMakeOIS(,IF(Q19="SW","1W",Q19),IborIndex,,"0D",,,,_xll.ohTrigger(RecalcTrigger,YieldCurve))</f>
        <v>obj_0036c#0001</v>
      </c>
      <c r="S19" s="152">
        <f>_xll.qlOvernightIndexedSwapFairRate(R19,_xll.ohTrigger(RecalcTrigger,YieldCurve))</f>
        <v>1.0199999996373425E-3</v>
      </c>
      <c r="T19" s="153">
        <f t="shared" si="6"/>
        <v>-3.6265760360032484E-13</v>
      </c>
      <c r="V19" s="144"/>
      <c r="W19" s="139" t="str">
        <f t="shared" si="8"/>
        <v>1D</v>
      </c>
      <c r="X19" s="149">
        <f>_xll.qlCalendarAdvance(Calendar,X18,W19,"f",FALSE)</f>
        <v>41956</v>
      </c>
      <c r="Y19" s="155">
        <f>_xll.qlCalendarAdvance(Calendar,X19,NDays&amp;"D")</f>
        <v>41956</v>
      </c>
      <c r="Z19" s="156">
        <v>7.9197410030040771E-4</v>
      </c>
      <c r="AA19" s="159"/>
    </row>
    <row r="20" spans="13:27" x14ac:dyDescent="0.2">
      <c r="M20" s="148" t="str">
        <v>obj_0035a#0001</v>
      </c>
      <c r="N20" s="148" t="str">
        <f>_xll.qlRateHelperQuoteName(M20)</f>
        <v>USDOIS7M_Quote</v>
      </c>
      <c r="O20" s="149">
        <f>_xll.qlRateHelperLatestDate(M20,Trigger)</f>
        <v>42159</v>
      </c>
      <c r="P20" s="150">
        <f>_xll.qlRateHelperQuoteValue(M20,_xll.ohTrigger(RecalcTrigger,YieldCurve))</f>
        <v>1.06E-3</v>
      </c>
      <c r="Q20" s="151" t="str">
        <f t="shared" si="7"/>
        <v>7M</v>
      </c>
      <c r="R20" s="139" t="str">
        <f>_xll.qlMakeOIS(,IF(Q20="SW","1W",Q20),IborIndex,,"0D",,,,_xll.ohTrigger(RecalcTrigger,YieldCurve))</f>
        <v>obj_0038c#0001</v>
      </c>
      <c r="S20" s="152">
        <f>_xll.qlOvernightIndexedSwapFairRate(R20,_xll.ohTrigger(RecalcTrigger,YieldCurve))</f>
        <v>1.0599999999998555E-3</v>
      </c>
      <c r="T20" s="153">
        <f t="shared" si="6"/>
        <v>-1.4441572937506919E-16</v>
      </c>
      <c r="V20" s="144"/>
      <c r="W20" s="139" t="str">
        <f t="shared" si="8"/>
        <v>1D</v>
      </c>
      <c r="X20" s="149">
        <f>_xll.qlCalendarAdvance(Calendar,X19,W20,"f",FALSE)</f>
        <v>41957</v>
      </c>
      <c r="Y20" s="155">
        <f>_xll.qlCalendarAdvance(Calendar,X20,NDays&amp;"D")</f>
        <v>41957</v>
      </c>
      <c r="Z20" s="156">
        <v>9.5006204596792543E-4</v>
      </c>
      <c r="AA20" s="159"/>
    </row>
    <row r="21" spans="13:27" x14ac:dyDescent="0.2">
      <c r="M21" s="148" t="str">
        <v>obj_0032e#0001</v>
      </c>
      <c r="N21" s="148" t="str">
        <f>_xll.qlRateHelperQuoteName(M21)</f>
        <v>USDOIS8M_Quote</v>
      </c>
      <c r="O21" s="149">
        <f>_xll.qlRateHelperLatestDate(M21,Trigger)</f>
        <v>42191</v>
      </c>
      <c r="P21" s="150">
        <f>_xll.qlRateHelperQuoteValue(M21,_xll.ohTrigger(RecalcTrigger,YieldCurve))</f>
        <v>1.15E-3</v>
      </c>
      <c r="Q21" s="151" t="str">
        <f t="shared" si="7"/>
        <v>8M</v>
      </c>
      <c r="R21" s="139" t="str">
        <f>_xll.qlMakeOIS(,IF(Q21="SW","1W",Q21),IborIndex,,"0D",,,,_xll.ohTrigger(RecalcTrigger,YieldCurve))</f>
        <v>obj_00372#0001</v>
      </c>
      <c r="S21" s="152">
        <f>_xll.qlOvernightIndexedSwapFairRate(R21,_xll.ohTrigger(RecalcTrigger,YieldCurve))</f>
        <v>1.1499999999999987E-3</v>
      </c>
      <c r="T21" s="153">
        <f t="shared" si="6"/>
        <v>0</v>
      </c>
      <c r="V21" s="144"/>
      <c r="W21" s="139" t="str">
        <f t="shared" si="8"/>
        <v>1D</v>
      </c>
      <c r="X21" s="149">
        <f>_xll.qlCalendarAdvance(Calendar,X20,W21,"f",FALSE)</f>
        <v>41960</v>
      </c>
      <c r="Y21" s="155">
        <f>_xll.qlCalendarAdvance(Calendar,X21,NDays&amp;"D")</f>
        <v>41960</v>
      </c>
      <c r="Z21" s="156">
        <v>1.0258999087842113E-3</v>
      </c>
      <c r="AA21" s="159"/>
    </row>
    <row r="22" spans="13:27" x14ac:dyDescent="0.2">
      <c r="M22" s="148" t="str">
        <v>obj_0035f#0001</v>
      </c>
      <c r="N22" s="148" t="str">
        <f>_xll.qlRateHelperQuoteName(M22)</f>
        <v>USDOIS9M_Quote</v>
      </c>
      <c r="O22" s="149">
        <f>_xll.qlRateHelperLatestDate(M22,Trigger)</f>
        <v>42220</v>
      </c>
      <c r="P22" s="150">
        <f>_xll.qlRateHelperQuoteValue(M22,_xll.ohTrigger(RecalcTrigger,YieldCurve))</f>
        <v>1.2700000000000001E-3</v>
      </c>
      <c r="Q22" s="151" t="str">
        <f t="shared" si="7"/>
        <v>9M</v>
      </c>
      <c r="R22" s="139" t="str">
        <f>_xll.qlMakeOIS(,IF(Q22="SW","1W",Q22),IborIndex,,"0D",,,,_xll.ohTrigger(RecalcTrigger,YieldCurve))</f>
        <v>obj_00363#0001</v>
      </c>
      <c r="S22" s="152">
        <f>_xll.qlOvernightIndexedSwapFairRate(R22,_xll.ohTrigger(RecalcTrigger,YieldCurve))</f>
        <v>1.269999999999492E-3</v>
      </c>
      <c r="T22" s="153">
        <f t="shared" si="6"/>
        <v>-5.0805713802670738E-16</v>
      </c>
      <c r="V22" s="144"/>
      <c r="W22" s="139" t="str">
        <f t="shared" si="8"/>
        <v>1D</v>
      </c>
      <c r="X22" s="149">
        <f>_xll.qlCalendarAdvance(Calendar,X21,W22,"f",FALSE)</f>
        <v>41961</v>
      </c>
      <c r="Y22" s="155">
        <f>_xll.qlCalendarAdvance(Calendar,X22,NDays&amp;"D")</f>
        <v>41961</v>
      </c>
      <c r="Z22" s="156">
        <v>1.0266619098864282E-3</v>
      </c>
      <c r="AA22" s="159"/>
    </row>
    <row r="23" spans="13:27" x14ac:dyDescent="0.2">
      <c r="M23" s="148" t="str">
        <v>obj_0034e#0001</v>
      </c>
      <c r="N23" s="148" t="str">
        <f>_xll.qlRateHelperQuoteName(M23)</f>
        <v>USDOIS10M_Quote</v>
      </c>
      <c r="O23" s="149">
        <f>_xll.qlRateHelperLatestDate(M23,Trigger)</f>
        <v>42251</v>
      </c>
      <c r="P23" s="150">
        <f>_xll.qlRateHelperQuoteValue(M23,_xll.ohTrigger(RecalcTrigger,YieldCurve))</f>
        <v>1.4000000000000002E-3</v>
      </c>
      <c r="Q23" s="151" t="str">
        <f t="shared" si="7"/>
        <v>10M</v>
      </c>
      <c r="R23" s="139" t="str">
        <f>_xll.qlMakeOIS(,IF(Q23="SW","1W",Q23),IborIndex,,"0D",,,,_xll.ohTrigger(RecalcTrigger,YieldCurve))</f>
        <v>obj_00371#0001</v>
      </c>
      <c r="S23" s="152">
        <f>_xll.qlOvernightIndexedSwapFairRate(R23,_xll.ohTrigger(RecalcTrigger,YieldCurve))</f>
        <v>1.3999999999991795E-3</v>
      </c>
      <c r="T23" s="153">
        <f t="shared" si="6"/>
        <v>-8.2074104457152686E-16</v>
      </c>
      <c r="V23" s="144"/>
      <c r="W23" s="139" t="str">
        <f t="shared" si="8"/>
        <v>1D</v>
      </c>
      <c r="X23" s="149">
        <f>_xll.qlCalendarAdvance(Calendar,X22,W23,"f",FALSE)</f>
        <v>41962</v>
      </c>
      <c r="Y23" s="155">
        <f>_xll.qlCalendarAdvance(Calendar,X23,NDays&amp;"D")</f>
        <v>41962</v>
      </c>
      <c r="Z23" s="156">
        <v>1.0225722532730686E-3</v>
      </c>
      <c r="AA23" s="159"/>
    </row>
    <row r="24" spans="13:27" x14ac:dyDescent="0.2">
      <c r="M24" s="148" t="str">
        <v>obj_00342#0001</v>
      </c>
      <c r="N24" s="148" t="str">
        <f>_xll.qlRateHelperQuoteName(M24)</f>
        <v>USDOIS11M_Quote</v>
      </c>
      <c r="O24" s="149">
        <f>_xll.qlRateHelperLatestDate(M24,Trigger)</f>
        <v>42282</v>
      </c>
      <c r="P24" s="150">
        <f>_xll.qlRateHelperQuoteValue(M24,_xll.ohTrigger(RecalcTrigger,YieldCurve))</f>
        <v>1.56E-3</v>
      </c>
      <c r="Q24" s="151" t="str">
        <f t="shared" si="7"/>
        <v>11M</v>
      </c>
      <c r="R24" s="139" t="str">
        <f>_xll.qlMakeOIS(,IF(Q24="SW","1W",Q24),IborIndex,,"0D",,,,_xll.ohTrigger(RecalcTrigger,YieldCurve))</f>
        <v>obj_00397#0001</v>
      </c>
      <c r="S24" s="152">
        <f>_xll.qlOvernightIndexedSwapFairRate(R24,_xll.ohTrigger(RecalcTrigger,YieldCurve))</f>
        <v>1.5599999999980506E-3</v>
      </c>
      <c r="T24" s="153">
        <f t="shared" si="6"/>
        <v>-1.949395506128937E-15</v>
      </c>
      <c r="V24" s="144"/>
      <c r="W24" s="139" t="str">
        <f t="shared" si="8"/>
        <v>1D</v>
      </c>
      <c r="X24" s="149">
        <f>_xll.qlCalendarAdvance(Calendar,X23,W24,"f",FALSE)</f>
        <v>41963</v>
      </c>
      <c r="Y24" s="155">
        <f>_xll.qlCalendarAdvance(Calendar,X24,NDays&amp;"D")</f>
        <v>41963</v>
      </c>
      <c r="Z24" s="156">
        <v>1.0175953152113948E-3</v>
      </c>
      <c r="AA24" s="159"/>
    </row>
    <row r="25" spans="13:27" x14ac:dyDescent="0.2">
      <c r="M25" s="148" t="str">
        <v>obj_0035b#0001</v>
      </c>
      <c r="N25" s="148" t="str">
        <f>_xll.qlRateHelperQuoteName(M25)</f>
        <v>USDOIS1Y_Quote</v>
      </c>
      <c r="O25" s="149">
        <f>_xll.qlRateHelperLatestDate(M25,Trigger)</f>
        <v>42312</v>
      </c>
      <c r="P25" s="150">
        <f>_xll.qlRateHelperQuoteValue(M25,_xll.ohTrigger(RecalcTrigger,YieldCurve))</f>
        <v>1.7599999999999998E-3</v>
      </c>
      <c r="Q25" s="151" t="str">
        <f t="shared" si="7"/>
        <v>1Y</v>
      </c>
      <c r="R25" s="139" t="str">
        <f>_xll.qlMakeOIS(,IF(Q25="SW","1W",Q25),IborIndex,,"0D",,,,_xll.ohTrigger(RecalcTrigger,YieldCurve))</f>
        <v>obj_00388#0001</v>
      </c>
      <c r="S25" s="152">
        <f>_xll.qlOvernightIndexedSwapFairRate(R25,_xll.ohTrigger(RecalcTrigger,YieldCurve))</f>
        <v>1.7599999999961999E-3</v>
      </c>
      <c r="T25" s="153">
        <f t="shared" si="6"/>
        <v>-3.7999117741271959E-15</v>
      </c>
      <c r="V25" s="144"/>
      <c r="W25" s="139" t="str">
        <f t="shared" si="8"/>
        <v>1D</v>
      </c>
      <c r="X25" s="149">
        <f>_xll.qlCalendarAdvance(Calendar,X24,W25,"f",FALSE)</f>
        <v>41964</v>
      </c>
      <c r="Y25" s="155">
        <f>_xll.qlCalendarAdvance(Calendar,X25,NDays&amp;"D")</f>
        <v>41964</v>
      </c>
      <c r="Z25" s="156">
        <v>1.004686638310659E-3</v>
      </c>
      <c r="AA25" s="159"/>
    </row>
    <row r="26" spans="13:27" x14ac:dyDescent="0.2">
      <c r="M26" s="148" t="str">
        <v>obj_0035d#0001</v>
      </c>
      <c r="N26" s="148" t="str">
        <f>_xll.qlRateHelperQuoteName(M26)</f>
        <v>USDOIS13M_Quote</v>
      </c>
      <c r="O26" s="149">
        <f>_xll.qlRateHelperLatestDate(M26,Trigger)</f>
        <v>42342</v>
      </c>
      <c r="P26" s="150">
        <f>_xll.qlRateHelperQuoteValue(M26,_xll.ohTrigger(RecalcTrigger,YieldCurve))</f>
        <v>1.97E-3</v>
      </c>
      <c r="Q26" s="151" t="str">
        <f t="shared" si="7"/>
        <v>13M</v>
      </c>
      <c r="R26" s="139" t="str">
        <f>_xll.qlMakeOIS(,IF(Q26="SW","1W",Q26),IborIndex,,"0D",,,,_xll.ohTrigger(RecalcTrigger,YieldCurve))</f>
        <v>obj_00387#0001</v>
      </c>
      <c r="S26" s="152">
        <f>_xll.qlOvernightIndexedSwapFairRate(R26,_xll.ohTrigger(RecalcTrigger,YieldCurve))</f>
        <v>1.9700000001302083E-3</v>
      </c>
      <c r="T26" s="153">
        <f t="shared" si="6"/>
        <v>1.3020834410681914E-13</v>
      </c>
      <c r="V26" s="144"/>
      <c r="W26" s="139" t="str">
        <f t="shared" si="8"/>
        <v>1D</v>
      </c>
      <c r="X26" s="149">
        <f>_xll.qlCalendarAdvance(Calendar,X25,W26,"f",FALSE)</f>
        <v>41967</v>
      </c>
      <c r="Y26" s="155">
        <f>_xll.qlCalendarAdvance(Calendar,X26,NDays&amp;"D")</f>
        <v>41967</v>
      </c>
      <c r="Z26" s="156">
        <v>9.8881474936085567E-4</v>
      </c>
      <c r="AA26" s="159"/>
    </row>
    <row r="27" spans="13:27" x14ac:dyDescent="0.2">
      <c r="M27" s="148" t="str">
        <v>obj_0035e#0001</v>
      </c>
      <c r="N27" s="148" t="str">
        <f>_xll.qlRateHelperQuoteName(M27)</f>
        <v>USDOIS14M_Quote</v>
      </c>
      <c r="O27" s="149">
        <f>_xll.qlRateHelperLatestDate(M27,Trigger)</f>
        <v>42373</v>
      </c>
      <c r="P27" s="150">
        <f>_xll.qlRateHelperQuoteValue(M27,_xll.ohTrigger(RecalcTrigger,YieldCurve))</f>
        <v>2.2199999999999998E-3</v>
      </c>
      <c r="Q27" s="151" t="str">
        <f t="shared" si="7"/>
        <v>14M</v>
      </c>
      <c r="R27" s="139" t="str">
        <f>_xll.qlMakeOIS(,IF(Q27="SW","1W",Q27),IborIndex,,"0D",,,,_xll.ohTrigger(RecalcTrigger,YieldCurve))</f>
        <v>obj_0038f#0001</v>
      </c>
      <c r="S27" s="152">
        <f>_xll.qlOvernightIndexedSwapFairRate(R27,_xll.ohTrigger(RecalcTrigger,YieldCurve))</f>
        <v>2.2200000000000622E-3</v>
      </c>
      <c r="T27" s="153">
        <f t="shared" si="6"/>
        <v>6.2450045135165055E-17</v>
      </c>
      <c r="V27" s="144"/>
      <c r="W27" s="139" t="str">
        <f t="shared" si="8"/>
        <v>1D</v>
      </c>
      <c r="X27" s="149">
        <f>_xll.qlCalendarAdvance(Calendar,X26,W27,"f",FALSE)</f>
        <v>41968</v>
      </c>
      <c r="Y27" s="155">
        <f>_xll.qlCalendarAdvance(Calendar,X27,NDays&amp;"D")</f>
        <v>41968</v>
      </c>
      <c r="Z27" s="156">
        <v>9.7981317219719699E-4</v>
      </c>
      <c r="AA27" s="159"/>
    </row>
    <row r="28" spans="13:27" x14ac:dyDescent="0.2">
      <c r="M28" s="148" t="str">
        <v>obj_00354#0001</v>
      </c>
      <c r="N28" s="148" t="str">
        <f>_xll.qlRateHelperQuoteName(M28)</f>
        <v>USDOIS15M_Quote</v>
      </c>
      <c r="O28" s="149">
        <f>_xll.qlRateHelperLatestDate(M28,Trigger)</f>
        <v>42404</v>
      </c>
      <c r="P28" s="150">
        <f>_xll.qlRateHelperQuoteValue(M28,_xll.ohTrigger(RecalcTrigger,YieldCurve))</f>
        <v>2.1100000000000003E-3</v>
      </c>
      <c r="Q28" s="151" t="str">
        <f t="shared" si="7"/>
        <v>15M</v>
      </c>
      <c r="R28" s="139" t="str">
        <f>_xll.qlMakeOIS(,IF(Q28="SW","1W",Q28),IborIndex,,"0D",,,,_xll.ohTrigger(RecalcTrigger,YieldCurve))</f>
        <v>obj_00375#0001</v>
      </c>
      <c r="S28" s="152">
        <f>_xll.qlOvernightIndexedSwapFairRate(R28,_xll.ohTrigger(RecalcTrigger,YieldCurve))</f>
        <v>2.1099999999998711E-3</v>
      </c>
      <c r="T28" s="153">
        <f t="shared" si="6"/>
        <v>-1.2923689896027213E-16</v>
      </c>
      <c r="V28" s="144"/>
      <c r="W28" s="139" t="str">
        <f t="shared" si="8"/>
        <v>1D</v>
      </c>
      <c r="X28" s="149">
        <f>_xll.qlCalendarAdvance(Calendar,X27,W28,"f",FALSE)</f>
        <v>41969</v>
      </c>
      <c r="Y28" s="155">
        <f>_xll.qlCalendarAdvance(Calendar,X28,NDays&amp;"D")</f>
        <v>41969</v>
      </c>
      <c r="Z28" s="156">
        <v>9.6886110654281765E-4</v>
      </c>
      <c r="AA28" s="159"/>
    </row>
    <row r="29" spans="13:27" x14ac:dyDescent="0.2">
      <c r="M29" s="148" t="str">
        <v>obj_0033b#0001</v>
      </c>
      <c r="N29" s="148" t="str">
        <f>_xll.qlRateHelperQuoteName(M29)</f>
        <v>USDOIS16M_Quote</v>
      </c>
      <c r="O29" s="149">
        <f>_xll.qlRateHelperLatestDate(M29,Trigger)</f>
        <v>42433</v>
      </c>
      <c r="P29" s="150">
        <f>_xll.qlRateHelperQuoteValue(M29,_xll.ohTrigger(RecalcTrigger,YieldCurve))</f>
        <v>2.7300000000000002E-3</v>
      </c>
      <c r="Q29" s="151" t="str">
        <f t="shared" si="7"/>
        <v>16M</v>
      </c>
      <c r="R29" s="139" t="str">
        <f>_xll.qlMakeOIS(,IF(Q29="SW","1W",Q29),IborIndex,,"0D",,,,_xll.ohTrigger(RecalcTrigger,YieldCurve))</f>
        <v>obj_00396#0001</v>
      </c>
      <c r="S29" s="152">
        <f>_xll.qlOvernightIndexedSwapFairRate(R29,_xll.ohTrigger(RecalcTrigger,YieldCurve))</f>
        <v>2.7299999999997374E-3</v>
      </c>
      <c r="T29" s="153">
        <f t="shared" si="6"/>
        <v>-2.6281060661048627E-16</v>
      </c>
      <c r="V29" s="144"/>
      <c r="W29" s="139" t="str">
        <f t="shared" si="8"/>
        <v>1D</v>
      </c>
      <c r="X29" s="149">
        <f>_xll.qlCalendarAdvance(Calendar,X28,W29,"f",FALSE)</f>
        <v>41971</v>
      </c>
      <c r="Y29" s="155">
        <f>_xll.qlCalendarAdvance(Calendar,X29,NDays&amp;"D")</f>
        <v>41971</v>
      </c>
      <c r="Z29" s="156">
        <v>9.5852335748602968E-4</v>
      </c>
      <c r="AA29" s="159"/>
    </row>
    <row r="30" spans="13:27" x14ac:dyDescent="0.2">
      <c r="M30" s="148" t="str">
        <v>obj_0032b#0001</v>
      </c>
      <c r="N30" s="148" t="str">
        <f>_xll.qlRateHelperQuoteName(M30)</f>
        <v>USDOIS17M_Quote</v>
      </c>
      <c r="O30" s="149">
        <f>_xll.qlRateHelperLatestDate(M30,Trigger)</f>
        <v>42464</v>
      </c>
      <c r="P30" s="150">
        <f>_xll.qlRateHelperQuoteValue(M30,_xll.ohTrigger(RecalcTrigger,YieldCurve))</f>
        <v>3.0100000000000001E-3</v>
      </c>
      <c r="Q30" s="151" t="str">
        <f t="shared" si="7"/>
        <v>17M</v>
      </c>
      <c r="R30" s="139" t="str">
        <f>_xll.qlMakeOIS(,IF(Q30="SW","1W",Q30),IborIndex,,"0D",,,,_xll.ohTrigger(RecalcTrigger,YieldCurve))</f>
        <v>obj_0036f#0001</v>
      </c>
      <c r="S30" s="152">
        <f>_xll.qlOvernightIndexedSwapFairRate(R30,_xll.ohTrigger(RecalcTrigger,YieldCurve))</f>
        <v>3.0099999999998635E-3</v>
      </c>
      <c r="T30" s="153">
        <f t="shared" si="6"/>
        <v>-1.3660947373317356E-16</v>
      </c>
      <c r="V30" s="144"/>
      <c r="W30" s="139" t="str">
        <f t="shared" si="8"/>
        <v>1D</v>
      </c>
      <c r="X30" s="149">
        <f>_xll.qlCalendarAdvance(Calendar,X29,W30,"f",FALSE)</f>
        <v>41974</v>
      </c>
      <c r="Y30" s="155">
        <f>_xll.qlCalendarAdvance(Calendar,X30,NDays&amp;"D")</f>
        <v>41974</v>
      </c>
      <c r="Z30" s="156">
        <v>9.56582901610048E-4</v>
      </c>
      <c r="AA30" s="159"/>
    </row>
    <row r="31" spans="13:27" x14ac:dyDescent="0.2">
      <c r="M31" s="148" t="str">
        <v>obj_00358#0001</v>
      </c>
      <c r="N31" s="148" t="str">
        <f>_xll.qlRateHelperQuoteName(M31)</f>
        <v>USDOIS18M_Quote</v>
      </c>
      <c r="O31" s="149">
        <f>_xll.qlRateHelperLatestDate(M31,Trigger)</f>
        <v>42494</v>
      </c>
      <c r="P31" s="150">
        <f>_xll.qlRateHelperQuoteValue(M31,_xll.ohTrigger(RecalcTrigger,YieldCurve))</f>
        <v>3.2999999999999995E-3</v>
      </c>
      <c r="Q31" s="151" t="str">
        <f t="shared" si="7"/>
        <v>18M</v>
      </c>
      <c r="R31" s="139" t="str">
        <f>_xll.qlMakeOIS(,IF(Q31="SW","1W",Q31),IborIndex,,"0D",,,,_xll.ohTrigger(RecalcTrigger,YieldCurve))</f>
        <v>obj_00374#0001</v>
      </c>
      <c r="S31" s="152">
        <f>_xll.qlOvernightIndexedSwapFairRate(R31,_xll.ohTrigger(RecalcTrigger,YieldCurve))</f>
        <v>3.2999999999999093E-3</v>
      </c>
      <c r="T31" s="153">
        <f t="shared" si="6"/>
        <v>-9.0205620750793969E-17</v>
      </c>
      <c r="U31" s="160"/>
      <c r="V31" s="144"/>
      <c r="W31" s="139" t="str">
        <f t="shared" si="8"/>
        <v>1D</v>
      </c>
      <c r="X31" s="149">
        <f>_xll.qlCalendarAdvance(Calendar,X30,W31,"f",FALSE)</f>
        <v>41975</v>
      </c>
      <c r="Y31" s="155">
        <f>_xll.qlCalendarAdvance(Calendar,X31,NDays&amp;"D")</f>
        <v>41975</v>
      </c>
      <c r="Z31" s="156">
        <v>9.5825282229178299E-4</v>
      </c>
      <c r="AA31" s="159"/>
    </row>
    <row r="32" spans="13:27" x14ac:dyDescent="0.2">
      <c r="M32" s="148" t="str">
        <v>obj_0034d#0001</v>
      </c>
      <c r="N32" s="148" t="str">
        <f>_xll.qlRateHelperQuoteName(M32)</f>
        <v>USDOIS19M_Quote</v>
      </c>
      <c r="O32" s="149">
        <f>_xll.qlRateHelperLatestDate(M32,Trigger)</f>
        <v>42527</v>
      </c>
      <c r="P32" s="150">
        <f>_xll.qlRateHelperQuoteValue(M32,_xll.ohTrigger(RecalcTrigger,YieldCurve))</f>
        <v>3.63E-3</v>
      </c>
      <c r="Q32" s="151" t="str">
        <f t="shared" si="7"/>
        <v>19M</v>
      </c>
      <c r="R32" s="139" t="str">
        <f>_xll.qlMakeOIS(,IF(Q32="SW","1W",Q32),IborIndex,,"0D",,,,_xll.ohTrigger(RecalcTrigger,YieldCurve))</f>
        <v>obj_00381#0001</v>
      </c>
      <c r="S32" s="152">
        <f>_xll.qlOvernightIndexedSwapFairRate(R32,_xll.ohTrigger(RecalcTrigger,YieldCurve))</f>
        <v>3.6299999999996452E-3</v>
      </c>
      <c r="T32" s="153">
        <f t="shared" si="6"/>
        <v>-3.5475095083725705E-16</v>
      </c>
      <c r="U32" s="160"/>
      <c r="V32" s="144"/>
      <c r="W32" s="139" t="str">
        <f t="shared" si="8"/>
        <v>1D</v>
      </c>
      <c r="X32" s="149">
        <f>_xll.qlCalendarAdvance(Calendar,X31,W32,"f",FALSE)</f>
        <v>41976</v>
      </c>
      <c r="Y32" s="155">
        <f>_xll.qlCalendarAdvance(Calendar,X32,NDays&amp;"D")</f>
        <v>41976</v>
      </c>
      <c r="Z32" s="156">
        <v>9.6150606644584968E-4</v>
      </c>
      <c r="AA32" s="159"/>
    </row>
    <row r="33" spans="13:27" x14ac:dyDescent="0.2">
      <c r="M33" s="148" t="str">
        <v>obj_00330#0001</v>
      </c>
      <c r="N33" s="148" t="str">
        <f>_xll.qlRateHelperQuoteName(M33)</f>
        <v>USDOIS20M_Quote</v>
      </c>
      <c r="O33" s="149">
        <f>_xll.qlRateHelperLatestDate(M33,Trigger)</f>
        <v>42556</v>
      </c>
      <c r="P33" s="150">
        <f>_xll.qlRateHelperQuoteValue(M33,_xll.ohTrigger(RecalcTrigger,YieldCurve))</f>
        <v>3.9300000000000003E-3</v>
      </c>
      <c r="Q33" s="151" t="str">
        <f t="shared" si="7"/>
        <v>20M</v>
      </c>
      <c r="R33" s="139" t="str">
        <f>_xll.qlMakeOIS(,IF(Q33="SW","1W",Q33),IborIndex,,"0D",,,,_xll.ohTrigger(RecalcTrigger,YieldCurve))</f>
        <v>obj_00376#0001</v>
      </c>
      <c r="S33" s="152">
        <f>_xll.qlOvernightIndexedSwapFairRate(R33,_xll.ohTrigger(RecalcTrigger,YieldCurve))</f>
        <v>3.9299999999996664E-3</v>
      </c>
      <c r="T33" s="153">
        <f t="shared" si="6"/>
        <v>-3.3393426912553537E-16</v>
      </c>
      <c r="U33" s="160"/>
      <c r="V33" s="144"/>
      <c r="W33" s="139" t="str">
        <f t="shared" si="8"/>
        <v>1D</v>
      </c>
      <c r="X33" s="149">
        <f>_xll.qlCalendarAdvance(Calendar,X32,W33,"f",FALSE)</f>
        <v>41977</v>
      </c>
      <c r="Y33" s="155">
        <f>_xll.qlCalendarAdvance(Calendar,X33,NDays&amp;"D")</f>
        <v>41977</v>
      </c>
      <c r="Z33" s="156">
        <v>9.6603671414285941E-4</v>
      </c>
      <c r="AA33" s="159"/>
    </row>
    <row r="34" spans="13:27" x14ac:dyDescent="0.2">
      <c r="M34" s="148" t="str">
        <v>obj_0033e#0001</v>
      </c>
      <c r="N34" s="148" t="str">
        <f>_xll.qlRateHelperQuoteName(M34)</f>
        <v>USDOIS21M_Quote</v>
      </c>
      <c r="O34" s="149">
        <f>_xll.qlRateHelperLatestDate(M34,Trigger)</f>
        <v>42586</v>
      </c>
      <c r="P34" s="150">
        <f>_xll.qlRateHelperQuoteValue(M34,_xll.ohTrigger(RecalcTrigger,YieldCurve))</f>
        <v>4.2500000000000003E-3</v>
      </c>
      <c r="Q34" s="151" t="str">
        <f t="shared" si="7"/>
        <v>21M</v>
      </c>
      <c r="R34" s="139" t="str">
        <f>_xll.qlMakeOIS(,IF(Q34="SW","1W",Q34),IborIndex,,"0D",,,,_xll.ohTrigger(RecalcTrigger,YieldCurve))</f>
        <v>obj_00390#0001</v>
      </c>
      <c r="S34" s="152">
        <f>_xll.qlOvernightIndexedSwapFairRate(R34,_xll.ohTrigger(RecalcTrigger,YieldCurve))</f>
        <v>4.2499999999991806E-3</v>
      </c>
      <c r="T34" s="153">
        <f t="shared" si="6"/>
        <v>-8.1965684239904135E-16</v>
      </c>
      <c r="V34" s="144"/>
      <c r="W34" s="139" t="str">
        <f t="shared" si="8"/>
        <v>1D</v>
      </c>
      <c r="X34" s="149">
        <f>_xll.qlCalendarAdvance(Calendar,X33,W34,"f",FALSE)</f>
        <v>41978</v>
      </c>
      <c r="Y34" s="155">
        <f>_xll.qlCalendarAdvance(Calendar,X34,NDays&amp;"D")</f>
        <v>41978</v>
      </c>
      <c r="Z34" s="156">
        <v>9.7487183320588144E-4</v>
      </c>
      <c r="AA34" s="159"/>
    </row>
    <row r="35" spans="13:27" x14ac:dyDescent="0.2">
      <c r="M35" s="148" t="str">
        <v>obj_0033f#0001</v>
      </c>
      <c r="N35" s="148" t="str">
        <f>_xll.qlRateHelperQuoteName(M35)</f>
        <v>USDOIS22M_Quote</v>
      </c>
      <c r="O35" s="149">
        <f>_xll.qlRateHelperLatestDate(M35,Trigger)</f>
        <v>42619</v>
      </c>
      <c r="P35" s="150">
        <f>_xll.qlRateHelperQuoteValue(M35,_xll.ohTrigger(RecalcTrigger,YieldCurve))</f>
        <v>4.5999999999999999E-3</v>
      </c>
      <c r="Q35" s="151" t="str">
        <f t="shared" si="7"/>
        <v>22M</v>
      </c>
      <c r="R35" s="139" t="str">
        <f>_xll.qlMakeOIS(,IF(Q35="SW","1W",Q35),IborIndex,,"0D",,,,_xll.ohTrigger(RecalcTrigger,YieldCurve))</f>
        <v>obj_00383#0001</v>
      </c>
      <c r="S35" s="152">
        <f>_xll.qlOvernightIndexedSwapFairRate(R35,_xll.ohTrigger(RecalcTrigger,YieldCurve))</f>
        <v>4.5999999999981065E-3</v>
      </c>
      <c r="T35" s="153">
        <f t="shared" si="6"/>
        <v>-1.8934506740286849E-15</v>
      </c>
      <c r="V35" s="144"/>
      <c r="W35" s="139" t="str">
        <f t="shared" si="8"/>
        <v>1D</v>
      </c>
      <c r="X35" s="149">
        <f>_xll.qlCalendarAdvance(Calendar,X34,W35,"f",FALSE)</f>
        <v>41981</v>
      </c>
      <c r="Y35" s="155">
        <f>_xll.qlCalendarAdvance(Calendar,X35,NDays&amp;"D")</f>
        <v>41981</v>
      </c>
      <c r="Z35" s="156">
        <v>9.8286101609446064E-4</v>
      </c>
      <c r="AA35" s="159"/>
    </row>
    <row r="36" spans="13:27" x14ac:dyDescent="0.2">
      <c r="M36" s="148" t="str">
        <v>obj_0033c#0001</v>
      </c>
      <c r="N36" s="148" t="str">
        <f>_xll.qlRateHelperQuoteName(M36)</f>
        <v>USDOIS23M_Quote</v>
      </c>
      <c r="O36" s="149">
        <f>_xll.qlRateHelperLatestDate(M36,Trigger)</f>
        <v>42647</v>
      </c>
      <c r="P36" s="150">
        <f>_xll.qlRateHelperQuoteValue(M36,_xll.ohTrigger(RecalcTrigger,YieldCurve))</f>
        <v>4.8999999999999998E-3</v>
      </c>
      <c r="Q36" s="151" t="str">
        <f t="shared" si="7"/>
        <v>23M</v>
      </c>
      <c r="R36" s="139" t="str">
        <f>_xll.qlMakeOIS(,IF(Q36="SW","1W",Q36),IborIndex,,"0D",,,,_xll.ohTrigger(RecalcTrigger,YieldCurve))</f>
        <v>obj_00395#0001</v>
      </c>
      <c r="S36" s="152">
        <f>_xll.qlOvernightIndexedSwapFairRate(R36,_xll.ohTrigger(RecalcTrigger,YieldCurve))</f>
        <v>4.8999999999990579E-3</v>
      </c>
      <c r="T36" s="153">
        <f t="shared" si="6"/>
        <v>-9.4195484745540625E-16</v>
      </c>
      <c r="U36" s="160"/>
      <c r="V36" s="144"/>
      <c r="W36" s="139" t="str">
        <f t="shared" si="8"/>
        <v>1D</v>
      </c>
      <c r="X36" s="149">
        <f>_xll.qlCalendarAdvance(Calendar,X35,W36,"f",FALSE)</f>
        <v>41982</v>
      </c>
      <c r="Y36" s="155">
        <f>_xll.qlCalendarAdvance(Calendar,X36,NDays&amp;"D")</f>
        <v>41982</v>
      </c>
      <c r="Z36" s="156">
        <v>9.8643659920405469E-4</v>
      </c>
      <c r="AA36" s="159"/>
    </row>
    <row r="37" spans="13:27" x14ac:dyDescent="0.2">
      <c r="M37" s="148" t="str">
        <v>obj_00328#0001</v>
      </c>
      <c r="N37" s="148" t="str">
        <f>_xll.qlRateHelperQuoteName(M37)</f>
        <v>USDOIS2Y_Quote</v>
      </c>
      <c r="O37" s="149">
        <f>_xll.qlRateHelperLatestDate(M37,Trigger)</f>
        <v>42678</v>
      </c>
      <c r="P37" s="150">
        <f>_xll.qlRateHelperQuoteValue(M37,_xll.ohTrigger(RecalcTrigger,YieldCurve))</f>
        <v>5.2300000000000003E-3</v>
      </c>
      <c r="Q37" s="151" t="str">
        <f t="shared" si="7"/>
        <v>2Y</v>
      </c>
      <c r="R37" s="139" t="str">
        <f>_xll.qlMakeOIS(,IF(Q37="SW","1W",Q37),IborIndex,,"0D",,,,_xll.ohTrigger(RecalcTrigger,YieldCurve))</f>
        <v>obj_00385#0001</v>
      </c>
      <c r="S37" s="152">
        <f>_xll.qlOvernightIndexedSwapFairRate(R37,_xll.ohTrigger(RecalcTrigger,YieldCurve))</f>
        <v>5.229999999997648E-3</v>
      </c>
      <c r="T37" s="153">
        <f t="shared" si="6"/>
        <v>-2.3522850334245504E-15</v>
      </c>
      <c r="U37" s="160"/>
      <c r="V37" s="144"/>
      <c r="W37" s="139" t="str">
        <f t="shared" si="8"/>
        <v>1D</v>
      </c>
      <c r="X37" s="149">
        <f>_xll.qlCalendarAdvance(Calendar,X36,W37,"f",FALSE)</f>
        <v>41983</v>
      </c>
      <c r="Y37" s="155">
        <f>_xll.qlCalendarAdvance(Calendar,X37,NDays&amp;"D")</f>
        <v>41983</v>
      </c>
      <c r="Z37" s="156">
        <v>9.8975998549022393E-4</v>
      </c>
      <c r="AA37" s="159"/>
    </row>
    <row r="38" spans="13:27" x14ac:dyDescent="0.2">
      <c r="M38" s="148" t="str">
        <v>obj_0034a#0001</v>
      </c>
      <c r="N38" s="148" t="str">
        <f>_xll.qlRateHelperQuoteName(M38)</f>
        <v>USDOIS27M_Quote</v>
      </c>
      <c r="O38" s="149">
        <f>_xll.qlRateHelperLatestDate(M38,Trigger)</f>
        <v>42772</v>
      </c>
      <c r="P38" s="150">
        <f>_xll.qlRateHelperQuoteValue(M38,_xll.ohTrigger(RecalcTrigger,YieldCurve))</f>
        <v>6.2700000000000004E-3</v>
      </c>
      <c r="Q38" s="151" t="str">
        <f t="shared" si="7"/>
        <v>27M</v>
      </c>
      <c r="R38" s="139" t="str">
        <f>_xll.qlMakeOIS(,IF(Q38="SW","1W",Q38),IborIndex,,"0D",,,,_xll.ohTrigger(RecalcTrigger,YieldCurve))</f>
        <v>obj_00373#0001</v>
      </c>
      <c r="S38" s="152">
        <f>_xll.qlOvernightIndexedSwapFairRate(R38,_xll.ohTrigger(RecalcTrigger,YieldCurve))</f>
        <v>6.2632824847223658E-3</v>
      </c>
      <c r="T38" s="153">
        <f t="shared" si="6"/>
        <v>-6.7175152776346309E-6</v>
      </c>
      <c r="U38" s="160"/>
      <c r="V38" s="144"/>
      <c r="W38" s="139" t="str">
        <f t="shared" si="8"/>
        <v>1D</v>
      </c>
      <c r="X38" s="149">
        <f>_xll.qlCalendarAdvance(Calendar,X37,W38,"f",FALSE)</f>
        <v>41984</v>
      </c>
      <c r="Y38" s="155">
        <f>_xll.qlCalendarAdvance(Calendar,X38,NDays&amp;"D")</f>
        <v>41984</v>
      </c>
      <c r="Z38" s="156">
        <v>9.9283117471316018E-4</v>
      </c>
      <c r="AA38" s="159"/>
    </row>
    <row r="39" spans="13:27" x14ac:dyDescent="0.2">
      <c r="M39" s="148" t="str">
        <v>obj_00359#0001</v>
      </c>
      <c r="N39" s="148" t="str">
        <f>_xll.qlRateHelperQuoteName(M39)</f>
        <v>USDOIS30M_Quote</v>
      </c>
      <c r="O39" s="149">
        <f>_xll.qlRateHelperLatestDate(M39,Trigger)</f>
        <v>42859</v>
      </c>
      <c r="P39" s="150">
        <f>_xll.qlRateHelperQuoteValue(M39,_xll.ohTrigger(RecalcTrigger,YieldCurve))</f>
        <v>7.2499999999999995E-3</v>
      </c>
      <c r="Q39" s="151" t="str">
        <f t="shared" si="7"/>
        <v>30M</v>
      </c>
      <c r="R39" s="139" t="str">
        <f>_xll.qlMakeOIS(,IF(Q39="SW","1W",Q39),IborIndex,,"0D",,,,_xll.ohTrigger(RecalcTrigger,YieldCurve))</f>
        <v>obj_00392#0001</v>
      </c>
      <c r="S39" s="152">
        <f>_xll.qlOvernightIndexedSwapFairRate(R39,_xll.ohTrigger(RecalcTrigger,YieldCurve))</f>
        <v>7.2430751193390238E-3</v>
      </c>
      <c r="T39" s="153">
        <f t="shared" si="6"/>
        <v>-6.9248806609757338E-6</v>
      </c>
      <c r="U39" s="160"/>
      <c r="V39" s="144"/>
      <c r="W39" s="139" t="str">
        <f t="shared" si="8"/>
        <v>1D</v>
      </c>
      <c r="X39" s="149">
        <f>_xll.qlCalendarAdvance(Calendar,X38,W39,"f",FALSE)</f>
        <v>41985</v>
      </c>
      <c r="Y39" s="155">
        <f>_xll.qlCalendarAdvance(Calendar,X39,NDays&amp;"D")</f>
        <v>41985</v>
      </c>
      <c r="Z39" s="156">
        <v>9.9813566409423515E-4</v>
      </c>
      <c r="AA39" s="159"/>
    </row>
    <row r="40" spans="13:27" x14ac:dyDescent="0.2">
      <c r="M40" s="148" t="str">
        <v>obj_0034f#0001</v>
      </c>
      <c r="N40" s="148" t="str">
        <f>_xll.qlRateHelperQuoteName(M40)</f>
        <v>USDOIS33M_Quote</v>
      </c>
      <c r="O40" s="149">
        <f>_xll.qlRateHelperLatestDate(M40,Trigger)</f>
        <v>42951</v>
      </c>
      <c r="P40" s="150">
        <f>_xll.qlRateHelperQuoteValue(M40,_xll.ohTrigger(RecalcTrigger,YieldCurve))</f>
        <v>8.26E-3</v>
      </c>
      <c r="Q40" s="151" t="str">
        <f t="shared" si="7"/>
        <v>33M</v>
      </c>
      <c r="R40" s="139" t="str">
        <f>_xll.qlMakeOIS(,IF(Q40="SW","1W",Q40),IborIndex,,"0D",,,,_xll.ohTrigger(RecalcTrigger,YieldCurve))</f>
        <v>obj_0037d#0001</v>
      </c>
      <c r="S40" s="152">
        <f>_xll.qlOvernightIndexedSwapFairRate(R40,_xll.ohTrigger(RecalcTrigger,YieldCurve))</f>
        <v>8.2605248546424592E-3</v>
      </c>
      <c r="T40" s="153">
        <f t="shared" si="6"/>
        <v>5.2485464245924374E-7</v>
      </c>
      <c r="U40" s="160"/>
      <c r="V40" s="144"/>
      <c r="W40" s="139" t="str">
        <f t="shared" si="8"/>
        <v>1D</v>
      </c>
      <c r="X40" s="149">
        <f>_xll.qlCalendarAdvance(Calendar,X39,W40,"f",FALSE)</f>
        <v>41988</v>
      </c>
      <c r="Y40" s="155">
        <f>_xll.qlCalendarAdvance(Calendar,X40,NDays&amp;"D")</f>
        <v>41988</v>
      </c>
      <c r="Z40" s="156">
        <v>1.0025939620916802E-3</v>
      </c>
      <c r="AA40" s="159"/>
    </row>
    <row r="41" spans="13:27" x14ac:dyDescent="0.2">
      <c r="M41" s="148" t="str">
        <v>obj_00351#0001</v>
      </c>
      <c r="N41" s="148" t="str">
        <f>_xll.qlRateHelperQuoteName(M41)</f>
        <v>USDOIS3Y_Quote</v>
      </c>
      <c r="O41" s="149">
        <f>_xll.qlRateHelperLatestDate(M41,Trigger)</f>
        <v>43045</v>
      </c>
      <c r="P41" s="150">
        <f>_xll.qlRateHelperQuoteValue(M41,_xll.ohTrigger(RecalcTrigger,YieldCurve))</f>
        <v>9.2500000000000013E-3</v>
      </c>
      <c r="Q41" s="151" t="str">
        <f t="shared" si="7"/>
        <v>3Y</v>
      </c>
      <c r="R41" s="139" t="str">
        <f>_xll.qlMakeOIS(,IF(Q41="SW","1W",Q41),IborIndex,,"0D",,,,_xll.ohTrigger(RecalcTrigger,YieldCurve))</f>
        <v>obj_00366#0001</v>
      </c>
      <c r="S41" s="152">
        <f>_xll.qlOvernightIndexedSwapFairRate(R41,_xll.ohTrigger(RecalcTrigger,YieldCurve))</f>
        <v>9.2499999999995502E-3</v>
      </c>
      <c r="T41" s="153">
        <f t="shared" si="6"/>
        <v>-4.5102810375396984E-16</v>
      </c>
      <c r="U41" s="160"/>
      <c r="V41" s="144"/>
      <c r="W41" s="139" t="str">
        <f t="shared" si="8"/>
        <v>1D</v>
      </c>
      <c r="X41" s="149">
        <f>_xll.qlCalendarAdvance(Calendar,X40,W41,"f",FALSE)</f>
        <v>41989</v>
      </c>
      <c r="Y41" s="155">
        <f>_xll.qlCalendarAdvance(Calendar,X41,NDays&amp;"D")</f>
        <v>41989</v>
      </c>
      <c r="Z41" s="156">
        <v>1.0044041664780679E-3</v>
      </c>
      <c r="AA41" s="159"/>
    </row>
    <row r="42" spans="13:27" x14ac:dyDescent="0.2">
      <c r="M42" s="148" t="str">
        <v>obj_00356#0001</v>
      </c>
      <c r="N42" s="148" t="str">
        <f>_xll.qlRateHelperQuoteName(M42)</f>
        <v>USDOIS39M_Quote</v>
      </c>
      <c r="O42" s="149">
        <f>_xll.qlRateHelperLatestDate(M42,Trigger)</f>
        <v>43136</v>
      </c>
      <c r="P42" s="150">
        <f>_xll.qlRateHelperQuoteValue(M42,_xll.ohTrigger(RecalcTrigger,YieldCurve))</f>
        <v>1.0160000000000001E-2</v>
      </c>
      <c r="Q42" s="151" t="str">
        <f t="shared" si="7"/>
        <v>39M</v>
      </c>
      <c r="R42" s="139" t="str">
        <f>_xll.qlMakeOIS(,IF(Q42="SW","1W",Q42),IborIndex,,"0D",,,,_xll.ohTrigger(RecalcTrigger,YieldCurve))</f>
        <v>obj_00377#0001</v>
      </c>
      <c r="S42" s="152">
        <f>_xll.qlOvernightIndexedSwapFairRate(R42,_xll.ohTrigger(RecalcTrigger,YieldCurve))</f>
        <v>1.012719608792698E-2</v>
      </c>
      <c r="T42" s="153">
        <f t="shared" si="6"/>
        <v>-3.2803912073020927E-5</v>
      </c>
      <c r="U42" s="160"/>
      <c r="V42" s="144"/>
      <c r="W42" s="139" t="str">
        <f t="shared" si="8"/>
        <v>1D</v>
      </c>
      <c r="X42" s="149">
        <f>_xll.qlCalendarAdvance(Calendar,X41,W42,"f",FALSE)</f>
        <v>41990</v>
      </c>
      <c r="Y42" s="155">
        <f>_xll.qlCalendarAdvance(Calendar,X42,NDays&amp;"D")</f>
        <v>41990</v>
      </c>
      <c r="Z42" s="156">
        <v>1.0059621739610947E-3</v>
      </c>
      <c r="AA42" s="159"/>
    </row>
    <row r="43" spans="13:27" x14ac:dyDescent="0.2">
      <c r="M43" s="148" t="str">
        <v>obj_00344#0001</v>
      </c>
      <c r="N43" s="148" t="str">
        <f>_xll.qlRateHelperQuoteName(M43)</f>
        <v>USDOIS42M_Quote</v>
      </c>
      <c r="O43" s="149">
        <f>_xll.qlRateHelperLatestDate(M43,Trigger)</f>
        <v>43224</v>
      </c>
      <c r="P43" s="150">
        <f>_xll.qlRateHelperQuoteValue(M43,_xll.ohTrigger(RecalcTrigger,YieldCurve))</f>
        <v>1.0880000000000001E-2</v>
      </c>
      <c r="Q43" s="151" t="str">
        <f t="shared" si="7"/>
        <v>42M</v>
      </c>
      <c r="R43" s="139" t="str">
        <f>_xll.qlMakeOIS(,IF(Q43="SW","1W",Q43),IborIndex,,"0D",,,,_xll.ohTrigger(RecalcTrigger,YieldCurve))</f>
        <v>obj_0037e#0001</v>
      </c>
      <c r="S43" s="152">
        <f>_xll.qlOvernightIndexedSwapFairRate(R43,_xll.ohTrigger(RecalcTrigger,YieldCurve))</f>
        <v>1.0918788791644873E-2</v>
      </c>
      <c r="T43" s="153">
        <f t="shared" si="6"/>
        <v>3.8788791644872589E-5</v>
      </c>
      <c r="U43" s="160"/>
      <c r="V43" s="144"/>
      <c r="W43" s="139" t="str">
        <f t="shared" si="8"/>
        <v>1D</v>
      </c>
      <c r="X43" s="149">
        <f>_xll.qlCalendarAdvance(Calendar,X42,W43,"f",FALSE)</f>
        <v>41991</v>
      </c>
      <c r="Y43" s="155">
        <f>_xll.qlCalendarAdvance(Calendar,X43,NDays&amp;"D")</f>
        <v>41991</v>
      </c>
      <c r="Z43" s="156">
        <v>1.0072679843808885E-3</v>
      </c>
      <c r="AA43" s="159"/>
    </row>
    <row r="44" spans="13:27" x14ac:dyDescent="0.2">
      <c r="M44" s="148" t="str">
        <v>obj_0034c#0001</v>
      </c>
      <c r="N44" s="148" t="str">
        <f>_xll.qlRateHelperQuoteName(M44)</f>
        <v>USDOIS45M_Quote</v>
      </c>
      <c r="O44" s="149">
        <f>_xll.qlRateHelperLatestDate(M44,Trigger)</f>
        <v>43318</v>
      </c>
      <c r="P44" s="150">
        <f>_xll.qlRateHelperQuoteValue(M44,_xll.ohTrigger(RecalcTrigger,YieldCurve))</f>
        <v>1.1840000000000002E-2</v>
      </c>
      <c r="Q44" s="151" t="str">
        <f t="shared" si="7"/>
        <v>45M</v>
      </c>
      <c r="R44" s="139" t="str">
        <f>_xll.qlMakeOIS(,IF(Q44="SW","1W",Q44),IborIndex,,"0D",,,,_xll.ohTrigger(RecalcTrigger,YieldCurve))</f>
        <v>obj_00364#0001</v>
      </c>
      <c r="S44" s="152">
        <f>_xll.qlOvernightIndexedSwapFairRate(R44,_xll.ohTrigger(RecalcTrigger,YieldCurve))</f>
        <v>1.1710608951629261E-2</v>
      </c>
      <c r="T44" s="153">
        <f t="shared" si="6"/>
        <v>-1.2939104837074097E-4</v>
      </c>
      <c r="U44" s="160"/>
      <c r="V44" s="144"/>
      <c r="W44" s="139" t="str">
        <f t="shared" si="8"/>
        <v>1D</v>
      </c>
      <c r="X44" s="149">
        <f>_xll.qlCalendarAdvance(Calendar,X43,W44,"f",FALSE)</f>
        <v>41992</v>
      </c>
      <c r="Y44" s="155">
        <f>_xll.qlCalendarAdvance(Calendar,X44,NDays&amp;"D")</f>
        <v>41992</v>
      </c>
      <c r="Z44" s="156">
        <v>1.0090417769337279E-3</v>
      </c>
      <c r="AA44" s="159"/>
    </row>
    <row r="45" spans="13:27" x14ac:dyDescent="0.2">
      <c r="M45" s="148" t="str">
        <v>obj_0032c#0001</v>
      </c>
      <c r="N45" s="148" t="str">
        <f>_xll.qlRateHelperQuoteName(M45)</f>
        <v>USDOIS4Y_Quote</v>
      </c>
      <c r="O45" s="149">
        <f>_xll.qlRateHelperLatestDate(M45,Trigger)</f>
        <v>43409</v>
      </c>
      <c r="P45" s="150">
        <f>_xll.qlRateHelperQuoteValue(M45,_xll.ohTrigger(RecalcTrigger,YieldCurve))</f>
        <v>1.2429999999999998E-2</v>
      </c>
      <c r="Q45" s="151" t="str">
        <f t="shared" si="7"/>
        <v>4Y</v>
      </c>
      <c r="R45" s="139" t="str">
        <f>_xll.qlMakeOIS(,IF(Q45="SW","1W",Q45),IborIndex,,"0D",,,,_xll.ohTrigger(RecalcTrigger,YieldCurve))</f>
        <v>obj_00386#0001</v>
      </c>
      <c r="S45" s="152">
        <f>_xll.qlOvernightIndexedSwapFairRate(R45,_xll.ohTrigger(RecalcTrigger,YieldCurve))</f>
        <v>1.2429999999999939E-2</v>
      </c>
      <c r="T45" s="153">
        <f t="shared" si="6"/>
        <v>-5.8980598183211441E-17</v>
      </c>
      <c r="U45" s="160"/>
      <c r="V45" s="144"/>
      <c r="W45" s="139" t="str">
        <f t="shared" si="8"/>
        <v>1D</v>
      </c>
      <c r="X45" s="149">
        <f>_xll.qlCalendarAdvance(Calendar,X44,W45,"f",FALSE)</f>
        <v>41995</v>
      </c>
      <c r="Y45" s="155">
        <f>_xll.qlCalendarAdvance(Calendar,X45,NDays&amp;"D")</f>
        <v>41995</v>
      </c>
      <c r="Z45" s="156">
        <v>1.0099692563869667E-3</v>
      </c>
      <c r="AA45" s="159"/>
    </row>
    <row r="46" spans="13:27" x14ac:dyDescent="0.2">
      <c r="M46" s="148" t="str">
        <v>obj_00331#0001</v>
      </c>
      <c r="N46" s="148" t="str">
        <f>_xll.qlRateHelperQuoteName(M46)</f>
        <v>USDOIS51M_Quote</v>
      </c>
      <c r="O46" s="149">
        <f>_xll.qlRateHelperLatestDate(M46,Trigger)</f>
        <v>43500</v>
      </c>
      <c r="P46" s="150">
        <f>_xll.qlRateHelperQuoteValue(M46,_xll.ohTrigger(RecalcTrigger,YieldCurve))</f>
        <v>1.3309999999999999E-2</v>
      </c>
      <c r="Q46" s="151" t="str">
        <f>SUBSTITUTE(SUBSTITUTE(N46,"_Quote",""),"USDOIS","")</f>
        <v>51M</v>
      </c>
      <c r="R46" s="139" t="str">
        <f>_xll.qlMakeOIS(,IF(Q46="SW","1W",Q46),IborIndex,,"0D",,,,_xll.ohTrigger(RecalcTrigger,YieldCurve))</f>
        <v>obj_00393#0001</v>
      </c>
      <c r="S46" s="152">
        <f>_xll.qlOvernightIndexedSwapFairRate(R46,_xll.ohTrigger(RecalcTrigger,YieldCurve))</f>
        <v>1.3090810631401422E-2</v>
      </c>
      <c r="T46" s="153">
        <f t="shared" si="6"/>
        <v>-2.1918936859857685E-4</v>
      </c>
      <c r="U46" s="160"/>
      <c r="V46" s="144"/>
      <c r="W46" s="139" t="str">
        <f t="shared" si="8"/>
        <v>1D</v>
      </c>
      <c r="X46" s="149">
        <f>_xll.qlCalendarAdvance(Calendar,X45,W46,"f",FALSE)</f>
        <v>41996</v>
      </c>
      <c r="Y46" s="155">
        <f>_xll.qlCalendarAdvance(Calendar,X46,NDays&amp;"D")</f>
        <v>41996</v>
      </c>
      <c r="Z46" s="156">
        <v>1.0100140818103398E-3</v>
      </c>
      <c r="AA46" s="159"/>
    </row>
    <row r="47" spans="13:27" x14ac:dyDescent="0.2">
      <c r="M47" s="148" t="str">
        <v>obj_0032d#0001</v>
      </c>
      <c r="N47" s="148" t="str">
        <f>_xll.qlRateHelperQuoteName(M47)</f>
        <v>USDOIS54M_Quote</v>
      </c>
      <c r="O47" s="149">
        <f>_xll.qlRateHelperLatestDate(M47,Trigger)</f>
        <v>43591</v>
      </c>
      <c r="P47" s="150">
        <f>_xll.qlRateHelperQuoteValue(M47,_xll.ohTrigger(RecalcTrigger,YieldCurve))</f>
        <v>1.375E-2</v>
      </c>
      <c r="Q47" s="151" t="str">
        <f t="shared" si="7"/>
        <v>54M</v>
      </c>
      <c r="R47" s="139" t="str">
        <f>_xll.qlMakeOIS(,IF(Q47="SW","1W",Q47),IborIndex,,"0D",,,,_xll.ohTrigger(RecalcTrigger,YieldCurve))</f>
        <v>obj_00382#0001</v>
      </c>
      <c r="S47" s="152">
        <f>_xll.qlOvernightIndexedSwapFairRate(R47,_xll.ohTrigger(RecalcTrigger,YieldCurve))</f>
        <v>1.3721541329510414E-2</v>
      </c>
      <c r="T47" s="153">
        <f t="shared" si="6"/>
        <v>-2.845867048958603E-5</v>
      </c>
      <c r="U47" s="160"/>
      <c r="V47" s="144"/>
      <c r="W47" s="139" t="str">
        <f t="shared" si="8"/>
        <v>1D</v>
      </c>
      <c r="X47" s="149">
        <f>_xll.qlCalendarAdvance(Calendar,X46,W47,"f",FALSE)</f>
        <v>41997</v>
      </c>
      <c r="Y47" s="155">
        <f>_xll.qlCalendarAdvance(Calendar,X47,NDays&amp;"D")</f>
        <v>41997</v>
      </c>
      <c r="Z47" s="156">
        <v>1.0095783416863569E-3</v>
      </c>
      <c r="AA47" s="159"/>
    </row>
    <row r="48" spans="13:27" x14ac:dyDescent="0.2">
      <c r="M48" s="148" t="str">
        <v>obj_00345#0001</v>
      </c>
      <c r="N48" s="148" t="str">
        <f>_xll.qlRateHelperQuoteName(M48)</f>
        <v>USDOIS57M_Quote</v>
      </c>
      <c r="O48" s="149">
        <f>_xll.qlRateHelperLatestDate(M48,Trigger)</f>
        <v>43682</v>
      </c>
      <c r="P48" s="150">
        <f>_xll.qlRateHelperQuoteValue(M48,_xll.ohTrigger(RecalcTrigger,YieldCurve))</f>
        <v>1.4590000000000001E-2</v>
      </c>
      <c r="Q48" s="151" t="str">
        <f t="shared" si="7"/>
        <v>57M</v>
      </c>
      <c r="R48" s="139" t="str">
        <f>_xll.qlMakeOIS(,IF(Q48="SW","1W",Q48),IborIndex,,"0D",,,,_xll.ohTrigger(RecalcTrigger,YieldCurve))</f>
        <v>obj_0037b#0001</v>
      </c>
      <c r="S48" s="152">
        <f>_xll.qlOvernightIndexedSwapFairRate(R48,_xll.ohTrigger(RecalcTrigger,YieldCurve))</f>
        <v>1.4331990761711119E-2</v>
      </c>
      <c r="T48" s="153">
        <f t="shared" si="6"/>
        <v>-2.580092382888817E-4</v>
      </c>
      <c r="U48" s="160"/>
      <c r="V48" s="144"/>
      <c r="W48" s="139" t="str">
        <f t="shared" si="8"/>
        <v>1D</v>
      </c>
      <c r="X48" s="149">
        <f>_xll.qlCalendarAdvance(Calendar,X47,W48,"f",FALSE)</f>
        <v>41999</v>
      </c>
      <c r="Y48" s="155">
        <f>_xll.qlCalendarAdvance(Calendar,X48,NDays&amp;"D")</f>
        <v>41999</v>
      </c>
      <c r="Z48" s="156">
        <v>1.0075901682871091E-3</v>
      </c>
      <c r="AA48" s="159"/>
    </row>
    <row r="49" spans="13:27" x14ac:dyDescent="0.2">
      <c r="M49" s="148" t="str">
        <v>obj_0032f#0001</v>
      </c>
      <c r="N49" s="148" t="str">
        <f>_xll.qlRateHelperQuoteName(M49)</f>
        <v>USDOIS5Y_Quote</v>
      </c>
      <c r="O49" s="149">
        <f>_xll.qlRateHelperLatestDate(M49,Trigger)</f>
        <v>43773</v>
      </c>
      <c r="P49" s="150">
        <f>_xll.qlRateHelperQuoteValue(M49,_xll.ohTrigger(RecalcTrigger,YieldCurve))</f>
        <v>1.4929999999999999E-2</v>
      </c>
      <c r="Q49" s="151" t="str">
        <f t="shared" si="7"/>
        <v>5Y</v>
      </c>
      <c r="R49" s="139" t="str">
        <f>_xll.qlMakeOIS(,IF(Q49="SW","1W",Q49),IborIndex,,"0D",,,,_xll.ohTrigger(RecalcTrigger,YieldCurve))</f>
        <v>obj_0037a#0001</v>
      </c>
      <c r="S49" s="152">
        <f>_xll.qlOvernightIndexedSwapFairRate(R49,_xll.ohTrigger(RecalcTrigger,YieldCurve))</f>
        <v>1.4929999999999992E-2</v>
      </c>
      <c r="T49" s="153">
        <f t="shared" si="6"/>
        <v>0</v>
      </c>
      <c r="U49" s="160"/>
      <c r="V49" s="144"/>
      <c r="W49" s="139" t="str">
        <f t="shared" si="8"/>
        <v>1D</v>
      </c>
      <c r="X49" s="149">
        <f>_xll.qlCalendarAdvance(Calendar,X48,W49,"f",FALSE)</f>
        <v>42002</v>
      </c>
      <c r="Y49" s="155">
        <f>_xll.qlCalendarAdvance(Calendar,X49,NDays&amp;"D")</f>
        <v>42002</v>
      </c>
      <c r="Z49" s="156">
        <v>1.0049868979411514E-3</v>
      </c>
      <c r="AA49" s="159"/>
    </row>
    <row r="50" spans="13:27" x14ac:dyDescent="0.2">
      <c r="M50" s="148" t="str">
        <v>obj_0033d#0001</v>
      </c>
      <c r="N50" s="148" t="str">
        <f>_xll.qlRateHelperQuoteName(M50)</f>
        <v>USDOIS6Y_Quote</v>
      </c>
      <c r="O50" s="149">
        <f>_xll.qlRateHelperLatestDate(M50,Trigger)</f>
        <v>44139</v>
      </c>
      <c r="P50" s="150">
        <f>_xll.qlRateHelperQuoteValue(M50,_xll.ohTrigger(RecalcTrigger,YieldCurve))</f>
        <v>1.7129999999999999E-2</v>
      </c>
      <c r="Q50" s="151" t="str">
        <f t="shared" si="7"/>
        <v>6Y</v>
      </c>
      <c r="R50" s="139" t="str">
        <f>_xll.qlMakeOIS(,IF(Q50="SW","1W",Q50),IborIndex,,"0D",,,,_xll.ohTrigger(RecalcTrigger,YieldCurve))</f>
        <v>obj_00368#0001</v>
      </c>
      <c r="S50" s="152">
        <f>_xll.qlOvernightIndexedSwapFairRate(R50,_xll.ohTrigger(RecalcTrigger,YieldCurve))</f>
        <v>1.712999999999994E-2</v>
      </c>
      <c r="T50" s="153">
        <f t="shared" si="6"/>
        <v>-5.8980598183211441E-17</v>
      </c>
      <c r="U50" s="160"/>
      <c r="V50" s="144"/>
      <c r="W50" s="139" t="str">
        <f t="shared" si="8"/>
        <v>1D</v>
      </c>
      <c r="X50" s="149">
        <f>_xll.qlCalendarAdvance(Calendar,X49,W50,"f",FALSE)</f>
        <v>42003</v>
      </c>
      <c r="Y50" s="155">
        <f>_xll.qlCalendarAdvance(Calendar,X50,NDays&amp;"D")</f>
        <v>42003</v>
      </c>
      <c r="Z50" s="156">
        <v>1.003266344481446E-3</v>
      </c>
      <c r="AA50" s="159"/>
    </row>
    <row r="51" spans="13:27" x14ac:dyDescent="0.2">
      <c r="M51" s="148" t="str">
        <v>obj_00357#0001</v>
      </c>
      <c r="N51" s="148" t="str">
        <f>_xll.qlRateHelperQuoteName(M51)</f>
        <v>USDOIS7Y_Quote</v>
      </c>
      <c r="O51" s="149">
        <f>_xll.qlRateHelperLatestDate(M51,Trigger)</f>
        <v>44504</v>
      </c>
      <c r="P51" s="150">
        <f>_xll.qlRateHelperQuoteValue(M51,_xll.ohTrigger(RecalcTrigger,YieldCurve))</f>
        <v>1.8860000000000002E-2</v>
      </c>
      <c r="Q51" s="151" t="str">
        <f t="shared" si="7"/>
        <v>7Y</v>
      </c>
      <c r="R51" s="139" t="str">
        <f>_xll.qlMakeOIS(,IF(Q51="SW","1W",Q51),IborIndex,,"0D",,,,_xll.ohTrigger(RecalcTrigger,YieldCurve))</f>
        <v>obj_00380#0001</v>
      </c>
      <c r="S51" s="152">
        <f>_xll.qlOvernightIndexedSwapFairRate(R51,_xll.ohTrigger(RecalcTrigger,YieldCurve))</f>
        <v>1.8860000000000019E-2</v>
      </c>
      <c r="T51" s="153">
        <f t="shared" si="6"/>
        <v>0</v>
      </c>
      <c r="U51" s="160"/>
      <c r="V51" s="144"/>
      <c r="W51" s="139" t="str">
        <f t="shared" si="8"/>
        <v>1D</v>
      </c>
      <c r="X51" s="149">
        <f>_xll.qlCalendarAdvance(Calendar,X50,W51,"f",FALSE)</f>
        <v>42004</v>
      </c>
      <c r="Y51" s="155">
        <f>_xll.qlCalendarAdvance(Calendar,X51,NDays&amp;"D")</f>
        <v>42004</v>
      </c>
      <c r="Z51" s="156">
        <v>1.0001825097738504E-3</v>
      </c>
      <c r="AA51" s="159"/>
    </row>
    <row r="52" spans="13:27" x14ac:dyDescent="0.2">
      <c r="M52" s="148" t="str">
        <v>obj_00333#0001</v>
      </c>
      <c r="N52" s="148" t="str">
        <f>_xll.qlRateHelperQuoteName(M52)</f>
        <v>USDOIS8Y_Quote</v>
      </c>
      <c r="O52" s="149">
        <f>_xll.qlRateHelperLatestDate(M52,Trigger)</f>
        <v>44869</v>
      </c>
      <c r="P52" s="150">
        <f>_xll.qlRateHelperQuoteValue(M52,_xll.ohTrigger(RecalcTrigger,YieldCurve))</f>
        <v>2.0110000000000003E-2</v>
      </c>
      <c r="Q52" s="151" t="str">
        <f t="shared" si="7"/>
        <v>8Y</v>
      </c>
      <c r="R52" s="139" t="str">
        <f>_xll.qlMakeOIS(,IF(Q52="SW","1W",Q52),IborIndex,,"0D",,,,_xll.ohTrigger(RecalcTrigger,YieldCurve))</f>
        <v>obj_0037f#0001</v>
      </c>
      <c r="S52" s="152">
        <f>_xll.qlOvernightIndexedSwapFairRate(R52,_xll.ohTrigger(RecalcTrigger,YieldCurve))</f>
        <v>2.0109999999999968E-2</v>
      </c>
      <c r="T52" s="153">
        <f t="shared" si="6"/>
        <v>-3.4694469519536142E-17</v>
      </c>
      <c r="U52" s="160"/>
      <c r="V52" s="144"/>
      <c r="W52" s="139" t="str">
        <f t="shared" si="8"/>
        <v>1D</v>
      </c>
      <c r="X52" s="149">
        <f>_xll.qlCalendarAdvance(Calendar,X51,W52,"f",FALSE)</f>
        <v>42006</v>
      </c>
      <c r="Y52" s="155">
        <f>_xll.qlCalendarAdvance(Calendar,X52,NDays&amp;"D")</f>
        <v>42006</v>
      </c>
      <c r="Z52" s="156">
        <v>9.937808386606406E-4</v>
      </c>
      <c r="AA52" s="159"/>
    </row>
    <row r="53" spans="13:27" x14ac:dyDescent="0.2">
      <c r="M53" s="148" t="str">
        <v>obj_00348#0001</v>
      </c>
      <c r="N53" s="148" t="str">
        <f>_xll.qlRateHelperQuoteName(M53)</f>
        <v>USDOIS9Y_Quote</v>
      </c>
      <c r="O53" s="149">
        <f>_xll.qlRateHelperLatestDate(M53,Trigger)</f>
        <v>45236</v>
      </c>
      <c r="P53" s="150">
        <f>_xll.qlRateHelperQuoteValue(M53,_xll.ohTrigger(RecalcTrigger,YieldCurve))</f>
        <v>2.1179999999999997E-2</v>
      </c>
      <c r="Q53" s="151" t="str">
        <f t="shared" si="7"/>
        <v>9Y</v>
      </c>
      <c r="R53" s="139" t="str">
        <f>_xll.qlMakeOIS(,IF(Q53="SW","1W",Q53),IborIndex,,"0D",,,,_xll.ohTrigger(RecalcTrigger,YieldCurve))</f>
        <v>obj_00367#0001</v>
      </c>
      <c r="S53" s="152">
        <f>_xll.qlOvernightIndexedSwapFairRate(R53,_xll.ohTrigger(RecalcTrigger,YieldCurve))</f>
        <v>2.1179999999999942E-2</v>
      </c>
      <c r="T53" s="153">
        <f t="shared" si="6"/>
        <v>-5.5511151231257827E-17</v>
      </c>
      <c r="U53" s="160"/>
      <c r="V53" s="144"/>
      <c r="W53" s="139" t="str">
        <f t="shared" si="8"/>
        <v>1D</v>
      </c>
      <c r="X53" s="149">
        <f>_xll.qlCalendarAdvance(Calendar,X52,W53,"f",FALSE)</f>
        <v>42009</v>
      </c>
      <c r="Y53" s="155">
        <f>_xll.qlCalendarAdvance(Calendar,X53,NDays&amp;"D")</f>
        <v>42009</v>
      </c>
      <c r="Z53" s="156">
        <v>9.8772114287548618E-4</v>
      </c>
      <c r="AA53" s="159"/>
    </row>
    <row r="54" spans="13:27" x14ac:dyDescent="0.2">
      <c r="M54" s="148" t="str">
        <v>obj_00338#0001</v>
      </c>
      <c r="N54" s="148" t="str">
        <f>_xll.qlRateHelperQuoteName(M54)</f>
        <v>USDOIS10Y_Quote</v>
      </c>
      <c r="O54" s="149">
        <f>_xll.qlRateHelperLatestDate(M54,Trigger)</f>
        <v>45600</v>
      </c>
      <c r="P54" s="150">
        <f>_xll.qlRateHelperQuoteValue(M54,_xll.ohTrigger(RecalcTrigger,YieldCurve))</f>
        <v>2.2080000000000002E-2</v>
      </c>
      <c r="Q54" s="151" t="str">
        <f t="shared" si="7"/>
        <v>10Y</v>
      </c>
      <c r="R54" s="139" t="str">
        <f>_xll.qlMakeOIS(,IF(Q54="SW","1W",Q54),IborIndex,,"0D",,,,_xll.ohTrigger(RecalcTrigger,YieldCurve))</f>
        <v>obj_00389#0001</v>
      </c>
      <c r="S54" s="152">
        <f>_xll.qlOvernightIndexedSwapFairRate(R54,_xll.ohTrigger(RecalcTrigger,YieldCurve))</f>
        <v>2.2080000000000037E-2</v>
      </c>
      <c r="T54" s="153">
        <f t="shared" si="6"/>
        <v>3.4694469519536142E-17</v>
      </c>
      <c r="U54" s="160"/>
      <c r="V54" s="144"/>
      <c r="W54" s="139" t="str">
        <f t="shared" si="8"/>
        <v>1D</v>
      </c>
      <c r="X54" s="149">
        <f>_xll.qlCalendarAdvance(Calendar,X53,W54,"f",FALSE)</f>
        <v>42010</v>
      </c>
      <c r="Y54" s="155">
        <f>_xll.qlCalendarAdvance(Calendar,X54,NDays&amp;"D")</f>
        <v>42010</v>
      </c>
      <c r="Z54" s="156">
        <v>9.8468074326341082E-4</v>
      </c>
      <c r="AA54" s="159"/>
    </row>
    <row r="55" spans="13:27" x14ac:dyDescent="0.2">
      <c r="M55" s="148" t="str">
        <v>obj_0034b#0001</v>
      </c>
      <c r="N55" s="148" t="str">
        <f>_xll.qlRateHelperQuoteName(M55)</f>
        <v>USDOIS12Y_Quote</v>
      </c>
      <c r="O55" s="149">
        <f>_xll.qlRateHelperLatestDate(M55,Trigger)</f>
        <v>46330</v>
      </c>
      <c r="P55" s="150">
        <f>_xll.qlRateHelperQuoteValue(M55,_xll.ohTrigger(RecalcTrigger,YieldCurve))</f>
        <v>2.358E-2</v>
      </c>
      <c r="Q55" s="151" t="str">
        <f t="shared" si="7"/>
        <v>12Y</v>
      </c>
      <c r="R55" s="139" t="str">
        <f>_xll.qlMakeOIS(,IF(Q55="SW","1W",Q55),IborIndex,,"0D",,,,_xll.ohTrigger(RecalcTrigger,YieldCurve))</f>
        <v>obj_00384#0001</v>
      </c>
      <c r="S55" s="152">
        <f>_xll.qlOvernightIndexedSwapFairRate(R55,_xll.ohTrigger(RecalcTrigger,YieldCurve))</f>
        <v>2.3579999999981515E-2</v>
      </c>
      <c r="T55" s="153">
        <f t="shared" si="6"/>
        <v>-1.8485213360008856E-14</v>
      </c>
      <c r="U55" s="160"/>
      <c r="V55" s="144"/>
      <c r="W55" s="139" t="str">
        <f t="shared" si="8"/>
        <v>1D</v>
      </c>
      <c r="X55" s="149">
        <f>_xll.qlCalendarAdvance(Calendar,X54,W55,"f",FALSE)</f>
        <v>42011</v>
      </c>
      <c r="Y55" s="155">
        <f>_xll.qlCalendarAdvance(Calendar,X55,NDays&amp;"D")</f>
        <v>42011</v>
      </c>
      <c r="Z55" s="156">
        <v>9.8183367931881094E-4</v>
      </c>
      <c r="AA55" s="159"/>
    </row>
    <row r="56" spans="13:27" x14ac:dyDescent="0.2">
      <c r="M56" s="148" t="str">
        <v>obj_00340#0001</v>
      </c>
      <c r="N56" s="148" t="str">
        <f>_xll.qlRateHelperQuoteName(M56)</f>
        <v>USDOIS15Y_Quote</v>
      </c>
      <c r="O56" s="149">
        <f>_xll.qlRateHelperLatestDate(M56,Trigger)</f>
        <v>47427</v>
      </c>
      <c r="P56" s="150">
        <f>_xll.qlRateHelperQuoteValue(M56,_xll.ohTrigger(RecalcTrigger,YieldCurve))</f>
        <v>2.5099999999999997E-2</v>
      </c>
      <c r="Q56" s="151" t="str">
        <f t="shared" si="7"/>
        <v>15Y</v>
      </c>
      <c r="R56" s="139" t="str">
        <f>_xll.qlMakeOIS(,IF(Q56="SW","1W",Q56),IborIndex,,"0D",,,,_xll.ohTrigger(RecalcTrigger,YieldCurve))</f>
        <v>obj_00391#0001</v>
      </c>
      <c r="S56" s="152">
        <f>_xll.qlOvernightIndexedSwapFairRate(R56,_xll.ohTrigger(RecalcTrigger,YieldCurve))</f>
        <v>2.5099999999966038E-2</v>
      </c>
      <c r="T56" s="153">
        <f t="shared" si="6"/>
        <v>-3.3958946765721976E-14</v>
      </c>
      <c r="U56" s="160"/>
      <c r="V56" s="144"/>
      <c r="W56" s="139" t="str">
        <f t="shared" si="8"/>
        <v>1D</v>
      </c>
      <c r="X56" s="149">
        <f>_xll.qlCalendarAdvance(Calendar,X55,W56,"f",FALSE)</f>
        <v>42012</v>
      </c>
      <c r="Y56" s="155">
        <f>_xll.qlCalendarAdvance(Calendar,X56,NDays&amp;"D")</f>
        <v>42012</v>
      </c>
      <c r="Z56" s="156">
        <v>9.7917995096175048E-4</v>
      </c>
      <c r="AA56" s="159"/>
    </row>
    <row r="57" spans="13:27" x14ac:dyDescent="0.2">
      <c r="M57" s="148" t="str">
        <v>obj_00352#0001</v>
      </c>
      <c r="N57" s="148" t="str">
        <f>_xll.qlRateHelperQuoteName(M57)</f>
        <v>USDOIS20Y_Quote</v>
      </c>
      <c r="O57" s="149">
        <f>_xll.qlRateHelperLatestDate(M57,Trigger)</f>
        <v>49254</v>
      </c>
      <c r="P57" s="150">
        <f>_xll.qlRateHelperQuoteValue(M57,_xll.ohTrigger(RecalcTrigger,YieldCurve))</f>
        <v>2.6619999999999998E-2</v>
      </c>
      <c r="Q57" s="151" t="str">
        <f t="shared" si="7"/>
        <v>20Y</v>
      </c>
      <c r="R57" s="139" t="str">
        <f>_xll.qlMakeOIS(,IF(Q57="SW","1W",Q57),IborIndex,,"0D",,,,_xll.ohTrigger(RecalcTrigger,YieldCurve))</f>
        <v>obj_0038d#0001</v>
      </c>
      <c r="S57" s="152">
        <f>_xll.qlOvernightIndexedSwapFairRate(R57,_xll.ohTrigger(RecalcTrigger,YieldCurve))</f>
        <v>2.6620000000011506E-2</v>
      </c>
      <c r="T57" s="153">
        <f t="shared" si="6"/>
        <v>1.1508155539630138E-14</v>
      </c>
      <c r="U57" s="160"/>
      <c r="V57" s="144"/>
      <c r="W57" s="139" t="str">
        <f t="shared" si="8"/>
        <v>1D</v>
      </c>
      <c r="X57" s="149">
        <f>_xll.qlCalendarAdvance(Calendar,X56,W57,"f",FALSE)</f>
        <v>42013</v>
      </c>
      <c r="Y57" s="155">
        <f>_xll.qlCalendarAdvance(Calendar,X57,NDays&amp;"D")</f>
        <v>42013</v>
      </c>
      <c r="Z57" s="156">
        <v>9.7451958428251828E-4</v>
      </c>
      <c r="AA57" s="159"/>
    </row>
    <row r="58" spans="13:27" x14ac:dyDescent="0.2">
      <c r="M58" s="148" t="str">
        <v>obj_00335#0001</v>
      </c>
      <c r="N58" s="148" t="str">
        <f>_xll.qlRateHelperQuoteName(M58)</f>
        <v>USDOIS25Y_Quote</v>
      </c>
      <c r="O58" s="149">
        <f>_xll.qlRateHelperLatestDate(M58,Trigger)</f>
        <v>51078</v>
      </c>
      <c r="P58" s="150">
        <f>_xll.qlRateHelperQuoteValue(M58,_xll.ohTrigger(RecalcTrigger,YieldCurve))</f>
        <v>2.7359999999999999E-2</v>
      </c>
      <c r="Q58" s="151" t="str">
        <f t="shared" si="7"/>
        <v>25Y</v>
      </c>
      <c r="R58" s="139" t="str">
        <f>_xll.qlMakeOIS(,IF(Q58="SW","1W",Q58),IborIndex,,"0D",,,,_xll.ohTrigger(RecalcTrigger,YieldCurve))</f>
        <v>obj_00370#0001</v>
      </c>
      <c r="S58" s="152">
        <f>_xll.qlOvernightIndexedSwapFairRate(R58,_xll.ohTrigger(RecalcTrigger,YieldCurve))</f>
        <v>2.7359999999993532E-2</v>
      </c>
      <c r="T58" s="153">
        <f t="shared" si="6"/>
        <v>-6.4670491184415368E-15</v>
      </c>
      <c r="U58" s="160"/>
      <c r="V58" s="144"/>
      <c r="W58" s="139" t="str">
        <f t="shared" si="8"/>
        <v>1D</v>
      </c>
      <c r="X58" s="149">
        <f>_xll.qlCalendarAdvance(Calendar,X57,W58,"f",FALSE)</f>
        <v>42016</v>
      </c>
      <c r="Y58" s="155">
        <f>_xll.qlCalendarAdvance(Calendar,X58,NDays&amp;"D")</f>
        <v>42016</v>
      </c>
      <c r="Z58" s="156">
        <v>9.7049839356877499E-4</v>
      </c>
      <c r="AA58" s="159"/>
    </row>
    <row r="59" spans="13:27" x14ac:dyDescent="0.2">
      <c r="M59" s="148" t="str">
        <v>obj_00341#0001</v>
      </c>
      <c r="N59" s="148" t="str">
        <f>_xll.qlRateHelperQuoteName(M59)</f>
        <v>USDOIS30Y_Quote</v>
      </c>
      <c r="O59" s="149">
        <f>_xll.qlRateHelperLatestDate(M59,Trigger)</f>
        <v>52905</v>
      </c>
      <c r="P59" s="150">
        <f>_xll.qlRateHelperQuoteValue(M59,_xll.ohTrigger(RecalcTrigger,YieldCurve))</f>
        <v>2.7779999999999999E-2</v>
      </c>
      <c r="Q59" s="151" t="str">
        <f t="shared" si="7"/>
        <v>30Y</v>
      </c>
      <c r="R59" s="139" t="str">
        <f>_xll.qlMakeOIS(,IF(Q59="SW","1W",Q59),IborIndex,,"0D",,,,_xll.ohTrigger(RecalcTrigger,YieldCurve))</f>
        <v>obj_0036e#0001</v>
      </c>
      <c r="S59" s="152">
        <f>_xll.qlOvernightIndexedSwapFairRate(R59,_xll.ohTrigger(RecalcTrigger,YieldCurve))</f>
        <v>2.7692749919373209E-2</v>
      </c>
      <c r="T59" s="153">
        <f t="shared" si="6"/>
        <v>-8.7250080626790488E-5</v>
      </c>
      <c r="U59" s="160"/>
      <c r="V59" s="144"/>
      <c r="W59" s="139" t="str">
        <f t="shared" si="8"/>
        <v>1D</v>
      </c>
      <c r="X59" s="149">
        <f>_xll.qlCalendarAdvance(Calendar,X58,W59,"f",FALSE)</f>
        <v>42017</v>
      </c>
      <c r="Y59" s="155">
        <f>_xll.qlCalendarAdvance(Calendar,X59,NDays&amp;"D")</f>
        <v>42017</v>
      </c>
      <c r="Z59" s="156">
        <v>9.6881134330928376E-4</v>
      </c>
      <c r="AA59" s="159"/>
    </row>
    <row r="60" spans="13:27" x14ac:dyDescent="0.2">
      <c r="M60" s="148" t="str">
        <v>obj_00332#0001</v>
      </c>
      <c r="N60" s="148" t="str">
        <f>_xll.qlRateHelperQuoteName(M60)</f>
        <v>USDOIS35Y_Quote</v>
      </c>
      <c r="O60" s="149">
        <f>_xll.qlRateHelperLatestDate(M60,Trigger)</f>
        <v>54731</v>
      </c>
      <c r="P60" s="150">
        <f>_xll.qlRateHelperQuoteValue(M60,_xll.ohTrigger(RecalcTrigger,YieldCurve))</f>
        <v>2.7830000000000001E-2</v>
      </c>
      <c r="Q60" s="151" t="str">
        <f t="shared" si="7"/>
        <v>35Y</v>
      </c>
      <c r="R60" s="139" t="str">
        <f>_xll.qlMakeOIS(,IF(Q60="SW","1W",Q60),IborIndex,,"0D",,,,_xll.ohTrigger(RecalcTrigger,YieldCurve))</f>
        <v>obj_0038b#0001</v>
      </c>
      <c r="S60" s="152">
        <f>_xll.qlOvernightIndexedSwapFairRate(R60,_xll.ohTrigger(RecalcTrigger,YieldCurve))</f>
        <v>2.783000000001646E-2</v>
      </c>
      <c r="T60" s="153">
        <f t="shared" si="6"/>
        <v>1.6459056340067946E-14</v>
      </c>
      <c r="U60" s="160"/>
      <c r="V60" s="144"/>
      <c r="W60" s="139" t="str">
        <f t="shared" si="8"/>
        <v>1D</v>
      </c>
      <c r="X60" s="149">
        <f>_xll.qlCalendarAdvance(Calendar,X59,W60,"f",FALSE)</f>
        <v>42018</v>
      </c>
      <c r="Y60" s="155">
        <f>_xll.qlCalendarAdvance(Calendar,X60,NDays&amp;"D")</f>
        <v>42018</v>
      </c>
      <c r="Z60" s="156">
        <v>9.6731762855739589E-4</v>
      </c>
      <c r="AA60" s="159"/>
    </row>
    <row r="61" spans="13:27" x14ac:dyDescent="0.2">
      <c r="M61" s="148" t="str">
        <v>obj_00334#0001</v>
      </c>
      <c r="N61" s="148" t="str">
        <f>_xll.qlRateHelperQuoteName(M61)</f>
        <v>USDOIS40Y_Quote</v>
      </c>
      <c r="O61" s="149">
        <f>_xll.qlRateHelperLatestDate(M61,Trigger)</f>
        <v>56557</v>
      </c>
      <c r="P61" s="150">
        <f>_xll.qlRateHelperQuoteValue(M61,_xll.ohTrigger(RecalcTrigger,YieldCurve))</f>
        <v>2.785E-2</v>
      </c>
      <c r="Q61" s="151" t="str">
        <f t="shared" si="7"/>
        <v>40Y</v>
      </c>
      <c r="R61" s="139" t="str">
        <f>_xll.qlMakeOIS(,IF(Q61="SW","1W",Q61),IborIndex,,"0D",,,,_xll.ohTrigger(RecalcTrigger,YieldCurve))</f>
        <v>obj_0036a#0001</v>
      </c>
      <c r="S61" s="152">
        <f>_xll.qlOvernightIndexedSwapFairRate(R61,_xll.ohTrigger(RecalcTrigger,YieldCurve))</f>
        <v>2.7849999999973313E-2</v>
      </c>
      <c r="T61" s="153">
        <f t="shared" si="6"/>
        <v>-2.66869859544272E-14</v>
      </c>
      <c r="U61" s="160"/>
      <c r="V61" s="144"/>
      <c r="W61" s="139" t="str">
        <f t="shared" si="8"/>
        <v>1D</v>
      </c>
      <c r="X61" s="149">
        <f>_xll.qlCalendarAdvance(Calendar,X60,W61,"f",FALSE)</f>
        <v>42019</v>
      </c>
      <c r="Y61" s="155">
        <f>_xll.qlCalendarAdvance(Calendar,X61,NDays&amp;"D")</f>
        <v>42019</v>
      </c>
      <c r="Z61" s="156">
        <v>9.6601724947298351E-4</v>
      </c>
      <c r="AA61" s="159"/>
    </row>
    <row r="62" spans="13:27" x14ac:dyDescent="0.2">
      <c r="M62" s="148" t="str">
        <v>obj_00329#0001</v>
      </c>
      <c r="N62" s="148" t="str">
        <f>_xll.qlRateHelperQuoteName(M62)</f>
        <v>USDOIS45Y_Quote</v>
      </c>
      <c r="O62" s="149">
        <f>_xll.qlRateHelperLatestDate(M62,Trigger)</f>
        <v>58383</v>
      </c>
      <c r="P62" s="150">
        <f>_xll.qlRateHelperQuoteValue(M62,_xll.ohTrigger(RecalcTrigger,YieldCurve))</f>
        <v>2.775E-2</v>
      </c>
      <c r="Q62" s="151" t="str">
        <f t="shared" si="7"/>
        <v>45Y</v>
      </c>
      <c r="R62" s="139" t="str">
        <f>_xll.qlMakeOIS(,IF(Q62="SW","1W",Q62),IborIndex,,"0D",,,,_xll.ohTrigger(RecalcTrigger,YieldCurve))</f>
        <v>obj_0038a#0001</v>
      </c>
      <c r="S62" s="152">
        <f>_xll.qlOvernightIndexedSwapFairRate(R62,_xll.ohTrigger(RecalcTrigger,YieldCurve))</f>
        <v>2.7750000000012282E-2</v>
      </c>
      <c r="T62" s="153">
        <f t="shared" si="6"/>
        <v>1.2281842209915794E-14</v>
      </c>
      <c r="U62" s="160"/>
      <c r="V62" s="144"/>
      <c r="W62" s="139" t="str">
        <f t="shared" si="8"/>
        <v>1D</v>
      </c>
      <c r="X62" s="149">
        <f>_xll.qlCalendarAdvance(Calendar,X61,W62,"f",FALSE)</f>
        <v>42020</v>
      </c>
      <c r="Y62" s="155">
        <f>_xll.qlCalendarAdvance(Calendar,X62,NDays&amp;"D")</f>
        <v>42020</v>
      </c>
      <c r="Z62" s="156">
        <v>9.6373684958406258E-4</v>
      </c>
      <c r="AA62" s="159"/>
    </row>
    <row r="63" spans="13:27" x14ac:dyDescent="0.2">
      <c r="M63" s="148" t="str">
        <v>obj_00349#0001</v>
      </c>
      <c r="N63" s="148" t="str">
        <f>_xll.qlRateHelperQuoteName(M63)</f>
        <v>USDOIS50Y_Quote</v>
      </c>
      <c r="O63" s="149">
        <f>_xll.qlRateHelperLatestDate(M63,Trigger)</f>
        <v>60210</v>
      </c>
      <c r="P63" s="150">
        <f>_xll.qlRateHelperQuoteValue(M63,_xll.ohTrigger(RecalcTrigger,YieldCurve))</f>
        <v>2.7650000000000001E-2</v>
      </c>
      <c r="Q63" s="151" t="str">
        <f t="shared" si="7"/>
        <v>50Y</v>
      </c>
      <c r="R63" s="139" t="str">
        <f>_xll.qlMakeOIS(,IF(Q63="SW","1W",Q63),IborIndex,,"0D",,,,_xll.ohTrigger(RecalcTrigger,YieldCurve))</f>
        <v>obj_00379#0001</v>
      </c>
      <c r="S63" s="152">
        <f>_xll.qlOvernightIndexedSwapFairRate(R63,_xll.ohTrigger(RecalcTrigger,YieldCurve))</f>
        <v>2.765000000000371E-2</v>
      </c>
      <c r="T63" s="153">
        <f t="shared" si="6"/>
        <v>3.7088387916384136E-15</v>
      </c>
      <c r="U63" s="160"/>
      <c r="V63" s="144"/>
      <c r="W63" s="139" t="str">
        <f t="shared" si="8"/>
        <v>1D</v>
      </c>
      <c r="X63" s="149">
        <f>_xll.qlCalendarAdvance(Calendar,X62,W63,"f",FALSE)</f>
        <v>42024</v>
      </c>
      <c r="Y63" s="155">
        <f>_xll.qlCalendarAdvance(Calendar,X63,NDays&amp;"D")</f>
        <v>42024</v>
      </c>
      <c r="Z63" s="156">
        <v>9.6241538778407687E-4</v>
      </c>
      <c r="AA63" s="159"/>
    </row>
    <row r="64" spans="13:27" ht="12" thickBot="1" x14ac:dyDescent="0.25">
      <c r="M64" s="148" t="e">
        <v>#N/A</v>
      </c>
      <c r="N64" s="148" t="e">
        <f>_xll.qlRateHelperQuoteName(M64)</f>
        <v>#VALUE!</v>
      </c>
      <c r="O64" s="149" t="e">
        <f>_xll.qlRateHelperLatestDate(M64,Trigger)</f>
        <v>#VALUE!</v>
      </c>
      <c r="P64" s="150" t="e">
        <f>_xll.qlRateHelperQuoteValue(M64,_xll.ohTrigger(RecalcTrigger,YieldCurve))</f>
        <v>#VALUE!</v>
      </c>
      <c r="Q64" s="151" t="e">
        <f>SUBSTITUTE(SUBSTITUTE(N64,"_Quote",""),"USDOIS","")</f>
        <v>#VALUE!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42025</v>
      </c>
      <c r="Y64" s="155">
        <f>_xll.qlCalendarAdvance(Calendar,X64,NDays&amp;"D")</f>
        <v>42025</v>
      </c>
      <c r="Z64" s="156">
        <v>9.6227502222490102E-4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42026</v>
      </c>
      <c r="Y65" s="155">
        <f>_xll.qlCalendarAdvance(Calendar,X65,NDays&amp;"D")</f>
        <v>42026</v>
      </c>
      <c r="Z65" s="156">
        <v>9.623279922532646E-4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42027</v>
      </c>
      <c r="Y66" s="155">
        <f>_xll.qlCalendarAdvance(Calendar,X66,NDays&amp;"D")</f>
        <v>42027</v>
      </c>
      <c r="Z66" s="156">
        <v>9.6308096074082528E-4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42030</v>
      </c>
      <c r="Y67" s="155">
        <f>_xll.qlCalendarAdvance(Calendar,X67,NDays&amp;"D")</f>
        <v>42030</v>
      </c>
      <c r="Z67" s="156">
        <v>9.6447322832204918E-4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42031</v>
      </c>
      <c r="Y68" s="155">
        <f>_xll.qlCalendarAdvance(Calendar,X68,NDays&amp;"D")</f>
        <v>42031</v>
      </c>
      <c r="Z68" s="156">
        <v>9.6549287628810987E-4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42032</v>
      </c>
      <c r="Y69" s="155">
        <f>_xll.qlCalendarAdvance(Calendar,X69,NDays&amp;"D")</f>
        <v>42032</v>
      </c>
      <c r="Z69" s="156">
        <v>9.6670585984170998E-4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42033</v>
      </c>
      <c r="Y70" s="155">
        <f>_xll.qlCalendarAdvance(Calendar,X70,NDays&amp;"D")</f>
        <v>42033</v>
      </c>
      <c r="Z70" s="156">
        <v>9.6811217906278557E-4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42034</v>
      </c>
      <c r="Y71" s="155">
        <f>_xll.qlCalendarAdvance(Calendar,X71,NDays&amp;"D")</f>
        <v>42034</v>
      </c>
      <c r="Z71" s="156">
        <v>9.7157189149932321E-4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42037</v>
      </c>
      <c r="Y72" s="155">
        <f>_xll.qlCalendarAdvance(Calendar,X72,NDays&amp;"D")</f>
        <v>42037</v>
      </c>
      <c r="Z72" s="156">
        <v>9.7567081182248216E-4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42038</v>
      </c>
      <c r="Y73" s="155">
        <f>_xll.qlCalendarAdvance(Calendar,X73,NDays&amp;"D")</f>
        <v>42038</v>
      </c>
      <c r="Z73" s="156">
        <v>9.7804380898125487E-4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42039</v>
      </c>
      <c r="Y74" s="155">
        <f>_xll.qlCalendarAdvance(Calendar,X74,NDays&amp;"D")</f>
        <v>42039</v>
      </c>
      <c r="Z74" s="156">
        <v>9.8057453181255028E-4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42040</v>
      </c>
      <c r="Y75" s="155">
        <f>_xll.qlCalendarAdvance(Calendar,X75,NDays&amp;"D")</f>
        <v>42040</v>
      </c>
      <c r="Z75" s="156">
        <v>9.8312054017668515E-4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42041</v>
      </c>
      <c r="Y76" s="155">
        <f>_xll.qlCalendarAdvance(Calendar,X76,NDays&amp;"D")</f>
        <v>42041</v>
      </c>
      <c r="Z76" s="156">
        <v>9.8814752087506008E-4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42044</v>
      </c>
      <c r="Y77" s="155">
        <f>_xll.qlCalendarAdvance(Calendar,X77,NDays&amp;"D")</f>
        <v>42044</v>
      </c>
      <c r="Z77" s="156">
        <v>9.9310132869234735E-4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42045</v>
      </c>
      <c r="Y78" s="155">
        <f>_xll.qlCalendarAdvance(Calendar,X78,NDays&amp;"D")</f>
        <v>42045</v>
      </c>
      <c r="Z78" s="156">
        <v>9.9554571458604357E-4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42046</v>
      </c>
      <c r="Y79" s="155">
        <f>_xll.qlCalendarAdvance(Calendar,X79,NDays&amp;"D")</f>
        <v>42046</v>
      </c>
      <c r="Z79" s="156">
        <v>9.9796977601762649E-4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42047</v>
      </c>
      <c r="Y80" s="155">
        <f>_xll.qlCalendarAdvance(Calendar,X80,NDays&amp;"D")</f>
        <v>42047</v>
      </c>
      <c r="Z80" s="156">
        <v>1.0003735129870961E-3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42048</v>
      </c>
      <c r="Y81" s="155">
        <f>_xll.qlCalendarAdvance(Calendar,X81,NDays&amp;"D")</f>
        <v>42048</v>
      </c>
      <c r="Z81" s="156">
        <v>1.0062854521253328E-3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42052</v>
      </c>
      <c r="Y82" s="155">
        <f>_xll.qlCalendarAdvance(Calendar,X82,NDays&amp;"D")</f>
        <v>42052</v>
      </c>
      <c r="Z82" s="156">
        <v>1.0120873304231282E-3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42053</v>
      </c>
      <c r="Y83" s="155">
        <f>_xll.qlCalendarAdvance(Calendar,X83,NDays&amp;"D")</f>
        <v>42053</v>
      </c>
      <c r="Z83" s="156">
        <v>1.0143691205399819E-3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42054</v>
      </c>
      <c r="Y84" s="155">
        <f>_xll.qlCalendarAdvance(Calendar,X84,NDays&amp;"D")</f>
        <v>42054</v>
      </c>
      <c r="Z84" s="156">
        <v>1.0166305860348501E-3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42055</v>
      </c>
      <c r="Y85" s="155">
        <f>_xll.qlCalendarAdvance(Calendar,X85,NDays&amp;"D")</f>
        <v>42055</v>
      </c>
      <c r="Z85" s="156">
        <v>1.0210886650074968E-3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42058</v>
      </c>
      <c r="Y86" s="155">
        <f>_xll.qlCalendarAdvance(Calendar,X86,NDays&amp;"D")</f>
        <v>42058</v>
      </c>
      <c r="Z86" s="156">
        <v>1.0254732033132541E-3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42059</v>
      </c>
      <c r="Y87" s="155">
        <f>_xll.qlCalendarAdvance(Calendar,X87,NDays&amp;"D")</f>
        <v>42059</v>
      </c>
      <c r="Z87" s="156">
        <v>1.0276330464975558E-3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42060</v>
      </c>
      <c r="Y88" s="155">
        <f>_xll.qlCalendarAdvance(Calendar,X88,NDays&amp;"D")</f>
        <v>42060</v>
      </c>
      <c r="Z88" s="156">
        <v>1.0297725650598721E-3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42061</v>
      </c>
      <c r="Y89" s="155">
        <f>_xll.qlCalendarAdvance(Calendar,X89,NDays&amp;"D")</f>
        <v>42061</v>
      </c>
      <c r="Z89" s="156">
        <v>1.0318917591600751E-3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42062</v>
      </c>
      <c r="Y90" s="155">
        <f>_xll.qlCalendarAdvance(Calendar,X90,NDays&amp;"D")</f>
        <v>42062</v>
      </c>
      <c r="Z90" s="156">
        <v>1.0360653808216824E-3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42065</v>
      </c>
      <c r="Y91" s="155">
        <f>_xll.qlCalendarAdvance(Calendar,X91,NDays&amp;"D")</f>
        <v>42065</v>
      </c>
      <c r="Z91" s="156">
        <v>1.0401652906999459E-3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42066</v>
      </c>
      <c r="Y92" s="155">
        <f>_xll.qlCalendarAdvance(Calendar,X92,NDays&amp;"D")</f>
        <v>42066</v>
      </c>
      <c r="Z92" s="156">
        <v>1.0421828623297102E-3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42067</v>
      </c>
      <c r="Y93" s="155">
        <f>_xll.qlCalendarAdvance(Calendar,X93,NDays&amp;"D")</f>
        <v>42067</v>
      </c>
      <c r="Z93" s="156">
        <v>1.0441799950289266E-3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42068</v>
      </c>
      <c r="Y94" s="155">
        <f>_xll.qlCalendarAdvance(Calendar,X94,NDays&amp;"D")</f>
        <v>42068</v>
      </c>
      <c r="Z94" s="156">
        <v>1.0461562306840477E-3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42069</v>
      </c>
      <c r="Y95" s="155">
        <f>_xll.qlCalendarAdvance(Calendar,X95,NDays&amp;"D")</f>
        <v>42069</v>
      </c>
      <c r="Z95" s="156">
        <v>1.050041726209372E-3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42072</v>
      </c>
      <c r="Y96" s="155">
        <f>_xll.qlCalendarAdvance(Calendar,X96,NDays&amp;"D")</f>
        <v>42072</v>
      </c>
      <c r="Z96" s="156">
        <v>1.0538510578594895E-3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42073</v>
      </c>
      <c r="Y97" s="155">
        <f>_xll.qlCalendarAdvance(Calendar,X97,NDays&amp;"D")</f>
        <v>42073</v>
      </c>
      <c r="Z97" s="156">
        <v>1.0557222358720253E-3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42074</v>
      </c>
      <c r="Y98" s="155">
        <f>_xll.qlCalendarAdvance(Calendar,X98,NDays&amp;"D")</f>
        <v>42074</v>
      </c>
      <c r="Z98" s="156">
        <v>1.0575724022920951E-3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42075</v>
      </c>
      <c r="Y99" s="155">
        <f>_xll.qlCalendarAdvance(Calendar,X99,NDays&amp;"D")</f>
        <v>42075</v>
      </c>
      <c r="Z99" s="156">
        <v>1.0594015571996351E-3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42076</v>
      </c>
      <c r="Y100" s="155">
        <f>_xll.qlCalendarAdvance(Calendar,X100,NDays&amp;"D")</f>
        <v>42076</v>
      </c>
      <c r="Z100" s="156">
        <v>1.0629929672756333E-3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42079</v>
      </c>
      <c r="Y101" s="155">
        <f>_xll.qlCalendarAdvance(Calendar,X101,NDays&amp;"D")</f>
        <v>42079</v>
      </c>
      <c r="Z101" s="156">
        <v>1.0665080613847522E-3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42080</v>
      </c>
      <c r="Y102" s="155">
        <f>_xll.qlCalendarAdvance(Calendar,X102,NDays&amp;"D")</f>
        <v>42080</v>
      </c>
      <c r="Z102" s="156">
        <v>1.0682321586497068E-3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42081</v>
      </c>
      <c r="Y103" s="155">
        <f>_xll.qlCalendarAdvance(Calendar,X103,NDays&amp;"D")</f>
        <v>42081</v>
      </c>
      <c r="Z103" s="156">
        <v>1.0699352443221954E-3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42082</v>
      </c>
      <c r="Y104" s="155">
        <f>_xll.qlCalendarAdvance(Calendar,X104,NDays&amp;"D")</f>
        <v>42082</v>
      </c>
      <c r="Z104" s="156">
        <v>1.0716173184821542E-3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42083</v>
      </c>
      <c r="Y105" s="155">
        <f>_xll.qlCalendarAdvance(Calendar,X105,NDays&amp;"D")</f>
        <v>42083</v>
      </c>
      <c r="Z105" s="156">
        <v>1.0749146378863372E-3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42086</v>
      </c>
      <c r="Y106" s="155">
        <f>_xll.qlCalendarAdvance(Calendar,X106,NDays&amp;"D")</f>
        <v>42086</v>
      </c>
      <c r="Z106" s="156">
        <v>1.0781354997568826E-3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42087</v>
      </c>
      <c r="Y107" s="155">
        <f>_xll.qlCalendarAdvance(Calendar,X107,NDays&amp;"D")</f>
        <v>42087</v>
      </c>
      <c r="Z107" s="156">
        <v>1.07971251619432E-3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42088</v>
      </c>
      <c r="Y108" s="155">
        <f>_xll.qlCalendarAdvance(Calendar,X108,NDays&amp;"D")</f>
        <v>42088</v>
      </c>
      <c r="Z108" s="156">
        <v>1.0812685211192274E-3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42089</v>
      </c>
      <c r="Y109" s="155">
        <f>_xll.qlCalendarAdvance(Calendar,X109,NDays&amp;"D")</f>
        <v>42089</v>
      </c>
      <c r="Z109" s="156">
        <v>1.0828035145316051E-3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42090</v>
      </c>
      <c r="Y110" s="155">
        <f>_xll.qlCalendarAdvance(Calendar,X110,NDays&amp;"D")</f>
        <v>42090</v>
      </c>
      <c r="Z110" s="156">
        <v>1.0858067377750302E-3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42093</v>
      </c>
      <c r="Y111" s="155">
        <f>_xll.qlCalendarAdvance(Calendar,X111,NDays&amp;"D")</f>
        <v>42093</v>
      </c>
      <c r="Z111" s="156">
        <v>1.0887333726561366E-3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42094</v>
      </c>
      <c r="Y112" s="155">
        <f>_xll.qlCalendarAdvance(Calendar,X112,NDays&amp;"D")</f>
        <v>42094</v>
      </c>
      <c r="Z112" s="156">
        <v>1.0901633084259288E-3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42095</v>
      </c>
      <c r="Y113" s="155">
        <f>_xll.qlCalendarAdvance(Calendar,X113,NDays&amp;"D")</f>
        <v>42095</v>
      </c>
      <c r="Z113" s="156">
        <v>1.091572232523319E-3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42096</v>
      </c>
      <c r="Y114" s="155">
        <f>_xll.qlCalendarAdvance(Calendar,X114,NDays&amp;"D")</f>
        <v>42096</v>
      </c>
      <c r="Z114" s="156">
        <v>1.0929601451881155E-3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42097</v>
      </c>
      <c r="Y115" s="155">
        <f>_xll.qlCalendarAdvance(Calendar,X115,NDays&amp;"D")</f>
        <v>42097</v>
      </c>
      <c r="Z115" s="156">
        <v>1.0956692665953227E-3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42100</v>
      </c>
      <c r="Y116" s="155">
        <f>_xll.qlCalendarAdvance(Calendar,X116,NDays&amp;"D")</f>
        <v>42100</v>
      </c>
      <c r="Z116" s="156">
        <v>1.0983215734494678E-3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42101</v>
      </c>
      <c r="Y117" s="155">
        <f>_xll.qlCalendarAdvance(Calendar,X117,NDays&amp;"D")</f>
        <v>42101</v>
      </c>
      <c r="Z117" s="156">
        <v>1.0997237879539767E-3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42102</v>
      </c>
      <c r="Y118" s="155">
        <f>_xll.qlCalendarAdvance(Calendar,X118,NDays&amp;"D")</f>
        <v>42102</v>
      </c>
      <c r="Z118" s="156">
        <v>1.1012243504282537E-3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42103</v>
      </c>
      <c r="Y119" s="155">
        <f>_xll.qlCalendarAdvance(Calendar,X119,NDays&amp;"D")</f>
        <v>42103</v>
      </c>
      <c r="Z119" s="156">
        <v>1.1028232609522348E-3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42104</v>
      </c>
      <c r="Y120" s="155">
        <f>_xll.qlCalendarAdvance(Calendar,X120,NDays&amp;"D")</f>
        <v>42104</v>
      </c>
      <c r="Z120" s="156">
        <v>1.1063523086729532E-3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42107</v>
      </c>
      <c r="Y121" s="155">
        <f>_xll.qlCalendarAdvance(Calendar,X121,NDays&amp;"D")</f>
        <v>42107</v>
      </c>
      <c r="Z121" s="156">
        <v>1.1102023831455199E-3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42108</v>
      </c>
      <c r="Y122" s="155">
        <f>_xll.qlCalendarAdvance(Calendar,X122,NDays&amp;"D")</f>
        <v>42108</v>
      </c>
      <c r="Z122" s="156">
        <v>1.1122930337581494E-3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42109</v>
      </c>
      <c r="Y123" s="155">
        <f>_xll.qlCalendarAdvance(Calendar,X123,NDays&amp;"D")</f>
        <v>42109</v>
      </c>
      <c r="Z123" s="156">
        <v>1.1144820324204829E-3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42110</v>
      </c>
      <c r="Y124" s="155">
        <f>_xll.qlCalendarAdvance(Calendar,X124,NDays&amp;"D")</f>
        <v>42110</v>
      </c>
      <c r="Z124" s="156">
        <v>1.1167693790525846E-3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42111</v>
      </c>
      <c r="Y125" s="155">
        <f>_xll.qlCalendarAdvance(Calendar,X125,NDays&amp;"D")</f>
        <v>42111</v>
      </c>
      <c r="Z125" s="156">
        <v>1.1216753940335167E-3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42114</v>
      </c>
      <c r="Y126" s="155">
        <f>_xll.qlCalendarAdvance(Calendar,X126,NDays&amp;"D")</f>
        <v>42114</v>
      </c>
      <c r="Z126" s="156">
        <v>1.126902246078032E-3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42115</v>
      </c>
      <c r="Y127" s="155">
        <f>_xll.qlCalendarAdvance(Calendar,X127,NDays&amp;"D")</f>
        <v>42115</v>
      </c>
      <c r="Z127" s="156">
        <v>1.1296813329586541E-3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42116</v>
      </c>
      <c r="Y128" s="155">
        <f>_xll.qlCalendarAdvance(Calendar,X128,NDays&amp;"D")</f>
        <v>42116</v>
      </c>
      <c r="Z128" s="156">
        <v>1.1325587678090443E-3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42117</v>
      </c>
      <c r="Y129" s="155">
        <f>_xll.qlCalendarAdvance(Calendar,X129,NDays&amp;"D")</f>
        <v>42117</v>
      </c>
      <c r="Z129" s="156">
        <v>1.1355345507091386E-3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42118</v>
      </c>
      <c r="Y130" s="155">
        <f>_xll.qlCalendarAdvance(Calendar,X130,NDays&amp;"D")</f>
        <v>42118</v>
      </c>
      <c r="Z130" s="156">
        <v>1.1418175648980622E-3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42121</v>
      </c>
      <c r="Y131" s="155">
        <f>_xll.qlCalendarAdvance(Calendar,X131,NDays&amp;"D")</f>
        <v>42121</v>
      </c>
      <c r="Z131" s="156">
        <v>1.1484211629664287E-3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42122</v>
      </c>
      <c r="Y132" s="155">
        <f>_xll.qlCalendarAdvance(Calendar,X132,NDays&amp;"D")</f>
        <v>42122</v>
      </c>
      <c r="Z132" s="156">
        <v>1.1518886861150435E-3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42123</v>
      </c>
      <c r="Y133" s="155">
        <f>_xll.qlCalendarAdvance(Calendar,X133,NDays&amp;"D")</f>
        <v>42123</v>
      </c>
      <c r="Z133" s="156">
        <v>1.1554545573932984E-3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42124</v>
      </c>
      <c r="Y134" s="155">
        <f>_xll.qlCalendarAdvance(Calendar,X134,NDays&amp;"D")</f>
        <v>42124</v>
      </c>
      <c r="Z134" s="156">
        <v>1.1591187766413213E-3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42125</v>
      </c>
      <c r="Y135" s="155">
        <f>_xll.qlCalendarAdvance(Calendar,X135,NDays&amp;"D")</f>
        <v>42125</v>
      </c>
      <c r="Z135" s="156">
        <v>1.1667788237446075E-3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42128</v>
      </c>
      <c r="Y136" s="155">
        <f>_xll.qlCalendarAdvance(Calendar,X136,NDays&amp;"D")</f>
        <v>42128</v>
      </c>
      <c r="Z136" s="156">
        <v>1.1748022737023689E-3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42129</v>
      </c>
      <c r="Y137" s="155">
        <f>_xll.qlCalendarAdvance(Calendar,X137,NDays&amp;"D")</f>
        <v>42129</v>
      </c>
      <c r="Z137" s="156">
        <v>1.1792170681523828E-3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42130</v>
      </c>
      <c r="Y138" s="155">
        <f>_xll.qlCalendarAdvance(Calendar,X138,NDays&amp;"D")</f>
        <v>42130</v>
      </c>
      <c r="Z138" s="156">
        <v>1.1839890453657631E-3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42131</v>
      </c>
      <c r="Y139" s="155">
        <f>_xll.qlCalendarAdvance(Calendar,X139,NDays&amp;"D")</f>
        <v>42131</v>
      </c>
      <c r="Z139" s="156">
        <v>1.1891182055023819E-3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42132</v>
      </c>
      <c r="Y140" s="155">
        <f>_xll.qlCalendarAdvance(Calendar,X140,NDays&amp;"D")</f>
        <v>42132</v>
      </c>
      <c r="Z140" s="156">
        <v>1.2005711390639107E-3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42135</v>
      </c>
      <c r="Y141" s="155">
        <f>_xll.qlCalendarAdvance(Calendar,X141,NDays&amp;"D")</f>
        <v>42135</v>
      </c>
      <c r="Z141" s="156">
        <v>1.2132066748016257E-3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42136</v>
      </c>
      <c r="Y142" s="155">
        <f>_xll.qlCalendarAdvance(Calendar,X142,NDays&amp;"D")</f>
        <v>42136</v>
      </c>
      <c r="Z142" s="156">
        <v>1.2201217494745009E-3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42137</v>
      </c>
      <c r="Y143" s="155">
        <f>_xll.qlCalendarAdvance(Calendar,X143,NDays&amp;"D")</f>
        <v>42137</v>
      </c>
      <c r="Z143" s="156">
        <v>1.2273940069906786E-3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42138</v>
      </c>
      <c r="Y144" s="155">
        <f>_xll.qlCalendarAdvance(Calendar,X144,NDays&amp;"D")</f>
        <v>42138</v>
      </c>
      <c r="Z144" s="156">
        <v>1.2350234475899668E-3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42139</v>
      </c>
      <c r="Y145" s="155">
        <f>_xll.qlCalendarAdvance(Calendar,X145,NDays&amp;"D")</f>
        <v>42139</v>
      </c>
      <c r="Z145" s="156">
        <v>1.2514772892657788E-3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42142</v>
      </c>
      <c r="Y146" s="155">
        <f>_xll.qlCalendarAdvance(Calendar,X146,NDays&amp;"D")</f>
        <v>42142</v>
      </c>
      <c r="Z146" s="156">
        <v>1.2691130401787376E-3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42143</v>
      </c>
      <c r="Y147" s="155">
        <f>_xll.qlCalendarAdvance(Calendar,X147,NDays&amp;"D")</f>
        <v>42143</v>
      </c>
      <c r="Z147" s="156">
        <v>1.2785283960337068E-3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42144</v>
      </c>
      <c r="Y148" s="155">
        <f>_xll.qlCalendarAdvance(Calendar,X148,NDays&amp;"D")</f>
        <v>42144</v>
      </c>
      <c r="Z148" s="156">
        <v>1.2883009351316588E-3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42145</v>
      </c>
      <c r="Y149" s="155">
        <f>_xll.qlCalendarAdvance(Calendar,X149,NDays&amp;"D")</f>
        <v>42145</v>
      </c>
      <c r="Z149" s="156">
        <v>1.2984306572327853E-3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42146</v>
      </c>
      <c r="Y150" s="155">
        <f>_xll.qlCalendarAdvance(Calendar,X150,NDays&amp;"D")</f>
        <v>42146</v>
      </c>
      <c r="Z150" s="156">
        <v>1.3255481996043983E-3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42150</v>
      </c>
      <c r="Y151" s="155">
        <f>_xll.qlCalendarAdvance(Calendar,X151,NDays&amp;"D")</f>
        <v>42150</v>
      </c>
      <c r="Z151" s="156">
        <v>1.3544370166229669E-3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42151</v>
      </c>
      <c r="Y152" s="155">
        <f>_xll.qlCalendarAdvance(Calendar,X152,NDays&amp;"D")</f>
        <v>42151</v>
      </c>
      <c r="Z152" s="156">
        <v>1.3667098384217979E-3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42152</v>
      </c>
      <c r="Y153" s="155">
        <f>_xll.qlCalendarAdvance(Calendar,X153,NDays&amp;"D")</f>
        <v>42152</v>
      </c>
      <c r="Z153" s="156">
        <v>1.3793398436234838E-3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42153</v>
      </c>
      <c r="Y154" s="155">
        <f>_xll.qlCalendarAdvance(Calendar,X154,NDays&amp;"D")</f>
        <v>42153</v>
      </c>
      <c r="Z154" s="156">
        <v>1.405795955005118E-3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42156</v>
      </c>
      <c r="Y155" s="155">
        <f>_xll.qlCalendarAdvance(Calendar,X155,NDays&amp;"D")</f>
        <v>42156</v>
      </c>
      <c r="Z155" s="156">
        <v>1.4334316992581364E-3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42157</v>
      </c>
      <c r="Y156" s="155">
        <f>_xll.qlCalendarAdvance(Calendar,X156,NDays&amp;"D")</f>
        <v>42157</v>
      </c>
      <c r="Z156" s="156">
        <v>1.4478476220336489E-3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42158</v>
      </c>
      <c r="Y157" s="155">
        <f>_xll.qlCalendarAdvance(Calendar,X157,NDays&amp;"D")</f>
        <v>42158</v>
      </c>
      <c r="Z157" s="156">
        <v>1.4626207284518244E-3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42159</v>
      </c>
      <c r="Y158" s="155">
        <f>_xll.qlCalendarAdvance(Calendar,X158,NDays&amp;"D")</f>
        <v>42159</v>
      </c>
      <c r="Z158" s="156">
        <v>1.4777235373752973E-3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42160</v>
      </c>
      <c r="Y159" s="155">
        <f>_xll.qlCalendarAdvance(Calendar,X159,NDays&amp;"D")</f>
        <v>42160</v>
      </c>
      <c r="Z159" s="156">
        <v>1.508631426530016E-3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42163</v>
      </c>
      <c r="Y160" s="155">
        <f>_xll.qlCalendarAdvance(Calendar,X160,NDays&amp;"D")</f>
        <v>42163</v>
      </c>
      <c r="Z160" s="156">
        <v>1.5401676591686453E-3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42164</v>
      </c>
      <c r="Y161" s="155">
        <f>_xll.qlCalendarAdvance(Calendar,X161,NDays&amp;"D")</f>
        <v>42164</v>
      </c>
      <c r="Z161" s="156">
        <v>1.5562594301243848E-3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42165</v>
      </c>
      <c r="Y162" s="155">
        <f>_xll.qlCalendarAdvance(Calendar,X162,NDays&amp;"D")</f>
        <v>42165</v>
      </c>
      <c r="Z162" s="156">
        <v>1.5725434973390406E-3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42166</v>
      </c>
      <c r="Y163" s="155">
        <f>_xll.qlCalendarAdvance(Calendar,X163,NDays&amp;"D")</f>
        <v>42166</v>
      </c>
      <c r="Z163" s="156">
        <v>1.5890198607326766E-3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42167</v>
      </c>
      <c r="Y164" s="155">
        <f>_xll.qlCalendarAdvance(Calendar,X164,NDays&amp;"D")</f>
        <v>42167</v>
      </c>
      <c r="Z164" s="156">
        <v>1.622620888612758E-3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42170</v>
      </c>
      <c r="Y165" s="155">
        <f>_xll.qlCalendarAdvance(Calendar,X165,NDays&amp;"D")</f>
        <v>42170</v>
      </c>
      <c r="Z165" s="156">
        <v>1.6568482777756799E-3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42171</v>
      </c>
      <c r="Y166" s="155">
        <f>_xll.qlCalendarAdvance(Calendar,X166,NDays&amp;"D")</f>
        <v>42171</v>
      </c>
      <c r="Z166" s="156">
        <v>1.6742861228635775E-3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42172</v>
      </c>
      <c r="Y167" s="155">
        <f>_xll.qlCalendarAdvance(Calendar,X167,NDays&amp;"D")</f>
        <v>42172</v>
      </c>
      <c r="Z167" s="156">
        <v>1.6919162644501995E-3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42173</v>
      </c>
      <c r="Y168" s="155">
        <f>_xll.qlCalendarAdvance(Calendar,X168,NDays&amp;"D")</f>
        <v>42173</v>
      </c>
      <c r="Z168" s="156">
        <v>1.7097387025355459E-3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42174</v>
      </c>
      <c r="Y169" s="155">
        <f>_xll.qlCalendarAdvance(Calendar,X169,NDays&amp;"D")</f>
        <v>42174</v>
      </c>
      <c r="Z169" s="156">
        <v>1.7460330350083098E-3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42177</v>
      </c>
      <c r="Y170" s="155">
        <f>_xll.qlCalendarAdvance(Calendar,X170,NDays&amp;"D")</f>
        <v>42177</v>
      </c>
      <c r="Z170" s="156">
        <v>1.7829514199441121E-3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42178</v>
      </c>
      <c r="Y171" s="155">
        <f>_xll.qlCalendarAdvance(Calendar,X171,NDays&amp;"D")</f>
        <v>42178</v>
      </c>
      <c r="Z171" s="156">
        <v>1.8017353406829528E-3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42179</v>
      </c>
      <c r="Y172" s="155">
        <f>_xll.qlCalendarAdvance(Calendar,X172,NDays&amp;"D")</f>
        <v>42179</v>
      </c>
      <c r="Z172" s="156">
        <v>1.8207115580803901E-3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42180</v>
      </c>
      <c r="Y173" s="155">
        <f>_xll.qlCalendarAdvance(Calendar,X173,NDays&amp;"D")</f>
        <v>42180</v>
      </c>
      <c r="Z173" s="156">
        <v>1.8398800721364239E-3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42181</v>
      </c>
      <c r="Y174" s="155">
        <f>_xll.qlCalendarAdvance(Calendar,X174,NDays&amp;"D")</f>
        <v>42181</v>
      </c>
      <c r="Z174" s="156">
        <v>1.8788678948400417E-3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42184</v>
      </c>
      <c r="Y175" s="155">
        <f>_xll.qlCalendarAdvance(Calendar,X175,NDays&amp;"D")</f>
        <v>42184</v>
      </c>
      <c r="Z175" s="156">
        <v>1.9184770957458852E-3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42185</v>
      </c>
      <c r="Y176" s="155">
        <f>_xll.qlCalendarAdvance(Calendar,X176,NDays&amp;"D")</f>
        <v>42185</v>
      </c>
      <c r="Z176" s="156">
        <v>1.9386070935745181E-3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42186</v>
      </c>
      <c r="Y177" s="155">
        <f>_xll.qlCalendarAdvance(Calendar,X177,NDays&amp;"D")</f>
        <v>42186</v>
      </c>
      <c r="Z177" s="156">
        <v>1.9589293882216197E-3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42187</v>
      </c>
      <c r="Y178" s="155">
        <f>_xll.qlCalendarAdvance(Calendar,X178,NDays&amp;"D")</f>
        <v>42187</v>
      </c>
      <c r="Z178" s="156">
        <v>2.0107134542968197E-3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42191</v>
      </c>
      <c r="Y179" s="155">
        <f>_xll.qlCalendarAdvance(Calendar,X179,NDays&amp;"D")</f>
        <v>42191</v>
      </c>
      <c r="Z179" s="156">
        <v>2.0632937559295073E-3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42192</v>
      </c>
      <c r="Y180" s="155">
        <f>_xll.qlCalendarAdvance(Calendar,X180,NDays&amp;"D")</f>
        <v>42192</v>
      </c>
      <c r="Z180" s="156">
        <v>2.0839804737082801E-3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42193</v>
      </c>
      <c r="Y181" s="155">
        <f>_xll.qlCalendarAdvance(Calendar,X181,NDays&amp;"D")</f>
        <v>42193</v>
      </c>
      <c r="Z181" s="156">
        <v>2.1040701296470843E-3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42194</v>
      </c>
      <c r="Y182" s="155">
        <f>_xll.qlCalendarAdvance(Calendar,X182,NDays&amp;"D")</f>
        <v>42194</v>
      </c>
      <c r="Z182" s="156">
        <v>2.1235627236659838E-3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42195</v>
      </c>
      <c r="Y183" s="155">
        <f>_xll.qlCalendarAdvance(Calendar,X183,NDays&amp;"D")</f>
        <v>42195</v>
      </c>
      <c r="Z183" s="156">
        <v>2.1605706714122874E-3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42198</v>
      </c>
      <c r="Y184" s="155">
        <f>_xll.qlCalendarAdvance(Calendar,X184,NDays&amp;"D")</f>
        <v>42198</v>
      </c>
      <c r="Z184" s="156">
        <v>2.1955624790237493E-3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42199</v>
      </c>
      <c r="Y185" s="155">
        <f>_xll.qlCalendarAdvance(Calendar,X185,NDays&amp;"D")</f>
        <v>42199</v>
      </c>
      <c r="Z185" s="156">
        <v>2.2120697621641483E-3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42200</v>
      </c>
      <c r="Y186" s="155">
        <f>_xll.qlCalendarAdvance(Calendar,X186,NDays&amp;"D")</f>
        <v>42200</v>
      </c>
      <c r="Z186" s="156">
        <v>2.2279799829050262E-3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42201</v>
      </c>
      <c r="Y187" s="155">
        <f>_xll.qlCalendarAdvance(Calendar,X187,NDays&amp;"D")</f>
        <v>42201</v>
      </c>
      <c r="Z187" s="156">
        <v>2.2432931410065748E-3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42202</v>
      </c>
      <c r="Y188" s="155">
        <f>_xll.qlCalendarAdvance(Calendar,X188,NDays&amp;"D")</f>
        <v>42202</v>
      </c>
      <c r="Z188" s="156">
        <v>2.2719435864626547E-3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42205</v>
      </c>
      <c r="Y189" s="155">
        <f>_xll.qlCalendarAdvance(Calendar,X189,NDays&amp;"D")</f>
        <v>42205</v>
      </c>
      <c r="Z189" s="156">
        <v>2.2985751471793492E-3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42206</v>
      </c>
      <c r="Y190" s="155">
        <f>_xll.qlCalendarAdvance(Calendar,X190,NDays&amp;"D")</f>
        <v>42206</v>
      </c>
      <c r="Z190" s="156">
        <v>2.3109029916845714E-3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42207</v>
      </c>
      <c r="Y191" s="155">
        <f>_xll.qlCalendarAdvance(Calendar,X191,NDays&amp;"D")</f>
        <v>42207</v>
      </c>
      <c r="Z191" s="156">
        <v>2.3226337732307201E-3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42208</v>
      </c>
      <c r="Y192" s="155">
        <f>_xll.qlCalendarAdvance(Calendar,X192,NDays&amp;"D")</f>
        <v>42208</v>
      </c>
      <c r="Z192" s="156">
        <v>2.3337674918977314E-3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42209</v>
      </c>
      <c r="Y193" s="155">
        <f>_xll.qlCalendarAdvance(Calendar,X193,NDays&amp;"D")</f>
        <v>42209</v>
      </c>
      <c r="Z193" s="156">
        <v>2.3540601118821058E-3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42212</v>
      </c>
      <c r="Y194" s="155">
        <f>_xll.qlCalendarAdvance(Calendar,X194,NDays&amp;"D")</f>
        <v>42212</v>
      </c>
      <c r="Z194" s="156">
        <v>2.3723317352963846E-3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42213</v>
      </c>
      <c r="Y195" s="155">
        <f>_xll.qlCalendarAdvance(Calendar,X195,NDays&amp;"D")</f>
        <v>42213</v>
      </c>
      <c r="Z195" s="156">
        <v>2.3804801382087959E-3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42214</v>
      </c>
      <c r="Y196" s="155">
        <f>_xll.qlCalendarAdvance(Calendar,X196,NDays&amp;"D")</f>
        <v>42214</v>
      </c>
      <c r="Z196" s="156">
        <v>2.3880314777624534E-3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42215</v>
      </c>
      <c r="Y197" s="155">
        <f>_xll.qlCalendarAdvance(Calendar,X197,NDays&amp;"D")</f>
        <v>42215</v>
      </c>
      <c r="Z197" s="156">
        <v>2.3949857540372932E-3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42216</v>
      </c>
      <c r="Y198" s="155">
        <f>_xll.qlCalendarAdvance(Calendar,X198,NDays&amp;"D")</f>
        <v>42216</v>
      </c>
      <c r="Z198" s="156">
        <v>2.4069201876120161E-3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42219</v>
      </c>
      <c r="Y199" s="155">
        <f>_xll.qlCalendarAdvance(Calendar,X199,NDays&amp;"D")</f>
        <v>42219</v>
      </c>
      <c r="Z199" s="156">
        <v>2.4168322254691788E-3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42220</v>
      </c>
      <c r="Y200" s="155">
        <f>_xll.qlCalendarAdvance(Calendar,X200,NDays&amp;"D")</f>
        <v>42220</v>
      </c>
      <c r="Z200" s="156">
        <v>2.420964884404242E-3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42221</v>
      </c>
      <c r="Y201" s="155">
        <f>_xll.qlCalendarAdvance(Calendar,X201,NDays&amp;"D")</f>
        <v>42221</v>
      </c>
      <c r="Z201" s="156">
        <v>2.4253189787692975E-3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42222</v>
      </c>
      <c r="Y202" s="155">
        <f>_xll.qlCalendarAdvance(Calendar,X202,NDays&amp;"D")</f>
        <v>42222</v>
      </c>
      <c r="Z202" s="156">
        <v>2.4300582080183375E-3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42223</v>
      </c>
      <c r="Y203" s="155">
        <f>_xll.qlCalendarAdvance(Calendar,X203,NDays&amp;"D")</f>
        <v>42223</v>
      </c>
      <c r="Z203" s="156">
        <v>2.4408369992379164E-3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42226</v>
      </c>
      <c r="Y204" s="155">
        <f>_xll.qlCalendarAdvance(Calendar,X204,NDays&amp;"D")</f>
        <v>42226</v>
      </c>
      <c r="Z204" s="156">
        <v>2.4528664762524244E-3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42227</v>
      </c>
      <c r="Y205" s="155">
        <f>_xll.qlCalendarAdvance(Calendar,X205,NDays&amp;"D")</f>
        <v>42227</v>
      </c>
      <c r="Z205" s="156">
        <v>2.4595313811204278E-3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42228</v>
      </c>
      <c r="Y206" s="155">
        <f>_xll.qlCalendarAdvance(Calendar,X206,NDays&amp;"D")</f>
        <v>42228</v>
      </c>
      <c r="Z206" s="156">
        <v>2.4665814210322878E-3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42229</v>
      </c>
      <c r="Y207" s="155">
        <f>_xll.qlCalendarAdvance(Calendar,X207,NDays&amp;"D")</f>
        <v>42229</v>
      </c>
      <c r="Z207" s="156">
        <v>2.4740165963077487E-3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42230</v>
      </c>
      <c r="Y208" s="155">
        <f>_xll.qlCalendarAdvance(Calendar,X208,NDays&amp;"D")</f>
        <v>42230</v>
      </c>
      <c r="Z208" s="156">
        <v>2.4901879555194739E-3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42233</v>
      </c>
      <c r="Y209" s="155">
        <f>_xll.qlCalendarAdvance(Calendar,X209,NDays&amp;"D")</f>
        <v>42233</v>
      </c>
      <c r="Z209" s="156">
        <v>2.5076086492870076E-3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42234</v>
      </c>
      <c r="Y210" s="155">
        <f>_xll.qlCalendarAdvance(Calendar,X210,NDays&amp;"D")</f>
        <v>42234</v>
      </c>
      <c r="Z210" s="156">
        <v>2.5169695007409842E-3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42235</v>
      </c>
      <c r="Y211" s="155">
        <f>_xll.qlCalendarAdvance(Calendar,X211,NDays&amp;"D")</f>
        <v>42235</v>
      </c>
      <c r="Z211" s="156">
        <v>2.5267154875585618E-3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42236</v>
      </c>
      <c r="Y212" s="155">
        <f>_xll.qlCalendarAdvance(Calendar,X212,NDays&amp;"D")</f>
        <v>42236</v>
      </c>
      <c r="Z212" s="156">
        <v>2.5368466098196762E-3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42237</v>
      </c>
      <c r="Y213" s="155">
        <f>_xll.qlCalendarAdvance(Calendar,X213,NDays&amp;"D")</f>
        <v>42237</v>
      </c>
      <c r="Z213" s="156">
        <v>2.5584108204235179E-3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42240</v>
      </c>
      <c r="Y214" s="155">
        <f>_xll.qlCalendarAdvance(Calendar,X214,NDays&amp;"D")</f>
        <v>42240</v>
      </c>
      <c r="Z214" s="156">
        <v>2.5812224528998229E-3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42241</v>
      </c>
      <c r="Y215" s="155">
        <f>_xll.qlCalendarAdvance(Calendar,X215,NDays&amp;"D")</f>
        <v>42241</v>
      </c>
      <c r="Z215" s="156">
        <v>2.593279252538494E-3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42242</v>
      </c>
      <c r="Y216" s="155">
        <f>_xll.qlCalendarAdvance(Calendar,X216,NDays&amp;"D")</f>
        <v>42242</v>
      </c>
      <c r="Z216" s="156">
        <v>2.6057211877006381E-3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42243</v>
      </c>
      <c r="Y217" s="155">
        <f>_xll.qlCalendarAdvance(Calendar,X217,NDays&amp;"D")</f>
        <v>42243</v>
      </c>
      <c r="Z217" s="156">
        <v>2.6185482584661912E-3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42244</v>
      </c>
      <c r="Y218" s="155">
        <f>_xll.qlCalendarAdvance(Calendar,X218,NDays&amp;"D")</f>
        <v>42244</v>
      </c>
      <c r="Z218" s="156">
        <v>2.6455056260843435E-3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42247</v>
      </c>
      <c r="Y219" s="155">
        <f>_xll.qlCalendarAdvance(Calendar,X219,NDays&amp;"D")</f>
        <v>42247</v>
      </c>
      <c r="Z219" s="156">
        <v>2.6737078987615348E-3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42248</v>
      </c>
      <c r="Y220" s="155">
        <f>_xll.qlCalendarAdvance(Calendar,X220,NDays&amp;"D")</f>
        <v>42248</v>
      </c>
      <c r="Z220" s="156">
        <v>2.6884606483434936E-3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42249</v>
      </c>
      <c r="Y221" s="155">
        <f>_xll.qlCalendarAdvance(Calendar,X221,NDays&amp;"D")</f>
        <v>42249</v>
      </c>
      <c r="Z221" s="156">
        <v>2.7035985337686697E-3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42250</v>
      </c>
      <c r="Y222" s="155">
        <f>_xll.qlCalendarAdvance(Calendar,X222,NDays&amp;"D")</f>
        <v>42250</v>
      </c>
      <c r="Z222" s="156">
        <v>2.719121555196935E-3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42251</v>
      </c>
      <c r="Y223" s="155">
        <f>_xll.qlCalendarAdvance(Calendar,X223,NDays&amp;"D")</f>
        <v>42251</v>
      </c>
      <c r="Z223" s="156">
        <v>2.7613792806557846E-3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42255</v>
      </c>
      <c r="Y224" s="155">
        <f>_xll.qlCalendarAdvance(Calendar,X224,NDays&amp;"D")</f>
        <v>42255</v>
      </c>
      <c r="Z224" s="156">
        <v>2.808204703095285E-3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42256</v>
      </c>
      <c r="Y225" s="155">
        <f>_xll.qlCalendarAdvance(Calendar,X225,NDays&amp;"D")</f>
        <v>42256</v>
      </c>
      <c r="Z225" s="156">
        <v>2.8288373941709466E-3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42257</v>
      </c>
      <c r="Y226" s="155">
        <f>_xll.qlCalendarAdvance(Calendar,X226,NDays&amp;"D")</f>
        <v>42257</v>
      </c>
      <c r="Z226" s="156">
        <v>2.8504149923591626E-3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42258</v>
      </c>
      <c r="Y227" s="155">
        <f>_xll.qlCalendarAdvance(Calendar,X227,NDays&amp;"D")</f>
        <v>42258</v>
      </c>
      <c r="Z227" s="156">
        <v>2.8967431881987693E-3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42261</v>
      </c>
      <c r="Y228" s="155">
        <f>_xll.qlCalendarAdvance(Calendar,X228,NDays&amp;"D")</f>
        <v>42261</v>
      </c>
      <c r="Z228" s="156">
        <v>2.9461744607939266E-3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42262</v>
      </c>
      <c r="Y229" s="155">
        <f>_xll.qlCalendarAdvance(Calendar,X229,NDays&amp;"D")</f>
        <v>42262</v>
      </c>
      <c r="Z229" s="156">
        <v>2.9724765976624212E-3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42263</v>
      </c>
      <c r="Y230" s="155">
        <f>_xll.qlCalendarAdvance(Calendar,X230,NDays&amp;"D")</f>
        <v>42263</v>
      </c>
      <c r="Z230" s="156">
        <v>2.9997236428425111E-3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42264</v>
      </c>
      <c r="Y231" s="155">
        <f>_xll.qlCalendarAdvance(Calendar,X231,NDays&amp;"D")</f>
        <v>42264</v>
      </c>
      <c r="Z231" s="156">
        <v>3.0279155965740046E-3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42265</v>
      </c>
      <c r="Y232" s="155">
        <f>_xll.qlCalendarAdvance(Calendar,X232,NDays&amp;"D")</f>
        <v>42265</v>
      </c>
      <c r="Z232" s="156">
        <v>3.0874756782139912E-3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42268</v>
      </c>
      <c r="Y233" s="155">
        <f>_xll.qlCalendarAdvance(Calendar,X233,NDays&amp;"D")</f>
        <v>42268</v>
      </c>
      <c r="Z233" s="156">
        <v>3.1501325013305603E-3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42269</v>
      </c>
      <c r="Y234" s="155">
        <f>_xll.qlCalendarAdvance(Calendar,X234,NDays&amp;"D")</f>
        <v>42269</v>
      </c>
      <c r="Z234" s="156">
        <v>3.1830490012563217E-3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42270</v>
      </c>
      <c r="Y235" s="155">
        <f>_xll.qlCalendarAdvance(Calendar,X235,NDays&amp;"D")</f>
        <v>42270</v>
      </c>
      <c r="Z235" s="156">
        <v>3.2169104110923996E-3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42271</v>
      </c>
      <c r="Y236" s="155">
        <f>_xll.qlCalendarAdvance(Calendar,X236,NDays&amp;"D")</f>
        <v>42271</v>
      </c>
      <c r="Z236" s="156">
        <v>3.2517167312384743E-3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42272</v>
      </c>
      <c r="Y237" s="155">
        <f>_xll.qlCalendarAdvance(Calendar,X237,NDays&amp;"D")</f>
        <v>42272</v>
      </c>
      <c r="Z237" s="156">
        <v>3.3245097728595852E-3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42275</v>
      </c>
      <c r="Y238" s="155">
        <f>_xll.qlCalendarAdvance(Calendar,X238,NDays&amp;"D")</f>
        <v>42275</v>
      </c>
      <c r="Z238" s="156">
        <v>3.400391119638968E-3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42276</v>
      </c>
      <c r="Y239" s="155">
        <f>_xll.qlCalendarAdvance(Calendar,X239,NDays&amp;"D")</f>
        <v>42276</v>
      </c>
      <c r="Z239" s="156">
        <v>3.4399219951719573E-3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42277</v>
      </c>
      <c r="Y240" s="155">
        <f>_xll.qlCalendarAdvance(Calendar,X240,NDays&amp;"D")</f>
        <v>42277</v>
      </c>
      <c r="Z240" s="156">
        <v>3.4803977827735366E-3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42278</v>
      </c>
      <c r="Y241" s="155">
        <f>_xll.qlCalendarAdvance(Calendar,X241,NDays&amp;"D")</f>
        <v>42278</v>
      </c>
      <c r="Z241" s="156">
        <v>3.5218184826835142E-3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42279</v>
      </c>
      <c r="Y242" s="155">
        <f>_xll.qlCalendarAdvance(Calendar,X242,NDays&amp;"D")</f>
        <v>42279</v>
      </c>
      <c r="Z242" s="156">
        <v>3.6078457465027469E-3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42282</v>
      </c>
      <c r="Y243" s="155">
        <f>_xll.qlCalendarAdvance(Calendar,X243,NDays&amp;"D")</f>
        <v>42282</v>
      </c>
      <c r="Z243" s="156">
        <v>3.6963870454087555E-3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42283</v>
      </c>
      <c r="Y244" s="155">
        <f>_xll.qlCalendarAdvance(Calendar,X244,NDays&amp;"D")</f>
        <v>42283</v>
      </c>
      <c r="Z244" s="156">
        <v>3.7391521115370807E-3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42284</v>
      </c>
      <c r="Y245" s="155">
        <f>_xll.qlCalendarAdvance(Calendar,X245,NDays&amp;"D")</f>
        <v>42284</v>
      </c>
      <c r="Z245" s="156">
        <v>3.7794818905734218E-3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42285</v>
      </c>
      <c r="Y246" s="155">
        <f>_xll.qlCalendarAdvance(Calendar,X246,NDays&amp;"D")</f>
        <v>42285</v>
      </c>
      <c r="Z246" s="156">
        <v>3.8173763817184181E-3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42286</v>
      </c>
      <c r="Y247" s="155">
        <f>_xll.qlCalendarAdvance(Calendar,X247,NDays&amp;"D")</f>
        <v>42286</v>
      </c>
      <c r="Z247" s="156">
        <v>3.8999995349175975E-3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42290</v>
      </c>
      <c r="Y248" s="155">
        <f>_xll.qlCalendarAdvance(Calendar,X248,NDays&amp;"D")</f>
        <v>42290</v>
      </c>
      <c r="Z248" s="156">
        <v>3.9703194926143937E-3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42291</v>
      </c>
      <c r="Y249" s="155">
        <f>_xll.qlCalendarAdvance(Calendar,X249,NDays&amp;"D")</f>
        <v>42291</v>
      </c>
      <c r="Z249" s="156">
        <v>3.9936022415432149E-3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42292</v>
      </c>
      <c r="Y250" s="155">
        <f>_xll.qlCalendarAdvance(Calendar,X250,NDays&amp;"D")</f>
        <v>42292</v>
      </c>
      <c r="Z250" s="156">
        <v>4.0144496982641442E-3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42293</v>
      </c>
      <c r="Y251" s="155">
        <f>_xll.qlCalendarAdvance(Calendar,X251,NDays&amp;"D")</f>
        <v>42293</v>
      </c>
      <c r="Z251" s="156">
        <v>4.0480724866842621E-3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42296</v>
      </c>
      <c r="Y252" s="155">
        <f>_xll.qlCalendarAdvance(Calendar,X252,NDays&amp;"D")</f>
        <v>42296</v>
      </c>
      <c r="Z252" s="156">
        <v>4.0734865942759768E-3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42297</v>
      </c>
      <c r="Y253" s="155">
        <f>_xll.qlCalendarAdvance(Calendar,X253,NDays&amp;"D")</f>
        <v>42297</v>
      </c>
      <c r="Z253" s="156">
        <v>4.0821575840421787E-3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42298</v>
      </c>
      <c r="Y254" s="155">
        <f>_xll.qlCalendarAdvance(Calendar,X254,NDays&amp;"D")</f>
        <v>42298</v>
      </c>
      <c r="Z254" s="156">
        <v>4.0883932797619593E-3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42299</v>
      </c>
      <c r="Y255" s="155">
        <f>_xll.qlCalendarAdvance(Calendar,X255,NDays&amp;"D")</f>
        <v>42299</v>
      </c>
      <c r="Z255" s="156">
        <v>4.0921936813553828E-3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42300</v>
      </c>
      <c r="Y256" s="155">
        <f>_xll.qlCalendarAdvance(Calendar,X256,NDays&amp;"D")</f>
        <v>42300</v>
      </c>
      <c r="Z256" s="156">
        <v>4.0917233419079935E-3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42303</v>
      </c>
      <c r="Y257" s="155">
        <f>_xll.qlCalendarAdvance(Calendar,X257,NDays&amp;"D")</f>
        <v>42303</v>
      </c>
      <c r="Z257" s="156">
        <v>4.0830423443871666E-3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42304</v>
      </c>
      <c r="Y258" s="155">
        <f>_xll.qlCalendarAdvance(Calendar,X258,NDays&amp;"D")</f>
        <v>42304</v>
      </c>
      <c r="Z258" s="156">
        <v>4.0746662746293794E-3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42305</v>
      </c>
      <c r="Y259" s="155">
        <f>_xll.qlCalendarAdvance(Calendar,X259,NDays&amp;"D")</f>
        <v>42305</v>
      </c>
      <c r="Z259" s="156">
        <v>4.063854910905107E-3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42306</v>
      </c>
      <c r="Y260" s="155">
        <f>_xll.qlCalendarAdvance(Calendar,X260,NDays&amp;"D")</f>
        <v>42306</v>
      </c>
      <c r="Z260" s="156">
        <v>4.0506082535340937E-3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42307</v>
      </c>
      <c r="Y261" s="155">
        <f>_xll.qlCalendarAdvance(Calendar,X261,NDays&amp;"D")</f>
        <v>42307</v>
      </c>
      <c r="Z261" s="156">
        <v>4.0160420948787134E-3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42310</v>
      </c>
      <c r="Y262" s="155">
        <f>_xll.qlCalendarAdvance(Calendar,X262,NDays&amp;"D")</f>
        <v>42310</v>
      </c>
      <c r="Z262" s="156">
        <v>3.9732686927784755E-3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42311</v>
      </c>
      <c r="Y263" s="155">
        <f>_xll.qlCalendarAdvance(Calendar,X263,NDays&amp;"D")</f>
        <v>42311</v>
      </c>
      <c r="Z263" s="156">
        <v>3.9478455717301131E-3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42312</v>
      </c>
      <c r="Y264" s="155">
        <f>_xll.qlCalendarAdvance(Calendar,X264,NDays&amp;"D")</f>
        <v>42312</v>
      </c>
      <c r="Z264" s="156">
        <v>3.9215138107184799E-3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42313</v>
      </c>
      <c r="Y265" s="155">
        <f>_xll.qlCalendarAdvance(Calendar,X265,NDays&amp;"D")</f>
        <v>42313</v>
      </c>
      <c r="Z265" s="156">
        <v>3.9003800147252576E-3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42314</v>
      </c>
      <c r="Y266" s="155">
        <f>_xll.qlCalendarAdvance(Calendar,X266,NDays&amp;"D")</f>
        <v>42314</v>
      </c>
      <c r="Z266" s="156">
        <v>3.8805696348820362E-3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42317</v>
      </c>
      <c r="Y267" s="155">
        <f>_xll.qlCalendarAdvance(Calendar,X267,NDays&amp;"D")</f>
        <v>42317</v>
      </c>
      <c r="Z267" s="156">
        <v>3.8830909770037891E-3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42318</v>
      </c>
      <c r="Y268" s="155">
        <f>_xll.qlCalendarAdvance(Calendar,X268,NDays&amp;"D")</f>
        <v>42318</v>
      </c>
      <c r="Z268" s="156">
        <v>3.9052083795532155E-3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42320</v>
      </c>
      <c r="Y269" s="155">
        <f>_xll.qlCalendarAdvance(Calendar,X269,NDays&amp;"D")</f>
        <v>42320</v>
      </c>
      <c r="Z269" s="156">
        <v>3.9407326509977025E-3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42321</v>
      </c>
      <c r="Y270" s="155">
        <f>_xll.qlCalendarAdvance(Calendar,X270,NDays&amp;"D")</f>
        <v>42321</v>
      </c>
      <c r="Z270" s="156">
        <v>4.0150698374574745E-3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42324</v>
      </c>
      <c r="Y271" s="155">
        <f>_xll.qlCalendarAdvance(Calendar,X271,NDays&amp;"D")</f>
        <v>42324</v>
      </c>
      <c r="Z271" s="156">
        <v>4.1117328746587134E-3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42325</v>
      </c>
      <c r="Y272" s="155">
        <f>_xll.qlCalendarAdvance(Calendar,X272,NDays&amp;"D")</f>
        <v>42325</v>
      </c>
      <c r="Z272" s="156">
        <v>4.1712944913374628E-3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42326</v>
      </c>
      <c r="Y273" s="155">
        <f>_xll.qlCalendarAdvance(Calendar,X273,NDays&amp;"D")</f>
        <v>42326</v>
      </c>
      <c r="Z273" s="156">
        <v>4.2375807385486297E-3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42327</v>
      </c>
      <c r="Y274" s="155">
        <f>_xll.qlCalendarAdvance(Calendar,X274,NDays&amp;"D")</f>
        <v>42327</v>
      </c>
      <c r="Z274" s="156">
        <v>4.3105916199692729E-3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42328</v>
      </c>
      <c r="Y275" s="155">
        <f>_xll.qlCalendarAdvance(Calendar,X275,NDays&amp;"D")</f>
        <v>42328</v>
      </c>
      <c r="Z275" s="156">
        <v>4.4790845707343152E-3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42331</v>
      </c>
      <c r="Y276" s="155">
        <f>_xll.qlCalendarAdvance(Calendar,X276,NDays&amp;"D")</f>
        <v>42331</v>
      </c>
      <c r="Z276" s="156">
        <v>4.6698815743972943E-3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42332</v>
      </c>
      <c r="Y277" s="155">
        <f>_xll.qlCalendarAdvance(Calendar,X277,NDays&amp;"D")</f>
        <v>42332</v>
      </c>
      <c r="Z277" s="156">
        <v>4.7765156954504562E-3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42333</v>
      </c>
      <c r="Y278" s="155">
        <f>_xll.qlCalendarAdvance(Calendar,X278,NDays&amp;"D")</f>
        <v>42333</v>
      </c>
      <c r="Z278" s="156">
        <v>4.9499502340610846E-3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42335</v>
      </c>
      <c r="Y279" s="155">
        <f>_xll.qlCalendarAdvance(Calendar,X279,NDays&amp;"D")</f>
        <v>42335</v>
      </c>
      <c r="Z279" s="156">
        <v>5.2726176571482597E-3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42338</v>
      </c>
      <c r="Y280" s="155">
        <f>_xll.qlCalendarAdvance(Calendar,X280,NDays&amp;"D")</f>
        <v>42338</v>
      </c>
      <c r="Z280" s="156">
        <v>5.5575386089934398E-3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42339</v>
      </c>
      <c r="Y281" s="155">
        <f>_xll.qlCalendarAdvance(Calendar,X281,NDays&amp;"D")</f>
        <v>42339</v>
      </c>
      <c r="Z281" s="156">
        <v>5.7112455272267937E-3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42340</v>
      </c>
      <c r="Y282" s="155">
        <f>_xll.qlCalendarAdvance(Calendar,X282,NDays&amp;"D")</f>
        <v>42340</v>
      </c>
      <c r="Z282" s="156">
        <v>5.8716771620836994E-3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42341</v>
      </c>
      <c r="Y283" s="155">
        <f>_xll.qlCalendarAdvance(Calendar,X283,NDays&amp;"D")</f>
        <v>42341</v>
      </c>
      <c r="Z283" s="156">
        <v>6.0388335227568035E-3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42342</v>
      </c>
      <c r="Y284" s="155">
        <f>_xll.qlCalendarAdvance(Calendar,X284,NDays&amp;"D")</f>
        <v>42342</v>
      </c>
      <c r="Z284" s="156">
        <v>6.3536146419007622E-3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42345</v>
      </c>
      <c r="Y285" s="155">
        <f>_xll.qlCalendarAdvance(Calendar,X285,NDays&amp;"D")</f>
        <v>42345</v>
      </c>
      <c r="Z285" s="156">
        <v>6.6017949787688934E-3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42346</v>
      </c>
      <c r="Y286" s="155">
        <f>_xll.qlCalendarAdvance(Calendar,X286,NDays&amp;"D")</f>
        <v>42346</v>
      </c>
      <c r="Z286" s="156">
        <v>6.6904162318248694E-3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42347</v>
      </c>
      <c r="Y287" s="155">
        <f>_xll.qlCalendarAdvance(Calendar,X287,NDays&amp;"D")</f>
        <v>42347</v>
      </c>
      <c r="Z287" s="156">
        <v>6.7577224756831811E-3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42348</v>
      </c>
      <c r="Y288" s="155">
        <f>_xll.qlCalendarAdvance(Calendar,X288,NDays&amp;"D")</f>
        <v>42348</v>
      </c>
      <c r="Z288" s="156">
        <v>6.8037136987530999E-3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42349</v>
      </c>
      <c r="Y289" s="155">
        <f>_xll.qlCalendarAdvance(Calendar,X289,NDays&amp;"D")</f>
        <v>42349</v>
      </c>
      <c r="Z289" s="156">
        <v>6.8247754198136334E-3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42352</v>
      </c>
      <c r="Y290" s="155">
        <f>_xll.qlCalendarAdvance(Calendar,X290,NDays&amp;"D")</f>
        <v>42352</v>
      </c>
      <c r="Z290" s="156">
        <v>6.7745282751552338E-3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42353</v>
      </c>
      <c r="Y291" s="155">
        <f>_xll.qlCalendarAdvance(Calendar,X291,NDays&amp;"D")</f>
        <v>42353</v>
      </c>
      <c r="Z291" s="156">
        <v>6.7139443468811066E-3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42354</v>
      </c>
      <c r="Y292" s="155">
        <f>_xll.qlCalendarAdvance(Calendar,X292,NDays&amp;"D")</f>
        <v>42354</v>
      </c>
      <c r="Z292" s="156">
        <v>6.6320454053325761E-3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42355</v>
      </c>
      <c r="Y293" s="155">
        <f>_xll.qlCalendarAdvance(Calendar,X293,NDays&amp;"D")</f>
        <v>42355</v>
      </c>
      <c r="Z293" s="156">
        <v>6.528831465297813E-3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42356</v>
      </c>
      <c r="Y294" s="155">
        <f>_xll.qlCalendarAdvance(Calendar,X294,NDays&amp;"D")</f>
        <v>42356</v>
      </c>
      <c r="Z294" s="156">
        <v>6.251462220925319E-3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42359</v>
      </c>
      <c r="Y295" s="155">
        <f>_xll.qlCalendarAdvance(Calendar,X295,NDays&amp;"D")</f>
        <v>42359</v>
      </c>
      <c r="Z295" s="156">
        <v>5.9028261425186912E-3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42360</v>
      </c>
      <c r="Y296" s="155">
        <f>_xll.qlCalendarAdvance(Calendar,X296,NDays&amp;"D")</f>
        <v>42360</v>
      </c>
      <c r="Z296" s="156">
        <v>5.6930375601726979E-3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42361</v>
      </c>
      <c r="Y297" s="155">
        <f>_xll.qlCalendarAdvance(Calendar,X297,NDays&amp;"D")</f>
        <v>42361</v>
      </c>
      <c r="Z297" s="156">
        <v>5.4619341460870885E-3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42362</v>
      </c>
      <c r="Y298" s="155">
        <f>_xll.qlCalendarAdvance(Calendar,X298,NDays&amp;"D")</f>
        <v>42362</v>
      </c>
      <c r="Z298" s="156">
        <v>4.7776967864354702E-3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42366</v>
      </c>
      <c r="Y299" s="155">
        <f>_xll.qlCalendarAdvance(Calendar,X299,NDays&amp;"D")</f>
        <v>42366</v>
      </c>
      <c r="Z299" s="156">
        <v>3.9866961675105728E-3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42367</v>
      </c>
      <c r="Y300" s="155">
        <f>_xll.qlCalendarAdvance(Calendar,X300,NDays&amp;"D")</f>
        <v>42367</v>
      </c>
      <c r="Z300" s="156">
        <v>3.6277047570720811E-3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42368</v>
      </c>
      <c r="Y301" s="155">
        <f>_xll.qlCalendarAdvance(Calendar,X301,NDays&amp;"D")</f>
        <v>42368</v>
      </c>
      <c r="Z301" s="156">
        <v>3.2473988817205424E-3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42369</v>
      </c>
      <c r="Y302" s="155">
        <f>_xll.qlCalendarAdvance(Calendar,X302,NDays&amp;"D")</f>
        <v>42369</v>
      </c>
      <c r="Z302" s="156">
        <v>2.1900821215559141E-3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42373</v>
      </c>
      <c r="Y303" s="155">
        <f>_xll.qlCalendarAdvance(Calendar,X303,NDays&amp;"D")</f>
        <v>42373</v>
      </c>
      <c r="Z303" s="156">
        <v>1.1929534010235443E-3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42374</v>
      </c>
      <c r="Y304" s="155">
        <f>_xll.qlCalendarAdvance(Calendar,X304,NDays&amp;"D")</f>
        <v>42374</v>
      </c>
      <c r="Z304" s="156">
        <v>1.0403524865587599E-3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42375</v>
      </c>
      <c r="Y305" s="155">
        <f>_xll.qlCalendarAdvance(Calendar,X305,NDays&amp;"D")</f>
        <v>42375</v>
      </c>
      <c r="Z305" s="156">
        <v>8.994278311735826E-4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42376</v>
      </c>
      <c r="Y306" s="155">
        <f>_xll.qlCalendarAdvance(Calendar,X306,NDays&amp;"D")</f>
        <v>42376</v>
      </c>
      <c r="Z306" s="156">
        <v>7.7017942103907444E-4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42377</v>
      </c>
      <c r="Y307" s="155">
        <f>_xll.qlCalendarAdvance(Calendar,X307,NDays&amp;"D")</f>
        <v>42377</v>
      </c>
      <c r="Z307" s="156">
        <v>5.5060419085428691E-4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42380</v>
      </c>
      <c r="Y308" s="155">
        <f>_xll.qlCalendarAdvance(Calendar,X308,NDays&amp;"D")</f>
        <v>42380</v>
      </c>
      <c r="Z308" s="156">
        <v>3.6994799943457224E-4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42381</v>
      </c>
      <c r="Y309" s="155">
        <f>_xll.qlCalendarAdvance(Calendar,X309,NDays&amp;"D")</f>
        <v>42381</v>
      </c>
      <c r="Z309" s="156">
        <v>2.9908065000583406E-4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42382</v>
      </c>
      <c r="Y310" s="155">
        <f>_xll.qlCalendarAdvance(Calendar,X310,NDays&amp;"D")</f>
        <v>42382</v>
      </c>
      <c r="Z310" s="156">
        <v>2.3988948747444283E-4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42383</v>
      </c>
      <c r="Y311" s="155">
        <f>_xll.qlCalendarAdvance(Calendar,X311,NDays&amp;"D")</f>
        <v>42383</v>
      </c>
      <c r="Z311" s="156">
        <v>1.9237450616493845E-4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42384</v>
      </c>
      <c r="Y312" s="155">
        <f>_xll.qlCalendarAdvance(Calendar,X312,NDays&amp;"D")</f>
        <v>42384</v>
      </c>
      <c r="Z312" s="156">
        <v>1.3196799619086264E-4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42388</v>
      </c>
      <c r="Y313" s="155">
        <f>_xll.qlCalendarAdvance(Calendar,X313,NDays&amp;"D")</f>
        <v>42388</v>
      </c>
      <c r="Z313" s="156">
        <v>1.2994219436457399E-4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42389</v>
      </c>
      <c r="Y314" s="155">
        <f>_xll.qlCalendarAdvance(Calendar,X314,NDays&amp;"D")</f>
        <v>42389</v>
      </c>
      <c r="Z314" s="156">
        <v>1.5248424259262094E-4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42390</v>
      </c>
      <c r="Y315" s="155">
        <f>_xll.qlCalendarAdvance(Calendar,X315,NDays&amp;"D")</f>
        <v>42390</v>
      </c>
      <c r="Z315" s="156">
        <v>1.8670246340946051E-4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42391</v>
      </c>
      <c r="Y316" s="155">
        <f>_xll.qlCalendarAdvance(Calendar,X316,NDays&amp;"D")</f>
        <v>42391</v>
      </c>
      <c r="Z316" s="156">
        <v>2.940597358946917E-4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42394</v>
      </c>
      <c r="Y317" s="155">
        <f>_xll.qlCalendarAdvance(Calendar,X317,NDays&amp;"D")</f>
        <v>42394</v>
      </c>
      <c r="Z317" s="156">
        <v>4.4033715665747764E-4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42395</v>
      </c>
      <c r="Y318" s="155">
        <f>_xll.qlCalendarAdvance(Calendar,X318,NDays&amp;"D")</f>
        <v>42395</v>
      </c>
      <c r="Z318" s="156">
        <v>5.32936313399901E-4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42396</v>
      </c>
      <c r="Y319" s="155">
        <f>_xll.qlCalendarAdvance(Calendar,X319,NDays&amp;"D")</f>
        <v>42396</v>
      </c>
      <c r="Z319" s="156">
        <v>6.3721167974151172E-4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42397</v>
      </c>
      <c r="Y320" s="155">
        <f>_xll.qlCalendarAdvance(Calendar,X320,NDays&amp;"D")</f>
        <v>42397</v>
      </c>
      <c r="Z320" s="156">
        <v>7.5316326591412519E-4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42398</v>
      </c>
      <c r="Y321" s="155">
        <f>_xll.qlCalendarAdvance(Calendar,X321,NDays&amp;"D")</f>
        <v>42398</v>
      </c>
      <c r="Z321" s="156">
        <v>1.0239901226416492E-3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42401</v>
      </c>
      <c r="Y322" s="155">
        <f>_xll.qlCalendarAdvance(Calendar,X322,NDays&amp;"D")</f>
        <v>42401</v>
      </c>
      <c r="Z322" s="156">
        <v>1.3337320512007977E-3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42402</v>
      </c>
      <c r="Y323" s="155">
        <f>_xll.qlCalendarAdvance(Calendar,X323,NDays&amp;"D")</f>
        <v>42402</v>
      </c>
      <c r="Z323" s="156">
        <v>1.5080649282950276E-3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42403</v>
      </c>
      <c r="Y324" s="155">
        <f>_xll.qlCalendarAdvance(Calendar,X324,NDays&amp;"D")</f>
        <v>42403</v>
      </c>
      <c r="Z324" s="156">
        <v>1.6940741099524814E-3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42404</v>
      </c>
      <c r="Y325" s="155">
        <f>_xll.qlCalendarAdvance(Calendar,X325,NDays&amp;"D")</f>
        <v>42404</v>
      </c>
      <c r="Z325" s="156">
        <v>2.5435758935099528E-3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42405</v>
      </c>
      <c r="Y326" s="155">
        <f>_xll.qlCalendarAdvance(Calendar,X326,NDays&amp;"D")</f>
        <v>42405</v>
      </c>
      <c r="Z326" s="156">
        <v>5.3350880876834594E-3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42408</v>
      </c>
      <c r="Y327" s="155">
        <f>_xll.qlCalendarAdvance(Calendar,X327,NDays&amp;"D")</f>
        <v>42408</v>
      </c>
      <c r="Z327" s="156">
        <v>7.8527082029733464E-3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42409</v>
      </c>
      <c r="Y328" s="155">
        <f>_xll.qlCalendarAdvance(Calendar,X328,NDays&amp;"D")</f>
        <v>42409</v>
      </c>
      <c r="Z328" s="156">
        <v>8.9746861948469814E-3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42410</v>
      </c>
      <c r="Y329" s="155">
        <f>_xll.qlCalendarAdvance(Calendar,X329,NDays&amp;"D")</f>
        <v>42410</v>
      </c>
      <c r="Z329" s="156">
        <v>1.0014540532363725E-2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42411</v>
      </c>
      <c r="Y330" s="155">
        <f>_xll.qlCalendarAdvance(Calendar,X330,NDays&amp;"D")</f>
        <v>42411</v>
      </c>
      <c r="Z330" s="156">
        <v>1.0972270504092663E-2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42412</v>
      </c>
      <c r="Y331" s="155">
        <f>_xll.qlCalendarAdvance(Calendar,X331,NDays&amp;"D")</f>
        <v>42412</v>
      </c>
      <c r="Z331" s="156">
        <v>1.2956666704533326E-2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42416</v>
      </c>
      <c r="Y332" s="155">
        <f>_xll.qlCalendarAdvance(Calendar,X332,NDays&amp;"D")</f>
        <v>42416</v>
      </c>
      <c r="Z332" s="156">
        <v>1.4529033901498067E-2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42417</v>
      </c>
      <c r="Y333" s="155">
        <f>_xll.qlCalendarAdvance(Calendar,X333,NDays&amp;"D")</f>
        <v>42417</v>
      </c>
      <c r="Z333" s="156">
        <v>1.4994005881057149E-2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42418</v>
      </c>
      <c r="Y334" s="155">
        <f>_xll.qlCalendarAdvance(Calendar,X334,NDays&amp;"D")</f>
        <v>42418</v>
      </c>
      <c r="Z334" s="156">
        <v>1.5376850086834537E-2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42419</v>
      </c>
      <c r="Y335" s="155">
        <f>_xll.qlCalendarAdvance(Calendar,X335,NDays&amp;"D")</f>
        <v>42419</v>
      </c>
      <c r="Z335" s="156">
        <v>1.5869477530685572E-2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42422</v>
      </c>
      <c r="Y336" s="155">
        <f>_xll.qlCalendarAdvance(Calendar,X336,NDays&amp;"D")</f>
        <v>42422</v>
      </c>
      <c r="Z336" s="156">
        <v>1.6086944776523282E-2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42423</v>
      </c>
      <c r="Y337" s="155">
        <f>_xll.qlCalendarAdvance(Calendar,X337,NDays&amp;"D")</f>
        <v>42423</v>
      </c>
      <c r="Z337" s="156">
        <v>1.6059147308116195E-2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42424</v>
      </c>
      <c r="Y338" s="155">
        <f>_xll.qlCalendarAdvance(Calendar,X338,NDays&amp;"D")</f>
        <v>42424</v>
      </c>
      <c r="Z338" s="156">
        <v>1.5949221337070441E-2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42425</v>
      </c>
      <c r="Y339" s="155">
        <f>_xll.qlCalendarAdvance(Calendar,X339,NDays&amp;"D")</f>
        <v>42425</v>
      </c>
      <c r="Z339" s="156">
        <v>1.5757166938605849E-2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42426</v>
      </c>
      <c r="Y340" s="155">
        <f>_xll.qlCalendarAdvance(Calendar,X340,NDays&amp;"D")</f>
        <v>42426</v>
      </c>
      <c r="Z340" s="156">
        <v>1.5099930651158999E-2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42429</v>
      </c>
      <c r="Y341" s="155">
        <f>_xll.qlCalendarAdvance(Calendar,X341,NDays&amp;"D")</f>
        <v>42429</v>
      </c>
      <c r="Z341" s="156">
        <v>1.4167668543141332E-2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42430</v>
      </c>
      <c r="Y342" s="155">
        <f>_xll.qlCalendarAdvance(Calendar,X342,NDays&amp;"D")</f>
        <v>42430</v>
      </c>
      <c r="Z342" s="156">
        <v>1.3564975103506072E-2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42431</v>
      </c>
      <c r="Y343" s="155">
        <f>_xll.qlCalendarAdvance(Calendar,X343,NDays&amp;"D")</f>
        <v>42431</v>
      </c>
      <c r="Z343" s="156">
        <v>1.2880154868266658E-2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42432</v>
      </c>
      <c r="Y344" s="155">
        <f>_xll.qlCalendarAdvance(Calendar,X344,NDays&amp;"D")</f>
        <v>42432</v>
      </c>
      <c r="Z344" s="156">
        <v>1.2113208306008261E-2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42433</v>
      </c>
      <c r="Y345" s="155">
        <f>_xll.qlCalendarAdvance(Calendar,X345,NDays&amp;"D")</f>
        <v>42433</v>
      </c>
      <c r="Z345" s="156">
        <v>1.0979264009733924E-2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42436</v>
      </c>
      <c r="Y346" s="155">
        <f>_xll.qlCalendarAdvance(Calendar,X346,NDays&amp;"D")</f>
        <v>42436</v>
      </c>
      <c r="Z346" s="156">
        <v>1.0072828082590135E-2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42437</v>
      </c>
      <c r="Y347" s="155">
        <f>_xll.qlCalendarAdvance(Calendar,X347,NDays&amp;"D")</f>
        <v>42437</v>
      </c>
      <c r="Z347" s="156">
        <v>9.6563225908141703E-3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42438</v>
      </c>
      <c r="Y348" s="155">
        <f>_xll.qlCalendarAdvance(Calendar,X348,NDays&amp;"D")</f>
        <v>42438</v>
      </c>
      <c r="Z348" s="156">
        <v>9.2617440787101657E-3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42439</v>
      </c>
      <c r="Y349" s="155">
        <f>_xll.qlCalendarAdvance(Calendar,X349,NDays&amp;"D")</f>
        <v>42439</v>
      </c>
      <c r="Z349" s="156">
        <v>8.8890924744156052E-3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42440</v>
      </c>
      <c r="Y350" s="155">
        <f>_xll.qlCalendarAdvance(Calendar,X350,NDays&amp;"D")</f>
        <v>42440</v>
      </c>
      <c r="Z350" s="156">
        <v>8.2170660808689178E-3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42443</v>
      </c>
      <c r="Y351" s="155">
        <f>_xll.qlCalendarAdvance(Calendar,X351,NDays&amp;"D")</f>
        <v>42443</v>
      </c>
      <c r="Z351" s="156">
        <v>7.6177538321342553E-3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42444</v>
      </c>
      <c r="Y352" s="155">
        <f>_xll.qlCalendarAdvance(Calendar,X352,NDays&amp;"D")</f>
        <v>42444</v>
      </c>
      <c r="Z352" s="156">
        <v>7.3547358249204109E-3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42445</v>
      </c>
      <c r="Y353" s="155">
        <f>_xll.qlCalendarAdvance(Calendar,X353,NDays&amp;"D")</f>
        <v>42445</v>
      </c>
      <c r="Z353" s="156">
        <v>7.1136443769947988E-3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42446</v>
      </c>
      <c r="Y354" s="155">
        <f>_xll.qlCalendarAdvance(Calendar,X354,NDays&amp;"D")</f>
        <v>42446</v>
      </c>
      <c r="Z354" s="156">
        <v>6.8944794443126511E-3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42447</v>
      </c>
      <c r="Y355" s="155">
        <f>_xll.qlCalendarAdvance(Calendar,X355,NDays&amp;"D")</f>
        <v>42447</v>
      </c>
      <c r="Z355" s="156">
        <v>6.5293561655277443E-3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42450</v>
      </c>
      <c r="Y356" s="155">
        <f>_xll.qlCalendarAdvance(Calendar,X356,NDays&amp;"D")</f>
        <v>42450</v>
      </c>
      <c r="Z356" s="156">
        <v>6.2370841244518971E-3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42451</v>
      </c>
      <c r="Y357" s="155">
        <f>_xll.qlCalendarAdvance(Calendar,X357,NDays&amp;"D")</f>
        <v>42451</v>
      </c>
      <c r="Z357" s="156">
        <v>6.1275512471237192E-3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42452</v>
      </c>
      <c r="Y358" s="155">
        <f>_xll.qlCalendarAdvance(Calendar,X358,NDays&amp;"D")</f>
        <v>42452</v>
      </c>
      <c r="Z358" s="156">
        <v>6.0399447047831956E-3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42453</v>
      </c>
      <c r="Y359" s="155">
        <f>_xll.qlCalendarAdvance(Calendar,X359,NDays&amp;"D")</f>
        <v>42453</v>
      </c>
      <c r="Z359" s="156">
        <v>5.9742644815230506E-3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42454</v>
      </c>
      <c r="Y360" s="155">
        <f>_xll.qlCalendarAdvance(Calendar,X360,NDays&amp;"D")</f>
        <v>42454</v>
      </c>
      <c r="Z360" s="156">
        <v>5.9160889325848842E-3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42457</v>
      </c>
      <c r="Y361" s="155">
        <f>_xll.qlCalendarAdvance(Calendar,X361,NDays&amp;"D")</f>
        <v>42457</v>
      </c>
      <c r="Z361" s="156">
        <v>5.9308065983909586E-3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42458</v>
      </c>
      <c r="Y362" s="155">
        <f>_xll.qlCalendarAdvance(Calendar,X362,NDays&amp;"D")</f>
        <v>42458</v>
      </c>
      <c r="Z362" s="156">
        <v>5.9747578701330184E-3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42459</v>
      </c>
      <c r="Y363" s="155">
        <f>_xll.qlCalendarAdvance(Calendar,X363,NDays&amp;"D")</f>
        <v>42459</v>
      </c>
      <c r="Z363" s="156">
        <v>6.0406354491249203E-3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42460</v>
      </c>
      <c r="Y364" s="155">
        <f>_xll.qlCalendarAdvance(Calendar,X364,NDays&amp;"D")</f>
        <v>42460</v>
      </c>
      <c r="Z364" s="156">
        <v>6.128439347197201E-3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42461</v>
      </c>
      <c r="Y365" s="155">
        <f>_xll.qlCalendarAdvance(Calendar,X365,NDays&amp;"D")</f>
        <v>42461</v>
      </c>
      <c r="Z365" s="156">
        <v>6.3772479100165924E-3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42464</v>
      </c>
      <c r="Y366" s="155">
        <f>_xll.qlCalendarAdvance(Calendar,X366,NDays&amp;"D")</f>
        <v>42464</v>
      </c>
      <c r="Z366" s="156">
        <v>6.6942147955284526E-3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42465</v>
      </c>
      <c r="Y367" s="155">
        <f>_xll.qlCalendarAdvance(Calendar,X367,NDays&amp;"D")</f>
        <v>42465</v>
      </c>
      <c r="Z367" s="156">
        <v>6.8634282961799187E-3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42466</v>
      </c>
      <c r="Y368" s="155">
        <f>_xll.qlCalendarAdvance(Calendar,X368,NDays&amp;"D")</f>
        <v>42466</v>
      </c>
      <c r="Z368" s="156">
        <v>7.0263459158947938E-3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42467</v>
      </c>
      <c r="Y369" s="155">
        <f>_xll.qlCalendarAdvance(Calendar,X369,NDays&amp;"D")</f>
        <v>42467</v>
      </c>
      <c r="Z369" s="156">
        <v>7.1829676461199199E-3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42468</v>
      </c>
      <c r="Y370" s="155">
        <f>_xll.qlCalendarAdvance(Calendar,X370,NDays&amp;"D")</f>
        <v>42468</v>
      </c>
      <c r="Z370" s="156">
        <v>7.4753799696214429E-3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42471</v>
      </c>
      <c r="Y371" s="155">
        <f>_xll.qlCalendarAdvance(Calendar,X371,NDays&amp;"D")</f>
        <v>42471</v>
      </c>
      <c r="Z371" s="156">
        <v>7.7464955120110091E-3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42472</v>
      </c>
      <c r="Y372" s="155">
        <f>_xll.qlCalendarAdvance(Calendar,X372,NDays&amp;"D")</f>
        <v>42472</v>
      </c>
      <c r="Z372" s="156">
        <v>7.871637677920873E-3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42473</v>
      </c>
      <c r="Y373" s="155">
        <f>_xll.qlCalendarAdvance(Calendar,X373,NDays&amp;"D")</f>
        <v>42473</v>
      </c>
      <c r="Z373" s="156">
        <v>7.9904839098166036E-3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42474</v>
      </c>
      <c r="Y374" s="155">
        <f>_xll.qlCalendarAdvance(Calendar,X374,NDays&amp;"D")</f>
        <v>42474</v>
      </c>
      <c r="Z374" s="156">
        <v>8.1030342017029966E-3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42475</v>
      </c>
      <c r="Y375" s="155">
        <f>_xll.qlCalendarAdvance(Calendar,X375,NDays&amp;"D")</f>
        <v>42475</v>
      </c>
      <c r="Z375" s="156">
        <v>8.3073399732036535E-3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42478</v>
      </c>
      <c r="Y376" s="155">
        <f>_xll.qlCalendarAdvance(Calendar,X376,NDays&amp;"D")</f>
        <v>42478</v>
      </c>
      <c r="Z376" s="156">
        <v>8.4902758548466295E-3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42479</v>
      </c>
      <c r="Y377" s="155">
        <f>_xll.qlCalendarAdvance(Calendar,X377,NDays&amp;"D")</f>
        <v>42479</v>
      </c>
      <c r="Z377" s="156">
        <v>8.5713463641923227E-3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42480</v>
      </c>
      <c r="Y378" s="155">
        <f>_xll.qlCalendarAdvance(Calendar,X378,NDays&amp;"D")</f>
        <v>42480</v>
      </c>
      <c r="Z378" s="156">
        <v>8.646120902913168E-3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42481</v>
      </c>
      <c r="Y379" s="155">
        <f>_xll.qlCalendarAdvance(Calendar,X379,NDays&amp;"D")</f>
        <v>42481</v>
      </c>
      <c r="Z379" s="156">
        <v>8.7145994671722349E-3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42482</v>
      </c>
      <c r="Y380" s="155">
        <f>_xll.qlCalendarAdvance(Calendar,X380,NDays&amp;"D")</f>
        <v>42482</v>
      </c>
      <c r="Z380" s="156">
        <v>8.8307866039638583E-3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42485</v>
      </c>
      <c r="Y381" s="155">
        <f>_xll.qlCalendarAdvance(Calendar,X381,NDays&amp;"D")</f>
        <v>42485</v>
      </c>
      <c r="Z381" s="156">
        <v>8.925553911964812E-3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42486</v>
      </c>
      <c r="Y382" s="155">
        <f>_xll.qlCalendarAdvance(Calendar,X382,NDays&amp;"D")</f>
        <v>42486</v>
      </c>
      <c r="Z382" s="156">
        <v>8.9625525562730957E-3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42487</v>
      </c>
      <c r="Y383" s="155">
        <f>_xll.qlCalendarAdvance(Calendar,X383,NDays&amp;"D")</f>
        <v>42487</v>
      </c>
      <c r="Z383" s="156">
        <v>8.9932552094929008E-3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42488</v>
      </c>
      <c r="Y384" s="155">
        <f>_xll.qlCalendarAdvance(Calendar,X384,NDays&amp;"D")</f>
        <v>42488</v>
      </c>
      <c r="Z384" s="156">
        <v>9.0176618701054423E-3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42489</v>
      </c>
      <c r="Y385" s="155">
        <f>_xll.qlCalendarAdvance(Calendar,X385,NDays&amp;"D")</f>
        <v>42489</v>
      </c>
      <c r="Z385" s="156">
        <v>9.045715824917977E-3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42492</v>
      </c>
      <c r="Y386" s="155">
        <f>_xll.qlCalendarAdvance(Calendar,X386,NDays&amp;"D")</f>
        <v>42492</v>
      </c>
      <c r="Z386" s="156">
        <v>9.0523285641808116E-3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42493</v>
      </c>
      <c r="Y387" s="155">
        <f>_xll.qlCalendarAdvance(Calendar,X387,NDays&amp;"D")</f>
        <v>42493</v>
      </c>
      <c r="Z387" s="156">
        <v>9.0452552484876492E-3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42494</v>
      </c>
      <c r="Y388" s="155">
        <f>_xll.qlCalendarAdvance(Calendar,X388,NDays&amp;"D")</f>
        <v>42494</v>
      </c>
      <c r="Z388" s="156">
        <v>9.0331896092799013E-3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42495</v>
      </c>
      <c r="Y389" s="155">
        <f>_xll.qlCalendarAdvance(Calendar,X389,NDays&amp;"D")</f>
        <v>42495</v>
      </c>
      <c r="Z389" s="156">
        <v>9.0213463349186895E-3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42496</v>
      </c>
      <c r="Y390" s="155">
        <f>_xll.qlCalendarAdvance(Calendar,X390,NDays&amp;"D")</f>
        <v>42496</v>
      </c>
      <c r="Z390" s="156">
        <v>9.0029717138673249E-3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42499</v>
      </c>
      <c r="Y391" s="155">
        <f>_xll.qlCalendarAdvance(Calendar,X391,NDays&amp;"D")</f>
        <v>42499</v>
      </c>
      <c r="Z391" s="156">
        <v>8.9892336026053954E-3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42500</v>
      </c>
      <c r="Y392" s="155">
        <f>_xll.qlCalendarAdvance(Calendar,X392,NDays&amp;"D")</f>
        <v>42500</v>
      </c>
      <c r="Z392" s="156">
        <v>8.9850205104102798E-3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42501</v>
      </c>
      <c r="Y393" s="155">
        <f>_xll.qlCalendarAdvance(Calendar,X393,NDays&amp;"D")</f>
        <v>42501</v>
      </c>
      <c r="Z393" s="156">
        <v>8.9823334543126521E-3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42502</v>
      </c>
      <c r="Y394" s="155">
        <f>_xll.qlCalendarAdvance(Calendar,X394,NDays&amp;"D")</f>
        <v>42502</v>
      </c>
      <c r="Z394" s="156">
        <v>8.9811724344723842E-3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42503</v>
      </c>
      <c r="Y395" s="155">
        <f>_xll.qlCalendarAdvance(Calendar,X395,NDays&amp;"D")</f>
        <v>42503</v>
      </c>
      <c r="Z395" s="156">
        <v>8.9841613812957632E-3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42506</v>
      </c>
      <c r="Y396" s="155">
        <f>_xll.qlCalendarAdvance(Calendar,X396,NDays&amp;"D")</f>
        <v>42506</v>
      </c>
      <c r="Z396" s="156">
        <v>8.9917887165658072E-3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42507</v>
      </c>
      <c r="Y397" s="155">
        <f>_xll.qlCalendarAdvance(Calendar,X397,NDays&amp;"D")</f>
        <v>42507</v>
      </c>
      <c r="Z397" s="156">
        <v>8.9982578776126587E-3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42508</v>
      </c>
      <c r="Y398" s="155">
        <f>_xll.qlCalendarAdvance(Calendar,X398,NDays&amp;"D")</f>
        <v>42508</v>
      </c>
      <c r="Z398" s="156">
        <v>9.0062530750767422E-3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42509</v>
      </c>
      <c r="Y399" s="155">
        <f>_xll.qlCalendarAdvance(Calendar,X399,NDays&amp;"D")</f>
        <v>42509</v>
      </c>
      <c r="Z399" s="156">
        <v>9.0157743090379938E-3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42510</v>
      </c>
      <c r="Y400" s="155">
        <f>_xll.qlCalendarAdvance(Calendar,X400,NDays&amp;"D")</f>
        <v>42510</v>
      </c>
      <c r="Z400" s="156">
        <v>9.0401305670884113E-3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42513</v>
      </c>
      <c r="Y401" s="155">
        <f>_xll.qlCalendarAdvance(Calendar,X401,NDays&amp;"D")</f>
        <v>42513</v>
      </c>
      <c r="Z401" s="156">
        <v>9.0691196120928907E-3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42514</v>
      </c>
      <c r="Y402" s="155">
        <f>_xll.qlCalendarAdvance(Calendar,X402,NDays&amp;"D")</f>
        <v>42514</v>
      </c>
      <c r="Z402" s="156">
        <v>9.0862710306183203E-3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42515</v>
      </c>
      <c r="Y403" s="155">
        <f>_xll.qlCalendarAdvance(Calendar,X403,NDays&amp;"D")</f>
        <v>42515</v>
      </c>
      <c r="Z403" s="156">
        <v>9.1049484865202146E-3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42516</v>
      </c>
      <c r="Y404" s="155">
        <f>_xll.qlCalendarAdvance(Calendar,X404,NDays&amp;"D")</f>
        <v>42516</v>
      </c>
      <c r="Z404" s="156">
        <v>9.1251519801982539E-3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42517</v>
      </c>
      <c r="Y405" s="155">
        <f>_xll.qlCalendarAdvance(Calendar,X405,NDays&amp;"D")</f>
        <v>42517</v>
      </c>
      <c r="Z405" s="156">
        <v>9.1836422970081877E-3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42521</v>
      </c>
      <c r="Y406" s="155">
        <f>_xll.qlCalendarAdvance(Calendar,X406,NDays&amp;"D")</f>
        <v>42521</v>
      </c>
      <c r="Z406" s="156">
        <v>9.2490600240235921E-3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42522</v>
      </c>
      <c r="Y407" s="155">
        <f>_xll.qlCalendarAdvance(Calendar,X407,NDays&amp;"D")</f>
        <v>42522</v>
      </c>
      <c r="Z407" s="156">
        <v>9.2784197501138976E-3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42523</v>
      </c>
      <c r="Y408" s="155">
        <f>_xll.qlCalendarAdvance(Calendar,X408,NDays&amp;"D")</f>
        <v>42523</v>
      </c>
      <c r="Z408" s="156">
        <v>9.3093055160586857E-3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42524</v>
      </c>
      <c r="Y409" s="155">
        <f>_xll.qlCalendarAdvance(Calendar,X409,NDays&amp;"D")</f>
        <v>42524</v>
      </c>
      <c r="Z409" s="156">
        <v>9.3764080520930548E-3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42527</v>
      </c>
      <c r="Y410" s="155">
        <f>_xll.qlCalendarAdvance(Calendar,X410,NDays&amp;"D")</f>
        <v>42527</v>
      </c>
      <c r="Z410" s="156">
        <v>9.4478039232814837E-3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42528</v>
      </c>
      <c r="Y411" s="155">
        <f>_xll.qlCalendarAdvance(Calendar,X411,NDays&amp;"D")</f>
        <v>42528</v>
      </c>
      <c r="Z411" s="156">
        <v>9.4844895096102277E-3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42529</v>
      </c>
      <c r="Y412" s="155">
        <f>_xll.qlCalendarAdvance(Calendar,X412,NDays&amp;"D")</f>
        <v>42529</v>
      </c>
      <c r="Z412" s="156">
        <v>9.5208707524285785E-3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42530</v>
      </c>
      <c r="Y413" s="155">
        <f>_xll.qlCalendarAdvance(Calendar,X413,NDays&amp;"D")</f>
        <v>42530</v>
      </c>
      <c r="Z413" s="156">
        <v>9.5569476516565999E-3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42531</v>
      </c>
      <c r="Y414" s="155">
        <f>_xll.qlCalendarAdvance(Calendar,X414,NDays&amp;"D")</f>
        <v>42531</v>
      </c>
      <c r="Z414" s="156">
        <v>9.6283444721656508E-3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42534</v>
      </c>
      <c r="Y415" s="155">
        <f>_xll.qlCalendarAdvance(Calendar,X415,NDays&amp;"D")</f>
        <v>42534</v>
      </c>
      <c r="Z415" s="156">
        <v>9.6982118104271819E-3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42535</v>
      </c>
      <c r="Y416" s="155">
        <f>_xll.qlCalendarAdvance(Calendar,X416,NDays&amp;"D")</f>
        <v>42535</v>
      </c>
      <c r="Z416" s="156">
        <v>9.7327669901847713E-3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42536</v>
      </c>
      <c r="Y417" s="155">
        <f>_xll.qlCalendarAdvance(Calendar,X417,NDays&amp;"D")</f>
        <v>42536</v>
      </c>
      <c r="Z417" s="156">
        <v>9.7670178257125428E-3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42537</v>
      </c>
      <c r="Y418" s="155">
        <f>_xll.qlCalendarAdvance(Calendar,X418,NDays&amp;"D")</f>
        <v>42537</v>
      </c>
      <c r="Z418" s="156">
        <v>9.8009643170104965E-3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42538</v>
      </c>
      <c r="Y419" s="155">
        <f>_xll.qlCalendarAdvance(Calendar,X419,NDays&amp;"D")</f>
        <v>42538</v>
      </c>
      <c r="Z419" s="156">
        <v>9.868113304074555E-3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42541</v>
      </c>
      <c r="Y420" s="155">
        <f>_xll.qlCalendarAdvance(Calendar,X420,NDays&amp;"D")</f>
        <v>42541</v>
      </c>
      <c r="Z420" s="156">
        <v>9.9337068380656035E-3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42542</v>
      </c>
      <c r="Y421" s="155">
        <f>_xll.qlCalendarAdvance(Calendar,X421,NDays&amp;"D")</f>
        <v>42542</v>
      </c>
      <c r="Z421" s="156">
        <v>9.966131606855555E-3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42543</v>
      </c>
      <c r="Y422" s="155">
        <f>_xll.qlCalendarAdvance(Calendar,X422,NDays&amp;"D")</f>
        <v>42543</v>
      </c>
      <c r="Z422" s="156">
        <v>9.9982520309360723E-3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42544</v>
      </c>
      <c r="Y423" s="155">
        <f>_xll.qlCalendarAdvance(Calendar,X423,NDays&amp;"D")</f>
        <v>42544</v>
      </c>
      <c r="Z423" s="156">
        <v>1.0030068110147283E-2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42545</v>
      </c>
      <c r="Y424" s="155">
        <f>_xll.qlCalendarAdvance(Calendar,X424,NDays&amp;"D")</f>
        <v>42545</v>
      </c>
      <c r="Z424" s="156">
        <v>1.0092968737973607E-2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42548</v>
      </c>
      <c r="Y425" s="155">
        <f>_xll.qlCalendarAdvance(Calendar,X425,NDays&amp;"D")</f>
        <v>42548</v>
      </c>
      <c r="Z425" s="156">
        <v>1.0154288977020087E-2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42549</v>
      </c>
      <c r="Y426" s="155">
        <f>_xll.qlCalendarAdvance(Calendar,X426,NDays&amp;"D")</f>
        <v>42549</v>
      </c>
      <c r="Z426" s="156">
        <v>1.0184583330925534E-2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42550</v>
      </c>
      <c r="Y427" s="155">
        <f>_xll.qlCalendarAdvance(Calendar,X427,NDays&amp;"D")</f>
        <v>42550</v>
      </c>
      <c r="Z427" s="156">
        <v>1.0214573339402122E-2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42551</v>
      </c>
      <c r="Y428" s="155">
        <f>_xll.qlCalendarAdvance(Calendar,X428,NDays&amp;"D")</f>
        <v>42551</v>
      </c>
      <c r="Z428" s="156">
        <v>1.0244259002609724E-2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42552</v>
      </c>
      <c r="Y429" s="155">
        <f>_xll.qlCalendarAdvance(Calendar,X429,NDays&amp;"D")</f>
        <v>42552</v>
      </c>
      <c r="Z429" s="156">
        <v>1.0317394937777724E-2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42556</v>
      </c>
      <c r="Y430" s="155">
        <f>_xll.qlCalendarAdvance(Calendar,X430,NDays&amp;"D")</f>
        <v>42556</v>
      </c>
      <c r="Z430" s="156">
        <v>1.0388104725223002E-2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42557</v>
      </c>
      <c r="Y431" s="155">
        <f>_xll.qlCalendarAdvance(Calendar,X431,NDays&amp;"D")</f>
        <v>42557</v>
      </c>
      <c r="Z431" s="156">
        <v>1.0415859855816834E-2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42558</v>
      </c>
      <c r="Y432" s="155">
        <f>_xll.qlCalendarAdvance(Calendar,X432,NDays&amp;"D")</f>
        <v>42558</v>
      </c>
      <c r="Z432" s="156">
        <v>1.044320618174055E-2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42559</v>
      </c>
      <c r="Y433" s="155">
        <f>_xll.qlCalendarAdvance(Calendar,X433,NDays&amp;"D")</f>
        <v>42559</v>
      </c>
      <c r="Z433" s="156">
        <v>1.0496842201526135E-2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42562</v>
      </c>
      <c r="Y434" s="155">
        <f>_xll.qlCalendarAdvance(Calendar,X434,NDays&amp;"D")</f>
        <v>42562</v>
      </c>
      <c r="Z434" s="156">
        <v>1.0548503437695089E-2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42563</v>
      </c>
      <c r="Y435" s="155">
        <f>_xll.qlCalendarAdvance(Calendar,X435,NDays&amp;"D")</f>
        <v>42563</v>
      </c>
      <c r="Z435" s="156">
        <v>1.0573805739229059E-2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42564</v>
      </c>
      <c r="Y436" s="155">
        <f>_xll.qlCalendarAdvance(Calendar,X436,NDays&amp;"D")</f>
        <v>42564</v>
      </c>
      <c r="Z436" s="156">
        <v>1.059869923553336E-2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42565</v>
      </c>
      <c r="Y437" s="155">
        <f>_xll.qlCalendarAdvance(Calendar,X437,NDays&amp;"D")</f>
        <v>42565</v>
      </c>
      <c r="Z437" s="156">
        <v>1.0623183926687929E-2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42566</v>
      </c>
      <c r="Y438" s="155">
        <f>_xll.qlCalendarAdvance(Calendar,X438,NDays&amp;"D")</f>
        <v>42566</v>
      </c>
      <c r="Z438" s="156">
        <v>1.0671106920794315E-2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42569</v>
      </c>
      <c r="Y439" s="155">
        <f>_xll.qlCalendarAdvance(Calendar,X439,NDays&amp;"D")</f>
        <v>42569</v>
      </c>
      <c r="Z439" s="156">
        <v>1.0717034637091061E-2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42570</v>
      </c>
      <c r="Y440" s="155">
        <f>_xll.qlCalendarAdvance(Calendar,X440,NDays&amp;"D")</f>
        <v>42570</v>
      </c>
      <c r="Z440" s="156">
        <v>1.0739475300818313E-2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42571</v>
      </c>
      <c r="Y441" s="155">
        <f>_xll.qlCalendarAdvance(Calendar,X441,NDays&amp;"D")</f>
        <v>42571</v>
      </c>
      <c r="Z441" s="156">
        <v>1.0761507158756345E-2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42572</v>
      </c>
      <c r="Y442" s="155">
        <f>_xll.qlCalendarAdvance(Calendar,X442,NDays&amp;"D")</f>
        <v>42572</v>
      </c>
      <c r="Z442" s="156">
        <v>1.0783130210905156E-2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42573</v>
      </c>
      <c r="Y443" s="155">
        <f>_xll.qlCalendarAdvance(Calendar,X443,NDays&amp;"D")</f>
        <v>42573</v>
      </c>
      <c r="Z443" s="156">
        <v>1.0825339134381551E-2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42576</v>
      </c>
      <c r="Y444" s="155">
        <f>_xll.qlCalendarAdvance(Calendar,X444,NDays&amp;"D")</f>
        <v>42576</v>
      </c>
      <c r="Z444" s="156">
        <v>1.0865534360249285E-2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42577</v>
      </c>
      <c r="Y445" s="155">
        <f>_xll.qlCalendarAdvance(Calendar,X445,NDays&amp;"D")</f>
        <v>42577</v>
      </c>
      <c r="Z445" s="156">
        <v>1.0885113382412825E-2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42578</v>
      </c>
      <c r="Y446" s="155">
        <f>_xll.qlCalendarAdvance(Calendar,X446,NDays&amp;"D")</f>
        <v>42578</v>
      </c>
      <c r="Z446" s="156">
        <v>1.0904283598227593E-2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42579</v>
      </c>
      <c r="Y447" s="155">
        <f>_xll.qlCalendarAdvance(Calendar,X447,NDays&amp;"D")</f>
        <v>42579</v>
      </c>
      <c r="Z447" s="156">
        <v>1.0923045007933396E-2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42580</v>
      </c>
      <c r="Y448" s="155">
        <f>_xll.qlCalendarAdvance(Calendar,X448,NDays&amp;"D")</f>
        <v>42580</v>
      </c>
      <c r="Z448" s="156">
        <v>1.0959538765042964E-2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42583</v>
      </c>
      <c r="Y449" s="155">
        <f>_xll.qlCalendarAdvance(Calendar,X449,NDays&amp;"D")</f>
        <v>42583</v>
      </c>
      <c r="Z449" s="156">
        <v>1.0994002582309648E-2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42584</v>
      </c>
      <c r="Y450" s="155">
        <f>_xll.qlCalendarAdvance(Calendar,X450,NDays&amp;"D")</f>
        <v>42584</v>
      </c>
      <c r="Z450" s="156">
        <v>1.1010719959632098E-2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42585</v>
      </c>
      <c r="Y451" s="155">
        <f>_xll.qlCalendarAdvance(Calendar,X451,NDays&amp;"D")</f>
        <v>42585</v>
      </c>
      <c r="Z451" s="156">
        <v>1.1027028530206096E-2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42586</v>
      </c>
      <c r="Y452" s="155">
        <f>_xll.qlCalendarAdvance(Calendar,X452,NDays&amp;"D")</f>
        <v>42586</v>
      </c>
      <c r="Z452" s="156">
        <v>1.104305499755931E-2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42587</v>
      </c>
      <c r="Y453" s="155">
        <f>_xll.qlCalendarAdvance(Calendar,X453,NDays&amp;"D")</f>
        <v>42587</v>
      </c>
      <c r="Z453" s="156">
        <v>1.1076366680198291E-2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42590</v>
      </c>
      <c r="Y454" s="155">
        <f>_xll.qlCalendarAdvance(Calendar,X454,NDays&amp;"D")</f>
        <v>42590</v>
      </c>
      <c r="Z454" s="156">
        <v>1.1110168188643854E-2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42591</v>
      </c>
      <c r="Y455" s="155">
        <f>_xll.qlCalendarAdvance(Calendar,X455,NDays&amp;"D")</f>
        <v>42591</v>
      </c>
      <c r="Z455" s="156">
        <v>1.1127825020480486E-2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42592</v>
      </c>
      <c r="Y456" s="155">
        <f>_xll.qlCalendarAdvance(Calendar,X456,NDays&amp;"D")</f>
        <v>42592</v>
      </c>
      <c r="Z456" s="156">
        <v>1.1145833266095195E-2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42593</v>
      </c>
      <c r="Y457" s="155">
        <f>_xll.qlCalendarAdvance(Calendar,X457,NDays&amp;"D")</f>
        <v>42593</v>
      </c>
      <c r="Z457" s="156">
        <v>1.1164192925408045E-2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42594</v>
      </c>
      <c r="Y458" s="155">
        <f>_xll.qlCalendarAdvance(Calendar,X458,NDays&amp;"D")</f>
        <v>42594</v>
      </c>
      <c r="Z458" s="156">
        <v>1.1202432201100621E-2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42597</v>
      </c>
      <c r="Y459" s="155">
        <f>_xll.qlCalendarAdvance(Calendar,X459,NDays&amp;"D")</f>
        <v>42597</v>
      </c>
      <c r="Z459" s="156">
        <v>1.1241145701799127E-2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42598</v>
      </c>
      <c r="Y460" s="155">
        <f>_xll.qlCalendarAdvance(Calendar,X460,NDays&amp;"D")</f>
        <v>42598</v>
      </c>
      <c r="Z460" s="156">
        <v>1.1261262430961594E-2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42599</v>
      </c>
      <c r="Y461" s="155">
        <f>_xll.qlCalendarAdvance(Calendar,X461,NDays&amp;"D")</f>
        <v>42599</v>
      </c>
      <c r="Z461" s="156">
        <v>1.1281730574221882E-2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42600</v>
      </c>
      <c r="Y462" s="155">
        <f>_xll.qlCalendarAdvance(Calendar,X462,NDays&amp;"D")</f>
        <v>42600</v>
      </c>
      <c r="Z462" s="156">
        <v>1.1302550131579991E-2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42601</v>
      </c>
      <c r="Y463" s="155">
        <f>_xll.qlCalendarAdvance(Calendar,X463,NDays&amp;"D")</f>
        <v>42601</v>
      </c>
      <c r="Z463" s="156">
        <v>1.1345718178503716E-2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42604</v>
      </c>
      <c r="Y464" s="155">
        <f>_xll.qlCalendarAdvance(Calendar,X464,NDays&amp;"D")</f>
        <v>42604</v>
      </c>
      <c r="Z464" s="156">
        <v>1.1389342504388722E-2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42605</v>
      </c>
      <c r="Y465" s="155">
        <f>_xll.qlCalendarAdvance(Calendar,X465,NDays&amp;"D")</f>
        <v>42605</v>
      </c>
      <c r="Z465" s="156">
        <v>1.1411919133674786E-2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42606</v>
      </c>
      <c r="Y466" s="155">
        <f>_xll.qlCalendarAdvance(Calendar,X466,NDays&amp;"D")</f>
        <v>42606</v>
      </c>
      <c r="Z466" s="156">
        <v>1.1434847177538288E-2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42607</v>
      </c>
      <c r="Y467" s="155">
        <f>_xll.qlCalendarAdvance(Calendar,X467,NDays&amp;"D")</f>
        <v>42607</v>
      </c>
      <c r="Z467" s="156">
        <v>1.1458126635979227E-2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42608</v>
      </c>
      <c r="Y468" s="155">
        <f>_xll.qlCalendarAdvance(Calendar,X468,NDays&amp;"D")</f>
        <v>42608</v>
      </c>
      <c r="Z468" s="156">
        <v>1.150622467414486E-2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42611</v>
      </c>
      <c r="Y469" s="155">
        <f>_xll.qlCalendarAdvance(Calendar,X469,NDays&amp;"D")</f>
        <v>42611</v>
      </c>
      <c r="Z469" s="156">
        <v>1.1554758617515759E-2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42612</v>
      </c>
      <c r="Y470" s="155">
        <f>_xll.qlCalendarAdvance(Calendar,X470,NDays&amp;"D")</f>
        <v>42612</v>
      </c>
      <c r="Z470" s="156">
        <v>1.1579795150202798E-2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42613</v>
      </c>
      <c r="Y471" s="155">
        <f>_xll.qlCalendarAdvance(Calendar,X471,NDays&amp;"D")</f>
        <v>42613</v>
      </c>
      <c r="Z471" s="156">
        <v>1.1605183098026828E-2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42614</v>
      </c>
      <c r="Y472" s="155">
        <f>_xll.qlCalendarAdvance(Calendar,X472,NDays&amp;"D")</f>
        <v>42614</v>
      </c>
      <c r="Z472" s="156">
        <v>1.1630922460827975E-2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42615</v>
      </c>
      <c r="Y473" s="155">
        <f>_xll.qlCalendarAdvance(Calendar,X473,NDays&amp;"D")</f>
        <v>42615</v>
      </c>
      <c r="Z473" s="156">
        <v>1.1697598040645296E-2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42619</v>
      </c>
      <c r="Y474" s="155">
        <f>_xll.qlCalendarAdvance(Calendar,X474,NDays&amp;"D")</f>
        <v>42619</v>
      </c>
      <c r="Z474" s="156">
        <v>1.1764757285650518E-2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42620</v>
      </c>
      <c r="Y475" s="155">
        <f>_xll.qlCalendarAdvance(Calendar,X475,NDays&amp;"D")</f>
        <v>42620</v>
      </c>
      <c r="Z475" s="156">
        <v>1.1791805826097956E-2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42621</v>
      </c>
      <c r="Y476" s="155">
        <f>_xll.qlCalendarAdvance(Calendar,X476,NDays&amp;"D")</f>
        <v>42621</v>
      </c>
      <c r="Z476" s="156">
        <v>1.1818406467307696E-2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42622</v>
      </c>
      <c r="Y477" s="155">
        <f>_xll.qlCalendarAdvance(Calendar,X477,NDays&amp;"D")</f>
        <v>42622</v>
      </c>
      <c r="Z477" s="156">
        <v>1.1870506143241144E-2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42625</v>
      </c>
      <c r="Y478" s="155">
        <f>_xll.qlCalendarAdvance(Calendar,X478,NDays&amp;"D")</f>
        <v>42625</v>
      </c>
      <c r="Z478" s="156">
        <v>1.1920330037531457E-2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42626</v>
      </c>
      <c r="Y479" s="155">
        <f>_xll.qlCalendarAdvance(Calendar,X479,NDays&amp;"D")</f>
        <v>42626</v>
      </c>
      <c r="Z479" s="156">
        <v>1.1944691180953981E-2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42627</v>
      </c>
      <c r="Y480" s="155">
        <f>_xll.qlCalendarAdvance(Calendar,X480,NDays&amp;"D")</f>
        <v>42627</v>
      </c>
      <c r="Z480" s="156">
        <v>1.1968604424499318E-2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42628</v>
      </c>
      <c r="Y481" s="155">
        <f>_xll.qlCalendarAdvance(Calendar,X481,NDays&amp;"D")</f>
        <v>42628</v>
      </c>
      <c r="Z481" s="156">
        <v>1.1992069768167468E-2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42629</v>
      </c>
      <c r="Y482" s="155">
        <f>_xll.qlCalendarAdvance(Calendar,X482,NDays&amp;"D")</f>
        <v>42629</v>
      </c>
      <c r="Z482" s="156">
        <v>1.2037909963726889E-2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42632</v>
      </c>
      <c r="Y483" s="155">
        <f>_xll.qlCalendarAdvance(Calendar,X483,NDays&amp;"D")</f>
        <v>42632</v>
      </c>
      <c r="Z483" s="156">
        <v>1.2081452141750049E-2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42633</v>
      </c>
      <c r="Y484" s="155">
        <f>_xll.qlCalendarAdvance(Calendar,X484,NDays&amp;"D")</f>
        <v>42633</v>
      </c>
      <c r="Z484" s="156">
        <v>1.2102677984513477E-2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42634</v>
      </c>
      <c r="Y485" s="155">
        <f>_xll.qlCalendarAdvance(Calendar,X485,NDays&amp;"D")</f>
        <v>42634</v>
      </c>
      <c r="Z485" s="156">
        <v>1.2123455926840165E-2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42635</v>
      </c>
      <c r="Y486" s="155">
        <f>_xll.qlCalendarAdvance(Calendar,X486,NDays&amp;"D")</f>
        <v>42635</v>
      </c>
      <c r="Z486" s="156">
        <v>1.2143785968570242E-2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42636</v>
      </c>
      <c r="Y487" s="155">
        <f>_xll.qlCalendarAdvance(Calendar,X487,NDays&amp;"D")</f>
        <v>42636</v>
      </c>
      <c r="Z487" s="156">
        <v>1.2183365344267116E-2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42639</v>
      </c>
      <c r="Y488" s="155">
        <f>_xll.qlCalendarAdvance(Calendar,X488,NDays&amp;"D")</f>
        <v>42639</v>
      </c>
      <c r="Z488" s="156">
        <v>1.2220627129204686E-2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42640</v>
      </c>
      <c r="Y489" s="155">
        <f>_xll.qlCalendarAdvance(Calendar,X489,NDays&amp;"D")</f>
        <v>42640</v>
      </c>
      <c r="Z489" s="156">
        <v>1.2238717667392152E-2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42641</v>
      </c>
      <c r="Y490" s="155">
        <f>_xll.qlCalendarAdvance(Calendar,X490,NDays&amp;"D")</f>
        <v>42641</v>
      </c>
      <c r="Z490" s="156">
        <v>1.2256360304583325E-2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42642</v>
      </c>
      <c r="Y491" s="155">
        <f>_xll.qlCalendarAdvance(Calendar,X491,NDays&amp;"D")</f>
        <v>42642</v>
      </c>
      <c r="Z491" s="156">
        <v>1.2273555040778206E-2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42643</v>
      </c>
      <c r="Y492" s="155">
        <f>_xll.qlCalendarAdvance(Calendar,X492,NDays&amp;"D")</f>
        <v>42643</v>
      </c>
      <c r="Z492" s="156">
        <v>1.2306872205112285E-2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42646</v>
      </c>
      <c r="Y493" s="155">
        <f>_xll.qlCalendarAdvance(Calendar,X493,NDays&amp;"D")</f>
        <v>42646</v>
      </c>
      <c r="Z493" s="156">
        <v>1.2337854974395768E-2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42647</v>
      </c>
      <c r="Y494" s="155">
        <f>_xll.qlCalendarAdvance(Calendar,X494,NDays&amp;"D")</f>
        <v>42647</v>
      </c>
      <c r="Z494" s="156">
        <v>1.2352962336956708E-2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42648</v>
      </c>
      <c r="Y495" s="155">
        <f>_xll.qlCalendarAdvance(Calendar,X495,NDays&amp;"D")</f>
        <v>42648</v>
      </c>
      <c r="Z495" s="156">
        <v>1.2368382459495564E-2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42649</v>
      </c>
      <c r="Y496" s="155">
        <f>_xll.qlCalendarAdvance(Calendar,X496,NDays&amp;"D")</f>
        <v>42649</v>
      </c>
      <c r="Z496" s="156">
        <v>1.2384267474558897E-2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42650</v>
      </c>
      <c r="Y497" s="155">
        <f>_xll.qlCalendarAdvance(Calendar,X497,NDays&amp;"D")</f>
        <v>42650</v>
      </c>
      <c r="Z497" s="156">
        <v>1.2426947876391647E-2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42654</v>
      </c>
      <c r="Y498" s="155">
        <f>_xll.qlCalendarAdvance(Calendar,X498,NDays&amp;"D")</f>
        <v>42654</v>
      </c>
      <c r="Z498" s="156">
        <v>1.2470665937343028E-2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42655</v>
      </c>
      <c r="Y499" s="155">
        <f>_xll.qlCalendarAdvance(Calendar,X499,NDays&amp;"D")</f>
        <v>42655</v>
      </c>
      <c r="Z499" s="156">
        <v>1.2489340307952901E-2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42656</v>
      </c>
      <c r="Y500" s="155">
        <f>_xll.qlCalendarAdvance(Calendar,X500,NDays&amp;"D")</f>
        <v>42656</v>
      </c>
      <c r="Z500" s="156">
        <v>1.2508479571406994E-2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42657</v>
      </c>
      <c r="Y501" s="155">
        <f>_xll.qlCalendarAdvance(Calendar,X501,NDays&amp;"D")</f>
        <v>42657</v>
      </c>
      <c r="Z501" s="156">
        <v>1.2548745135170236E-2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42660</v>
      </c>
      <c r="Y502" s="155">
        <f>_xll.qlCalendarAdvance(Calendar,X502,NDays&amp;"D")</f>
        <v>42660</v>
      </c>
      <c r="Z502" s="156">
        <v>1.258968555518436E-2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42661</v>
      </c>
      <c r="Y503" s="155">
        <f>_xll.qlCalendarAdvance(Calendar,X503,NDays&amp;"D")</f>
        <v>42661</v>
      </c>
      <c r="Z503" s="156">
        <v>1.2611149284058598E-2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42662</v>
      </c>
      <c r="Y504" s="155">
        <f>_xll.qlCalendarAdvance(Calendar,X504,NDays&amp;"D")</f>
        <v>42662</v>
      </c>
      <c r="Z504" s="156">
        <v>1.2633077906176737E-2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42663</v>
      </c>
      <c r="Y505" s="155">
        <f>_xll.qlCalendarAdvance(Calendar,X505,NDays&amp;"D")</f>
        <v>42663</v>
      </c>
      <c r="Z505" s="156">
        <v>1.2655471421778586E-2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42664</v>
      </c>
      <c r="Y506" s="155">
        <f>_xll.qlCalendarAdvance(Calendar,X506,NDays&amp;"D")</f>
        <v>42664</v>
      </c>
      <c r="Z506" s="156">
        <v>1.2702256258130262E-2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42667</v>
      </c>
      <c r="Y507" s="155">
        <f>_xll.qlCalendarAdvance(Calendar,X507,NDays&amp;"D")</f>
        <v>42667</v>
      </c>
      <c r="Z507" s="156">
        <v>1.2749694419822433E-2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42668</v>
      </c>
      <c r="Y508" s="155">
        <f>_xll.qlCalendarAdvance(Calendar,X508,NDays&amp;"D")</f>
        <v>42668</v>
      </c>
      <c r="Z508" s="156">
        <v>1.277441240380206E-2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42669</v>
      </c>
      <c r="Y509" s="155">
        <f>_xll.qlCalendarAdvance(Calendar,X509,NDays&amp;"D")</f>
        <v>42669</v>
      </c>
      <c r="Z509" s="156">
        <v>1.2799595281585141E-2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42670</v>
      </c>
      <c r="Y510" s="155">
        <f>_xll.qlCalendarAdvance(Calendar,X510,NDays&amp;"D")</f>
        <v>42670</v>
      </c>
      <c r="Z510" s="156">
        <v>1.2825243053571356E-2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42671</v>
      </c>
      <c r="Y511" s="155">
        <f>_xll.qlCalendarAdvance(Calendar,X511,NDays&amp;"D")</f>
        <v>42671</v>
      </c>
      <c r="Z511" s="156">
        <v>1.2878548930563838E-2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42674</v>
      </c>
      <c r="Y512" s="155">
        <f>_xll.qlCalendarAdvance(Calendar,X512,NDays&amp;"D")</f>
        <v>42674</v>
      </c>
      <c r="Z512" s="156">
        <v>1.2932483083787361E-2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42675</v>
      </c>
      <c r="Y513" s="155">
        <f>_xll.qlCalendarAdvance(Calendar,X513,NDays&amp;"D")</f>
        <v>42675</v>
      </c>
      <c r="Z513" s="156">
        <v>1.2960455327428733E-2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42676</v>
      </c>
      <c r="Y514" s="155">
        <f>_xll.qlCalendarAdvance(Calendar,X514,NDays&amp;"D")</f>
        <v>42676</v>
      </c>
      <c r="Z514" s="156">
        <v>1.2988892465832791E-2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42677</v>
      </c>
      <c r="Y515" s="155">
        <f>_xll.qlCalendarAdvance(Calendar,X515,NDays&amp;"D")</f>
        <v>42677</v>
      </c>
      <c r="Z515" s="156">
        <v>1.3017794498999535E-2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42678</v>
      </c>
      <c r="Y516" s="155">
        <f>_xll.qlCalendarAdvance(Calendar,X516,NDays&amp;"D")</f>
        <v>42678</v>
      </c>
      <c r="Z516" s="156">
        <v>1.3076849786273215E-2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42681</v>
      </c>
      <c r="Y517" s="155">
        <f>_xll.qlCalendarAdvance(Calendar,X517,NDays&amp;"D")</f>
        <v>42681</v>
      </c>
      <c r="Z517" s="156">
        <v>1.3134872005169385E-2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42682</v>
      </c>
      <c r="Y518" s="155">
        <f>_xll.qlCalendarAdvance(Calendar,X518,NDays&amp;"D")</f>
        <v>42682</v>
      </c>
      <c r="Z518" s="156">
        <v>1.3164036085600017E-2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42683</v>
      </c>
      <c r="Y519" s="155">
        <f>_xll.qlCalendarAdvance(Calendar,X519,NDays&amp;"D")</f>
        <v>42683</v>
      </c>
      <c r="Z519" s="156">
        <v>1.3193149454036046E-2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42684</v>
      </c>
      <c r="Y520" s="155">
        <f>_xll.qlCalendarAdvance(Calendar,X520,NDays&amp;"D")</f>
        <v>42684</v>
      </c>
      <c r="Z520" s="156">
        <v>1.3266412574466369E-2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42688</v>
      </c>
      <c r="Y521" s="155">
        <f>_xll.qlCalendarAdvance(Calendar,X521,NDays&amp;"D")</f>
        <v>42688</v>
      </c>
      <c r="Z521" s="156">
        <v>1.3337955616457009E-2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42689</v>
      </c>
      <c r="Y522" s="155">
        <f>_xll.qlCalendarAdvance(Calendar,X522,NDays&amp;"D")</f>
        <v>42689</v>
      </c>
      <c r="Z522" s="156">
        <v>1.3366764712925416E-2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42690</v>
      </c>
      <c r="Y523" s="155">
        <f>_xll.qlCalendarAdvance(Calendar,X523,NDays&amp;"D")</f>
        <v>42690</v>
      </c>
      <c r="Z523" s="156">
        <v>1.3395523097319284E-2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42691</v>
      </c>
      <c r="Y524" s="155">
        <f>_xll.qlCalendarAdvance(Calendar,X524,NDays&amp;"D")</f>
        <v>42691</v>
      </c>
      <c r="Z524" s="156">
        <v>1.3424230769798484E-2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42692</v>
      </c>
      <c r="Y525" s="155">
        <f>_xll.qlCalendarAdvance(Calendar,X525,NDays&amp;"D")</f>
        <v>42692</v>
      </c>
      <c r="Z525" s="156">
        <v>1.3481981941589893E-2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42695</v>
      </c>
      <c r="Y526" s="155">
        <f>_xll.qlCalendarAdvance(Calendar,X526,NDays&amp;"D")</f>
        <v>42695</v>
      </c>
      <c r="Z526" s="156">
        <v>1.3538554338650144E-2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42696</v>
      </c>
      <c r="Y527" s="155">
        <f>_xll.qlCalendarAdvance(Calendar,X527,NDays&amp;"D")</f>
        <v>42696</v>
      </c>
      <c r="Z527" s="156">
        <v>1.3567008450596774E-2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42697</v>
      </c>
      <c r="Y528" s="155">
        <f>_xll.qlCalendarAdvance(Calendar,X528,NDays&amp;"D")</f>
        <v>42697</v>
      </c>
      <c r="Z528" s="156">
        <v>1.360984544526822E-2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42704</v>
      </c>
      <c r="Y529" s="155">
        <f>_xll.qlCalendarAdvance(Calendar,X529,NDays&amp;"D")</f>
        <v>42704</v>
      </c>
      <c r="Z529" s="156">
        <v>1.3792815709168238E-2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42711</v>
      </c>
      <c r="Y530" s="155">
        <f>_xll.qlCalendarAdvance(Calendar,X530,NDays&amp;"D")</f>
        <v>42711</v>
      </c>
      <c r="Z530" s="156">
        <v>1.3987734669340668E-2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42718</v>
      </c>
      <c r="Y531" s="155">
        <f>_xll.qlCalendarAdvance(Calendar,X531,NDays&amp;"D")</f>
        <v>42718</v>
      </c>
      <c r="Z531" s="156">
        <v>1.4180168727069287E-2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42725</v>
      </c>
      <c r="Y532" s="155">
        <f>_xll.qlCalendarAdvance(Calendar,X532,NDays&amp;"D")</f>
        <v>42725</v>
      </c>
      <c r="Z532" s="156">
        <v>1.4370117878197419E-2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42732</v>
      </c>
      <c r="Y533" s="155">
        <f>_xll.qlCalendarAdvance(Calendar,X533,NDays&amp;"D")</f>
        <v>42732</v>
      </c>
      <c r="Z533" s="156">
        <v>1.4557582118968071E-2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42739</v>
      </c>
      <c r="Y534" s="155">
        <f>_xll.qlCalendarAdvance(Calendar,X534,NDays&amp;"D")</f>
        <v>42739</v>
      </c>
      <c r="Z534" s="156">
        <v>1.4742561445384439E-2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42746</v>
      </c>
      <c r="Y535" s="155">
        <f>_xll.qlCalendarAdvance(Calendar,X535,NDays&amp;"D")</f>
        <v>42746</v>
      </c>
      <c r="Z535" s="156">
        <v>1.4925055853609592E-2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42753</v>
      </c>
      <c r="Y536" s="155">
        <f>_xll.qlCalendarAdvance(Calendar,X536,NDays&amp;"D")</f>
        <v>42753</v>
      </c>
      <c r="Z536" s="156">
        <v>1.5105065339886536E-2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42760</v>
      </c>
      <c r="Y537" s="155">
        <f>_xll.qlCalendarAdvance(Calendar,X537,NDays&amp;"D")</f>
        <v>42760</v>
      </c>
      <c r="Z537" s="156">
        <v>1.5282589900538213E-2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42767</v>
      </c>
      <c r="Y538" s="155">
        <f>_xll.qlCalendarAdvance(Calendar,X538,NDays&amp;"D")</f>
        <v>42767</v>
      </c>
      <c r="Z538" s="156">
        <v>1.5457629531887562E-2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42774</v>
      </c>
      <c r="Y539" s="155">
        <f>_xll.qlCalendarAdvance(Calendar,X539,NDays&amp;"D")</f>
        <v>42774</v>
      </c>
      <c r="Z539" s="156">
        <v>1.5630184230177591E-2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42781</v>
      </c>
      <c r="Y540" s="155">
        <f>_xll.qlCalendarAdvance(Calendar,X540,NDays&amp;"D")</f>
        <v>42781</v>
      </c>
      <c r="Z540" s="156">
        <v>1.5800253992050983E-2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42788</v>
      </c>
      <c r="Y541" s="155">
        <f>_xll.qlCalendarAdvance(Calendar,X541,NDays&amp;"D")</f>
        <v>42788</v>
      </c>
      <c r="Z541" s="156">
        <v>1.5967838813830681E-2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42795</v>
      </c>
      <c r="Y542" s="155">
        <f>_xll.qlCalendarAdvance(Calendar,X542,NDays&amp;"D")</f>
        <v>42795</v>
      </c>
      <c r="Z542" s="156">
        <v>1.6132938691999499E-2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42802</v>
      </c>
      <c r="Y543" s="155">
        <f>_xll.qlCalendarAdvance(Calendar,X543,NDays&amp;"D")</f>
        <v>42802</v>
      </c>
      <c r="Z543" s="156">
        <v>1.6295553623359993E-2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42809</v>
      </c>
      <c r="Y544" s="155">
        <f>_xll.qlCalendarAdvance(Calendar,X544,NDays&amp;"D")</f>
        <v>42809</v>
      </c>
      <c r="Z544" s="156">
        <v>1.6455683604315041E-2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42816</v>
      </c>
      <c r="Y545" s="155">
        <f>_xll.qlCalendarAdvance(Calendar,X545,NDays&amp;"D")</f>
        <v>42816</v>
      </c>
      <c r="Z545" s="156">
        <v>1.6613328631587265E-2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42823</v>
      </c>
      <c r="Y546" s="155">
        <f>_xll.qlCalendarAdvance(Calendar,X546,NDays&amp;"D")</f>
        <v>42823</v>
      </c>
      <c r="Z546" s="156">
        <v>1.6768488702059159E-2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42830</v>
      </c>
      <c r="Y547" s="155">
        <f>_xll.qlCalendarAdvance(Calendar,X547,NDays&amp;"D")</f>
        <v>42830</v>
      </c>
      <c r="Z547" s="156">
        <v>1.6921163812453344E-2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42837</v>
      </c>
      <c r="Y548" s="155">
        <f>_xll.qlCalendarAdvance(Calendar,X548,NDays&amp;"D")</f>
        <v>42837</v>
      </c>
      <c r="Z548" s="156">
        <v>1.7071353959492441E-2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42844</v>
      </c>
      <c r="Y549" s="155">
        <f>_xll.qlCalendarAdvance(Calendar,X549,NDays&amp;"D")</f>
        <v>42844</v>
      </c>
      <c r="Z549" s="156">
        <v>1.7219059140218818E-2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42851</v>
      </c>
      <c r="Y550" s="155">
        <f>_xll.qlCalendarAdvance(Calendar,X550,NDays&amp;"D")</f>
        <v>42851</v>
      </c>
      <c r="Z550" s="156">
        <v>1.7364279351514966E-2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42858</v>
      </c>
      <c r="Y551" s="155">
        <f>_xll.qlCalendarAdvance(Calendar,X551,NDays&amp;"D")</f>
        <v>42858</v>
      </c>
      <c r="Z551" s="156">
        <v>1.7507014590343317E-2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42865</v>
      </c>
      <c r="Y552" s="155">
        <f>_xll.qlCalendarAdvance(Calendar,X552,NDays&amp;"D")</f>
        <v>42865</v>
      </c>
      <c r="Z552" s="156">
        <v>1.76472648536663E-2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42872</v>
      </c>
      <c r="Y553" s="155">
        <f>_xll.qlCalendarAdvance(Calendar,X553,NDays&amp;"D")</f>
        <v>42872</v>
      </c>
      <c r="Z553" s="156">
        <v>1.7785030138846025E-2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42879</v>
      </c>
      <c r="Y554" s="155">
        <f>_xll.qlCalendarAdvance(Calendar,X554,NDays&amp;"D")</f>
        <v>42879</v>
      </c>
      <c r="Z554" s="156">
        <v>1.7920310442764986E-2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42886</v>
      </c>
      <c r="Y555" s="155">
        <f>_xll.qlCalendarAdvance(Calendar,X555,NDays&amp;"D")</f>
        <v>42886</v>
      </c>
      <c r="Z555" s="156">
        <v>1.8053105762785293E-2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42893</v>
      </c>
      <c r="Y556" s="155">
        <f>_xll.qlCalendarAdvance(Calendar,X556,NDays&amp;"D")</f>
        <v>42893</v>
      </c>
      <c r="Z556" s="156">
        <v>1.8183416096109184E-2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42900</v>
      </c>
      <c r="Y557" s="155">
        <f>_xll.qlCalendarAdvance(Calendar,X557,NDays&amp;"D")</f>
        <v>42900</v>
      </c>
      <c r="Z557" s="156">
        <v>1.8311241440018833E-2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42907</v>
      </c>
      <c r="Y558" s="155">
        <f>_xll.qlCalendarAdvance(Calendar,X558,NDays&amp;"D")</f>
        <v>42907</v>
      </c>
      <c r="Z558" s="156">
        <v>1.8436581791796414E-2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42914</v>
      </c>
      <c r="Y559" s="155">
        <f>_xll.qlCalendarAdvance(Calendar,X559,NDays&amp;"D")</f>
        <v>42914</v>
      </c>
      <c r="Z559" s="156">
        <v>1.8559437149043845E-2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42921</v>
      </c>
      <c r="Y560" s="155">
        <f>_xll.qlCalendarAdvance(Calendar,X560,NDays&amp;"D")</f>
        <v>42921</v>
      </c>
      <c r="Z560" s="156">
        <v>1.8679807508963364E-2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42928</v>
      </c>
      <c r="Y561" s="155">
        <f>_xll.qlCalendarAdvance(Calendar,X561,NDays&amp;"D")</f>
        <v>42928</v>
      </c>
      <c r="Z561" s="156">
        <v>1.8797692869316762E-2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42935</v>
      </c>
      <c r="Y562" s="155">
        <f>_xll.qlCalendarAdvance(Calendar,X562,NDays&amp;"D")</f>
        <v>42935</v>
      </c>
      <c r="Z562" s="156">
        <v>1.8913093227466149E-2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42942</v>
      </c>
      <c r="Y563" s="155">
        <f>_xll.qlCalendarAdvance(Calendar,X563,NDays&amp;"D")</f>
        <v>42942</v>
      </c>
      <c r="Z563" s="156">
        <v>1.9026008581173315E-2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42949</v>
      </c>
      <c r="Y564" s="155">
        <f>_xll.qlCalendarAdvance(Calendar,X564,NDays&amp;"D")</f>
        <v>42949</v>
      </c>
      <c r="Z564" s="156">
        <v>1.9136438927960242E-2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42956</v>
      </c>
      <c r="Y565" s="155">
        <f>_xll.qlCalendarAdvance(Calendar,X565,NDays&amp;"D")</f>
        <v>42956</v>
      </c>
      <c r="Z565" s="156">
        <v>1.9244384265668657E-2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42963</v>
      </c>
      <c r="Y566" s="155">
        <f>_xll.qlCalendarAdvance(Calendar,X566,NDays&amp;"D")</f>
        <v>42963</v>
      </c>
      <c r="Z566" s="156">
        <v>1.9349844591980414E-2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42970</v>
      </c>
      <c r="Y567" s="155">
        <f>_xll.qlCalendarAdvance(Calendar,X567,NDays&amp;"D")</f>
        <v>42970</v>
      </c>
      <c r="Z567" s="156">
        <v>1.9452819904657304E-2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42977</v>
      </c>
      <c r="Y568" s="155">
        <f>_xll.qlCalendarAdvance(Calendar,X568,NDays&amp;"D")</f>
        <v>42977</v>
      </c>
      <c r="Z568" s="156">
        <v>1.9553310201700924E-2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42984</v>
      </c>
      <c r="Y569" s="155">
        <f>_xll.qlCalendarAdvance(Calendar,X569,NDays&amp;"D")</f>
        <v>42984</v>
      </c>
      <c r="Z569" s="156">
        <v>1.9651315481032938E-2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42991</v>
      </c>
      <c r="Y570" s="155">
        <f>_xll.qlCalendarAdvance(Calendar,X570,NDays&amp;"D")</f>
        <v>42991</v>
      </c>
      <c r="Z570" s="156">
        <v>1.9746835740415136E-2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42998</v>
      </c>
      <c r="Y571" s="155">
        <f>_xll.qlCalendarAdvance(Calendar,X571,NDays&amp;"D")</f>
        <v>42998</v>
      </c>
      <c r="Z571" s="156">
        <v>1.9839870978088925E-2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43005</v>
      </c>
      <c r="Y572" s="155">
        <f>_xll.qlCalendarAdvance(Calendar,X572,NDays&amp;"D")</f>
        <v>43005</v>
      </c>
      <c r="Z572" s="156">
        <v>1.9930421192135839E-2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43012</v>
      </c>
      <c r="Y573" s="155">
        <f>_xll.qlCalendarAdvance(Calendar,X573,NDays&amp;"D")</f>
        <v>43012</v>
      </c>
      <c r="Z573" s="156">
        <v>2.001848638047754E-2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43019</v>
      </c>
      <c r="Y574" s="155">
        <f>_xll.qlCalendarAdvance(Calendar,X574,NDays&amp;"D")</f>
        <v>43019</v>
      </c>
      <c r="Z574" s="156">
        <v>2.0104066541515309E-2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43026</v>
      </c>
      <c r="Y575" s="155">
        <f>_xll.qlCalendarAdvance(Calendar,X575,NDays&amp;"D")</f>
        <v>43026</v>
      </c>
      <c r="Z575" s="156">
        <v>2.0187161673330678E-2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43033</v>
      </c>
      <c r="Y576" s="155">
        <f>_xll.qlCalendarAdvance(Calendar,X576,NDays&amp;"D")</f>
        <v>43033</v>
      </c>
      <c r="Z576" s="156">
        <v>2.0267771774244991E-2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43040</v>
      </c>
      <c r="Y577" s="155">
        <f>_xll.qlCalendarAdvance(Calendar,X577,NDays&amp;"D")</f>
        <v>43040</v>
      </c>
      <c r="Z577" s="156">
        <v>2.0345896842579592E-2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43047</v>
      </c>
      <c r="Y578" s="155">
        <f>_xll.qlCalendarAdvance(Calendar,X578,NDays&amp;"D")</f>
        <v>43047</v>
      </c>
      <c r="Z578" s="156">
        <v>2.0421666489855994E-2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43054</v>
      </c>
      <c r="Y579" s="155">
        <f>_xll.qlCalendarAdvance(Calendar,X579,NDays&amp;"D")</f>
        <v>43054</v>
      </c>
      <c r="Z579" s="156">
        <v>2.049654056775374E-2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43061</v>
      </c>
      <c r="Y580" s="155">
        <f>_xll.qlCalendarAdvance(Calendar,X580,NDays&amp;"D")</f>
        <v>43061</v>
      </c>
      <c r="Z580" s="156">
        <v>2.0576817564963434E-2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43068</v>
      </c>
      <c r="Y581" s="155">
        <f>_xll.qlCalendarAdvance(Calendar,X581,NDays&amp;"D")</f>
        <v>43068</v>
      </c>
      <c r="Z581" s="156">
        <v>2.0644850392894654E-2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43075</v>
      </c>
      <c r="Y582" s="155">
        <f>_xll.qlCalendarAdvance(Calendar,X582,NDays&amp;"D")</f>
        <v>43075</v>
      </c>
      <c r="Z582" s="156">
        <v>2.0718286139578268E-2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43082</v>
      </c>
      <c r="Y583" s="155">
        <f>_xll.qlCalendarAdvance(Calendar,X583,NDays&amp;"D")</f>
        <v>43082</v>
      </c>
      <c r="Z583" s="156">
        <v>2.0791242441937641E-2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43089</v>
      </c>
      <c r="Y584" s="155">
        <f>_xll.qlCalendarAdvance(Calendar,X584,NDays&amp;"D")</f>
        <v>43089</v>
      </c>
      <c r="Z584" s="156">
        <v>2.0863719299573091E-2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43096</v>
      </c>
      <c r="Y585" s="155">
        <f>_xll.qlCalendarAdvance(Calendar,X585,NDays&amp;"D")</f>
        <v>43096</v>
      </c>
      <c r="Z585" s="156">
        <v>2.0935716712324748E-2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43103</v>
      </c>
      <c r="Y586" s="155">
        <f>_xll.qlCalendarAdvance(Calendar,X586,NDays&amp;"D")</f>
        <v>43103</v>
      </c>
      <c r="Z586" s="156">
        <v>2.1007234679872866E-2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43110</v>
      </c>
      <c r="Y587" s="155">
        <f>_xll.qlCalendarAdvance(Calendar,X587,NDays&amp;"D")</f>
        <v>43110</v>
      </c>
      <c r="Z587" s="156">
        <v>2.1078273201977638E-2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43117</v>
      </c>
      <c r="Y588" s="155">
        <f>_xll.qlCalendarAdvance(Calendar,X588,NDays&amp;"D")</f>
        <v>43117</v>
      </c>
      <c r="Z588" s="156">
        <v>2.1148832278239382E-2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43124</v>
      </c>
      <c r="Y589" s="155">
        <f>_xll.qlCalendarAdvance(Calendar,X589,NDays&amp;"D")</f>
        <v>43124</v>
      </c>
      <c r="Z589" s="156">
        <v>2.1218911908498228E-2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43131</v>
      </c>
      <c r="Y590" s="155">
        <f>_xll.qlCalendarAdvance(Calendar,X590,NDays&amp;"D")</f>
        <v>43131</v>
      </c>
      <c r="Z590" s="156">
        <v>2.1288512092354495E-2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43138</v>
      </c>
      <c r="Y591" s="155">
        <f>_xll.qlCalendarAdvance(Calendar,X591,NDays&amp;"D")</f>
        <v>43138</v>
      </c>
      <c r="Z591" s="156">
        <v>2.135763282964831E-2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43145</v>
      </c>
      <c r="Y592" s="155">
        <f>_xll.qlCalendarAdvance(Calendar,X592,NDays&amp;"D")</f>
        <v>43145</v>
      </c>
      <c r="Z592" s="156">
        <v>2.1426274119979993E-2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43152</v>
      </c>
      <c r="Y593" s="155">
        <f>_xll.qlCalendarAdvance(Calendar,X593,NDays&amp;"D")</f>
        <v>43152</v>
      </c>
      <c r="Z593" s="156">
        <v>2.1494435963189673E-2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43159</v>
      </c>
      <c r="Y594" s="155">
        <f>_xll.qlCalendarAdvance(Calendar,X594,NDays&amp;"D")</f>
        <v>43159</v>
      </c>
      <c r="Z594" s="156">
        <v>2.1562118359037541E-2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43166</v>
      </c>
      <c r="Y595" s="155">
        <f>_xll.qlCalendarAdvance(Calendar,X595,NDays&amp;"D")</f>
        <v>43166</v>
      </c>
      <c r="Z595" s="156">
        <v>2.162932130704398E-2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43173</v>
      </c>
      <c r="Y596" s="155">
        <f>_xll.qlCalendarAdvance(Calendar,X596,NDays&amp;"D")</f>
        <v>43173</v>
      </c>
      <c r="Z596" s="156">
        <v>2.1696044807129056E-2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43180</v>
      </c>
      <c r="Y597" s="155">
        <f>_xll.qlCalendarAdvance(Calendar,X597,NDays&amp;"D")</f>
        <v>43180</v>
      </c>
      <c r="Z597" s="156">
        <v>2.1762288858973022E-2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43187</v>
      </c>
      <c r="Y598" s="155">
        <f>_xll.qlCalendarAdvance(Calendar,X598,NDays&amp;"D")</f>
        <v>43187</v>
      </c>
      <c r="Z598" s="156">
        <v>2.1828053462256136E-2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43194</v>
      </c>
      <c r="Y599" s="155">
        <f>_xll.qlCalendarAdvance(Calendar,X599,NDays&amp;"D")</f>
        <v>43194</v>
      </c>
      <c r="Z599" s="156">
        <v>2.1893338616818525E-2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43201</v>
      </c>
      <c r="Y600" s="155">
        <f>_xll.qlCalendarAdvance(Calendar,X600,NDays&amp;"D")</f>
        <v>43201</v>
      </c>
      <c r="Z600" s="156">
        <v>2.1958144322340445E-2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43208</v>
      </c>
      <c r="Y601" s="155">
        <f>_xll.qlCalendarAdvance(Calendar,X601,NDays&amp;"D")</f>
        <v>43208</v>
      </c>
      <c r="Z601" s="156">
        <v>2.2022470578582087E-2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43215</v>
      </c>
      <c r="Y602" s="155">
        <f>_xll.qlCalendarAdvance(Calendar,X602,NDays&amp;"D")</f>
        <v>43215</v>
      </c>
      <c r="Z602" s="156">
        <v>2.2086317385223708E-2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43222</v>
      </c>
      <c r="Y603" s="155">
        <f>_xll.qlCalendarAdvance(Calendar,X603,NDays&amp;"D")</f>
        <v>43222</v>
      </c>
      <c r="Z603" s="156">
        <v>2.2149684742105435E-2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43229</v>
      </c>
      <c r="Y604" s="155">
        <f>_xll.qlCalendarAdvance(Calendar,X604,NDays&amp;"D")</f>
        <v>43229</v>
      </c>
      <c r="Z604" s="156">
        <v>2.2212572648907525E-2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43236</v>
      </c>
      <c r="Y605" s="155">
        <f>_xll.qlCalendarAdvance(Calendar,X605,NDays&amp;"D")</f>
        <v>43236</v>
      </c>
      <c r="Z605" s="156">
        <v>2.2274981105390168E-2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43243</v>
      </c>
      <c r="Y606" s="155">
        <f>_xll.qlCalendarAdvance(Calendar,X606,NDays&amp;"D")</f>
        <v>43243</v>
      </c>
      <c r="Z606" s="156">
        <v>2.2336910111313557E-2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43250</v>
      </c>
      <c r="Y607" s="155">
        <f>_xll.qlCalendarAdvance(Calendar,X607,NDays&amp;"D")</f>
        <v>43250</v>
      </c>
      <c r="Z607" s="156">
        <v>2.2398359666437884E-2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43257</v>
      </c>
      <c r="Y608" s="155">
        <f>_xll.qlCalendarAdvance(Calendar,X608,NDays&amp;"D")</f>
        <v>43257</v>
      </c>
      <c r="Z608" s="156">
        <v>2.245932977052334E-2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43264</v>
      </c>
      <c r="Y609" s="155">
        <f>_xll.qlCalendarAdvance(Calendar,X609,NDays&amp;"D")</f>
        <v>43264</v>
      </c>
      <c r="Z609" s="156">
        <v>2.2519820423330117E-2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43271</v>
      </c>
      <c r="Y610" s="155">
        <f>_xll.qlCalendarAdvance(Calendar,X610,NDays&amp;"D")</f>
        <v>43271</v>
      </c>
      <c r="Z610" s="156">
        <v>2.2579831624538471E-2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43278</v>
      </c>
      <c r="Y611" s="155">
        <f>_xll.qlCalendarAdvance(Calendar,X611,NDays&amp;"D")</f>
        <v>43278</v>
      </c>
      <c r="Z611" s="156">
        <v>2.2639363374068466E-2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43286</v>
      </c>
      <c r="Y612" s="155">
        <f>_xll.qlCalendarAdvance(Calendar,X612,NDays&amp;"D")</f>
        <v>43286</v>
      </c>
      <c r="Z612" s="156">
        <v>2.2706812575012947E-2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43293</v>
      </c>
      <c r="Y613" s="155">
        <f>_xll.qlCalendarAdvance(Calendar,X613,NDays&amp;"D")</f>
        <v>43293</v>
      </c>
      <c r="Z613" s="156">
        <v>2.2765316927015888E-2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43300</v>
      </c>
      <c r="Y614" s="155">
        <f>_xll.qlCalendarAdvance(Calendar,X614,NDays&amp;"D")</f>
        <v>43300</v>
      </c>
      <c r="Z614" s="156">
        <v>2.282334182654111E-2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43307</v>
      </c>
      <c r="Y615" s="155">
        <f>_xll.qlCalendarAdvance(Calendar,X615,NDays&amp;"D")</f>
        <v>43307</v>
      </c>
      <c r="Z615" s="156">
        <v>2.2880887273268868E-2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43314</v>
      </c>
      <c r="Y616" s="155">
        <f>_xll.qlCalendarAdvance(Calendar,X616,NDays&amp;"D")</f>
        <v>43314</v>
      </c>
      <c r="Z616" s="156">
        <v>2.293795326703929E-2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43321</v>
      </c>
      <c r="Y617" s="155">
        <f>_xll.qlCalendarAdvance(Calendar,X617,NDays&amp;"D")</f>
        <v>43321</v>
      </c>
      <c r="Z617" s="156">
        <v>2.2994539807612568E-2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43328</v>
      </c>
      <c r="Y618" s="155">
        <f>_xll.qlCalendarAdvance(Calendar,X618,NDays&amp;"D")</f>
        <v>43328</v>
      </c>
      <c r="Z618" s="156">
        <v>2.3050646894668958E-2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43335</v>
      </c>
      <c r="Y619" s="155">
        <f>_xll.qlCalendarAdvance(Calendar,X619,NDays&amp;"D")</f>
        <v>43335</v>
      </c>
      <c r="Z619" s="156">
        <v>2.3106274528128523E-2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43342</v>
      </c>
      <c r="Y620" s="155">
        <f>_xll.qlCalendarAdvance(Calendar,X620,NDays&amp;"D")</f>
        <v>43342</v>
      </c>
      <c r="Z620" s="156">
        <v>2.3161422707751456E-2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43349</v>
      </c>
      <c r="Y621" s="155">
        <f>_xll.qlCalendarAdvance(Calendar,X621,NDays&amp;"D")</f>
        <v>43349</v>
      </c>
      <c r="Z621" s="156">
        <v>2.3216091433218011E-2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43356</v>
      </c>
      <c r="Y622" s="155">
        <f>_xll.qlCalendarAdvance(Calendar,X622,NDays&amp;"D")</f>
        <v>43356</v>
      </c>
      <c r="Z622" s="156">
        <v>2.3270280704368318E-2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43363</v>
      </c>
      <c r="Y623" s="155">
        <f>_xll.qlCalendarAdvance(Calendar,X623,NDays&amp;"D")</f>
        <v>43363</v>
      </c>
      <c r="Z623" s="156">
        <v>2.3323990521042504E-2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43370</v>
      </c>
      <c r="Y624" s="155">
        <f>_xll.qlCalendarAdvance(Calendar,X624,NDays&amp;"D")</f>
        <v>43370</v>
      </c>
      <c r="Z624" s="156">
        <v>2.3377220882920824E-2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43377</v>
      </c>
      <c r="Y625" s="155">
        <f>_xll.qlCalendarAdvance(Calendar,X625,NDays&amp;"D")</f>
        <v>43377</v>
      </c>
      <c r="Z625" s="156">
        <v>2.3429971789763471E-2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43384</v>
      </c>
      <c r="Y626" s="155">
        <f>_xll.qlCalendarAdvance(Calendar,X626,NDays&amp;"D")</f>
        <v>43384</v>
      </c>
      <c r="Z626" s="156">
        <v>2.3482243241570444E-2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43391</v>
      </c>
      <c r="Y627" s="155">
        <f>_xll.qlCalendarAdvance(Calendar,X627,NDays&amp;"D")</f>
        <v>43391</v>
      </c>
      <c r="Z627" s="156">
        <v>2.3534035237862128E-2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43398</v>
      </c>
      <c r="Y628" s="155">
        <f>_xll.qlCalendarAdvance(Calendar,X628,NDays&amp;"D")</f>
        <v>43398</v>
      </c>
      <c r="Z628" s="156">
        <v>2.3585347778638521E-2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43405</v>
      </c>
      <c r="Y629" s="155">
        <f>_xll.qlCalendarAdvance(Calendar,X629,NDays&amp;"D")</f>
        <v>43405</v>
      </c>
      <c r="Z629" s="156">
        <v>2.3636180863659817E-2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43412</v>
      </c>
      <c r="Y630" s="155">
        <f>_xll.qlCalendarAdvance(Calendar,X630,NDays&amp;"D")</f>
        <v>43412</v>
      </c>
      <c r="Z630" s="156">
        <v>2.3686658858164122E-2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43419</v>
      </c>
      <c r="Y631" s="155">
        <f>_xll.qlCalendarAdvance(Calendar,X631,NDays&amp;"D")</f>
        <v>43419</v>
      </c>
      <c r="Z631" s="156">
        <v>2.3737521233035963E-2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43427</v>
      </c>
      <c r="Y632" s="155">
        <f>_xll.qlCalendarAdvance(Calendar,X632,NDays&amp;"D")</f>
        <v>43427</v>
      </c>
      <c r="Z632" s="156">
        <v>2.3805240685295104E-2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43434</v>
      </c>
      <c r="Y633" s="155">
        <f>_xll.qlCalendarAdvance(Calendar,X633,NDays&amp;"D")</f>
        <v>43434</v>
      </c>
      <c r="Z633" s="156">
        <v>2.3857272796528051E-2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43441</v>
      </c>
      <c r="Y634" s="155">
        <f>_xll.qlCalendarAdvance(Calendar,X634,NDays&amp;"D")</f>
        <v>43441</v>
      </c>
      <c r="Z634" s="156">
        <v>2.3909813737033048E-2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43448</v>
      </c>
      <c r="Y635" s="155">
        <f>_xll.qlCalendarAdvance(Calendar,X635,NDays&amp;"D")</f>
        <v>43448</v>
      </c>
      <c r="Z635" s="156">
        <v>2.3962863507449583E-2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43455</v>
      </c>
      <c r="Y636" s="155">
        <f>_xll.qlCalendarAdvance(Calendar,X636,NDays&amp;"D")</f>
        <v>43455</v>
      </c>
      <c r="Z636" s="156">
        <v>2.4016422108470437E-2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43462</v>
      </c>
      <c r="Y637" s="155">
        <f>_xll.qlCalendarAdvance(Calendar,X637,NDays&amp;"D")</f>
        <v>43462</v>
      </c>
      <c r="Z637" s="156">
        <v>2.4070489540761741E-2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43469</v>
      </c>
      <c r="Y638" s="155">
        <f>_xll.qlCalendarAdvance(Calendar,X638,NDays&amp;"D")</f>
        <v>43469</v>
      </c>
      <c r="Z638" s="156">
        <v>2.4125065805016277E-2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43476</v>
      </c>
      <c r="Y639" s="155">
        <f>_xll.qlCalendarAdvance(Calendar,X639,NDays&amp;"D")</f>
        <v>43476</v>
      </c>
      <c r="Z639" s="156">
        <v>2.4180150901926822E-2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43483</v>
      </c>
      <c r="Y640" s="155">
        <f>_xll.qlCalendarAdvance(Calendar,X640,NDays&amp;"D")</f>
        <v>43483</v>
      </c>
      <c r="Z640" s="156">
        <v>2.4240554352275012E-2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43490</v>
      </c>
      <c r="Y641" s="155">
        <f>_xll.qlCalendarAdvance(Calendar,X641,NDays&amp;"D")</f>
        <v>43490</v>
      </c>
      <c r="Z641" s="156">
        <v>2.429184759654035E-2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43497</v>
      </c>
      <c r="Y642" s="155">
        <f>_xll.qlCalendarAdvance(Calendar,X642,NDays&amp;"D")</f>
        <v>43497</v>
      </c>
      <c r="Z642" s="156">
        <v>2.4348459195655536E-2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43504</v>
      </c>
      <c r="Y643" s="155">
        <f>_xll.qlCalendarAdvance(Calendar,X643,NDays&amp;"D")</f>
        <v>43504</v>
      </c>
      <c r="Z643" s="156">
        <v>2.440557963025114E-2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43511</v>
      </c>
      <c r="Y644" s="155">
        <f>_xll.qlCalendarAdvance(Calendar,X644,NDays&amp;"D")</f>
        <v>43511</v>
      </c>
      <c r="Z644" s="156">
        <v>2.4468179199206297E-2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43518</v>
      </c>
      <c r="Y645" s="155">
        <f>_xll.qlCalendarAdvance(Calendar,X645,NDays&amp;"D")</f>
        <v>43518</v>
      </c>
      <c r="Z645" s="156">
        <v>2.4521347008894523E-2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43525</v>
      </c>
      <c r="Y646" s="155">
        <f>_xll.qlCalendarAdvance(Calendar,X646,NDays&amp;"D")</f>
        <v>43525</v>
      </c>
      <c r="Z646" s="156">
        <v>2.4579993954407797E-2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43532</v>
      </c>
      <c r="Y647" s="155">
        <f>_xll.qlCalendarAdvance(Calendar,X647,NDays&amp;"D")</f>
        <v>43532</v>
      </c>
      <c r="Z647" s="156">
        <v>2.4639149738332478E-2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43539</v>
      </c>
      <c r="Y648" s="155">
        <f>_xll.qlCalendarAdvance(Calendar,X648,NDays&amp;"D")</f>
        <v>43539</v>
      </c>
      <c r="Z648" s="156">
        <v>2.4698814361467925E-2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43546</v>
      </c>
      <c r="Y649" s="155">
        <f>_xll.qlCalendarAdvance(Calendar,X649,NDays&amp;"D")</f>
        <v>43546</v>
      </c>
      <c r="Z649" s="156">
        <v>2.4758987824533563E-2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43553</v>
      </c>
      <c r="Y650" s="155">
        <f>_xll.qlCalendarAdvance(Calendar,X650,NDays&amp;"D")</f>
        <v>43553</v>
      </c>
      <c r="Z650" s="156">
        <v>2.4819670128355398E-2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43560</v>
      </c>
      <c r="Y651" s="155">
        <f>_xll.qlCalendarAdvance(Calendar,X651,NDays&amp;"D")</f>
        <v>43560</v>
      </c>
      <c r="Z651" s="156">
        <v>2.4880861273652854E-2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43567</v>
      </c>
      <c r="Y652" s="155">
        <f>_xll.qlCalendarAdvance(Calendar,X652,NDays&amp;"D")</f>
        <v>43567</v>
      </c>
      <c r="Z652" s="156">
        <v>2.4942561261225293E-2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43574</v>
      </c>
      <c r="Y653" s="155">
        <f>_xll.qlCalendarAdvance(Calendar,X653,NDays&amp;"D")</f>
        <v>43574</v>
      </c>
      <c r="Z653" s="156">
        <v>2.500477009184543E-2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43581</v>
      </c>
      <c r="Y654" s="155">
        <f>_xll.qlCalendarAdvance(Calendar,X654,NDays&amp;"D")</f>
        <v>43581</v>
      </c>
      <c r="Z654" s="156">
        <v>2.5067487766312624E-2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43588</v>
      </c>
      <c r="Y655" s="155">
        <f>_xll.qlCalendarAdvance(Calendar,X655,NDays&amp;"D")</f>
        <v>43588</v>
      </c>
      <c r="Z655" s="156">
        <v>2.5130714285399591E-2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43595</v>
      </c>
      <c r="Y656" s="155">
        <f>_xll.qlCalendarAdvance(Calendar,X656,NDays&amp;"D")</f>
        <v>43595</v>
      </c>
      <c r="Z656" s="156">
        <v>2.5194449649985629E-2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43602</v>
      </c>
      <c r="Y657" s="155">
        <f>_xll.qlCalendarAdvance(Calendar,X657,NDays&amp;"D")</f>
        <v>43602</v>
      </c>
      <c r="Z657" s="156">
        <v>2.525869386079016E-2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43609</v>
      </c>
      <c r="Y658" s="155">
        <f>_xll.qlCalendarAdvance(Calendar,X658,NDays&amp;"D")</f>
        <v>43609</v>
      </c>
      <c r="Z658" s="156">
        <v>2.5328985584578412E-2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43616</v>
      </c>
      <c r="Y659" s="155">
        <f>_xll.qlCalendarAdvance(Calendar,X659,NDays&amp;"D")</f>
        <v>43616</v>
      </c>
      <c r="Z659" s="156">
        <v>2.5388708824465311E-2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43623</v>
      </c>
      <c r="Y660" s="155">
        <f>_xll.qlCalendarAdvance(Calendar,X660,NDays&amp;"D")</f>
        <v>43623</v>
      </c>
      <c r="Z660" s="156">
        <v>2.5454479578987943E-2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43630</v>
      </c>
      <c r="Y661" s="155">
        <f>_xll.qlCalendarAdvance(Calendar,X661,NDays&amp;"D")</f>
        <v>43630</v>
      </c>
      <c r="Z661" s="156">
        <v>2.5520759183059738E-2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43637</v>
      </c>
      <c r="Y662" s="155">
        <f>_xll.qlCalendarAdvance(Calendar,X662,NDays&amp;"D")</f>
        <v>43637</v>
      </c>
      <c r="Z662" s="156">
        <v>2.5587547637559993E-2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43644</v>
      </c>
      <c r="Y663" s="155">
        <f>_xll.qlCalendarAdvance(Calendar,X663,NDays&amp;"D")</f>
        <v>43644</v>
      </c>
      <c r="Z663" s="156">
        <v>2.5654844943288069E-2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43651</v>
      </c>
      <c r="Y664" s="155">
        <f>_xll.qlCalendarAdvance(Calendar,X664,NDays&amp;"D")</f>
        <v>43651</v>
      </c>
      <c r="Z664" s="156">
        <v>2.5722651101149907E-2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43658</v>
      </c>
      <c r="Y665" s="155">
        <f>_xll.qlCalendarAdvance(Calendar,X665,NDays&amp;"D")</f>
        <v>43658</v>
      </c>
      <c r="Z665" s="156">
        <v>2.5790966111998159E-2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43665</v>
      </c>
      <c r="Y666" s="155">
        <f>_xll.qlCalendarAdvance(Calendar,X666,NDays&amp;"D")</f>
        <v>43665</v>
      </c>
      <c r="Z666" s="156">
        <v>2.5859789976658831E-2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43672</v>
      </c>
      <c r="Y667" s="155">
        <f>_xll.qlCalendarAdvance(Calendar,X667,NDays&amp;"D")</f>
        <v>43672</v>
      </c>
      <c r="Z667" s="156">
        <v>2.592912269606451E-2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43679</v>
      </c>
      <c r="Y668" s="155">
        <f>_xll.qlCalendarAdvance(Calendar,X668,NDays&amp;"D")</f>
        <v>43679</v>
      </c>
      <c r="Z668" s="156">
        <v>2.5998964271067848E-2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43686</v>
      </c>
      <c r="Y669" s="155">
        <f>_xll.qlCalendarAdvance(Calendar,X669,NDays&amp;"D")</f>
        <v>43686</v>
      </c>
      <c r="Z669" s="156">
        <v>2.6069314702574786E-2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43693</v>
      </c>
      <c r="Y670" s="155">
        <f>_xll.qlCalendarAdvance(Calendar,X670,NDays&amp;"D")</f>
        <v>43693</v>
      </c>
      <c r="Z670" s="156">
        <v>2.6140173991437976E-2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43700</v>
      </c>
      <c r="Y671" s="155">
        <f>_xll.qlCalendarAdvance(Calendar,X671,NDays&amp;"D")</f>
        <v>43700</v>
      </c>
      <c r="Z671" s="156">
        <v>2.6211542138590005E-2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43707</v>
      </c>
      <c r="Y672" s="155">
        <f>_xll.qlCalendarAdvance(Calendar,X672,NDays&amp;"D")</f>
        <v>43707</v>
      </c>
      <c r="Z672" s="156">
        <v>2.6289535516592633E-2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43714</v>
      </c>
      <c r="Y673" s="155">
        <f>_xll.qlCalendarAdvance(Calendar,X673,NDays&amp;"D")</f>
        <v>43714</v>
      </c>
      <c r="Z673" s="156">
        <v>2.6355805011410993E-2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43721</v>
      </c>
      <c r="Y674" s="155">
        <f>_xll.qlCalendarAdvance(Calendar,X674,NDays&amp;"D")</f>
        <v>43721</v>
      </c>
      <c r="Z674" s="156">
        <v>2.6428699738891837E-2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43728</v>
      </c>
      <c r="Y675" s="155">
        <f>_xll.qlCalendarAdvance(Calendar,X675,NDays&amp;"D")</f>
        <v>43728</v>
      </c>
      <c r="Z675" s="156">
        <v>2.6502103328338578E-2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43735</v>
      </c>
      <c r="Y676" s="155">
        <f>_xll.qlCalendarAdvance(Calendar,X676,NDays&amp;"D")</f>
        <v>43735</v>
      </c>
      <c r="Z676" s="156">
        <v>2.6576015780657158E-2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43742</v>
      </c>
      <c r="Y677" s="155">
        <f>_xll.qlCalendarAdvance(Calendar,X677,NDays&amp;"D")</f>
        <v>43742</v>
      </c>
      <c r="Z677" s="156">
        <v>2.6650437096833457E-2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43749</v>
      </c>
      <c r="Y678" s="155">
        <f>_xll.qlCalendarAdvance(Calendar,X678,NDays&amp;"D")</f>
        <v>43749</v>
      </c>
      <c r="Z678" s="156">
        <v>2.6731734291349785E-2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43756</v>
      </c>
      <c r="Y679" s="155">
        <f>_xll.qlCalendarAdvance(Calendar,X679,NDays&amp;"D")</f>
        <v>43756</v>
      </c>
      <c r="Z679" s="156">
        <v>2.6800806324436266E-2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43763</v>
      </c>
      <c r="Y680" s="155">
        <f>_xll.qlCalendarAdvance(Calendar,X680,NDays&amp;"D")</f>
        <v>43763</v>
      </c>
      <c r="Z680" s="156">
        <v>2.6876754237781242E-2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43770</v>
      </c>
      <c r="Y681" s="155">
        <f>_xll.qlCalendarAdvance(Calendar,X681,NDays&amp;"D")</f>
        <v>43770</v>
      </c>
      <c r="Z681" s="156">
        <v>2.6953211018794221E-2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43777</v>
      </c>
      <c r="Y682" s="155">
        <f>_xll.qlCalendarAdvance(Calendar,X682,NDays&amp;"D")</f>
        <v>43777</v>
      </c>
      <c r="Z682" s="156">
        <v>2.7036128269353199E-2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43784</v>
      </c>
      <c r="Y683" s="155">
        <f>_xll.qlCalendarAdvance(Calendar,X683,NDays&amp;"D")</f>
        <v>43784</v>
      </c>
      <c r="Z683" s="156">
        <v>2.7105197231662714E-2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43791</v>
      </c>
      <c r="Y684" s="155">
        <f>_xll.qlCalendarAdvance(Calendar,X684,NDays&amp;"D")</f>
        <v>43791</v>
      </c>
      <c r="Z684" s="156">
        <v>2.7179679432123294E-2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43798</v>
      </c>
      <c r="Y685" s="155">
        <f>_xll.qlCalendarAdvance(Calendar,X685,NDays&amp;"D")</f>
        <v>43798</v>
      </c>
      <c r="Z685" s="156">
        <v>2.7253138729061988E-2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43805</v>
      </c>
      <c r="Y686" s="155">
        <f>_xll.qlCalendarAdvance(Calendar,X686,NDays&amp;"D")</f>
        <v>43805</v>
      </c>
      <c r="Z686" s="156">
        <v>2.7325575120666912E-2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43812</v>
      </c>
      <c r="Y687" s="155">
        <f>_xll.qlCalendarAdvance(Calendar,X687,NDays&amp;"D")</f>
        <v>43812</v>
      </c>
      <c r="Z687" s="156">
        <v>2.7396988605019601E-2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43819</v>
      </c>
      <c r="Y688" s="155">
        <f>_xll.qlCalendarAdvance(Calendar,X688,NDays&amp;"D")</f>
        <v>43819</v>
      </c>
      <c r="Z688" s="156">
        <v>2.7467379180361462E-2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43826</v>
      </c>
      <c r="Y689" s="155">
        <f>_xll.qlCalendarAdvance(Calendar,X689,NDays&amp;"D")</f>
        <v>43826</v>
      </c>
      <c r="Z689" s="156">
        <v>2.7536746844853965E-2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43833</v>
      </c>
      <c r="Y690" s="155">
        <f>_xll.qlCalendarAdvance(Calendar,X690,NDays&amp;"D")</f>
        <v>43833</v>
      </c>
      <c r="Z690" s="156">
        <v>2.7605091596738518E-2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43840</v>
      </c>
      <c r="Y691" s="155">
        <f>_xll.qlCalendarAdvance(Calendar,X691,NDays&amp;"D")</f>
        <v>43840</v>
      </c>
      <c r="Z691" s="156">
        <v>2.7672413434256526E-2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43847</v>
      </c>
      <c r="Y692" s="155">
        <f>_xll.qlCalendarAdvance(Calendar,X692,NDays&amp;"D")</f>
        <v>43847</v>
      </c>
      <c r="Z692" s="156">
        <v>2.7744471729520548E-2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43854</v>
      </c>
      <c r="Y693" s="155">
        <f>_xll.qlCalendarAdvance(Calendar,X693,NDays&amp;"D")</f>
        <v>43854</v>
      </c>
      <c r="Z693" s="156">
        <v>2.780398835931841E-2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43861</v>
      </c>
      <c r="Y694" s="155">
        <f>_xll.qlCalendarAdvance(Calendar,X694,NDays&amp;"D")</f>
        <v>43861</v>
      </c>
      <c r="Z694" s="156">
        <v>2.7868241443504971E-2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43868</v>
      </c>
      <c r="Y695" s="155">
        <f>_xll.qlCalendarAdvance(Calendar,X695,NDays&amp;"D")</f>
        <v>43868</v>
      </c>
      <c r="Z695" s="156">
        <v>2.7931471606610359E-2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43875</v>
      </c>
      <c r="Y696" s="155">
        <f>_xll.qlCalendarAdvance(Calendar,X696,NDays&amp;"D")</f>
        <v>43875</v>
      </c>
      <c r="Z696" s="156">
        <v>2.7999165672696336E-2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43882</v>
      </c>
      <c r="Y697" s="155">
        <f>_xll.qlCalendarAdvance(Calendar,X697,NDays&amp;"D")</f>
        <v>43882</v>
      </c>
      <c r="Z697" s="156">
        <v>2.805486316312944E-2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43889</v>
      </c>
      <c r="Y698" s="155">
        <f>_xll.qlCalendarAdvance(Calendar,X698,NDays&amp;"D")</f>
        <v>43889</v>
      </c>
      <c r="Z698" s="156">
        <v>2.8115024553345691E-2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43896</v>
      </c>
      <c r="Y699" s="155">
        <f>_xll.qlCalendarAdvance(Calendar,X699,NDays&amp;"D")</f>
        <v>43896</v>
      </c>
      <c r="Z699" s="156">
        <v>2.8174163016192466E-2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43903</v>
      </c>
      <c r="Y700" s="155">
        <f>_xll.qlCalendarAdvance(Calendar,X700,NDays&amp;"D")</f>
        <v>43903</v>
      </c>
      <c r="Z700" s="156">
        <v>2.8232278550097689E-2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43910</v>
      </c>
      <c r="Y701" s="155">
        <f>_xll.qlCalendarAdvance(Calendar,X701,NDays&amp;"D")</f>
        <v>43910</v>
      </c>
      <c r="Z701" s="156">
        <v>2.8289371153622511E-2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43917</v>
      </c>
      <c r="Y702" s="155">
        <f>_xll.qlCalendarAdvance(Calendar,X702,NDays&amp;"D")</f>
        <v>43917</v>
      </c>
      <c r="Z702" s="156">
        <v>2.8345440825301438E-2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43924</v>
      </c>
      <c r="Y703" s="155">
        <f>_xll.qlCalendarAdvance(Calendar,X703,NDays&amp;"D")</f>
        <v>43924</v>
      </c>
      <c r="Z703" s="156">
        <v>2.8400487563668975E-2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43931</v>
      </c>
      <c r="Y704" s="155">
        <f>_xll.qlCalendarAdvance(Calendar,X704,NDays&amp;"D")</f>
        <v>43931</v>
      </c>
      <c r="Z704" s="156">
        <v>2.8454511367312918E-2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43938</v>
      </c>
      <c r="Y705" s="155">
        <f>_xll.qlCalendarAdvance(Calendar,X705,NDays&amp;"D")</f>
        <v>43938</v>
      </c>
      <c r="Z705" s="156">
        <v>2.8507512234901E-2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43945</v>
      </c>
      <c r="Y706" s="155">
        <f>_xll.qlCalendarAdvance(Calendar,X706,NDays&amp;"D")</f>
        <v>43945</v>
      </c>
      <c r="Z706" s="156">
        <v>2.8559490165074308E-2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43952</v>
      </c>
      <c r="Y707" s="155">
        <f>_xll.qlCalendarAdvance(Calendar,X707,NDays&amp;"D")</f>
        <v>43952</v>
      </c>
      <c r="Z707" s="156">
        <v>2.8610445156447284E-2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43959</v>
      </c>
      <c r="Y708" s="155">
        <f>_xll.qlCalendarAdvance(Calendar,X708,NDays&amp;"D")</f>
        <v>43959</v>
      </c>
      <c r="Z708" s="156">
        <v>2.8660377207767596E-2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43966</v>
      </c>
      <c r="Y709" s="155">
        <f>_xll.qlCalendarAdvance(Calendar,X709,NDays&amp;"D")</f>
        <v>43966</v>
      </c>
      <c r="Z709" s="156">
        <v>2.8709286317756266E-2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43973</v>
      </c>
      <c r="Y710" s="155">
        <f>_xll.qlCalendarAdvance(Calendar,X710,NDays&amp;"D")</f>
        <v>43973</v>
      </c>
      <c r="Z710" s="156">
        <v>2.8761696478134535E-2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43980</v>
      </c>
      <c r="Y711" s="155">
        <f>_xll.qlCalendarAdvance(Calendar,X711,NDays&amp;"D")</f>
        <v>43980</v>
      </c>
      <c r="Z711" s="156">
        <v>2.8804035708676068E-2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43987</v>
      </c>
      <c r="Y712" s="155">
        <f>_xll.qlCalendarAdvance(Calendar,X712,NDays&amp;"D")</f>
        <v>43987</v>
      </c>
      <c r="Z712" s="156">
        <v>2.8849875987209117E-2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43994</v>
      </c>
      <c r="Y713" s="155">
        <f>_xll.qlCalendarAdvance(Calendar,X713,NDays&amp;"D")</f>
        <v>43994</v>
      </c>
      <c r="Z713" s="156">
        <v>2.8894693319561071E-2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44001</v>
      </c>
      <c r="Y714" s="155">
        <f>_xll.qlCalendarAdvance(Calendar,X714,NDays&amp;"D")</f>
        <v>44001</v>
      </c>
      <c r="Z714" s="156">
        <v>2.893848770458618E-2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44008</v>
      </c>
      <c r="Y715" s="155">
        <f>_xll.qlCalendarAdvance(Calendar,X715,NDays&amp;"D")</f>
        <v>44008</v>
      </c>
      <c r="Z715" s="156">
        <v>2.8981259141165339E-2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44018</v>
      </c>
      <c r="Y716" s="155">
        <f>_xll.qlCalendarAdvance(Calendar,X716,NDays&amp;"D")</f>
        <v>44018</v>
      </c>
      <c r="Z716" s="156">
        <v>2.9032413438283555E-2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44025</v>
      </c>
      <c r="Y717" s="155">
        <f>_xll.qlCalendarAdvance(Calendar,X717,NDays&amp;"D")</f>
        <v>44025</v>
      </c>
      <c r="Z717" s="156">
        <v>2.9072840177599701E-2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44032</v>
      </c>
      <c r="Y718" s="155">
        <f>_xll.qlCalendarAdvance(Calendar,X718,NDays&amp;"D")</f>
        <v>44032</v>
      </c>
      <c r="Z718" s="156">
        <v>2.911224412130764E-2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44039</v>
      </c>
      <c r="Y719" s="155">
        <f>_xll.qlCalendarAdvance(Calendar,X719,NDays&amp;"D")</f>
        <v>44039</v>
      </c>
      <c r="Z719" s="156">
        <v>2.9150625269087627E-2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44046</v>
      </c>
      <c r="Y720" s="155">
        <f>_xll.qlCalendarAdvance(Calendar,X720,NDays&amp;"D")</f>
        <v>44046</v>
      </c>
      <c r="Z720" s="156">
        <v>2.9187983620619917E-2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44053</v>
      </c>
      <c r="Y721" s="155">
        <f>_xll.qlCalendarAdvance(Calendar,X721,NDays&amp;"D")</f>
        <v>44053</v>
      </c>
      <c r="Z721" s="156">
        <v>2.9224319175584768E-2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44060</v>
      </c>
      <c r="Y722" s="155">
        <f>_xll.qlCalendarAdvance(Calendar,X722,NDays&amp;"D")</f>
        <v>44060</v>
      </c>
      <c r="Z722" s="156">
        <v>2.9259631933582497E-2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44067</v>
      </c>
      <c r="Y723" s="155">
        <f>_xll.qlCalendarAdvance(Calendar,X723,NDays&amp;"D")</f>
        <v>44067</v>
      </c>
      <c r="Z723" s="156">
        <v>2.9293921894453234E-2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44074</v>
      </c>
      <c r="Y724" s="155">
        <f>_xll.qlCalendarAdvance(Calendar,X724,NDays&amp;"D")</f>
        <v>44074</v>
      </c>
      <c r="Z724" s="156">
        <v>2.9327189057797298E-2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44082</v>
      </c>
      <c r="Y725" s="155">
        <f>_xll.qlCalendarAdvance(Calendar,X725,NDays&amp;"D")</f>
        <v>44082</v>
      </c>
      <c r="Z725" s="156">
        <v>2.9363956267713931E-2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44089</v>
      </c>
      <c r="Y726" s="155">
        <f>_xll.qlCalendarAdvance(Calendar,X726,NDays&amp;"D")</f>
        <v>44089</v>
      </c>
      <c r="Z726" s="156">
        <v>2.9395031721284326E-2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44096</v>
      </c>
      <c r="Y727" s="155">
        <f>_xll.qlCalendarAdvance(Calendar,X727,NDays&amp;"D")</f>
        <v>44096</v>
      </c>
      <c r="Z727" s="156">
        <v>2.9425084376448751E-2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44103</v>
      </c>
      <c r="Y728" s="155">
        <f>_xll.qlCalendarAdvance(Calendar,X728,NDays&amp;"D")</f>
        <v>44103</v>
      </c>
      <c r="Z728" s="156">
        <v>2.9454114233047335E-2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44110</v>
      </c>
      <c r="Y729" s="155">
        <f>_xll.qlCalendarAdvance(Calendar,X729,NDays&amp;"D")</f>
        <v>44110</v>
      </c>
      <c r="Z729" s="156">
        <v>2.9482121290760332E-2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44117</v>
      </c>
      <c r="Y730" s="155">
        <f>_xll.qlCalendarAdvance(Calendar,X730,NDays&amp;"D")</f>
        <v>44117</v>
      </c>
      <c r="Z730" s="156">
        <v>2.9509105549427872E-2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44124</v>
      </c>
      <c r="Y731" s="155">
        <f>_xll.qlCalendarAdvance(Calendar,X731,NDays&amp;"D")</f>
        <v>44124</v>
      </c>
      <c r="Z731" s="156">
        <v>2.9535067008730209E-2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44131</v>
      </c>
      <c r="Y732" s="155">
        <f>_xll.qlCalendarAdvance(Calendar,X732,NDays&amp;"D")</f>
        <v>44131</v>
      </c>
      <c r="Z732" s="156">
        <v>2.9560005668507472E-2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44138</v>
      </c>
      <c r="Y733" s="155">
        <f>_xll.qlCalendarAdvance(Calendar,X733,NDays&amp;"D")</f>
        <v>44138</v>
      </c>
      <c r="Z733" s="156">
        <v>2.9583921528599788E-2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44145</v>
      </c>
      <c r="Y734" s="155">
        <f>_xll.qlCalendarAdvance(Calendar,X734,NDays&amp;"D")</f>
        <v>44145</v>
      </c>
      <c r="Z734" s="156">
        <v>2.9609682093041378E-2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44152</v>
      </c>
      <c r="Y735" s="155">
        <f>_xll.qlCalendarAdvance(Calendar,X735,NDays&amp;"D")</f>
        <v>44152</v>
      </c>
      <c r="Z735" s="156">
        <v>2.9628893476445484E-2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44159</v>
      </c>
      <c r="Y736" s="155">
        <f>_xll.qlCalendarAdvance(Calendar,X736,NDays&amp;"D")</f>
        <v>44159</v>
      </c>
      <c r="Z736" s="156">
        <v>2.9650013258448737E-2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44166</v>
      </c>
      <c r="Y737" s="155">
        <f>_xll.qlCalendarAdvance(Calendar,X737,NDays&amp;"D")</f>
        <v>44166</v>
      </c>
      <c r="Z737" s="156">
        <v>2.9670222372670807E-2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44173</v>
      </c>
      <c r="Y738" s="155">
        <f>_xll.qlCalendarAdvance(Calendar,X738,NDays&amp;"D")</f>
        <v>44173</v>
      </c>
      <c r="Z738" s="156">
        <v>2.968952081895182E-2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44180</v>
      </c>
      <c r="Y739" s="155">
        <f>_xll.qlCalendarAdvance(Calendar,X739,NDays&amp;"D")</f>
        <v>44180</v>
      </c>
      <c r="Z739" s="156">
        <v>2.9707908597211841E-2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44187</v>
      </c>
      <c r="Y740" s="155">
        <f>_xll.qlCalendarAdvance(Calendar,X740,NDays&amp;"D")</f>
        <v>44187</v>
      </c>
      <c r="Z740" s="156">
        <v>2.9725385707290997E-2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44194</v>
      </c>
      <c r="Y741" s="155">
        <f>_xll.qlCalendarAdvance(Calendar,X741,NDays&amp;"D")</f>
        <v>44194</v>
      </c>
      <c r="Z741" s="156">
        <v>2.9741952149029416E-2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44201</v>
      </c>
      <c r="Y742" s="155">
        <f>_xll.qlCalendarAdvance(Calendar,X742,NDays&amp;"D")</f>
        <v>44201</v>
      </c>
      <c r="Z742" s="156">
        <v>2.9757607922267226E-2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44208</v>
      </c>
      <c r="Y743" s="155">
        <f>_xll.qlCalendarAdvance(Calendar,X743,NDays&amp;"D")</f>
        <v>44208</v>
      </c>
      <c r="Z743" s="156">
        <v>2.9772353027004428E-2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44215</v>
      </c>
      <c r="Y744" s="155">
        <f>_xll.qlCalendarAdvance(Calendar,X744,NDays&amp;"D")</f>
        <v>44215</v>
      </c>
      <c r="Z744" s="156">
        <v>2.9786187463001212E-2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44222</v>
      </c>
      <c r="Y745" s="155">
        <f>_xll.qlCalendarAdvance(Calendar,X745,NDays&amp;"D")</f>
        <v>44222</v>
      </c>
      <c r="Z745" s="156">
        <v>2.979911123025758E-2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44229</v>
      </c>
      <c r="Y746" s="155">
        <f>_xll.qlCalendarAdvance(Calendar,X746,NDays&amp;"D")</f>
        <v>44229</v>
      </c>
      <c r="Z746" s="156">
        <v>2.9811124328693595E-2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44236</v>
      </c>
      <c r="Y747" s="155">
        <f>_xll.qlCalendarAdvance(Calendar,X747,NDays&amp;"D")</f>
        <v>44236</v>
      </c>
      <c r="Z747" s="156">
        <v>2.9822226758069448E-2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44243</v>
      </c>
      <c r="Y748" s="155">
        <f>_xll.qlCalendarAdvance(Calendar,X748,NDays&amp;"D")</f>
        <v>44243</v>
      </c>
      <c r="Z748" s="156">
        <v>2.983241851838514E-2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44250</v>
      </c>
      <c r="Y749" s="155">
        <f>_xll.qlCalendarAdvance(Calendar,X749,NDays&amp;"D")</f>
        <v>44250</v>
      </c>
      <c r="Z749" s="156">
        <v>2.9841699609640671E-2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44257</v>
      </c>
      <c r="Y750" s="155">
        <f>_xll.qlCalendarAdvance(Calendar,X750,NDays&amp;"D")</f>
        <v>44257</v>
      </c>
      <c r="Z750" s="156">
        <v>2.9850070031676168E-2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44264</v>
      </c>
      <c r="Y751" s="155">
        <f>_xll.qlCalendarAdvance(Calendar,X751,NDays&amp;"D")</f>
        <v>44264</v>
      </c>
      <c r="Z751" s="156">
        <v>2.985752978433176E-2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44271</v>
      </c>
      <c r="Y752" s="155">
        <f>_xll.qlCalendarAdvance(Calendar,X752,NDays&amp;"D")</f>
        <v>44271</v>
      </c>
      <c r="Z752" s="156">
        <v>2.9864078867767319E-2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44278</v>
      </c>
      <c r="Y753" s="155">
        <f>_xll.qlCalendarAdvance(Calendar,X753,NDays&amp;"D")</f>
        <v>44278</v>
      </c>
      <c r="Z753" s="156">
        <v>2.9869717281822972E-2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44285</v>
      </c>
      <c r="Y754" s="155">
        <f>_xll.qlCalendarAdvance(Calendar,X754,NDays&amp;"D")</f>
        <v>44285</v>
      </c>
      <c r="Z754" s="156">
        <v>2.9874445026418783E-2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44292</v>
      </c>
      <c r="Y755" s="155">
        <f>_xll.qlCalendarAdvance(Calendar,X755,NDays&amp;"D")</f>
        <v>44292</v>
      </c>
      <c r="Z755" s="156">
        <v>2.9878262101634689E-2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44299</v>
      </c>
      <c r="Y756" s="155">
        <f>_xll.qlCalendarAdvance(Calendar,X756,NDays&amp;"D")</f>
        <v>44299</v>
      </c>
      <c r="Z756" s="156">
        <v>2.9881168507310818E-2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44306</v>
      </c>
      <c r="Y757" s="155">
        <f>_xll.qlCalendarAdvance(Calendar,X757,NDays&amp;"D")</f>
        <v>44306</v>
      </c>
      <c r="Z757" s="156">
        <v>2.9883164243447169E-2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44313</v>
      </c>
      <c r="Y758" s="155">
        <f>_xll.qlCalendarAdvance(Calendar,X758,NDays&amp;"D")</f>
        <v>44313</v>
      </c>
      <c r="Z758" s="156">
        <v>2.9884249310123678E-2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44320</v>
      </c>
      <c r="Y759" s="155">
        <f>_xll.qlCalendarAdvance(Calendar,X759,NDays&amp;"D")</f>
        <v>44320</v>
      </c>
      <c r="Z759" s="156">
        <v>2.988442370726041E-2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44327</v>
      </c>
      <c r="Y760" s="155">
        <f>_xll.qlCalendarAdvance(Calendar,X760,NDays&amp;"D")</f>
        <v>44327</v>
      </c>
      <c r="Z760" s="156">
        <v>2.9883687434857364E-2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44334</v>
      </c>
      <c r="Y761" s="155">
        <f>_xll.qlCalendarAdvance(Calendar,X761,NDays&amp;"D")</f>
        <v>44334</v>
      </c>
      <c r="Z761" s="156">
        <v>2.9882040492914541E-2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44341</v>
      </c>
      <c r="Y762" s="155">
        <f>_xll.qlCalendarAdvance(Calendar,X762,NDays&amp;"D")</f>
        <v>44341</v>
      </c>
      <c r="Z762" s="156">
        <v>2.9879482881511876E-2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44348</v>
      </c>
      <c r="Y763" s="155">
        <f>_xll.qlCalendarAdvance(Calendar,X763,NDays&amp;"D")</f>
        <v>44348</v>
      </c>
      <c r="Z763" s="156">
        <v>2.9876014600569434E-2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44355</v>
      </c>
      <c r="Y764" s="155">
        <f>_xll.qlCalendarAdvance(Calendar,X764,NDays&amp;"D")</f>
        <v>44355</v>
      </c>
      <c r="Z764" s="156">
        <v>2.987163565016715E-2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44362</v>
      </c>
      <c r="Y765" s="155">
        <f>_xll.qlCalendarAdvance(Calendar,X765,NDays&amp;"D")</f>
        <v>44362</v>
      </c>
      <c r="Z765" s="156">
        <v>2.986634603038496E-2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44369</v>
      </c>
      <c r="Y766" s="155">
        <f>_xll.qlCalendarAdvance(Calendar,X766,NDays&amp;"D")</f>
        <v>44369</v>
      </c>
      <c r="Z766" s="156">
        <v>2.9860145741142929E-2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44376</v>
      </c>
      <c r="Y767" s="155">
        <f>_xll.qlCalendarAdvance(Calendar,X767,NDays&amp;"D")</f>
        <v>44376</v>
      </c>
      <c r="Z767" s="156">
        <v>2.9853034782600929E-2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44383</v>
      </c>
      <c r="Y768" s="155">
        <f>_xll.qlCalendarAdvance(Calendar,X768,NDays&amp;"D")</f>
        <v>44383</v>
      </c>
      <c r="Z768" s="156">
        <v>2.9845013154679023E-2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44390</v>
      </c>
      <c r="Y769" s="155">
        <f>_xll.qlCalendarAdvance(Calendar,X769,NDays&amp;"D")</f>
        <v>44390</v>
      </c>
      <c r="Z769" s="156">
        <v>2.983608085761702E-2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44397</v>
      </c>
      <c r="Y770" s="155">
        <f>_xll.qlCalendarAdvance(Calendar,X770,NDays&amp;"D")</f>
        <v>44397</v>
      </c>
      <c r="Z770" s="156">
        <v>2.9826237891334983E-2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44404</v>
      </c>
      <c r="Y771" s="155">
        <f>_xll.qlCalendarAdvance(Calendar,X771,NDays&amp;"D")</f>
        <v>44404</v>
      </c>
      <c r="Z771" s="156">
        <v>2.9815484256072722E-2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44411</v>
      </c>
      <c r="Y772" s="155">
        <f>_xll.qlCalendarAdvance(Calendar,X772,NDays&amp;"D")</f>
        <v>44411</v>
      </c>
      <c r="Z772" s="156">
        <v>2.9803819951670363E-2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44418</v>
      </c>
      <c r="Y773" s="155">
        <f>_xll.qlCalendarAdvance(Calendar,X773,NDays&amp;"D")</f>
        <v>44418</v>
      </c>
      <c r="Z773" s="156">
        <v>2.9791244978447651E-2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44425</v>
      </c>
      <c r="Y774" s="155">
        <f>_xll.qlCalendarAdvance(Calendar,X774,NDays&amp;"D")</f>
        <v>44425</v>
      </c>
      <c r="Z774" s="156">
        <v>2.977775933632465E-2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44432</v>
      </c>
      <c r="Y775" s="155">
        <f>_xll.qlCalendarAdvance(Calendar,X775,NDays&amp;"D")</f>
        <v>44432</v>
      </c>
      <c r="Z775" s="156">
        <v>2.9763363025541167E-2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44439</v>
      </c>
      <c r="Y776" s="155">
        <f>_xll.qlCalendarAdvance(Calendar,X776,NDays&amp;"D")</f>
        <v>44439</v>
      </c>
      <c r="Z776" s="156">
        <v>2.9748056046097204E-2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44446</v>
      </c>
      <c r="Y777" s="155">
        <f>_xll.qlCalendarAdvance(Calendar,X777,NDays&amp;"D")</f>
        <v>44446</v>
      </c>
      <c r="Z777" s="156">
        <v>2.9731838398232568E-2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44453</v>
      </c>
      <c r="Y778" s="155">
        <f>_xll.qlCalendarAdvance(Calendar,X778,NDays&amp;"D")</f>
        <v>44453</v>
      </c>
      <c r="Z778" s="156">
        <v>2.971471008194726E-2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44460</v>
      </c>
      <c r="Y779" s="155">
        <f>_xll.qlCalendarAdvance(Calendar,X779,NDays&amp;"D")</f>
        <v>44460</v>
      </c>
      <c r="Z779" s="156">
        <v>2.9696671097401151E-2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44467</v>
      </c>
      <c r="Y780" s="155">
        <f>_xll.qlCalendarAdvance(Calendar,X780,NDays&amp;"D")</f>
        <v>44467</v>
      </c>
      <c r="Z780" s="156">
        <v>2.9677721444754113E-2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44474</v>
      </c>
      <c r="Y781" s="155">
        <f>_xll.qlCalendarAdvance(Calendar,X781,NDays&amp;"D")</f>
        <v>44474</v>
      </c>
      <c r="Z781" s="156">
        <v>2.9657861124245954E-2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44481</v>
      </c>
      <c r="Y782" s="155">
        <f>_xll.qlCalendarAdvance(Calendar,X782,NDays&amp;"D")</f>
        <v>44481</v>
      </c>
      <c r="Z782" s="156">
        <v>2.963709013579674E-2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44488</v>
      </c>
      <c r="Y783" s="155">
        <f>_xll.qlCalendarAdvance(Calendar,X783,NDays&amp;"D")</f>
        <v>44488</v>
      </c>
      <c r="Z783" s="156">
        <v>2.9615408479806149E-2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44495</v>
      </c>
      <c r="Y784" s="155">
        <f>_xll.qlCalendarAdvance(Calendar,X784,NDays&amp;"D")</f>
        <v>44495</v>
      </c>
      <c r="Z784" s="156">
        <v>2.9592816156194246E-2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44502</v>
      </c>
      <c r="Y785" s="155">
        <f>_xll.qlCalendarAdvance(Calendar,X785,NDays&amp;"D")</f>
        <v>44502</v>
      </c>
      <c r="Z785" s="156">
        <v>2.9569313165360711E-2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44509</v>
      </c>
      <c r="Y786" s="155">
        <f>_xll.qlCalendarAdvance(Calendar,X786,NDays&amp;"D")</f>
        <v>44509</v>
      </c>
      <c r="Z786" s="156">
        <v>2.9545515068427619E-2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44516</v>
      </c>
      <c r="Y787" s="155">
        <f>_xll.qlCalendarAdvance(Calendar,X787,NDays&amp;"D")</f>
        <v>44516</v>
      </c>
      <c r="Z787" s="156">
        <v>2.9522747689325612E-2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44523</v>
      </c>
      <c r="Y788" s="155">
        <f>_xll.qlCalendarAdvance(Calendar,X788,NDays&amp;"D")</f>
        <v>44523</v>
      </c>
      <c r="Z788" s="156">
        <v>2.9501058378578193E-2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44530</v>
      </c>
      <c r="Y789" s="155">
        <f>_xll.qlCalendarAdvance(Calendar,X789,NDays&amp;"D")</f>
        <v>44530</v>
      </c>
      <c r="Z789" s="156">
        <v>2.9480447136185362E-2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44537</v>
      </c>
      <c r="Y790" s="155">
        <f>_xll.qlCalendarAdvance(Calendar,X790,NDays&amp;"D")</f>
        <v>44537</v>
      </c>
      <c r="Z790" s="156">
        <v>2.9460913961747437E-2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44544</v>
      </c>
      <c r="Y791" s="155">
        <f>_xll.qlCalendarAdvance(Calendar,X791,NDays&amp;"D")</f>
        <v>44544</v>
      </c>
      <c r="Z791" s="156">
        <v>2.944245885526442E-2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44551</v>
      </c>
      <c r="Y792" s="155">
        <f>_xll.qlCalendarAdvance(Calendar,X792,NDays&amp;"D")</f>
        <v>44551</v>
      </c>
      <c r="Z792" s="156">
        <v>2.9425081816416565E-2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44558</v>
      </c>
      <c r="Y793" s="155">
        <f>_xll.qlCalendarAdvance(Calendar,X793,NDays&amp;"D")</f>
        <v>44558</v>
      </c>
      <c r="Z793" s="156">
        <v>2.9408782845203874E-2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44565</v>
      </c>
      <c r="Y794" s="155">
        <f>_xll.qlCalendarAdvance(Calendar,X794,NDays&amp;"D")</f>
        <v>44565</v>
      </c>
      <c r="Z794" s="156">
        <v>2.9393561941386537E-2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44572</v>
      </c>
      <c r="Y795" s="155">
        <f>_xll.qlCalendarAdvance(Calendar,X795,NDays&amp;"D")</f>
        <v>44572</v>
      </c>
      <c r="Z795" s="156">
        <v>2.9379419104804683E-2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44579</v>
      </c>
      <c r="Y796" s="155">
        <f>_xll.qlCalendarAdvance(Calendar,X796,NDays&amp;"D")</f>
        <v>44579</v>
      </c>
      <c r="Z796" s="156">
        <v>2.9366354335378375E-2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44586</v>
      </c>
      <c r="Y797" s="155">
        <f>_xll.qlCalendarAdvance(Calendar,X797,NDays&amp;"D")</f>
        <v>44586</v>
      </c>
      <c r="Z797" s="156">
        <v>2.9354367632947742E-2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44593</v>
      </c>
      <c r="Y798" s="155">
        <f>_xll.qlCalendarAdvance(Calendar,X798,NDays&amp;"D")</f>
        <v>44593</v>
      </c>
      <c r="Z798" s="156">
        <v>2.9343458997512784E-2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44600</v>
      </c>
      <c r="Y799" s="155">
        <f>_xll.qlCalendarAdvance(Calendar,X799,NDays&amp;"D")</f>
        <v>44600</v>
      </c>
      <c r="Z799" s="156">
        <v>2.9333628428833691E-2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44607</v>
      </c>
      <c r="Y800" s="155">
        <f>_xll.qlCalendarAdvance(Calendar,X800,NDays&amp;"D")</f>
        <v>44607</v>
      </c>
      <c r="Z800" s="156">
        <v>2.9324875926990401E-2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44614</v>
      </c>
      <c r="Y801" s="155">
        <f>_xll.qlCalendarAdvance(Calendar,X801,NDays&amp;"D")</f>
        <v>44614</v>
      </c>
      <c r="Z801" s="156">
        <v>2.931720149166317E-2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44621</v>
      </c>
      <c r="Y802" s="155">
        <f>_xll.qlCalendarAdvance(Calendar,X802,NDays&amp;"D")</f>
        <v>44621</v>
      </c>
      <c r="Z802" s="156">
        <v>2.9310605123011868E-2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44628</v>
      </c>
      <c r="Y803" s="155">
        <f>_xll.qlCalendarAdvance(Calendar,X803,NDays&amp;"D")</f>
        <v>44628</v>
      </c>
      <c r="Z803" s="156">
        <v>2.9305086820956561E-2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44635</v>
      </c>
      <c r="Y804" s="155">
        <f>_xll.qlCalendarAdvance(Calendar,X804,NDays&amp;"D")</f>
        <v>44635</v>
      </c>
      <c r="Z804" s="156">
        <v>2.9300646585257439E-2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44642</v>
      </c>
      <c r="Y805" s="155">
        <f>_xll.qlCalendarAdvance(Calendar,X805,NDays&amp;"D")</f>
        <v>44642</v>
      </c>
      <c r="Z805" s="156">
        <v>2.929728441599444E-2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44649</v>
      </c>
      <c r="Y806" s="155">
        <f>_xll.qlCalendarAdvance(Calendar,X806,NDays&amp;"D")</f>
        <v>44649</v>
      </c>
      <c r="Z806" s="156">
        <v>2.9295000313167563E-2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44656</v>
      </c>
      <c r="Y807" s="155">
        <f>_xll.qlCalendarAdvance(Calendar,X807,NDays&amp;"D")</f>
        <v>44656</v>
      </c>
      <c r="Z807" s="156">
        <v>2.9293794276776808E-2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44663</v>
      </c>
      <c r="Y808" s="155">
        <f>_xll.qlCalendarAdvance(Calendar,X808,NDays&amp;"D")</f>
        <v>44663</v>
      </c>
      <c r="Z808" s="156">
        <v>2.9293666306822175E-2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44670</v>
      </c>
      <c r="Y809" s="155">
        <f>_xll.qlCalendarAdvance(Calendar,X809,NDays&amp;"D")</f>
        <v>44670</v>
      </c>
      <c r="Z809" s="156">
        <v>2.9294616403063856E-2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44677</v>
      </c>
      <c r="Y810" s="155">
        <f>_xll.qlCalendarAdvance(Calendar,X810,NDays&amp;"D")</f>
        <v>44677</v>
      </c>
      <c r="Z810" s="156">
        <v>2.9296644565821595E-2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44684</v>
      </c>
      <c r="Y811" s="155">
        <f>_xll.qlCalendarAdvance(Calendar,X811,NDays&amp;"D")</f>
        <v>44684</v>
      </c>
      <c r="Z811" s="156">
        <v>2.929975079493552E-2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44691</v>
      </c>
      <c r="Y812" s="155">
        <f>_xll.qlCalendarAdvance(Calendar,X812,NDays&amp;"D")</f>
        <v>44691</v>
      </c>
      <c r="Z812" s="156">
        <v>2.9303935090485567E-2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44698</v>
      </c>
      <c r="Y813" s="155">
        <f>_xll.qlCalendarAdvance(Calendar,X813,NDays&amp;"D")</f>
        <v>44698</v>
      </c>
      <c r="Z813" s="156">
        <v>2.9309197452551672E-2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44705</v>
      </c>
      <c r="Y814" s="155">
        <f>_xll.qlCalendarAdvance(Calendar,X814,NDays&amp;"D")</f>
        <v>44705</v>
      </c>
      <c r="Z814" s="156">
        <v>2.9315537881053899E-2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44712</v>
      </c>
      <c r="Y815" s="155">
        <f>_xll.qlCalendarAdvance(Calendar,X815,NDays&amp;"D")</f>
        <v>44712</v>
      </c>
      <c r="Z815" s="156">
        <v>2.9322956376232057E-2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44719</v>
      </c>
      <c r="Y816" s="155">
        <f>_xll.qlCalendarAdvance(Calendar,X816,NDays&amp;"D")</f>
        <v>44719</v>
      </c>
      <c r="Z816" s="156">
        <v>2.9331452937926272E-2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44726</v>
      </c>
      <c r="Y817" s="155">
        <f>_xll.qlCalendarAdvance(Calendar,X817,NDays&amp;"D")</f>
        <v>44726</v>
      </c>
      <c r="Z817" s="156">
        <v>2.9341027566376354E-2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44733</v>
      </c>
      <c r="Y818" s="155">
        <f>_xll.qlCalendarAdvance(Calendar,X818,NDays&amp;"D")</f>
        <v>44733</v>
      </c>
      <c r="Z818" s="156">
        <v>2.9351680261662239E-2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44740</v>
      </c>
      <c r="Y819" s="155">
        <f>_xll.qlCalendarAdvance(Calendar,X819,NDays&amp;"D")</f>
        <v>44740</v>
      </c>
      <c r="Z819" s="156">
        <v>2.9363411023863861E-2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44747</v>
      </c>
      <c r="Y820" s="155">
        <f>_xll.qlCalendarAdvance(Calendar,X820,NDays&amp;"D")</f>
        <v>44747</v>
      </c>
      <c r="Z820" s="156">
        <v>2.9376219852981222E-2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44754</v>
      </c>
      <c r="Y821" s="155">
        <f>_xll.qlCalendarAdvance(Calendar,X821,NDays&amp;"D")</f>
        <v>44754</v>
      </c>
      <c r="Z821" s="156">
        <v>2.9390106749334066E-2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44761</v>
      </c>
      <c r="Y822" s="155">
        <f>_xll.qlCalendarAdvance(Calendar,X822,NDays&amp;"D")</f>
        <v>44761</v>
      </c>
      <c r="Z822" s="156">
        <v>2.9405071712842457E-2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44768</v>
      </c>
      <c r="Y823" s="155">
        <f>_xll.qlCalendarAdvance(Calendar,X823,NDays&amp;"D")</f>
        <v>44768</v>
      </c>
      <c r="Z823" s="156">
        <v>2.9421114743746202E-2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44775</v>
      </c>
      <c r="Y824" s="155">
        <f>_xll.qlCalendarAdvance(Calendar,X824,NDays&amp;"D")</f>
        <v>44775</v>
      </c>
      <c r="Z824" s="156">
        <v>2.9438235842205174E-2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44782</v>
      </c>
      <c r="Y825" s="155">
        <f>_xll.qlCalendarAdvance(Calendar,X825,NDays&amp;"D")</f>
        <v>44782</v>
      </c>
      <c r="Z825" s="156">
        <v>2.9456435008299309E-2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44789</v>
      </c>
      <c r="Y826" s="155">
        <f>_xll.qlCalendarAdvance(Calendar,X826,NDays&amp;"D")</f>
        <v>44789</v>
      </c>
      <c r="Z826" s="156">
        <v>2.9475712242268415E-2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44796</v>
      </c>
      <c r="Y827" s="155">
        <f>_xll.qlCalendarAdvance(Calendar,X827,NDays&amp;"D")</f>
        <v>44796</v>
      </c>
      <c r="Z827" s="156">
        <v>2.9496067544192428E-2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44803</v>
      </c>
      <c r="Y828" s="155">
        <f>_xll.qlCalendarAdvance(Calendar,X828,NDays&amp;"D")</f>
        <v>44803</v>
      </c>
      <c r="Z828" s="156">
        <v>2.9517500914391093E-2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44810</v>
      </c>
      <c r="Y829" s="155">
        <f>_xll.qlCalendarAdvance(Calendar,X829,NDays&amp;"D")</f>
        <v>44810</v>
      </c>
      <c r="Z829" s="156">
        <v>2.9540012352944345E-2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44817</v>
      </c>
      <c r="Y830" s="155">
        <f>_xll.qlCalendarAdvance(Calendar,X830,NDays&amp;"D")</f>
        <v>44817</v>
      </c>
      <c r="Z830" s="156">
        <v>2.9563601860012056E-2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44824</v>
      </c>
      <c r="Y831" s="155">
        <f>_xll.qlCalendarAdvance(Calendar,X831,NDays&amp;"D")</f>
        <v>44824</v>
      </c>
      <c r="Z831" s="156">
        <v>2.9588269435993908E-2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44831</v>
      </c>
      <c r="Y832" s="155">
        <f>_xll.qlCalendarAdvance(Calendar,X832,NDays&amp;"D")</f>
        <v>44831</v>
      </c>
      <c r="Z832" s="156">
        <v>2.9614015080889899E-2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44838</v>
      </c>
      <c r="Y833" s="155">
        <f>_xll.qlCalendarAdvance(Calendar,X833,NDays&amp;"D")</f>
        <v>44838</v>
      </c>
      <c r="Z833" s="156">
        <v>2.9640838795179647E-2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44845</v>
      </c>
      <c r="Y834" s="155">
        <f>_xll.qlCalendarAdvance(Calendar,X834,NDays&amp;"D")</f>
        <v>44845</v>
      </c>
      <c r="Z834" s="156">
        <v>2.9668740578863151E-2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44852</v>
      </c>
      <c r="Y835" s="155">
        <f>_xll.qlCalendarAdvance(Calendar,X835,NDays&amp;"D")</f>
        <v>44852</v>
      </c>
      <c r="Z835" s="156">
        <v>2.9697720432340091E-2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44859</v>
      </c>
      <c r="Y836" s="155">
        <f>_xll.qlCalendarAdvance(Calendar,X836,NDays&amp;"D")</f>
        <v>44859</v>
      </c>
      <c r="Z836" s="156">
        <v>2.972777835577034E-2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44866</v>
      </c>
      <c r="Y837" s="155">
        <f>_xll.qlCalendarAdvance(Calendar,X837,NDays&amp;"D")</f>
        <v>44866</v>
      </c>
      <c r="Z837" s="156">
        <v>2.9758914349473642E-2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44873</v>
      </c>
      <c r="Y838" s="155">
        <f>_xll.qlCalendarAdvance(Calendar,X838,NDays&amp;"D")</f>
        <v>44873</v>
      </c>
      <c r="Z838" s="156">
        <v>2.9790795630848521E-2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44880</v>
      </c>
      <c r="Y839" s="155">
        <f>_xll.qlCalendarAdvance(Calendar,X839,NDays&amp;"D")</f>
        <v>44880</v>
      </c>
      <c r="Z839" s="156">
        <v>2.9822254731692865E-2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44887</v>
      </c>
      <c r="Y840" s="155">
        <f>_xll.qlCalendarAdvance(Calendar,X840,NDays&amp;"D")</f>
        <v>44887</v>
      </c>
      <c r="Z840" s="156">
        <v>2.9853187998281072E-2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44894</v>
      </c>
      <c r="Y841" s="155">
        <f>_xll.qlCalendarAdvance(Calendar,X841,NDays&amp;"D")</f>
        <v>44894</v>
      </c>
      <c r="Z841" s="156">
        <v>2.9883595430453269E-2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44901</v>
      </c>
      <c r="Y842" s="155">
        <f>_xll.qlCalendarAdvance(Calendar,X842,NDays&amp;"D")</f>
        <v>44901</v>
      </c>
      <c r="Z842" s="156">
        <v>2.991347702812952E-2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44908</v>
      </c>
      <c r="Y843" s="155">
        <f>_xll.qlCalendarAdvance(Calendar,X843,NDays&amp;"D")</f>
        <v>44908</v>
      </c>
      <c r="Z843" s="156">
        <v>2.9942832791070018E-2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44915</v>
      </c>
      <c r="Y844" s="155">
        <f>_xll.qlCalendarAdvance(Calendar,X844,NDays&amp;"D")</f>
        <v>44915</v>
      </c>
      <c r="Z844" s="156">
        <v>2.9971662719194825E-2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44922</v>
      </c>
      <c r="Y845" s="155">
        <f>_xll.qlCalendarAdvance(Calendar,X845,NDays&amp;"D")</f>
        <v>44922</v>
      </c>
      <c r="Z845" s="156">
        <v>2.9999966812424006E-2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44929</v>
      </c>
      <c r="Y846" s="155">
        <f>_xll.qlCalendarAdvance(Calendar,X846,NDays&amp;"D")</f>
        <v>44929</v>
      </c>
      <c r="Z846" s="156">
        <v>3.0027745070597689E-2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44936</v>
      </c>
      <c r="Y847" s="155">
        <f>_xll.qlCalendarAdvance(Calendar,X847,NDays&amp;"D")</f>
        <v>44936</v>
      </c>
      <c r="Z847" s="156">
        <v>3.0054997493556002E-2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44943</v>
      </c>
      <c r="Y848" s="155">
        <f>_xll.qlCalendarAdvance(Calendar,X848,NDays&amp;"D")</f>
        <v>44943</v>
      </c>
      <c r="Z848" s="156">
        <v>3.0081724081219008E-2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44950</v>
      </c>
      <c r="Y849" s="155">
        <f>_xll.qlCalendarAdvance(Calendar,X849,NDays&amp;"D")</f>
        <v>44950</v>
      </c>
      <c r="Z849" s="156">
        <v>3.0107924833426836E-2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44957</v>
      </c>
      <c r="Y850" s="155">
        <f>_xll.qlCalendarAdvance(Calendar,X850,NDays&amp;"D")</f>
        <v>44957</v>
      </c>
      <c r="Z850" s="156">
        <v>3.0133599750259421E-2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44964</v>
      </c>
      <c r="Y851" s="155">
        <f>_xll.qlCalendarAdvance(Calendar,X851,NDays&amp;"D")</f>
        <v>44964</v>
      </c>
      <c r="Z851" s="156">
        <v>3.0158748831317084E-2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44971</v>
      </c>
      <c r="Y852" s="155">
        <f>_xll.qlCalendarAdvance(Calendar,X852,NDays&amp;"D")</f>
        <v>44971</v>
      </c>
      <c r="Z852" s="156">
        <v>3.018337207667976E-2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44978</v>
      </c>
      <c r="Y853" s="155">
        <f>_xll.qlCalendarAdvance(Calendar,X853,NDays&amp;"D")</f>
        <v>44978</v>
      </c>
      <c r="Z853" s="156">
        <v>3.0207469486107641E-2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44985</v>
      </c>
      <c r="Y854" s="155">
        <f>_xll.qlCalendarAdvance(Calendar,X854,NDays&amp;"D")</f>
        <v>44985</v>
      </c>
      <c r="Z854" s="156">
        <v>3.0231041059680663E-2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44992</v>
      </c>
      <c r="Y855" s="155">
        <f>_xll.qlCalendarAdvance(Calendar,X855,NDays&amp;"D")</f>
        <v>44992</v>
      </c>
      <c r="Z855" s="156">
        <v>3.0254086796999147E-2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44999</v>
      </c>
      <c r="Y856" s="155">
        <f>_xll.qlCalendarAdvance(Calendar,X856,NDays&amp;"D")</f>
        <v>44999</v>
      </c>
      <c r="Z856" s="156">
        <v>3.0276606698302899E-2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45006</v>
      </c>
      <c r="Y857" s="155">
        <f>_xll.qlCalendarAdvance(Calendar,X857,NDays&amp;"D")</f>
        <v>45006</v>
      </c>
      <c r="Z857" s="156">
        <v>3.0298600763272177E-2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45013</v>
      </c>
      <c r="Y858" s="155">
        <f>_xll.qlCalendarAdvance(Calendar,X858,NDays&amp;"D")</f>
        <v>45013</v>
      </c>
      <c r="Z858" s="156">
        <v>3.0320068991906979E-2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45020</v>
      </c>
      <c r="Y859" s="155">
        <f>_xll.qlCalendarAdvance(Calendar,X859,NDays&amp;"D")</f>
        <v>45020</v>
      </c>
      <c r="Z859" s="156">
        <v>3.0341011384047434E-2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45027</v>
      </c>
      <c r="Y860" s="155">
        <f>_xll.qlCalendarAdvance(Calendar,X860,NDays&amp;"D")</f>
        <v>45027</v>
      </c>
      <c r="Z860" s="156">
        <v>3.0361427939693542E-2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45034</v>
      </c>
      <c r="Y861" s="155">
        <f>_xll.qlCalendarAdvance(Calendar,X861,NDays&amp;"D")</f>
        <v>45034</v>
      </c>
      <c r="Z861" s="156">
        <v>3.0381318658605494E-2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45041</v>
      </c>
      <c r="Y862" s="155">
        <f>_xll.qlCalendarAdvance(Calendar,X862,NDays&amp;"D")</f>
        <v>45041</v>
      </c>
      <c r="Z862" s="156">
        <v>3.0400683540863227E-2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45048</v>
      </c>
      <c r="Y863" s="155">
        <f>_xll.qlCalendarAdvance(Calendar,X863,NDays&amp;"D")</f>
        <v>45048</v>
      </c>
      <c r="Z863" s="156">
        <v>3.0419522586306869E-2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45055</v>
      </c>
      <c r="Y864" s="155">
        <f>_xll.qlCalendarAdvance(Calendar,X864,NDays&amp;"D")</f>
        <v>45055</v>
      </c>
      <c r="Z864" s="156">
        <v>3.0437835794776547E-2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45062</v>
      </c>
      <c r="Y865" s="155">
        <f>_xll.qlCalendarAdvance(Calendar,X865,NDays&amp;"D")</f>
        <v>45062</v>
      </c>
      <c r="Z865" s="156">
        <v>3.0455623166352197E-2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45069</v>
      </c>
      <c r="Y866" s="155">
        <f>_xll.qlCalendarAdvance(Calendar,X866,NDays&amp;"D")</f>
        <v>45069</v>
      </c>
      <c r="Z866" s="156">
        <v>3.0472884700873948E-2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45076</v>
      </c>
      <c r="Y867" s="155">
        <f>_xll.qlCalendarAdvance(Calendar,X867,NDays&amp;"D")</f>
        <v>45076</v>
      </c>
      <c r="Z867" s="156">
        <v>3.0489620398181927E-2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45083</v>
      </c>
      <c r="Y868" s="155">
        <f>_xll.qlCalendarAdvance(Calendar,X868,NDays&amp;"D")</f>
        <v>45083</v>
      </c>
      <c r="Z868" s="156">
        <v>3.050583025835607E-2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45090</v>
      </c>
      <c r="Y869" s="155">
        <f>_xll.qlCalendarAdvance(Calendar,X869,NDays&amp;"D")</f>
        <v>45090</v>
      </c>
      <c r="Z869" s="156">
        <v>3.0521514281236506E-2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45097</v>
      </c>
      <c r="Y870" s="155">
        <f>_xll.qlCalendarAdvance(Calendar,X870,NDays&amp;"D")</f>
        <v>45097</v>
      </c>
      <c r="Z870" s="156">
        <v>3.0536672466743298E-2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45104</v>
      </c>
      <c r="Y871" s="155">
        <f>_xll.qlCalendarAdvance(Calendar,X871,NDays&amp;"D")</f>
        <v>45104</v>
      </c>
      <c r="Z871" s="156">
        <v>3.0551304814876445E-2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45112</v>
      </c>
      <c r="Y872" s="155">
        <f>_xll.qlCalendarAdvance(Calendar,X872,NDays&amp;"D")</f>
        <v>45112</v>
      </c>
      <c r="Z872" s="156">
        <v>3.0567383615807131E-2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45119</v>
      </c>
      <c r="Y873" s="155">
        <f>_xll.qlCalendarAdvance(Calendar,X873,NDays&amp;"D")</f>
        <v>45119</v>
      </c>
      <c r="Z873" s="156">
        <v>3.0580889169282699E-2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45126</v>
      </c>
      <c r="Y874" s="155">
        <f>_xll.qlCalendarAdvance(Calendar,X874,NDays&amp;"D")</f>
        <v>45126</v>
      </c>
      <c r="Z874" s="156">
        <v>3.0593868885144815E-2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45133</v>
      </c>
      <c r="Y875" s="155">
        <f>_xll.qlCalendarAdvance(Calendar,X875,NDays&amp;"D")</f>
        <v>45133</v>
      </c>
      <c r="Z875" s="156">
        <v>3.0606322763393479E-2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45140</v>
      </c>
      <c r="Y876" s="155">
        <f>_xll.qlCalendarAdvance(Calendar,X876,NDays&amp;"D")</f>
        <v>45140</v>
      </c>
      <c r="Z876" s="156">
        <v>3.0618250803788882E-2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45147</v>
      </c>
      <c r="Y877" s="155">
        <f>_xll.qlCalendarAdvance(Calendar,X877,NDays&amp;"D")</f>
        <v>45147</v>
      </c>
      <c r="Z877" s="156">
        <v>3.0629653006570834E-2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45154</v>
      </c>
      <c r="Y878" s="155">
        <f>_xll.qlCalendarAdvance(Calendar,X878,NDays&amp;"D")</f>
        <v>45154</v>
      </c>
      <c r="Z878" s="156">
        <v>3.0640529371499525E-2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45161</v>
      </c>
      <c r="Y879" s="155">
        <f>_xll.qlCalendarAdvance(Calendar,X879,NDays&amp;"D")</f>
        <v>45161</v>
      </c>
      <c r="Z879" s="156">
        <v>3.065087989849502E-2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45168</v>
      </c>
      <c r="Y880" s="155">
        <f>_xll.qlCalendarAdvance(Calendar,X880,NDays&amp;"D")</f>
        <v>45168</v>
      </c>
      <c r="Z880" s="156">
        <v>3.0660704587637255E-2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45175</v>
      </c>
      <c r="Y881" s="155">
        <f>_xll.qlCalendarAdvance(Calendar,X881,NDays&amp;"D")</f>
        <v>45175</v>
      </c>
      <c r="Z881" s="156">
        <v>3.0670003438766358E-2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45182</v>
      </c>
      <c r="Y882" s="155">
        <f>_xll.qlCalendarAdvance(Calendar,X882,NDays&amp;"D")</f>
        <v>45182</v>
      </c>
      <c r="Z882" s="156">
        <v>3.0678776451962264E-2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45189</v>
      </c>
      <c r="Y883" s="155">
        <f>_xll.qlCalendarAdvance(Calendar,X883,NDays&amp;"D")</f>
        <v>45189</v>
      </c>
      <c r="Z883" s="156">
        <v>3.0687023627065102E-2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45196</v>
      </c>
      <c r="Y884" s="155">
        <f>_xll.qlCalendarAdvance(Calendar,X884,NDays&amp;"D")</f>
        <v>45196</v>
      </c>
      <c r="Z884" s="156">
        <v>3.0694744964074872E-2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45203</v>
      </c>
      <c r="Y885" s="155">
        <f>_xll.qlCalendarAdvance(Calendar,X885,NDays&amp;"D")</f>
        <v>45203</v>
      </c>
      <c r="Z885" s="156">
        <v>3.0701940463071509E-2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45210</v>
      </c>
      <c r="Y886" s="155">
        <f>_xll.qlCalendarAdvance(Calendar,X886,NDays&amp;"D")</f>
        <v>45210</v>
      </c>
      <c r="Z886" s="156">
        <v>3.0708610123975077E-2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45217</v>
      </c>
      <c r="Y887" s="155">
        <f>_xll.qlCalendarAdvance(Calendar,X887,NDays&amp;"D")</f>
        <v>45217</v>
      </c>
      <c r="Z887" s="156">
        <v>3.0714753946705642E-2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45224</v>
      </c>
      <c r="Y888" s="155">
        <f>_xll.qlCalendarAdvance(Calendar,X888,NDays&amp;"D")</f>
        <v>45224</v>
      </c>
      <c r="Z888" s="156">
        <v>3.072037193110333E-2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45231</v>
      </c>
      <c r="Y889" s="155">
        <f>_xll.qlCalendarAdvance(Calendar,X889,NDays&amp;"D")</f>
        <v>45231</v>
      </c>
      <c r="Z889" s="156">
        <v>3.0725464077407949E-2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45238</v>
      </c>
      <c r="Y890" s="155">
        <f>_xll.qlCalendarAdvance(Calendar,X890,NDays&amp;"D")</f>
        <v>45238</v>
      </c>
      <c r="Z890" s="156">
        <v>3.073008415644729E-2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45245</v>
      </c>
      <c r="Y891" s="155">
        <f>_xll.qlCalendarAdvance(Calendar,X891,NDays&amp;"D")</f>
        <v>45245</v>
      </c>
      <c r="Z891" s="156">
        <v>3.0734837800805437E-2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45252</v>
      </c>
      <c r="Y892" s="155">
        <f>_xll.qlCalendarAdvance(Calendar,X892,NDays&amp;"D")</f>
        <v>45252</v>
      </c>
      <c r="Z892" s="156">
        <v>3.0741584009597034E-2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45259</v>
      </c>
      <c r="Y893" s="155">
        <f>_xll.qlCalendarAdvance(Calendar,X893,NDays&amp;"D")</f>
        <v>45259</v>
      </c>
      <c r="Z893" s="156">
        <v>3.0745263685760804E-2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45266</v>
      </c>
      <c r="Y894" s="155">
        <f>_xll.qlCalendarAdvance(Calendar,X894,NDays&amp;"D")</f>
        <v>45266</v>
      </c>
      <c r="Z894" s="156">
        <v>3.0750935926437961E-2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45273</v>
      </c>
      <c r="Y895" s="155">
        <f>_xll.qlCalendarAdvance(Calendar,X895,NDays&amp;"D")</f>
        <v>45273</v>
      </c>
      <c r="Z895" s="156">
        <v>3.0756914365861476E-2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45280</v>
      </c>
      <c r="Y896" s="155">
        <f>_xll.qlCalendarAdvance(Calendar,X896,NDays&amp;"D")</f>
        <v>45280</v>
      </c>
      <c r="Z896" s="156">
        <v>3.076319900403135E-2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45287</v>
      </c>
      <c r="Y897" s="155">
        <f>_xll.qlCalendarAdvance(Calendar,X897,NDays&amp;"D")</f>
        <v>45287</v>
      </c>
      <c r="Z897" s="156">
        <v>3.0769789841107453E-2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45294</v>
      </c>
      <c r="Y898" s="155">
        <f>_xll.qlCalendarAdvance(Calendar,X898,NDays&amp;"D")</f>
        <v>45294</v>
      </c>
      <c r="Z898" s="156">
        <v>3.0776686876929915E-2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45301</v>
      </c>
      <c r="Y899" s="155">
        <f>_xll.qlCalendarAdvance(Calendar,X899,NDays&amp;"D")</f>
        <v>45301</v>
      </c>
      <c r="Z899" s="156">
        <v>3.0783890111738543E-2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45308</v>
      </c>
      <c r="Y900" s="155">
        <f>_xll.qlCalendarAdvance(Calendar,X900,NDays&amp;"D")</f>
        <v>45308</v>
      </c>
      <c r="Z900" s="156">
        <v>3.079139954529353E-2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45315</v>
      </c>
      <c r="Y901" s="155">
        <f>_xll.qlCalendarAdvance(Calendar,X901,NDays&amp;"D")</f>
        <v>45315</v>
      </c>
      <c r="Z901" s="156">
        <v>3.0799215177834682E-2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45322</v>
      </c>
      <c r="Y902" s="155">
        <f>_xll.qlCalendarAdvance(Calendar,X902,NDays&amp;"D")</f>
        <v>45322</v>
      </c>
      <c r="Z902" s="156">
        <v>3.0807337009282065E-2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45329</v>
      </c>
      <c r="Y903" s="155">
        <f>_xll.qlCalendarAdvance(Calendar,X903,NDays&amp;"D")</f>
        <v>45329</v>
      </c>
      <c r="Z903" s="156">
        <v>3.0815765039635679E-2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45336</v>
      </c>
      <c r="Y904" s="155">
        <f>_xll.qlCalendarAdvance(Calendar,X904,NDays&amp;"D")</f>
        <v>45336</v>
      </c>
      <c r="Z904" s="156">
        <v>3.0824499268975458E-2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45343</v>
      </c>
      <c r="Y905" s="155">
        <f>_xll.qlCalendarAdvance(Calendar,X905,NDays&amp;"D")</f>
        <v>45343</v>
      </c>
      <c r="Z905" s="156">
        <v>3.0833539697221468E-2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45350</v>
      </c>
      <c r="Y906" s="155">
        <f>_xll.qlCalendarAdvance(Calendar,X906,NDays&amp;"D")</f>
        <v>45350</v>
      </c>
      <c r="Z906" s="156">
        <v>3.084288632453358E-2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45357</v>
      </c>
      <c r="Y907" s="155">
        <f>_xll.qlCalendarAdvance(Calendar,X907,NDays&amp;"D")</f>
        <v>45357</v>
      </c>
      <c r="Z907" s="156">
        <v>3.0852539150831859E-2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45364</v>
      </c>
      <c r="Y908" s="155">
        <f>_xll.qlCalendarAdvance(Calendar,X908,NDays&amp;"D")</f>
        <v>45364</v>
      </c>
      <c r="Z908" s="156">
        <v>3.086249817619624E-2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45371</v>
      </c>
      <c r="Y909" s="155">
        <f>_xll.qlCalendarAdvance(Calendar,X909,NDays&amp;"D")</f>
        <v>45371</v>
      </c>
      <c r="Z909" s="156">
        <v>3.0872763400626724E-2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45378</v>
      </c>
      <c r="Y910" s="155">
        <f>_xll.qlCalendarAdvance(Calendar,X910,NDays&amp;"D")</f>
        <v>45378</v>
      </c>
      <c r="Z910" s="156">
        <v>3.088333482412331E-2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45385</v>
      </c>
      <c r="Y911" s="155">
        <f>_xll.qlCalendarAdvance(Calendar,X911,NDays&amp;"D")</f>
        <v>45385</v>
      </c>
      <c r="Z911" s="156">
        <v>3.089421244684587E-2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45392</v>
      </c>
      <c r="Y912" s="155">
        <f>_xll.qlCalendarAdvance(Calendar,X912,NDays&amp;"D")</f>
        <v>45392</v>
      </c>
      <c r="Z912" s="156">
        <v>3.0905396268634533E-2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45399</v>
      </c>
      <c r="Y913" s="155">
        <f>_xll.qlCalendarAdvance(Calendar,X913,NDays&amp;"D")</f>
        <v>45399</v>
      </c>
      <c r="Z913" s="156">
        <v>3.091688628964917E-2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45406</v>
      </c>
      <c r="Y914" s="155">
        <f>_xll.qlCalendarAdvance(Calendar,X914,NDays&amp;"D")</f>
        <v>45406</v>
      </c>
      <c r="Z914" s="156">
        <v>3.0928682509889782E-2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45413</v>
      </c>
      <c r="Y915" s="155">
        <f>_xll.qlCalendarAdvance(Calendar,X915,NDays&amp;"D")</f>
        <v>45413</v>
      </c>
      <c r="Z915" s="156">
        <v>3.0940784929436305E-2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45420</v>
      </c>
      <c r="Y916" s="155">
        <f>_xll.qlCalendarAdvance(Calendar,X916,NDays&amp;"D")</f>
        <v>45420</v>
      </c>
      <c r="Z916" s="156">
        <v>3.0953193548128866E-2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45427</v>
      </c>
      <c r="Y917" s="155">
        <f>_xll.qlCalendarAdvance(Calendar,X917,NDays&amp;"D")</f>
        <v>45427</v>
      </c>
      <c r="Z917" s="156">
        <v>3.0965908366207273E-2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45434</v>
      </c>
      <c r="Y918" s="155">
        <f>_xll.qlCalendarAdvance(Calendar,X918,NDays&amp;"D")</f>
        <v>45434</v>
      </c>
      <c r="Z918" s="156">
        <v>3.0978929383591591E-2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45441</v>
      </c>
      <c r="Y919" s="155">
        <f>_xll.qlCalendarAdvance(Calendar,X919,NDays&amp;"D")</f>
        <v>45441</v>
      </c>
      <c r="Z919" s="156">
        <v>3.0992256600361756E-2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45448</v>
      </c>
      <c r="Y920" s="155">
        <f>_xll.qlCalendarAdvance(Calendar,X920,NDays&amp;"D")</f>
        <v>45448</v>
      </c>
      <c r="Z920" s="156">
        <v>3.1005890016517768E-2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45455</v>
      </c>
      <c r="Y921" s="155">
        <f>_xll.qlCalendarAdvance(Calendar,X921,NDays&amp;"D")</f>
        <v>45455</v>
      </c>
      <c r="Z921" s="156">
        <v>3.1019829632139562E-2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45462</v>
      </c>
      <c r="Y922" s="155">
        <f>_xll.qlCalendarAdvance(Calendar,X922,NDays&amp;"D")</f>
        <v>45462</v>
      </c>
      <c r="Z922" s="156">
        <v>3.1034075447227139E-2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45469</v>
      </c>
      <c r="Y923" s="155">
        <f>_xll.qlCalendarAdvance(Calendar,X923,NDays&amp;"D")</f>
        <v>45469</v>
      </c>
      <c r="Z923" s="156">
        <v>3.1048627461780498E-2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45476</v>
      </c>
      <c r="Y924" s="155">
        <f>_xll.qlCalendarAdvance(Calendar,X924,NDays&amp;"D")</f>
        <v>45476</v>
      </c>
      <c r="Z924" s="156">
        <v>3.1065899762210414E-2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45483</v>
      </c>
      <c r="Y925" s="155">
        <f>_xll.qlCalendarAdvance(Calendar,X925,NDays&amp;"D")</f>
        <v>45483</v>
      </c>
      <c r="Z925" s="156">
        <v>3.1078650089684245E-2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45490</v>
      </c>
      <c r="Y926" s="155">
        <f>_xll.qlCalendarAdvance(Calendar,X926,NDays&amp;"D")</f>
        <v>45490</v>
      </c>
      <c r="Z926" s="156">
        <v>3.1094120703114569E-2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45497</v>
      </c>
      <c r="Y927" s="155">
        <f>_xll.qlCalendarAdvance(Calendar,X927,NDays&amp;"D")</f>
        <v>45497</v>
      </c>
      <c r="Z927" s="156">
        <v>3.1109897516090612E-2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45504</v>
      </c>
      <c r="Y928" s="155">
        <f>_xll.qlCalendarAdvance(Calendar,X928,NDays&amp;"D")</f>
        <v>45504</v>
      </c>
      <c r="Z928" s="156">
        <v>3.1125980528852182E-2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45511</v>
      </c>
      <c r="Y929" s="155">
        <f>_xll.qlCalendarAdvance(Calendar,X929,NDays&amp;"D")</f>
        <v>45511</v>
      </c>
      <c r="Z929" s="156">
        <v>3.1142369741319342E-2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45518</v>
      </c>
      <c r="Y930" s="155">
        <f>_xll.qlCalendarAdvance(Calendar,X930,NDays&amp;"D")</f>
        <v>45518</v>
      </c>
      <c r="Z930" s="156">
        <v>3.115906515357203E-2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45525</v>
      </c>
      <c r="Y931" s="155">
        <f>_xll.qlCalendarAdvance(Calendar,X931,NDays&amp;"D")</f>
        <v>45525</v>
      </c>
      <c r="Z931" s="156">
        <v>3.117606676569018E-2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45532</v>
      </c>
      <c r="Y932" s="155">
        <f>_xll.qlCalendarAdvance(Calendar,X932,NDays&amp;"D")</f>
        <v>45532</v>
      </c>
      <c r="Z932" s="156">
        <v>3.1193374577673794E-2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45539</v>
      </c>
      <c r="Y933" s="155">
        <f>_xll.qlCalendarAdvance(Calendar,X933,NDays&amp;"D")</f>
        <v>45539</v>
      </c>
      <c r="Z933" s="156">
        <v>3.1210988589602806E-2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45546</v>
      </c>
      <c r="Y934" s="155">
        <f>_xll.qlCalendarAdvance(Calendar,X934,NDays&amp;"D")</f>
        <v>45546</v>
      </c>
      <c r="Z934" s="156">
        <v>3.1228908801397282E-2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45553</v>
      </c>
      <c r="Y935" s="155">
        <f>_xll.qlCalendarAdvance(Calendar,X935,NDays&amp;"D")</f>
        <v>45553</v>
      </c>
      <c r="Z935" s="156">
        <v>3.1247135213297028E-2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45560</v>
      </c>
      <c r="Y936" s="155">
        <f>_xll.qlCalendarAdvance(Calendar,X936,NDays&amp;"D")</f>
        <v>45560</v>
      </c>
      <c r="Z936" s="156">
        <v>3.126566782522211E-2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45567</v>
      </c>
      <c r="Y937" s="155">
        <f>_xll.qlCalendarAdvance(Calendar,X937,NDays&amp;"D")</f>
        <v>45567</v>
      </c>
      <c r="Z937" s="156">
        <v>3.1284506637332399E-2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45574</v>
      </c>
      <c r="Y938" s="155">
        <f>_xll.qlCalendarAdvance(Calendar,X938,NDays&amp;"D")</f>
        <v>45574</v>
      </c>
      <c r="Z938" s="156">
        <v>3.1303651649468023E-2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45581</v>
      </c>
      <c r="Y939" s="155">
        <f>_xll.qlCalendarAdvance(Calendar,X939,NDays&amp;"D")</f>
        <v>45581</v>
      </c>
      <c r="Z939" s="156">
        <v>3.1323102861788854E-2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45588</v>
      </c>
      <c r="Y940" s="155">
        <f>_xll.qlCalendarAdvance(Calendar,X940,NDays&amp;"D")</f>
        <v>45588</v>
      </c>
      <c r="Z940" s="156">
        <v>3.1342860274454765E-2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45595</v>
      </c>
      <c r="Y941" s="155">
        <f>_xll.qlCalendarAdvance(Calendar,X941,NDays&amp;"D")</f>
        <v>45595</v>
      </c>
      <c r="Z941" s="156">
        <v>3.1362923887385818E-2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45602</v>
      </c>
      <c r="Y942" s="155">
        <f>_xll.qlCalendarAdvance(Calendar,X942,NDays&amp;"D")</f>
        <v>45602</v>
      </c>
      <c r="Z942" s="156">
        <v>3.1383259547901332E-2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45609</v>
      </c>
      <c r="Y943" s="155">
        <f>_xll.qlCalendarAdvance(Calendar,X943,NDays&amp;"D")</f>
        <v>45609</v>
      </c>
      <c r="Z943" s="156">
        <v>3.1403482587624154E-2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45616</v>
      </c>
      <c r="Y944" s="155">
        <f>_xll.qlCalendarAdvance(Calendar,X944,NDays&amp;"D")</f>
        <v>45616</v>
      </c>
      <c r="Z944" s="156">
        <v>3.1423483358024029E-2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45623</v>
      </c>
      <c r="Y945" s="155">
        <f>_xll.qlCalendarAdvance(Calendar,X945,NDays&amp;"D")</f>
        <v>45623</v>
      </c>
      <c r="Z945" s="156">
        <v>3.144603882439867E-2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45630</v>
      </c>
      <c r="Y946" s="155">
        <f>_xll.qlCalendarAdvance(Calendar,X946,NDays&amp;"D")</f>
        <v>45630</v>
      </c>
      <c r="Z946" s="156">
        <v>3.1462818090775002E-2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45637</v>
      </c>
      <c r="Y947" s="155">
        <f>_xll.qlCalendarAdvance(Calendar,X947,NDays&amp;"D")</f>
        <v>45637</v>
      </c>
      <c r="Z947" s="156">
        <v>3.1482152053046164E-2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45644</v>
      </c>
      <c r="Y948" s="155">
        <f>_xll.qlCalendarAdvance(Calendar,X948,NDays&amp;"D")</f>
        <v>45644</v>
      </c>
      <c r="Z948" s="156">
        <v>3.1501263745914443E-2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45652</v>
      </c>
      <c r="Y949" s="155">
        <f>_xll.qlCalendarAdvance(Calendar,X949,NDays&amp;"D")</f>
        <v>45652</v>
      </c>
      <c r="Z949" s="156">
        <v>3.1522833513886184E-2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45659</v>
      </c>
      <c r="Y950" s="155">
        <f>_xll.qlCalendarAdvance(Calendar,X950,NDays&amp;"D")</f>
        <v>45659</v>
      </c>
      <c r="Z950" s="156">
        <v>3.1541468915028403E-2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45666</v>
      </c>
      <c r="Y951" s="155">
        <f>_xll.qlCalendarAdvance(Calendar,X951,NDays&amp;"D")</f>
        <v>45666</v>
      </c>
      <c r="Z951" s="156">
        <v>3.1559882046527932E-2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45673</v>
      </c>
      <c r="Y952" s="155">
        <f>_xll.qlCalendarAdvance(Calendar,X952,NDays&amp;"D")</f>
        <v>45673</v>
      </c>
      <c r="Z952" s="156">
        <v>3.1578072908464705E-2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45680</v>
      </c>
      <c r="Y953" s="155">
        <f>_xll.qlCalendarAdvance(Calendar,X953,NDays&amp;"D")</f>
        <v>45680</v>
      </c>
      <c r="Z953" s="156">
        <v>3.1596041500758787E-2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45687</v>
      </c>
      <c r="Y954" s="155">
        <f>_xll.qlCalendarAdvance(Calendar,X954,NDays&amp;"D")</f>
        <v>45687</v>
      </c>
      <c r="Z954" s="156">
        <v>3.1613787823490114E-2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45694</v>
      </c>
      <c r="Y955" s="155">
        <f>_xll.qlCalendarAdvance(Calendar,X955,NDays&amp;"D")</f>
        <v>45694</v>
      </c>
      <c r="Z955" s="156">
        <v>3.1631311876418877E-2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45701</v>
      </c>
      <c r="Y956" s="155">
        <f>_xll.qlCalendarAdvance(Calendar,X956,NDays&amp;"D")</f>
        <v>45701</v>
      </c>
      <c r="Z956" s="156">
        <v>3.1648613659704949E-2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45708</v>
      </c>
      <c r="Y957" s="155">
        <f>_xll.qlCalendarAdvance(Calendar,X957,NDays&amp;"D")</f>
        <v>45708</v>
      </c>
      <c r="Z957" s="156">
        <v>3.1665693173268394E-2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45715</v>
      </c>
      <c r="Y958" s="155">
        <f>_xll.qlCalendarAdvance(Calendar,X958,NDays&amp;"D")</f>
        <v>45715</v>
      </c>
      <c r="Z958" s="156">
        <v>3.1682550417029276E-2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45722</v>
      </c>
      <c r="Y959" s="155">
        <f>_xll.qlCalendarAdvance(Calendar,X959,NDays&amp;"D")</f>
        <v>45722</v>
      </c>
      <c r="Z959" s="156">
        <v>3.169918539106753E-2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45729</v>
      </c>
      <c r="Y960" s="155">
        <f>_xll.qlCalendarAdvance(Calendar,X960,NDays&amp;"D")</f>
        <v>45729</v>
      </c>
      <c r="Z960" s="156">
        <v>3.1715598095063413E-2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45736</v>
      </c>
      <c r="Y961" s="155">
        <f>_xll.qlCalendarAdvance(Calendar,X961,NDays&amp;"D")</f>
        <v>45736</v>
      </c>
      <c r="Z961" s="156">
        <v>3.1731788529336669E-2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45743</v>
      </c>
      <c r="Y962" s="155">
        <f>_xll.qlCalendarAdvance(Calendar,X962,NDays&amp;"D")</f>
        <v>45743</v>
      </c>
      <c r="Z962" s="156">
        <v>3.1747756693647489E-2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45750</v>
      </c>
      <c r="Y963" s="155">
        <f>_xll.qlCalendarAdvance(Calendar,X963,NDays&amp;"D")</f>
        <v>45750</v>
      </c>
      <c r="Z963" s="156">
        <v>3.1763502588075809E-2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45757</v>
      </c>
      <c r="Y964" s="155">
        <f>_xll.qlCalendarAdvance(Calendar,X964,NDays&amp;"D")</f>
        <v>45757</v>
      </c>
      <c r="Z964" s="156">
        <v>3.1779026212461758E-2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45764</v>
      </c>
      <c r="Y965" s="155">
        <f>_xll.qlCalendarAdvance(Calendar,X965,NDays&amp;"D")</f>
        <v>45764</v>
      </c>
      <c r="Z965" s="156">
        <v>3.1794327566965208E-2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45771</v>
      </c>
      <c r="Y966" s="155">
        <f>_xll.qlCalendarAdvance(Calendar,X966,NDays&amp;"D")</f>
        <v>45771</v>
      </c>
      <c r="Z966" s="156">
        <v>3.180940665134635E-2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45778</v>
      </c>
      <c r="Y967" s="155">
        <f>_xll.qlCalendarAdvance(Calendar,X967,NDays&amp;"D")</f>
        <v>45778</v>
      </c>
      <c r="Z967" s="156">
        <v>3.1824263465765057E-2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45785</v>
      </c>
      <c r="Y968" s="155">
        <f>_xll.qlCalendarAdvance(Calendar,X968,NDays&amp;"D")</f>
        <v>45785</v>
      </c>
      <c r="Z968" s="156">
        <v>3.1838898010061456E-2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45792</v>
      </c>
      <c r="Y969" s="155">
        <f>_xll.qlCalendarAdvance(Calendar,X969,NDays&amp;"D")</f>
        <v>45792</v>
      </c>
      <c r="Z969" s="156">
        <v>3.1853310284315484E-2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45799</v>
      </c>
      <c r="Y970" s="155">
        <f>_xll.qlCalendarAdvance(Calendar,X970,NDays&amp;"D")</f>
        <v>45799</v>
      </c>
      <c r="Z970" s="156">
        <v>3.1867500288367268E-2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45806</v>
      </c>
      <c r="Y971" s="155">
        <f>_xll.qlCalendarAdvance(Calendar,X971,NDays&amp;"D")</f>
        <v>45806</v>
      </c>
      <c r="Z971" s="156">
        <v>3.1881468022296744E-2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45813</v>
      </c>
      <c r="Y972" s="155">
        <f>_xll.qlCalendarAdvance(Calendar,X972,NDays&amp;"D")</f>
        <v>45813</v>
      </c>
      <c r="Z972" s="156">
        <v>3.1895213486023977E-2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45820</v>
      </c>
      <c r="Y973" s="155">
        <f>_xll.qlCalendarAdvance(Calendar,X973,NDays&amp;"D")</f>
        <v>45820</v>
      </c>
      <c r="Z973" s="156">
        <v>3.1908736679628902E-2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45827</v>
      </c>
      <c r="Y974" s="155">
        <f>_xll.qlCalendarAdvance(Calendar,X974,NDays&amp;"D")</f>
        <v>45827</v>
      </c>
      <c r="Z974" s="156">
        <v>3.1922037602871711E-2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45834</v>
      </c>
      <c r="Y975" s="155">
        <f>_xll.qlCalendarAdvance(Calendar,X975,NDays&amp;"D")</f>
        <v>45834</v>
      </c>
      <c r="Z975" s="156">
        <v>3.1935116255992213E-2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45841</v>
      </c>
      <c r="Y976" s="155">
        <f>_xll.qlCalendarAdvance(Calendar,X976,NDays&amp;"D")</f>
        <v>45841</v>
      </c>
      <c r="Z976" s="156">
        <v>3.1954949605714766E-2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45848</v>
      </c>
      <c r="Y977" s="155">
        <f>_xll.qlCalendarAdvance(Calendar,X977,NDays&amp;"D")</f>
        <v>45848</v>
      </c>
      <c r="Z977" s="156">
        <v>3.1960606751306742E-2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45855</v>
      </c>
      <c r="Y978" s="155">
        <f>_xll.qlCalendarAdvance(Calendar,X978,NDays&amp;"D")</f>
        <v>45855</v>
      </c>
      <c r="Z978" s="156">
        <v>3.1973018593420832E-2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45862</v>
      </c>
      <c r="Y979" s="155">
        <f>_xll.qlCalendarAdvance(Calendar,X979,NDays&amp;"D")</f>
        <v>45862</v>
      </c>
      <c r="Z979" s="156">
        <v>3.1985208165252743E-2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45869</v>
      </c>
      <c r="Y980" s="155">
        <f>_xll.qlCalendarAdvance(Calendar,X980,NDays&amp;"D")</f>
        <v>45869</v>
      </c>
      <c r="Z980" s="156">
        <v>3.1997175466722538E-2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45876</v>
      </c>
      <c r="Y981" s="155">
        <f>_xll.qlCalendarAdvance(Calendar,X981,NDays&amp;"D")</f>
        <v>45876</v>
      </c>
      <c r="Z981" s="156">
        <v>3.2008920497750282E-2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45883</v>
      </c>
      <c r="Y982" s="155">
        <f>_xll.qlCalendarAdvance(Calendar,X982,NDays&amp;"D")</f>
        <v>45883</v>
      </c>
      <c r="Z982" s="156">
        <v>3.2020443258335973E-2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45890</v>
      </c>
      <c r="Y983" s="155">
        <f>_xll.qlCalendarAdvance(Calendar,X983,NDays&amp;"D")</f>
        <v>45890</v>
      </c>
      <c r="Z983" s="156">
        <v>3.2031743748559549E-2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45897</v>
      </c>
      <c r="Y984" s="155">
        <f>_xll.qlCalendarAdvance(Calendar,X984,NDays&amp;"D")</f>
        <v>45897</v>
      </c>
      <c r="Z984" s="156">
        <v>3.2042821968261137E-2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45904</v>
      </c>
      <c r="Y985" s="155">
        <f>_xll.qlCalendarAdvance(Calendar,X985,NDays&amp;"D")</f>
        <v>45904</v>
      </c>
      <c r="Z985" s="156">
        <v>3.2053677917520673E-2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45911</v>
      </c>
      <c r="Y986" s="155">
        <f>_xll.qlCalendarAdvance(Calendar,X986,NDays&amp;"D")</f>
        <v>45911</v>
      </c>
      <c r="Z986" s="156">
        <v>3.2064311596338158E-2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45918</v>
      </c>
      <c r="Y987" s="155">
        <f>_xll.qlCalendarAdvance(Calendar,X987,NDays&amp;"D")</f>
        <v>45918</v>
      </c>
      <c r="Z987" s="156">
        <v>3.2074723004553718E-2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45925</v>
      </c>
      <c r="Y988" s="155">
        <f>_xll.qlCalendarAdvance(Calendar,X988,NDays&amp;"D")</f>
        <v>45925</v>
      </c>
      <c r="Z988" s="156">
        <v>3.2084912142327227E-2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45932</v>
      </c>
      <c r="Y989" s="155">
        <f>_xll.qlCalendarAdvance(Calendar,X989,NDays&amp;"D")</f>
        <v>45932</v>
      </c>
      <c r="Z989" s="156">
        <v>3.2094879009338939E-2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45939</v>
      </c>
      <c r="Y990" s="155">
        <f>_xll.qlCalendarAdvance(Calendar,X990,NDays&amp;"D")</f>
        <v>45939</v>
      </c>
      <c r="Z990" s="156">
        <v>3.2104623605988536E-2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45946</v>
      </c>
      <c r="Y991" s="155">
        <f>_xll.qlCalendarAdvance(Calendar,X991,NDays&amp;"D")</f>
        <v>45946</v>
      </c>
      <c r="Z991" s="156">
        <v>3.2114145931956273E-2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45953</v>
      </c>
      <c r="Y992" s="155">
        <f>_xll.qlCalendarAdvance(Calendar,X992,NDays&amp;"D")</f>
        <v>45953</v>
      </c>
      <c r="Z992" s="156">
        <v>3.2123445987322086E-2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45960</v>
      </c>
      <c r="Y993" s="155">
        <f>_xll.qlCalendarAdvance(Calendar,X993,NDays&amp;"D")</f>
        <v>45960</v>
      </c>
      <c r="Z993" s="156">
        <v>3.2132523772085975E-2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45967</v>
      </c>
      <c r="Y994" s="155">
        <f>_xll.qlCalendarAdvance(Calendar,X994,NDays&amp;"D")</f>
        <v>45967</v>
      </c>
      <c r="Z994" s="156">
        <v>3.2141379286168004E-2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45974</v>
      </c>
      <c r="Y995" s="155">
        <f>_xll.qlCalendarAdvance(Calendar,X995,NDays&amp;"D")</f>
        <v>45974</v>
      </c>
      <c r="Z995" s="156">
        <v>3.2150012529728045E-2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45981</v>
      </c>
      <c r="Y996" s="155">
        <f>_xll.qlCalendarAdvance(Calendar,X996,NDays&amp;"D")</f>
        <v>45981</v>
      </c>
      <c r="Z996" s="156">
        <v>3.2158423502446354E-2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45989</v>
      </c>
      <c r="Y997" s="155">
        <f>_xll.qlCalendarAdvance(Calendar,X997,NDays&amp;"D")</f>
        <v>45989</v>
      </c>
      <c r="Z997" s="156">
        <v>3.2171784134034098E-2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45996</v>
      </c>
      <c r="Y998" s="155">
        <f>_xll.qlCalendarAdvance(Calendar,X998,NDays&amp;"D")</f>
        <v>45996</v>
      </c>
      <c r="Z998" s="156">
        <v>3.2179688472124823E-2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46003</v>
      </c>
      <c r="Y999" s="155">
        <f>_xll.qlCalendarAdvance(Calendar,X999,NDays&amp;"D")</f>
        <v>46003</v>
      </c>
      <c r="Z999" s="156">
        <v>3.2187370500071921E-2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46010</v>
      </c>
      <c r="Y1000" s="155">
        <f>_xll.qlCalendarAdvance(Calendar,X1000,NDays&amp;"D")</f>
        <v>46010</v>
      </c>
      <c r="Z1000" s="156">
        <v>3.2194830217848747E-2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46017</v>
      </c>
      <c r="Y1001" s="155">
        <f>_xll.qlCalendarAdvance(Calendar,X1001,NDays&amp;"D")</f>
        <v>46017</v>
      </c>
      <c r="Z1001" s="156">
        <v>3.2202067625402009E-2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46024</v>
      </c>
      <c r="Y1002" s="155">
        <f>_xll.qlCalendarAdvance(Calendar,X1002,NDays&amp;"D")</f>
        <v>46024</v>
      </c>
      <c r="Z1002" s="156">
        <v>3.2209082722731708E-2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46031</v>
      </c>
      <c r="Y1003" s="155">
        <f>_xll.qlCalendarAdvance(Calendar,X1003,NDays&amp;"D")</f>
        <v>46031</v>
      </c>
      <c r="Z1003" s="156">
        <v>3.2215875509757907E-2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46038</v>
      </c>
      <c r="Y1004" s="155">
        <f>_xll.qlCalendarAdvance(Calendar,X1004,NDays&amp;"D")</f>
        <v>46038</v>
      </c>
      <c r="Z1004" s="156">
        <v>3.2224347495191097E-2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46045</v>
      </c>
      <c r="Y1005" s="155">
        <f>_xll.qlCalendarAdvance(Calendar,X1005,NDays&amp;"D")</f>
        <v>46045</v>
      </c>
      <c r="Z1005" s="156">
        <v>3.2228794152819873E-2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46052</v>
      </c>
      <c r="Y1006" s="155">
        <f>_xll.qlCalendarAdvance(Calendar,X1006,NDays&amp;"D")</f>
        <v>46052</v>
      </c>
      <c r="Z1006" s="156">
        <v>3.2234920008775703E-2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46059</v>
      </c>
      <c r="Y1007" s="155">
        <f>_xll.qlCalendarAdvance(Calendar,X1007,NDays&amp;"D")</f>
        <v>46059</v>
      </c>
      <c r="Z1007" s="156">
        <v>3.2240823554294806E-2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46066</v>
      </c>
      <c r="Y1008" s="155">
        <f>_xll.qlCalendarAdvance(Calendar,X1008,NDays&amp;"D")</f>
        <v>46066</v>
      </c>
      <c r="Z1008" s="156">
        <v>3.2248344929191042E-2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46073</v>
      </c>
      <c r="Y1009" s="155">
        <f>_xll.qlCalendarAdvance(Calendar,X1009,NDays&amp;"D")</f>
        <v>46073</v>
      </c>
      <c r="Z1009" s="156">
        <v>3.2251963713942899E-2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46080</v>
      </c>
      <c r="Y1010" s="155">
        <f>_xll.qlCalendarAdvance(Calendar,X1010,NDays&amp;"D")</f>
        <v>46080</v>
      </c>
      <c r="Z1010" s="156">
        <v>3.2257200327965307E-2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46087</v>
      </c>
      <c r="Y1011" s="155">
        <f>_xll.qlCalendarAdvance(Calendar,X1011,NDays&amp;"D")</f>
        <v>46087</v>
      </c>
      <c r="Z1011" s="156">
        <v>3.2262214631471053E-2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46094</v>
      </c>
      <c r="Y1012" s="155">
        <f>_xll.qlCalendarAdvance(Calendar,X1012,NDays&amp;"D")</f>
        <v>46094</v>
      </c>
      <c r="Z1012" s="156">
        <v>3.2267006624353556E-2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46101</v>
      </c>
      <c r="Y1013" s="155">
        <f>_xll.qlCalendarAdvance(Calendar,X1013,NDays&amp;"D")</f>
        <v>46101</v>
      </c>
      <c r="Z1013" s="156">
        <v>3.2271576306666105E-2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46108</v>
      </c>
      <c r="Y1014" s="155">
        <f>_xll.qlCalendarAdvance(Calendar,X1014,NDays&amp;"D")</f>
        <v>46108</v>
      </c>
      <c r="Z1014" s="156">
        <v>3.2275923678302121E-2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46115</v>
      </c>
      <c r="Y1015" s="155">
        <f>_xll.qlCalendarAdvance(Calendar,X1015,NDays&amp;"D")</f>
        <v>46115</v>
      </c>
      <c r="Z1015" s="156">
        <v>3.2280048739314893E-2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46122</v>
      </c>
      <c r="Y1016" s="155">
        <f>_xll.qlCalendarAdvance(Calendar,X1016,NDays&amp;"D")</f>
        <v>46122</v>
      </c>
      <c r="Z1016" s="156">
        <v>3.2283951489624485E-2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46129</v>
      </c>
      <c r="Y1017" s="155">
        <f>_xll.qlCalendarAdvance(Calendar,X1017,NDays&amp;"D")</f>
        <v>46129</v>
      </c>
      <c r="Z1017" s="156">
        <v>3.2287631929257543E-2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46136</v>
      </c>
      <c r="Y1018" s="155">
        <f>_xll.qlCalendarAdvance(Calendar,X1018,NDays&amp;"D")</f>
        <v>46136</v>
      </c>
      <c r="Z1018" s="156">
        <v>3.2291090058160776E-2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46143</v>
      </c>
      <c r="Y1019" s="155">
        <f>_xll.qlCalendarAdvance(Calendar,X1019,NDays&amp;"D")</f>
        <v>46143</v>
      </c>
      <c r="Z1019" s="156">
        <v>3.2294325876307539E-2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46150</v>
      </c>
      <c r="Y1020" s="155">
        <f>_xll.qlCalendarAdvance(Calendar,X1020,NDays&amp;"D")</f>
        <v>46150</v>
      </c>
      <c r="Z1020" s="156">
        <v>3.2297339383724477E-2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46157</v>
      </c>
      <c r="Y1021" s="155">
        <f>_xll.qlCalendarAdvance(Calendar,X1021,NDays&amp;"D")</f>
        <v>46157</v>
      </c>
      <c r="Z1021" s="156">
        <v>3.2300130580305009E-2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46164</v>
      </c>
      <c r="Y1022" s="155">
        <f>_xll.qlCalendarAdvance(Calendar,X1022,NDays&amp;"D")</f>
        <v>46164</v>
      </c>
      <c r="Z1022" s="156">
        <v>3.2304322312919354E-2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46171</v>
      </c>
      <c r="Y1023" s="155">
        <f>_xll.qlCalendarAdvance(Calendar,X1023,NDays&amp;"D")</f>
        <v>46171</v>
      </c>
      <c r="Z1023" s="156">
        <v>3.230504604114337E-2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46178</v>
      </c>
      <c r="Y1024" s="155">
        <f>_xll.qlCalendarAdvance(Calendar,X1024,NDays&amp;"D")</f>
        <v>46178</v>
      </c>
      <c r="Z1024" s="156">
        <v>3.230717030534791E-2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46185</v>
      </c>
      <c r="Y1025" s="155">
        <f>_xll.qlCalendarAdvance(Calendar,X1025,NDays&amp;"D")</f>
        <v>46185</v>
      </c>
      <c r="Z1025" s="156">
        <v>3.2309072258716043E-2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46192</v>
      </c>
      <c r="Y1026" s="155">
        <f>_xll.qlCalendarAdvance(Calendar,X1026,NDays&amp;"D")</f>
        <v>46192</v>
      </c>
      <c r="Z1026" s="156">
        <v>3.2310751901221124E-2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46199</v>
      </c>
      <c r="Y1027" s="155">
        <f>_xll.qlCalendarAdvance(Calendar,X1027,NDays&amp;"D")</f>
        <v>46199</v>
      </c>
      <c r="Z1027" s="156">
        <v>3.2312209232916445E-2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46209</v>
      </c>
      <c r="Y1028" s="155">
        <f>_xll.qlCalendarAdvance(Calendar,X1028,NDays&amp;"D")</f>
        <v>46209</v>
      </c>
      <c r="Z1028" s="156">
        <v>3.2310857733284237E-2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46216</v>
      </c>
      <c r="Y1029" s="155">
        <f>_xll.qlCalendarAdvance(Calendar,X1029,NDays&amp;"D")</f>
        <v>46216</v>
      </c>
      <c r="Z1029" s="156">
        <v>3.231180675542511E-2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46223</v>
      </c>
      <c r="Y1030" s="155">
        <f>_xll.qlCalendarAdvance(Calendar,X1030,NDays&amp;"D")</f>
        <v>46223</v>
      </c>
      <c r="Z1030" s="156">
        <v>3.231253350672425E-2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46230</v>
      </c>
      <c r="Y1031" s="155">
        <f>_xll.qlCalendarAdvance(Calendar,X1031,NDays&amp;"D")</f>
        <v>46230</v>
      </c>
      <c r="Z1031" s="156">
        <v>3.2313037986861914E-2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46237</v>
      </c>
      <c r="Y1032" s="155">
        <f>_xll.qlCalendarAdvance(Calendar,X1032,NDays&amp;"D")</f>
        <v>46237</v>
      </c>
      <c r="Z1032" s="156">
        <v>3.2313320196157846E-2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46244</v>
      </c>
      <c r="Y1033" s="155">
        <f>_xll.qlCalendarAdvance(Calendar,X1033,NDays&amp;"D")</f>
        <v>46244</v>
      </c>
      <c r="Z1033" s="156">
        <v>3.2313380134452174E-2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46251</v>
      </c>
      <c r="Y1034" s="155">
        <f>_xll.qlCalendarAdvance(Calendar,X1034,NDays&amp;"D")</f>
        <v>46251</v>
      </c>
      <c r="Z1034" s="156">
        <v>3.2313217801744898E-2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46258</v>
      </c>
      <c r="Y1035" s="155">
        <f>_xll.qlCalendarAdvance(Calendar,X1035,NDays&amp;"D")</f>
        <v>46258</v>
      </c>
      <c r="Z1035" s="156">
        <v>3.2312833198115953E-2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46265</v>
      </c>
      <c r="Y1036" s="155">
        <f>_xll.qlCalendarAdvance(Calendar,X1036,NDays&amp;"D")</f>
        <v>46265</v>
      </c>
      <c r="Z1036" s="156">
        <v>3.2312226323405469E-2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46273</v>
      </c>
      <c r="Y1037" s="155">
        <f>_xll.qlCalendarAdvance(Calendar,X1037,NDays&amp;"D")</f>
        <v>46273</v>
      </c>
      <c r="Z1037" s="156">
        <v>3.2311260583837154E-2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46280</v>
      </c>
      <c r="Y1038" s="155">
        <f>_xll.qlCalendarAdvance(Calendar,X1038,NDays&amp;"D")</f>
        <v>46280</v>
      </c>
      <c r="Z1038" s="156">
        <v>3.2310177414203167E-2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46287</v>
      </c>
      <c r="Y1039" s="155">
        <f>_xll.qlCalendarAdvance(Calendar,X1039,NDays&amp;"D")</f>
        <v>46287</v>
      </c>
      <c r="Z1039" s="156">
        <v>3.2308871973647513E-2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46294</v>
      </c>
      <c r="Y1040" s="155">
        <f>_xll.qlCalendarAdvance(Calendar,X1040,NDays&amp;"D")</f>
        <v>46294</v>
      </c>
      <c r="Z1040" s="156">
        <v>3.2307344262090254E-2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46301</v>
      </c>
      <c r="Y1041" s="155">
        <f>_xll.qlCalendarAdvance(Calendar,X1041,NDays&amp;"D")</f>
        <v>46301</v>
      </c>
      <c r="Z1041" s="156">
        <v>3.2305594279611327E-2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46308</v>
      </c>
      <c r="Y1042" s="155">
        <f>_xll.qlCalendarAdvance(Calendar,X1042,NDays&amp;"D")</f>
        <v>46308</v>
      </c>
      <c r="Z1042" s="156">
        <v>3.2303622026130796E-2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46315</v>
      </c>
      <c r="Y1043" s="155">
        <f>_xll.qlCalendarAdvance(Calendar,X1043,NDays&amp;"D")</f>
        <v>46315</v>
      </c>
      <c r="Z1043" s="156">
        <v>3.2301427501648661E-2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46322</v>
      </c>
      <c r="Y1044" s="155">
        <f>_xll.qlCalendarAdvance(Calendar,X1044,NDays&amp;"D")</f>
        <v>46322</v>
      </c>
      <c r="Z1044" s="156">
        <v>3.2299010706324793E-2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46329</v>
      </c>
      <c r="Y1045" s="155">
        <f>_xll.qlCalendarAdvance(Calendar,X1045,NDays&amp;"D")</f>
        <v>46329</v>
      </c>
      <c r="Z1045" s="156">
        <v>3.2296371639919386E-2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46336</v>
      </c>
      <c r="Y1046" s="155">
        <f>_xll.qlCalendarAdvance(Calendar,X1046,NDays&amp;"D")</f>
        <v>46336</v>
      </c>
      <c r="Z1046" s="156">
        <v>3.2294876258140981E-2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46343</v>
      </c>
      <c r="Y1047" s="155">
        <f>_xll.qlCalendarAdvance(Calendar,X1047,NDays&amp;"D")</f>
        <v>46343</v>
      </c>
      <c r="Z1047" s="156">
        <v>3.2290910807013518E-2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46350</v>
      </c>
      <c r="Y1048" s="155">
        <f>_xll.qlCalendarAdvance(Calendar,X1048,NDays&amp;"D")</f>
        <v>46350</v>
      </c>
      <c r="Z1048" s="156">
        <v>3.228823684084503E-2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46357</v>
      </c>
      <c r="Y1049" s="155">
        <f>_xll.qlCalendarAdvance(Calendar,X1049,NDays&amp;"D")</f>
        <v>46357</v>
      </c>
      <c r="Z1049" s="156">
        <v>3.2285600803136916E-2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46364</v>
      </c>
      <c r="Y1050" s="155">
        <f>_xll.qlCalendarAdvance(Calendar,X1050,NDays&amp;"D")</f>
        <v>46364</v>
      </c>
      <c r="Z1050" s="156">
        <v>3.2283002694049046E-2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46371</v>
      </c>
      <c r="Y1051" s="155">
        <f>_xll.qlCalendarAdvance(Calendar,X1051,NDays&amp;"D")</f>
        <v>46371</v>
      </c>
      <c r="Z1051" s="156">
        <v>3.2280442513341612E-2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46378</v>
      </c>
      <c r="Y1052" s="155">
        <f>_xll.qlCalendarAdvance(Calendar,X1052,NDays&amp;"D")</f>
        <v>46378</v>
      </c>
      <c r="Z1052" s="156">
        <v>3.2277920261334359E-2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46385</v>
      </c>
      <c r="Y1053" s="155">
        <f>_xll.qlCalendarAdvance(Calendar,X1053,NDays&amp;"D")</f>
        <v>46385</v>
      </c>
      <c r="Z1053" s="156">
        <v>3.2275435937707542E-2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46392</v>
      </c>
      <c r="Y1054" s="155">
        <f>_xll.qlCalendarAdvance(Calendar,X1054,NDays&amp;"D")</f>
        <v>46392</v>
      </c>
      <c r="Z1054" s="156">
        <v>3.2272989542621033E-2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46399</v>
      </c>
      <c r="Y1055" s="155">
        <f>_xll.qlCalendarAdvance(Calendar,X1055,NDays&amp;"D")</f>
        <v>46399</v>
      </c>
      <c r="Z1055" s="156">
        <v>3.2270581076074834E-2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46406</v>
      </c>
      <c r="Y1056" s="155">
        <f>_xll.qlCalendarAdvance(Calendar,X1056,NDays&amp;"D")</f>
        <v>46406</v>
      </c>
      <c r="Z1056" s="156">
        <v>3.2268210538068942E-2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46413</v>
      </c>
      <c r="Y1057" s="155">
        <f>_xll.qlCalendarAdvance(Calendar,X1057,NDays&amp;"D")</f>
        <v>46413</v>
      </c>
      <c r="Z1057" s="156">
        <v>3.2265877928523423E-2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46420</v>
      </c>
      <c r="Y1058" s="155">
        <f>_xll.qlCalendarAdvance(Calendar,X1058,NDays&amp;"D")</f>
        <v>46420</v>
      </c>
      <c r="Z1058" s="156">
        <v>3.2263583247598149E-2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46427</v>
      </c>
      <c r="Y1059" s="155">
        <f>_xll.qlCalendarAdvance(Calendar,X1059,NDays&amp;"D")</f>
        <v>46427</v>
      </c>
      <c r="Z1059" s="156">
        <v>3.2261326495133247E-2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46434</v>
      </c>
      <c r="Y1060" s="155">
        <f>_xll.qlCalendarAdvance(Calendar,X1060,NDays&amp;"D")</f>
        <v>46434</v>
      </c>
      <c r="Z1060" s="156">
        <v>3.2259107671208653E-2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46441</v>
      </c>
      <c r="Y1061" s="155">
        <f>_xll.qlCalendarAdvance(Calendar,X1061,NDays&amp;"D")</f>
        <v>46441</v>
      </c>
      <c r="Z1061" s="156">
        <v>3.2256926775744432E-2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46448</v>
      </c>
      <c r="Y1062" s="155">
        <f>_xll.qlCalendarAdvance(Calendar,X1062,NDays&amp;"D")</f>
        <v>46448</v>
      </c>
      <c r="Z1062" s="156">
        <v>3.225478380882052E-2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46455</v>
      </c>
      <c r="Y1063" s="155">
        <f>_xll.qlCalendarAdvance(Calendar,X1063,NDays&amp;"D")</f>
        <v>46455</v>
      </c>
      <c r="Z1063" s="156">
        <v>3.2252678770356979E-2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46462</v>
      </c>
      <c r="Y1064" s="155">
        <f>_xll.qlCalendarAdvance(Calendar,X1064,NDays&amp;"D")</f>
        <v>46462</v>
      </c>
      <c r="Z1064" s="156">
        <v>3.2250611660513684E-2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46469</v>
      </c>
      <c r="Y1065" s="155">
        <f>_xll.qlCalendarAdvance(Calendar,X1065,NDays&amp;"D")</f>
        <v>46469</v>
      </c>
      <c r="Z1065" s="156">
        <v>3.2248582479050825E-2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46476</v>
      </c>
      <c r="Y1066" s="155">
        <f>_xll.qlCalendarAdvance(Calendar,X1066,NDays&amp;"D")</f>
        <v>46476</v>
      </c>
      <c r="Z1066" s="156">
        <v>3.224659122620821E-2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46483</v>
      </c>
      <c r="Y1067" s="155">
        <f>_xll.qlCalendarAdvance(Calendar,X1067,NDays&amp;"D")</f>
        <v>46483</v>
      </c>
      <c r="Z1067" s="156">
        <v>3.2244637901825968E-2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46490</v>
      </c>
      <c r="Y1068" s="155">
        <f>_xll.qlCalendarAdvance(Calendar,X1068,NDays&amp;"D")</f>
        <v>46490</v>
      </c>
      <c r="Z1068" s="156">
        <v>3.2242722505984034E-2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46497</v>
      </c>
      <c r="Y1069" s="155">
        <f>_xll.qlCalendarAdvance(Calendar,X1069,NDays&amp;"D")</f>
        <v>46497</v>
      </c>
      <c r="Z1069" s="156">
        <v>3.2240845038682409E-2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46504</v>
      </c>
      <c r="Y1070" s="155">
        <f>_xll.qlCalendarAdvance(Calendar,X1070,NDays&amp;"D")</f>
        <v>46504</v>
      </c>
      <c r="Z1070" s="156">
        <v>3.2239005499841156E-2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46511</v>
      </c>
      <c r="Y1071" s="155">
        <f>_xll.qlCalendarAdvance(Calendar,X1071,NDays&amp;"D")</f>
        <v>46511</v>
      </c>
      <c r="Z1071" s="156">
        <v>3.2237203889540211E-2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46518</v>
      </c>
      <c r="Y1072" s="155">
        <f>_xll.qlCalendarAdvance(Calendar,X1072,NDays&amp;"D")</f>
        <v>46518</v>
      </c>
      <c r="Z1072" s="156">
        <v>3.2235440207619703E-2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46525</v>
      </c>
      <c r="Y1073" s="155">
        <f>_xll.qlCalendarAdvance(Calendar,X1073,NDays&amp;"D")</f>
        <v>46525</v>
      </c>
      <c r="Z1073" s="156">
        <v>3.223371445431944E-2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46532</v>
      </c>
      <c r="Y1074" s="155">
        <f>_xll.qlCalendarAdvance(Calendar,X1074,NDays&amp;"D")</f>
        <v>46532</v>
      </c>
      <c r="Z1074" s="156">
        <v>3.2232026629559485E-2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46539</v>
      </c>
      <c r="Y1075" s="155">
        <f>_xll.qlCalendarAdvance(Calendar,X1075,NDays&amp;"D")</f>
        <v>46539</v>
      </c>
      <c r="Z1075" s="156">
        <v>3.2230376733259902E-2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46546</v>
      </c>
      <c r="Y1076" s="155">
        <f>_xll.qlCalendarAdvance(Calendar,X1076,NDays&amp;"D")</f>
        <v>46546</v>
      </c>
      <c r="Z1076" s="156">
        <v>3.2228764765420692E-2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46553</v>
      </c>
      <c r="Y1077" s="155">
        <f>_xll.qlCalendarAdvance(Calendar,X1077,NDays&amp;"D")</f>
        <v>46553</v>
      </c>
      <c r="Z1077" s="156">
        <v>3.222719072612179E-2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46560</v>
      </c>
      <c r="Y1078" s="155">
        <f>_xll.qlCalendarAdvance(Calendar,X1078,NDays&amp;"D")</f>
        <v>46560</v>
      </c>
      <c r="Z1078" s="156">
        <v>3.2225654615443133E-2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46567</v>
      </c>
      <c r="Y1079" s="155">
        <f>_xll.qlCalendarAdvance(Calendar,X1079,NDays&amp;"D")</f>
        <v>46567</v>
      </c>
      <c r="Z1079" s="156">
        <v>3.2224156433144913E-2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46574</v>
      </c>
      <c r="Y1080" s="155">
        <f>_xll.qlCalendarAdvance(Calendar,X1080,NDays&amp;"D")</f>
        <v>46574</v>
      </c>
      <c r="Z1080" s="156">
        <v>3.2222696179307064E-2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46581</v>
      </c>
      <c r="Y1081" s="155">
        <f>_xll.qlCalendarAdvance(Calendar,X1081,NDays&amp;"D")</f>
        <v>46581</v>
      </c>
      <c r="Z1081" s="156">
        <v>3.2221273854009524E-2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46588</v>
      </c>
      <c r="Y1082" s="155">
        <f>_xll.qlCalendarAdvance(Calendar,X1082,NDays&amp;"D")</f>
        <v>46588</v>
      </c>
      <c r="Z1082" s="156">
        <v>3.2219889457252293E-2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46595</v>
      </c>
      <c r="Y1083" s="155">
        <f>_xll.qlCalendarAdvance(Calendar,X1083,NDays&amp;"D")</f>
        <v>46595</v>
      </c>
      <c r="Z1083" s="156">
        <v>3.2218542988955434E-2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46602</v>
      </c>
      <c r="Y1084" s="155">
        <f>_xll.qlCalendarAdvance(Calendar,X1084,NDays&amp;"D")</f>
        <v>46602</v>
      </c>
      <c r="Z1084" s="156">
        <v>3.2217234449198884E-2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46609</v>
      </c>
      <c r="Y1085" s="155">
        <f>_xll.qlCalendarAdvance(Calendar,X1085,NDays&amp;"D")</f>
        <v>46609</v>
      </c>
      <c r="Z1085" s="156">
        <v>3.2215963837982642E-2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46616</v>
      </c>
      <c r="Y1086" s="155">
        <f>_xll.qlCalendarAdvance(Calendar,X1086,NDays&amp;"D")</f>
        <v>46616</v>
      </c>
      <c r="Z1086" s="156">
        <v>3.2214731155146836E-2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46623</v>
      </c>
      <c r="Y1087" s="155">
        <f>_xll.qlCalendarAdvance(Calendar,X1087,NDays&amp;"D")</f>
        <v>46623</v>
      </c>
      <c r="Z1087" s="156">
        <v>3.2213536400931275E-2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46630</v>
      </c>
      <c r="Y1088" s="155">
        <f>_xll.qlCalendarAdvance(Calendar,X1088,NDays&amp;"D")</f>
        <v>46630</v>
      </c>
      <c r="Z1088" s="156">
        <v>3.2212379575176087E-2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46637</v>
      </c>
      <c r="Y1089" s="155">
        <f>_xll.qlCalendarAdvance(Calendar,X1089,NDays&amp;"D")</f>
        <v>46637</v>
      </c>
      <c r="Z1089" s="156">
        <v>3.221126067788127E-2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46644</v>
      </c>
      <c r="Y1090" s="155">
        <f>_xll.qlCalendarAdvance(Calendar,X1090,NDays&amp;"D")</f>
        <v>46644</v>
      </c>
      <c r="Z1090" s="156">
        <v>3.2210179709126763E-2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46651</v>
      </c>
      <c r="Y1091" s="155">
        <f>_xll.qlCalendarAdvance(Calendar,X1091,NDays&amp;"D")</f>
        <v>46651</v>
      </c>
      <c r="Z1091" s="156">
        <v>3.2209136668832627E-2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46658</v>
      </c>
      <c r="Y1092" s="155">
        <f>_xll.qlCalendarAdvance(Calendar,X1092,NDays&amp;"D")</f>
        <v>46658</v>
      </c>
      <c r="Z1092" s="156">
        <v>3.2208131557078801E-2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46665</v>
      </c>
      <c r="Y1093" s="155">
        <f>_xll.qlCalendarAdvance(Calendar,X1093,NDays&amp;"D")</f>
        <v>46665</v>
      </c>
      <c r="Z1093" s="156">
        <v>3.2207164373865282E-2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46672</v>
      </c>
      <c r="Y1094" s="155">
        <f>_xll.qlCalendarAdvance(Calendar,X1094,NDays&amp;"D")</f>
        <v>46672</v>
      </c>
      <c r="Z1094" s="156">
        <v>3.22062351190322E-2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46679</v>
      </c>
      <c r="Y1095" s="155">
        <f>_xll.qlCalendarAdvance(Calendar,X1095,NDays&amp;"D")</f>
        <v>46679</v>
      </c>
      <c r="Z1095" s="156">
        <v>3.2205343792819363E-2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46686</v>
      </c>
      <c r="Y1096" s="155">
        <f>_xll.qlCalendarAdvance(Calendar,X1096,NDays&amp;"D")</f>
        <v>46686</v>
      </c>
      <c r="Z1096" s="156">
        <v>3.2204490394986962E-2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46693</v>
      </c>
      <c r="Y1097" s="155">
        <f>_xll.qlCalendarAdvance(Calendar,X1097,NDays&amp;"D")</f>
        <v>46693</v>
      </c>
      <c r="Z1097" s="156">
        <v>3.2203674925774806E-2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46700</v>
      </c>
      <c r="Y1098" s="155">
        <f>_xll.qlCalendarAdvance(Calendar,X1098,NDays&amp;"D")</f>
        <v>46700</v>
      </c>
      <c r="Z1098" s="156">
        <v>3.2202897384943086E-2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46707</v>
      </c>
      <c r="Y1099" s="155">
        <f>_xll.qlCalendarAdvance(Calendar,X1099,NDays&amp;"D")</f>
        <v>46707</v>
      </c>
      <c r="Z1099" s="156">
        <v>3.2202157772651674E-2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46714</v>
      </c>
      <c r="Y1100" s="155">
        <f>_xll.qlCalendarAdvance(Calendar,X1100,NDays&amp;"D")</f>
        <v>46714</v>
      </c>
      <c r="Z1100" s="156">
        <v>3.2201456088900571E-2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46721</v>
      </c>
      <c r="Y1101" s="155">
        <f>_xll.qlCalendarAdvance(Calendar,X1101,NDays&amp;"D")</f>
        <v>46721</v>
      </c>
      <c r="Z1101" s="156">
        <v>3.220079233360984E-2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46728</v>
      </c>
      <c r="Y1102" s="155">
        <f>_xll.qlCalendarAdvance(Calendar,X1102,NDays&amp;"D")</f>
        <v>46728</v>
      </c>
      <c r="Z1102" s="156">
        <v>3.2200166506779482E-2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46735</v>
      </c>
      <c r="Y1103" s="155">
        <f>_xll.qlCalendarAdvance(Calendar,X1103,NDays&amp;"D")</f>
        <v>46735</v>
      </c>
      <c r="Z1103" s="156">
        <v>3.2199578608489432E-2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46742</v>
      </c>
      <c r="Y1104" s="155">
        <f>_xll.qlCalendarAdvance(Calendar,X1104,NDays&amp;"D")</f>
        <v>46742</v>
      </c>
      <c r="Z1104" s="156">
        <v>3.2199028638739691E-2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46749</v>
      </c>
      <c r="Y1105" s="155">
        <f>_xll.qlCalendarAdvance(Calendar,X1105,NDays&amp;"D")</f>
        <v>46749</v>
      </c>
      <c r="Z1105" s="156">
        <v>3.2198516597450322E-2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46756</v>
      </c>
      <c r="Y1106" s="155">
        <f>_xll.qlCalendarAdvance(Calendar,X1106,NDays&amp;"D")</f>
        <v>46756</v>
      </c>
      <c r="Z1106" s="156">
        <v>3.2198042484621325E-2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46763</v>
      </c>
      <c r="Y1107" s="155">
        <f>_xll.qlCalendarAdvance(Calendar,X1107,NDays&amp;"D")</f>
        <v>46763</v>
      </c>
      <c r="Z1107" s="156">
        <v>3.2197606300252701E-2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46770</v>
      </c>
      <c r="Y1108" s="155">
        <f>_xll.qlCalendarAdvance(Calendar,X1108,NDays&amp;"D")</f>
        <v>46770</v>
      </c>
      <c r="Z1108" s="156">
        <v>3.2197208044424386E-2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46777</v>
      </c>
      <c r="Y1109" s="155">
        <f>_xll.qlCalendarAdvance(Calendar,X1109,NDays&amp;"D")</f>
        <v>46777</v>
      </c>
      <c r="Z1109" s="156">
        <v>3.2196847717136379E-2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46784</v>
      </c>
      <c r="Y1110" s="155">
        <f>_xll.qlCalendarAdvance(Calendar,X1110,NDays&amp;"D")</f>
        <v>46784</v>
      </c>
      <c r="Z1110" s="156">
        <v>3.2196525318308744E-2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46791</v>
      </c>
      <c r="Y1111" s="155">
        <f>_xll.qlCalendarAdvance(Calendar,X1111,NDays&amp;"D")</f>
        <v>46791</v>
      </c>
      <c r="Z1111" s="156">
        <v>3.2196240847941482E-2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46798</v>
      </c>
      <c r="Y1112" s="155">
        <f>_xll.qlCalendarAdvance(Calendar,X1112,NDays&amp;"D")</f>
        <v>46798</v>
      </c>
      <c r="Z1112" s="156">
        <v>3.2195994306114528E-2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46805</v>
      </c>
      <c r="Y1113" s="155">
        <f>_xll.qlCalendarAdvance(Calendar,X1113,NDays&amp;"D")</f>
        <v>46805</v>
      </c>
      <c r="Z1113" s="156">
        <v>3.2195785692747947E-2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46812</v>
      </c>
      <c r="Y1114" s="155">
        <f>_xll.qlCalendarAdvance(Calendar,X1114,NDays&amp;"D")</f>
        <v>46812</v>
      </c>
      <c r="Z1114" s="156">
        <v>3.2195615007921674E-2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46819</v>
      </c>
      <c r="Y1115" s="155">
        <f>_xll.qlCalendarAdvance(Calendar,X1115,NDays&amp;"D")</f>
        <v>46819</v>
      </c>
      <c r="Z1115" s="156">
        <v>3.2195482251555774E-2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46826</v>
      </c>
      <c r="Y1116" s="155">
        <f>_xll.qlCalendarAdvance(Calendar,X1116,NDays&amp;"D")</f>
        <v>46826</v>
      </c>
      <c r="Z1116" s="156">
        <v>3.2195387423730182E-2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46833</v>
      </c>
      <c r="Y1117" s="155">
        <f>_xll.qlCalendarAdvance(Calendar,X1117,NDays&amp;"D")</f>
        <v>46833</v>
      </c>
      <c r="Z1117" s="156">
        <v>3.2195330524364962E-2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46840</v>
      </c>
      <c r="Y1118" s="155">
        <f>_xll.qlCalendarAdvance(Calendar,X1118,NDays&amp;"D")</f>
        <v>46840</v>
      </c>
      <c r="Z1118" s="156">
        <v>3.2195311553460115E-2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46847</v>
      </c>
      <c r="Y1119" s="155">
        <f>_xll.qlCalendarAdvance(Calendar,X1119,NDays&amp;"D")</f>
        <v>46847</v>
      </c>
      <c r="Z1119" s="156">
        <v>3.2195330511095577E-2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46854</v>
      </c>
      <c r="Y1120" s="155">
        <f>_xll.qlCalendarAdvance(Calendar,X1120,NDays&amp;"D")</f>
        <v>46854</v>
      </c>
      <c r="Z1120" s="156">
        <v>3.2195387397191411E-2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46861</v>
      </c>
      <c r="Y1121" s="155">
        <f>_xll.qlCalendarAdvance(Calendar,X1121,NDays&amp;"D")</f>
        <v>46861</v>
      </c>
      <c r="Z1121" s="156">
        <v>3.2195482211827553E-2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46868</v>
      </c>
      <c r="Y1122" s="155">
        <f>_xll.qlCalendarAdvance(Calendar,X1122,NDays&amp;"D")</f>
        <v>46868</v>
      </c>
      <c r="Z1122" s="156">
        <v>3.2195614954924068E-2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46875</v>
      </c>
      <c r="Y1123" s="155">
        <f>_xll.qlCalendarAdvance(Calendar,X1123,NDays&amp;"D")</f>
        <v>46875</v>
      </c>
      <c r="Z1123" s="156">
        <v>3.2195785626560891E-2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46882</v>
      </c>
      <c r="Y1124" s="155">
        <f>_xll.qlCalendarAdvance(Calendar,X1124,NDays&amp;"D")</f>
        <v>46882</v>
      </c>
      <c r="Z1124" s="156">
        <v>3.2195994226578151E-2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46889</v>
      </c>
      <c r="Y1125" s="155">
        <f>_xll.qlCalendarAdvance(Calendar,X1125,NDays&amp;"D")</f>
        <v>46889</v>
      </c>
      <c r="Z1125" s="156">
        <v>3.2196240755215655E-2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46896</v>
      </c>
      <c r="Y1126" s="155">
        <f>_xll.qlCalendarAdvance(Calendar,X1126,NDays&amp;"D")</f>
        <v>46896</v>
      </c>
      <c r="Z1126" s="156">
        <v>3.2196525212313531E-2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46903</v>
      </c>
      <c r="Y1127" s="155">
        <f>_xll.qlCalendarAdvance(Calendar,X1127,NDays&amp;"D")</f>
        <v>46903</v>
      </c>
      <c r="Z1127" s="156">
        <v>3.2196847597951717E-2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46910</v>
      </c>
      <c r="Y1128" s="155">
        <f>_xll.qlCalendarAdvance(Calendar,X1128,NDays&amp;"D")</f>
        <v>46910</v>
      </c>
      <c r="Z1128" s="156">
        <v>3.2197207911890402E-2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46917</v>
      </c>
      <c r="Y1129" s="155">
        <f>_xll.qlCalendarAdvance(Calendar,X1129,NDays&amp;"D")</f>
        <v>46917</v>
      </c>
      <c r="Z1129" s="156">
        <v>3.2197606154529268E-2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46924</v>
      </c>
      <c r="Y1130" s="155">
        <f>_xll.qlCalendarAdvance(Calendar,X1130,NDays&amp;"D")</f>
        <v>46924</v>
      </c>
      <c r="Z1130" s="156">
        <v>3.2198042325628506E-2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46931</v>
      </c>
      <c r="Y1131" s="155">
        <f>_xll.qlCalendarAdvance(Calendar,X1131,NDays&amp;"D")</f>
        <v>46931</v>
      </c>
      <c r="Z1131" s="156">
        <v>3.2198516425188117E-2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46939</v>
      </c>
      <c r="Y1132" s="155">
        <f>_xll.qlCalendarAdvance(Calendar,X1132,NDays&amp;"D")</f>
        <v>46939</v>
      </c>
      <c r="Z1132" s="156">
        <v>3.2199104696299941E-2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46946</v>
      </c>
      <c r="Y1133" s="155">
        <f>_xll.qlCalendarAdvance(Calendar,X1133,NDays&amp;"D")</f>
        <v>46946</v>
      </c>
      <c r="Z1133" s="156">
        <v>3.2199660071245972E-2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46953</v>
      </c>
      <c r="Y1134" s="155">
        <f>_xll.qlCalendarAdvance(Calendar,X1134,NDays&amp;"D")</f>
        <v>46953</v>
      </c>
      <c r="Z1134" s="156">
        <v>3.2200253374572441E-2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46960</v>
      </c>
      <c r="Y1135" s="155">
        <f>_xll.qlCalendarAdvance(Calendar,X1135,NDays&amp;"D")</f>
        <v>46960</v>
      </c>
      <c r="Z1135" s="156">
        <v>3.2200884606519153E-2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46967</v>
      </c>
      <c r="Y1136" s="155">
        <f>_xll.qlCalendarAdvance(Calendar,X1136,NDays&amp;"D")</f>
        <v>46967</v>
      </c>
      <c r="Z1136" s="156">
        <v>3.2201553766846303E-2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46974</v>
      </c>
      <c r="Y1137" s="155">
        <f>_xll.qlCalendarAdvance(Calendar,X1137,NDays&amp;"D")</f>
        <v>46974</v>
      </c>
      <c r="Z1137" s="156">
        <v>3.2202260855793696E-2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46981</v>
      </c>
      <c r="Y1138" s="155">
        <f>_xll.qlCalendarAdvance(Calendar,X1138,NDays&amp;"D")</f>
        <v>46981</v>
      </c>
      <c r="Z1138" s="156">
        <v>3.2203005873121526E-2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46988</v>
      </c>
      <c r="Y1139" s="155">
        <f>_xll.qlCalendarAdvance(Calendar,X1139,NDays&amp;"D")</f>
        <v>46988</v>
      </c>
      <c r="Z1139" s="156">
        <v>3.2203788818989665E-2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46995</v>
      </c>
      <c r="Y1140" s="155">
        <f>_xll.qlCalendarAdvance(Calendar,X1140,NDays&amp;"D")</f>
        <v>46995</v>
      </c>
      <c r="Z1140" s="156">
        <v>3.2204609693398112E-2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47002</v>
      </c>
      <c r="Y1141" s="155">
        <f>_xll.qlCalendarAdvance(Calendar,X1141,NDays&amp;"D")</f>
        <v>47002</v>
      </c>
      <c r="Z1141" s="156">
        <v>3.2205468496346867E-2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47009</v>
      </c>
      <c r="Y1142" s="155">
        <f>_xll.qlCalendarAdvance(Calendar,X1142,NDays&amp;"D")</f>
        <v>47009</v>
      </c>
      <c r="Z1142" s="156">
        <v>3.2206365227676059E-2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47016</v>
      </c>
      <c r="Y1143" s="155">
        <f>_xll.qlCalendarAdvance(Calendar,X1143,NDays&amp;"D")</f>
        <v>47016</v>
      </c>
      <c r="Z1143" s="156">
        <v>3.2207299887625496E-2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47023</v>
      </c>
      <c r="Y1144" s="155">
        <f>_xll.qlCalendarAdvance(Calendar,X1144,NDays&amp;"D")</f>
        <v>47023</v>
      </c>
      <c r="Z1144" s="156">
        <v>3.2208272475955368E-2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47030</v>
      </c>
      <c r="Y1145" s="155">
        <f>_xll.qlCalendarAdvance(Calendar,X1145,NDays&amp;"D")</f>
        <v>47030</v>
      </c>
      <c r="Z1145" s="156">
        <v>3.220928299282555E-2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47037</v>
      </c>
      <c r="Y1146" s="155">
        <f>_xll.qlCalendarAdvance(Calendar,X1146,NDays&amp;"D")</f>
        <v>47037</v>
      </c>
      <c r="Z1146" s="156">
        <v>3.2210331438156103E-2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47044</v>
      </c>
      <c r="Y1147" s="155">
        <f>_xll.qlCalendarAdvance(Calendar,X1147,NDays&amp;"D")</f>
        <v>47044</v>
      </c>
      <c r="Z1147" s="156">
        <v>3.2211417812106902E-2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47051</v>
      </c>
      <c r="Y1148" s="155">
        <f>_xll.qlCalendarAdvance(Calendar,X1148,NDays&amp;"D")</f>
        <v>47051</v>
      </c>
      <c r="Z1148" s="156">
        <v>3.2212542114518072E-2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47058</v>
      </c>
      <c r="Y1149" s="155">
        <f>_xll.qlCalendarAdvance(Calendar,X1149,NDays&amp;"D")</f>
        <v>47058</v>
      </c>
      <c r="Z1149" s="156">
        <v>3.2213704345389615E-2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47065</v>
      </c>
      <c r="Y1150" s="155">
        <f>_xll.qlCalendarAdvance(Calendar,X1150,NDays&amp;"D")</f>
        <v>47065</v>
      </c>
      <c r="Z1150" s="156">
        <v>3.2214904504721531E-2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47072</v>
      </c>
      <c r="Y1151" s="155">
        <f>_xll.qlCalendarAdvance(Calendar,X1151,NDays&amp;"D")</f>
        <v>47072</v>
      </c>
      <c r="Z1151" s="156">
        <v>3.2216142592593755E-2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47079</v>
      </c>
      <c r="Y1152" s="155">
        <f>_xll.qlCalendarAdvance(Calendar,X1152,NDays&amp;"D")</f>
        <v>47079</v>
      </c>
      <c r="Z1152" s="156">
        <v>3.2218952923361854E-2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47086</v>
      </c>
      <c r="Y1153" s="155">
        <f>_xll.qlCalendarAdvance(Calendar,X1153,NDays&amp;"D")</f>
        <v>47086</v>
      </c>
      <c r="Z1153" s="156">
        <v>3.221873255371932E-2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47093</v>
      </c>
      <c r="Y1154" s="155">
        <f>_xll.qlCalendarAdvance(Calendar,X1154,NDays&amp;"D")</f>
        <v>47093</v>
      </c>
      <c r="Z1154" s="156">
        <v>3.222008442721247E-2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47100</v>
      </c>
      <c r="Y1155" s="155">
        <f>_xll.qlCalendarAdvance(Calendar,X1155,NDays&amp;"D")</f>
        <v>47100</v>
      </c>
      <c r="Z1155" s="156">
        <v>3.2221474229086056E-2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47107</v>
      </c>
      <c r="Y1156" s="155">
        <f>_xll.qlCalendarAdvance(Calendar,X1156,NDays&amp;"D")</f>
        <v>47107</v>
      </c>
      <c r="Z1156" s="156">
        <v>3.222290195949995E-2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47114</v>
      </c>
      <c r="Y1157" s="155">
        <f>_xll.qlCalendarAdvance(Calendar,X1157,NDays&amp;"D")</f>
        <v>47114</v>
      </c>
      <c r="Z1157" s="156">
        <v>3.2224367618374217E-2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47121</v>
      </c>
      <c r="Y1158" s="155">
        <f>_xll.qlCalendarAdvance(Calendar,X1158,NDays&amp;"D")</f>
        <v>47121</v>
      </c>
      <c r="Z1158" s="156">
        <v>3.2225871205788792E-2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47128</v>
      </c>
      <c r="Y1159" s="155">
        <f>_xll.qlCalendarAdvance(Calendar,X1159,NDays&amp;"D")</f>
        <v>47128</v>
      </c>
      <c r="Z1159" s="156">
        <v>3.222741272166374E-2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47135</v>
      </c>
      <c r="Y1160" s="155">
        <f>_xll.qlCalendarAdvance(Calendar,X1160,NDays&amp;"D")</f>
        <v>47135</v>
      </c>
      <c r="Z1160" s="156">
        <v>3.222899216599906E-2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47142</v>
      </c>
      <c r="Y1161" s="155">
        <f>_xll.qlCalendarAdvance(Calendar,X1161,NDays&amp;"D")</f>
        <v>47142</v>
      </c>
      <c r="Z1161" s="156">
        <v>3.2230609538954624E-2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47149</v>
      </c>
      <c r="Y1162" s="155">
        <f>_xll.qlCalendarAdvance(Calendar,X1162,NDays&amp;"D")</f>
        <v>47149</v>
      </c>
      <c r="Z1162" s="156">
        <v>3.2232264840370561E-2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47156</v>
      </c>
      <c r="Y1163" s="155">
        <f>_xll.qlCalendarAdvance(Calendar,X1163,NDays&amp;"D")</f>
        <v>47156</v>
      </c>
      <c r="Z1163" s="156">
        <v>3.2233958070246871E-2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47163</v>
      </c>
      <c r="Y1164" s="155">
        <f>_xll.qlCalendarAdvance(Calendar,X1164,NDays&amp;"D")</f>
        <v>47163</v>
      </c>
      <c r="Z1164" s="156">
        <v>3.2235689228663489E-2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47170</v>
      </c>
      <c r="Y1165" s="155">
        <f>_xll.qlCalendarAdvance(Calendar,X1165,NDays&amp;"D")</f>
        <v>47170</v>
      </c>
      <c r="Z1165" s="156">
        <v>3.2237458315620415E-2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47177</v>
      </c>
      <c r="Y1166" s="155">
        <f>_xll.qlCalendarAdvance(Calendar,X1166,NDays&amp;"D")</f>
        <v>47177</v>
      </c>
      <c r="Z1166" s="156">
        <v>3.2239265331037714E-2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47184</v>
      </c>
      <c r="Y1167" s="155">
        <f>_xll.qlCalendarAdvance(Calendar,X1167,NDays&amp;"D")</f>
        <v>47184</v>
      </c>
      <c r="Z1167" s="156">
        <v>3.2241110274995322E-2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47191</v>
      </c>
      <c r="Y1168" s="155">
        <f>_xll.qlCalendarAdvance(Calendar,X1168,NDays&amp;"D")</f>
        <v>47191</v>
      </c>
      <c r="Z1168" s="156">
        <v>3.2242993147413301E-2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47198</v>
      </c>
      <c r="Y1169" s="155">
        <f>_xll.qlCalendarAdvance(Calendar,X1169,NDays&amp;"D")</f>
        <v>47198</v>
      </c>
      <c r="Z1169" s="156">
        <v>3.2244913948451526E-2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47205</v>
      </c>
      <c r="Y1170" s="155">
        <f>_xll.qlCalendarAdvance(Calendar,X1170,NDays&amp;"D")</f>
        <v>47205</v>
      </c>
      <c r="Z1170" s="156">
        <v>3.2246872677870186E-2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47212</v>
      </c>
      <c r="Y1171" s="155">
        <f>_xll.qlCalendarAdvance(Calendar,X1171,NDays&amp;"D")</f>
        <v>47212</v>
      </c>
      <c r="Z1171" s="156">
        <v>3.2248869335829156E-2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47219</v>
      </c>
      <c r="Y1172" s="155">
        <f>_xll.qlCalendarAdvance(Calendar,X1172,NDays&amp;"D")</f>
        <v>47219</v>
      </c>
      <c r="Z1172" s="156">
        <v>3.2250903922328433E-2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47226</v>
      </c>
      <c r="Y1173" s="155">
        <f>_xll.qlCalendarAdvance(Calendar,X1173,NDays&amp;"D")</f>
        <v>47226</v>
      </c>
      <c r="Z1173" s="156">
        <v>3.2252976437368019E-2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47233</v>
      </c>
      <c r="Y1174" s="155">
        <f>_xll.qlCalendarAdvance(Calendar,X1174,NDays&amp;"D")</f>
        <v>47233</v>
      </c>
      <c r="Z1174" s="156">
        <v>3.2255086880867978E-2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47240</v>
      </c>
      <c r="Y1175" s="155">
        <f>_xll.qlCalendarAdvance(Calendar,X1175,NDays&amp;"D")</f>
        <v>47240</v>
      </c>
      <c r="Z1175" s="156">
        <v>3.2257235252908245E-2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47247</v>
      </c>
      <c r="Y1176" s="155">
        <f>_xll.qlCalendarAdvance(Calendar,X1176,NDays&amp;"D")</f>
        <v>47247</v>
      </c>
      <c r="Z1176" s="156">
        <v>3.2259421553488821E-2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47254</v>
      </c>
      <c r="Y1177" s="155">
        <f>_xll.qlCalendarAdvance(Calendar,X1177,NDays&amp;"D")</f>
        <v>47254</v>
      </c>
      <c r="Z1177" s="156">
        <v>3.2261645782529769E-2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47261</v>
      </c>
      <c r="Y1178" s="155">
        <f>_xll.qlCalendarAdvance(Calendar,X1178,NDays&amp;"D")</f>
        <v>47261</v>
      </c>
      <c r="Z1178" s="156">
        <v>3.2263907940190961E-2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47268</v>
      </c>
      <c r="Y1179" s="155">
        <f>_xll.qlCalendarAdvance(Calendar,X1179,NDays&amp;"D")</f>
        <v>47268</v>
      </c>
      <c r="Z1179" s="156">
        <v>3.226620802623259E-2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47275</v>
      </c>
      <c r="Y1180" s="155">
        <f>_xll.qlCalendarAdvance(Calendar,X1180,NDays&amp;"D")</f>
        <v>47275</v>
      </c>
      <c r="Z1180" s="156">
        <v>3.2268546040814527E-2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47282</v>
      </c>
      <c r="Y1181" s="155">
        <f>_xll.qlCalendarAdvance(Calendar,X1181,NDays&amp;"D")</f>
        <v>47282</v>
      </c>
      <c r="Z1181" s="156">
        <v>3.2270921984016709E-2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47289</v>
      </c>
      <c r="Y1182" s="155">
        <f>_xll.qlCalendarAdvance(Calendar,X1182,NDays&amp;"D")</f>
        <v>47289</v>
      </c>
      <c r="Z1182" s="156">
        <v>3.2273335855599328E-2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47296</v>
      </c>
      <c r="Y1183" s="155">
        <f>_xll.qlCalendarAdvance(Calendar,X1183,NDays&amp;"D")</f>
        <v>47296</v>
      </c>
      <c r="Z1183" s="156">
        <v>3.2275787655722254E-2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47304</v>
      </c>
      <c r="Y1184" s="155">
        <f>_xll.qlCalendarAdvance(Calendar,X1184,NDays&amp;"D")</f>
        <v>47304</v>
      </c>
      <c r="Z1184" s="156">
        <v>3.2278636156197749E-2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47311</v>
      </c>
      <c r="Y1185" s="155">
        <f>_xll.qlCalendarAdvance(Calendar,X1185,NDays&amp;"D")</f>
        <v>47311</v>
      </c>
      <c r="Z1185" s="156">
        <v>3.2281169231787032E-2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47318</v>
      </c>
      <c r="Y1186" s="155">
        <f>_xll.qlCalendarAdvance(Calendar,X1186,NDays&amp;"D")</f>
        <v>47318</v>
      </c>
      <c r="Z1186" s="156">
        <v>3.2283740235836689E-2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47325</v>
      </c>
      <c r="Y1187" s="155">
        <f>_xll.qlCalendarAdvance(Calendar,X1187,NDays&amp;"D")</f>
        <v>47325</v>
      </c>
      <c r="Z1187" s="156">
        <v>3.2286349168426653E-2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47332</v>
      </c>
      <c r="Y1188" s="155">
        <f>_xll.qlCalendarAdvance(Calendar,X1188,NDays&amp;"D")</f>
        <v>47332</v>
      </c>
      <c r="Z1188" s="156">
        <v>3.2288996029636863E-2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47339</v>
      </c>
      <c r="Y1189" s="155">
        <f>_xll.qlCalendarAdvance(Calendar,X1189,NDays&amp;"D")</f>
        <v>47339</v>
      </c>
      <c r="Z1189" s="156">
        <v>3.2291680819227508E-2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47346</v>
      </c>
      <c r="Y1190" s="155">
        <f>_xll.qlCalendarAdvance(Calendar,X1190,NDays&amp;"D")</f>
        <v>47346</v>
      </c>
      <c r="Z1190" s="156">
        <v>3.2294403537438399E-2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47353</v>
      </c>
      <c r="Y1191" s="155">
        <f>_xll.qlCalendarAdvance(Calendar,X1191,NDays&amp;"D")</f>
        <v>47353</v>
      </c>
      <c r="Z1191" s="156">
        <v>3.2297164184189597E-2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47360</v>
      </c>
      <c r="Y1192" s="155">
        <f>_xll.qlCalendarAdvance(Calendar,X1192,NDays&amp;"D")</f>
        <v>47360</v>
      </c>
      <c r="Z1192" s="156">
        <v>3.2299962759401168E-2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47367</v>
      </c>
      <c r="Y1193" s="155">
        <f>_xll.qlCalendarAdvance(Calendar,X1193,NDays&amp;"D")</f>
        <v>47367</v>
      </c>
      <c r="Z1193" s="156">
        <v>3.2302799263232984E-2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47374</v>
      </c>
      <c r="Y1194" s="155">
        <f>_xll.qlCalendarAdvance(Calendar,X1194,NDays&amp;"D")</f>
        <v>47374</v>
      </c>
      <c r="Z1194" s="156">
        <v>3.2305673695525172E-2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47381</v>
      </c>
      <c r="Y1195" s="155">
        <f>_xll.qlCalendarAdvance(Calendar,X1195,NDays&amp;"D")</f>
        <v>47381</v>
      </c>
      <c r="Z1195" s="156">
        <v>3.2308586056277733E-2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47388</v>
      </c>
      <c r="Y1196" s="155">
        <f>_xll.qlCalendarAdvance(Calendar,X1196,NDays&amp;"D")</f>
        <v>47388</v>
      </c>
      <c r="Z1196" s="156">
        <v>3.2311536345650538E-2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47395</v>
      </c>
      <c r="Y1197" s="155">
        <f>_xll.qlCalendarAdvance(Calendar,X1197,NDays&amp;"D")</f>
        <v>47395</v>
      </c>
      <c r="Z1197" s="156">
        <v>3.2314524563483715E-2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47402</v>
      </c>
      <c r="Y1198" s="155">
        <f>_xll.qlCalendarAdvance(Calendar,X1198,NDays&amp;"D")</f>
        <v>47402</v>
      </c>
      <c r="Z1198" s="156">
        <v>3.2317550709937137E-2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47409</v>
      </c>
      <c r="Y1199" s="155">
        <f>_xll.qlCalendarAdvance(Calendar,X1199,NDays&amp;"D")</f>
        <v>47409</v>
      </c>
      <c r="Z1199" s="156">
        <v>3.2320614784930868E-2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47416</v>
      </c>
      <c r="Y1200" s="155">
        <f>_xll.qlCalendarAdvance(Calendar,X1200,NDays&amp;"D")</f>
        <v>47416</v>
      </c>
      <c r="Z1200" s="156">
        <v>3.2323716788384971E-2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47423</v>
      </c>
      <c r="Y1201" s="155">
        <f>_xll.qlCalendarAdvance(Calendar,X1201,NDays&amp;"D")</f>
        <v>47423</v>
      </c>
      <c r="Z1201" s="156">
        <v>3.2326856720379382E-2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47430</v>
      </c>
      <c r="Y1202" s="155">
        <f>_xll.qlCalendarAdvance(Calendar,X1202,NDays&amp;"D")</f>
        <v>47430</v>
      </c>
      <c r="Z1202" s="156">
        <v>3.2330025628075632E-2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47437</v>
      </c>
      <c r="Y1203" s="155">
        <f>_xll.qlCalendarAdvance(Calendar,X1203,NDays&amp;"D")</f>
        <v>47437</v>
      </c>
      <c r="Z1203" s="156">
        <v>3.2333170278135981E-2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47445</v>
      </c>
      <c r="Y1204" s="155">
        <f>_xll.qlCalendarAdvance(Calendar,X1204,NDays&amp;"D")</f>
        <v>47445</v>
      </c>
      <c r="Z1204" s="156">
        <v>3.2340069162106744E-2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47452</v>
      </c>
      <c r="Y1205" s="155">
        <f>_xll.qlCalendarAdvance(Calendar,X1205,NDays&amp;"D")</f>
        <v>47452</v>
      </c>
      <c r="Z1205" s="156">
        <v>3.234313845375425E-2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47459</v>
      </c>
      <c r="Y1206" s="155">
        <f>_xll.qlCalendarAdvance(Calendar,X1206,NDays&amp;"D")</f>
        <v>47459</v>
      </c>
      <c r="Z1206" s="156">
        <v>3.2346174528985472E-2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47466</v>
      </c>
      <c r="Y1207" s="155">
        <f>_xll.qlCalendarAdvance(Calendar,X1207,NDays&amp;"D")</f>
        <v>47466</v>
      </c>
      <c r="Z1207" s="156">
        <v>3.234917738780041E-2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47473</v>
      </c>
      <c r="Y1208" s="155">
        <f>_xll.qlCalendarAdvance(Calendar,X1208,NDays&amp;"D")</f>
        <v>47473</v>
      </c>
      <c r="Z1208" s="156">
        <v>3.2352147030145773E-2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47480</v>
      </c>
      <c r="Y1209" s="155">
        <f>_xll.qlCalendarAdvance(Calendar,X1209,NDays&amp;"D")</f>
        <v>47480</v>
      </c>
      <c r="Z1209" s="156">
        <v>3.2355083456048206E-2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47487</v>
      </c>
      <c r="Y1210" s="155">
        <f>_xll.qlCalendarAdvance(Calendar,X1210,NDays&amp;"D")</f>
        <v>47487</v>
      </c>
      <c r="Z1210" s="156">
        <v>3.2357986665534355E-2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47494</v>
      </c>
      <c r="Y1211" s="155">
        <f>_xll.qlCalendarAdvance(Calendar,X1211,NDays&amp;"D")</f>
        <v>47494</v>
      </c>
      <c r="Z1211" s="156">
        <v>3.2360856658577575E-2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47501</v>
      </c>
      <c r="Y1212" s="155">
        <f>_xll.qlCalendarAdvance(Calendar,X1212,NDays&amp;"D")</f>
        <v>47501</v>
      </c>
      <c r="Z1212" s="156">
        <v>3.2365349258456355E-2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47508</v>
      </c>
      <c r="Y1213" s="155">
        <f>_xll.qlCalendarAdvance(Calendar,X1213,NDays&amp;"D")</f>
        <v>47508</v>
      </c>
      <c r="Z1213" s="156">
        <v>3.236649699530858E-2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47515</v>
      </c>
      <c r="Y1214" s="155">
        <f>_xll.qlCalendarAdvance(Calendar,X1214,NDays&amp;"D")</f>
        <v>47515</v>
      </c>
      <c r="Z1214" s="156">
        <v>3.2369267338996366E-2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47522</v>
      </c>
      <c r="Y1215" s="155">
        <f>_xll.qlCalendarAdvance(Calendar,X1215,NDays&amp;"D")</f>
        <v>47522</v>
      </c>
      <c r="Z1215" s="156">
        <v>3.2372004466267867E-2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47529</v>
      </c>
      <c r="Y1216" s="155">
        <f>_xll.qlCalendarAdvance(Calendar,X1216,NDays&amp;"D")</f>
        <v>47529</v>
      </c>
      <c r="Z1216" s="156">
        <v>3.2376355699414994E-2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47536</v>
      </c>
      <c r="Y1217" s="155">
        <f>_xll.qlCalendarAdvance(Calendar,X1217,NDays&amp;"D")</f>
        <v>47536</v>
      </c>
      <c r="Z1217" s="156">
        <v>3.2377379071402146E-2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47543</v>
      </c>
      <c r="Y1218" s="155">
        <f>_xll.qlCalendarAdvance(Calendar,X1218,NDays&amp;"D")</f>
        <v>47543</v>
      </c>
      <c r="Z1218" s="156">
        <v>3.2380016549291568E-2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47550</v>
      </c>
      <c r="Y1219" s="155">
        <f>_xll.qlCalendarAdvance(Calendar,X1219,NDays&amp;"D")</f>
        <v>47550</v>
      </c>
      <c r="Z1219" s="156">
        <v>3.238262081068477E-2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47557</v>
      </c>
      <c r="Y1220" s="155">
        <f>_xll.qlCalendarAdvance(Calendar,X1220,NDays&amp;"D")</f>
        <v>47557</v>
      </c>
      <c r="Z1220" s="156">
        <v>3.2385191855661688E-2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47564</v>
      </c>
      <c r="Y1221" s="155">
        <f>_xll.qlCalendarAdvance(Calendar,X1221,NDays&amp;"D")</f>
        <v>47564</v>
      </c>
      <c r="Z1221" s="156">
        <v>3.2387729684142386E-2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47571</v>
      </c>
      <c r="Y1222" s="155">
        <f>_xll.qlCalendarAdvance(Calendar,X1222,NDays&amp;"D")</f>
        <v>47571</v>
      </c>
      <c r="Z1222" s="156">
        <v>3.2390234296153508E-2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47578</v>
      </c>
      <c r="Y1223" s="155">
        <f>_xll.qlCalendarAdvance(Calendar,X1223,NDays&amp;"D")</f>
        <v>47578</v>
      </c>
      <c r="Z1223" s="156">
        <v>3.2392705691748347E-2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47585</v>
      </c>
      <c r="Y1224" s="155">
        <f>_xll.qlCalendarAdvance(Calendar,X1224,NDays&amp;"D")</f>
        <v>47585</v>
      </c>
      <c r="Z1224" s="156">
        <v>3.239514387082032E-2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47592</v>
      </c>
      <c r="Y1225" s="155">
        <f>_xll.qlCalendarAdvance(Calendar,X1225,NDays&amp;"D")</f>
        <v>47592</v>
      </c>
      <c r="Z1225" s="156">
        <v>3.2397548833422718E-2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47599</v>
      </c>
      <c r="Y1226" s="155">
        <f>_xll.qlCalendarAdvance(Calendar,X1226,NDays&amp;"D")</f>
        <v>47599</v>
      </c>
      <c r="Z1226" s="156">
        <v>3.2399920579582187E-2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47606</v>
      </c>
      <c r="Y1227" s="155">
        <f>_xll.qlCalendarAdvance(Calendar,X1227,NDays&amp;"D")</f>
        <v>47606</v>
      </c>
      <c r="Z1227" s="156">
        <v>3.2402259109245435E-2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47613</v>
      </c>
      <c r="Y1228" s="155">
        <f>_xll.qlCalendarAdvance(Calendar,X1228,NDays&amp;"D")</f>
        <v>47613</v>
      </c>
      <c r="Z1228" s="156">
        <v>3.2404564422412463E-2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47620</v>
      </c>
      <c r="Y1229" s="155">
        <f>_xll.qlCalendarAdvance(Calendar,X1229,NDays&amp;"D")</f>
        <v>47620</v>
      </c>
      <c r="Z1229" s="156">
        <v>3.2406836519109916E-2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47627</v>
      </c>
      <c r="Y1230" s="155">
        <f>_xll.qlCalendarAdvance(Calendar,X1230,NDays&amp;"D")</f>
        <v>47627</v>
      </c>
      <c r="Z1230" s="156">
        <v>3.2410692594222468E-2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47634</v>
      </c>
      <c r="Y1231" s="155">
        <f>_xll.qlCalendarAdvance(Calendar,X1231,NDays&amp;"D")</f>
        <v>47634</v>
      </c>
      <c r="Z1231" s="156">
        <v>3.2411281063069453E-2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47641</v>
      </c>
      <c r="Y1232" s="155">
        <f>_xll.qlCalendarAdvance(Calendar,X1232,NDays&amp;"D")</f>
        <v>47641</v>
      </c>
      <c r="Z1232" s="156">
        <v>3.2413453510331536E-2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47648</v>
      </c>
      <c r="Y1233" s="155">
        <f>_xll.qlCalendarAdvance(Calendar,X1233,NDays&amp;"D")</f>
        <v>47648</v>
      </c>
      <c r="Z1233" s="156">
        <v>3.2415592741070753E-2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47655</v>
      </c>
      <c r="Y1234" s="155">
        <f>_xll.qlCalendarAdvance(Calendar,X1234,NDays&amp;"D")</f>
        <v>47655</v>
      </c>
      <c r="Z1234" s="156">
        <v>3.2417698755393687E-2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47662</v>
      </c>
      <c r="Y1235" s="155">
        <f>_xll.qlCalendarAdvance(Calendar,X1235,NDays&amp;"D")</f>
        <v>47662</v>
      </c>
      <c r="Z1235" s="156">
        <v>3.2419771553167109E-2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47669</v>
      </c>
      <c r="Y1236" s="155">
        <f>_xll.qlCalendarAdvance(Calendar,X1236,NDays&amp;"D")</f>
        <v>47669</v>
      </c>
      <c r="Z1236" s="156">
        <v>3.2421811134444312E-2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47676</v>
      </c>
      <c r="Y1237" s="155">
        <f>_xll.qlCalendarAdvance(Calendar,X1237,NDays&amp;"D")</f>
        <v>47676</v>
      </c>
      <c r="Z1237" s="156">
        <v>3.2423817499225294E-2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47683</v>
      </c>
      <c r="Y1238" s="155">
        <f>_xll.qlCalendarAdvance(Calendar,X1238,NDays&amp;"D")</f>
        <v>47683</v>
      </c>
      <c r="Z1238" s="156">
        <v>3.2425790647510055E-2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47690</v>
      </c>
      <c r="Y1239" s="155">
        <f>_xll.qlCalendarAdvance(Calendar,X1239,NDays&amp;"D")</f>
        <v>47690</v>
      </c>
      <c r="Z1239" s="156">
        <v>3.2427730579325242E-2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47697</v>
      </c>
      <c r="Y1240" s="155">
        <f>_xll.qlCalendarAdvance(Calendar,X1240,NDays&amp;"D")</f>
        <v>47697</v>
      </c>
      <c r="Z1240" s="156">
        <v>3.2429637294617564E-2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47704</v>
      </c>
      <c r="Y1241" s="155">
        <f>_xll.qlCalendarAdvance(Calendar,X1241,NDays&amp;"D")</f>
        <v>47704</v>
      </c>
      <c r="Z1241" s="156">
        <v>3.243151079344031E-2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47711</v>
      </c>
      <c r="Y1242" s="155">
        <f>_xll.qlCalendarAdvance(Calendar,X1242,NDays&amp;"D")</f>
        <v>47711</v>
      </c>
      <c r="Z1242" s="156">
        <v>3.2433351075713546E-2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47718</v>
      </c>
      <c r="Y1243" s="155">
        <f>_xll.qlCalendarAdvance(Calendar,X1243,NDays&amp;"D")</f>
        <v>47718</v>
      </c>
      <c r="Z1243" s="156">
        <v>3.2435158141490561E-2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47725</v>
      </c>
      <c r="Y1244" s="155">
        <f>_xll.qlCalendarAdvance(Calendar,X1244,NDays&amp;"D")</f>
        <v>47725</v>
      </c>
      <c r="Z1244" s="156">
        <v>3.2438518474842137E-2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47732</v>
      </c>
      <c r="Y1245" s="155">
        <f>_xll.qlCalendarAdvance(Calendar,X1245,NDays&amp;"D")</f>
        <v>47732</v>
      </c>
      <c r="Z1245" s="156">
        <v>3.2438672623555931E-2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47739</v>
      </c>
      <c r="Y1246" s="155">
        <f>_xll.qlCalendarAdvance(Calendar,X1246,NDays&amp;"D")</f>
        <v>47739</v>
      </c>
      <c r="Z1246" s="156">
        <v>3.244038003981764E-2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47746</v>
      </c>
      <c r="Y1247" s="155">
        <f>_xll.qlCalendarAdvance(Calendar,X1247,NDays&amp;"D")</f>
        <v>47746</v>
      </c>
      <c r="Z1247" s="156">
        <v>3.2442054239583129E-2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47753</v>
      </c>
      <c r="Y1248" s="155">
        <f>_xll.qlCalendarAdvance(Calendar,X1248,NDays&amp;"D")</f>
        <v>47753</v>
      </c>
      <c r="Z1248" s="156">
        <v>3.2443695222825752E-2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47760</v>
      </c>
      <c r="Y1249" s="155">
        <f>_xll.qlCalendarAdvance(Calendar,X1249,NDays&amp;"D")</f>
        <v>47760</v>
      </c>
      <c r="Z1249" s="156">
        <v>3.2445302989572156E-2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47767</v>
      </c>
      <c r="Y1250" s="155">
        <f>_xll.qlCalendarAdvance(Calendar,X1250,NDays&amp;"D")</f>
        <v>47767</v>
      </c>
      <c r="Z1250" s="156">
        <v>3.2448450683097985E-2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47774</v>
      </c>
      <c r="Y1251" s="155">
        <f>_xll.qlCalendarAdvance(Calendar,X1251,NDays&amp;"D")</f>
        <v>47774</v>
      </c>
      <c r="Z1251" s="156">
        <v>3.2448418873496365E-2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47781</v>
      </c>
      <c r="Y1252" s="155">
        <f>_xll.qlCalendarAdvance(Calendar,X1252,NDays&amp;"D")</f>
        <v>47781</v>
      </c>
      <c r="Z1252" s="156">
        <v>3.2449926990674172E-2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47788</v>
      </c>
      <c r="Y1253" s="155">
        <f>_xll.qlCalendarAdvance(Calendar,X1253,NDays&amp;"D")</f>
        <v>47788</v>
      </c>
      <c r="Z1253" s="156">
        <v>3.2451401891355758E-2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47795</v>
      </c>
      <c r="Y1254" s="155">
        <f>_xll.qlCalendarAdvance(Calendar,X1254,NDays&amp;"D")</f>
        <v>47795</v>
      </c>
      <c r="Z1254" s="156">
        <v>3.2454407765225568E-2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47802</v>
      </c>
      <c r="Y1255" s="155">
        <f>_xll.qlCalendarAdvance(Calendar,X1255,NDays&amp;"D")</f>
        <v>47802</v>
      </c>
      <c r="Z1255" s="156">
        <v>3.2454252043123688E-2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47809</v>
      </c>
      <c r="Y1256" s="155">
        <f>_xll.qlCalendarAdvance(Calendar,X1256,NDays&amp;"D")</f>
        <v>47809</v>
      </c>
      <c r="Z1256" s="156">
        <v>3.2455627294210032E-2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47816</v>
      </c>
      <c r="Y1257" s="155">
        <f>_xll.qlCalendarAdvance(Calendar,X1257,NDays&amp;"D")</f>
        <v>47816</v>
      </c>
      <c r="Z1257" s="156">
        <v>3.2456969328800156E-2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47823</v>
      </c>
      <c r="Y1258" s="155">
        <f>_xll.qlCalendarAdvance(Calendar,X1258,NDays&amp;"D")</f>
        <v>47823</v>
      </c>
      <c r="Z1258" s="156">
        <v>3.2458278146867414E-2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47830</v>
      </c>
      <c r="Y1259" s="155">
        <f>_xll.qlCalendarAdvance(Calendar,X1259,NDays&amp;"D")</f>
        <v>47830</v>
      </c>
      <c r="Z1259" s="156">
        <v>3.2459553748411807E-2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47837</v>
      </c>
      <c r="Y1260" s="155">
        <f>_xll.qlCalendarAdvance(Calendar,X1260,NDays&amp;"D")</f>
        <v>47837</v>
      </c>
      <c r="Z1260" s="156">
        <v>3.2460796133406689E-2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47844</v>
      </c>
      <c r="Y1261" s="155">
        <f>_xll.qlCalendarAdvance(Calendar,X1261,NDays&amp;"D")</f>
        <v>47844</v>
      </c>
      <c r="Z1261" s="156">
        <v>3.2462005301878705E-2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47851</v>
      </c>
      <c r="Y1262" s="155">
        <f>_xll.qlCalendarAdvance(Calendar,X1262,NDays&amp;"D")</f>
        <v>47851</v>
      </c>
      <c r="Z1262" s="156">
        <v>3.2463181253854501E-2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47858</v>
      </c>
      <c r="Y1263" s="155">
        <f>_xll.qlCalendarAdvance(Calendar,X1263,NDays&amp;"D")</f>
        <v>47858</v>
      </c>
      <c r="Z1263" s="156">
        <v>3.246432398925414E-2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47865</v>
      </c>
      <c r="Y1264" s="155">
        <f>_xll.qlCalendarAdvance(Calendar,X1264,NDays&amp;"D")</f>
        <v>47865</v>
      </c>
      <c r="Z1264" s="156">
        <v>3.2466975104714635E-2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47872</v>
      </c>
      <c r="Y1265" s="155">
        <f>_xll.qlCalendarAdvance(Calendar,X1265,NDays&amp;"D")</f>
        <v>47872</v>
      </c>
      <c r="Z1265" s="156">
        <v>3.2466509810511468E-2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47879</v>
      </c>
      <c r="Y1266" s="155">
        <f>_xll.qlCalendarAdvance(Calendar,X1266,NDays&amp;"D")</f>
        <v>47879</v>
      </c>
      <c r="Z1266" s="156">
        <v>3.2467552896342511E-2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47886</v>
      </c>
      <c r="Y1267" s="155">
        <f>_xll.qlCalendarAdvance(Calendar,X1267,NDays&amp;"D")</f>
        <v>47886</v>
      </c>
      <c r="Z1267" s="156">
        <v>3.2468562765650688E-2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47893</v>
      </c>
      <c r="Y1268" s="155">
        <f>_xll.qlCalendarAdvance(Calendar,X1268,NDays&amp;"D")</f>
        <v>47893</v>
      </c>
      <c r="Z1268" s="156">
        <v>3.2471071893942494E-2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47900</v>
      </c>
      <c r="Y1269" s="155">
        <f>_xll.qlCalendarAdvance(Calendar,X1269,NDays&amp;"D")</f>
        <v>47900</v>
      </c>
      <c r="Z1269" s="156">
        <v>3.2470482854645155E-2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47907</v>
      </c>
      <c r="Y1270" s="155">
        <f>_xll.qlCalendarAdvance(Calendar,X1270,NDays&amp;"D")</f>
        <v>47907</v>
      </c>
      <c r="Z1270" s="156">
        <v>3.24713930743048E-2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47914</v>
      </c>
      <c r="Y1271" s="155">
        <f>_xll.qlCalendarAdvance(Calendar,X1271,NDays&amp;"D")</f>
        <v>47914</v>
      </c>
      <c r="Z1271" s="156">
        <v>3.2472270077468224E-2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47921</v>
      </c>
      <c r="Y1272" s="155">
        <f>_xll.qlCalendarAdvance(Calendar,X1272,NDays&amp;"D")</f>
        <v>47921</v>
      </c>
      <c r="Z1272" s="156">
        <v>3.2473113864082137E-2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47928</v>
      </c>
      <c r="Y1273" s="155">
        <f>_xll.qlCalendarAdvance(Calendar,X1273,NDays&amp;"D")</f>
        <v>47928</v>
      </c>
      <c r="Z1273" s="156">
        <v>3.247392443419983E-2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47935</v>
      </c>
      <c r="Y1274" s="155">
        <f>_xll.qlCalendarAdvance(Calendar,X1274,NDays&amp;"D")</f>
        <v>47935</v>
      </c>
      <c r="Z1274" s="156">
        <v>3.2474701787714721E-2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47942</v>
      </c>
      <c r="Y1275" s="155">
        <f>_xll.qlCalendarAdvance(Calendar,X1275,NDays&amp;"D")</f>
        <v>47942</v>
      </c>
      <c r="Z1275" s="156">
        <v>3.2475445924733393E-2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47949</v>
      </c>
      <c r="Y1276" s="155">
        <f>_xll.qlCalendarAdvance(Calendar,X1276,NDays&amp;"D")</f>
        <v>47949</v>
      </c>
      <c r="Z1276" s="156">
        <v>3.2476156845175908E-2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47956</v>
      </c>
      <c r="Y1277" s="155">
        <f>_xll.qlCalendarAdvance(Calendar,X1277,NDays&amp;"D")</f>
        <v>47956</v>
      </c>
      <c r="Z1277" s="156">
        <v>3.2476834549122202E-2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47963</v>
      </c>
      <c r="Y1278" s="155">
        <f>_xll.qlCalendarAdvance(Calendar,X1278,NDays&amp;"D")</f>
        <v>47963</v>
      </c>
      <c r="Z1278" s="156">
        <v>3.247747903649234E-2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47970</v>
      </c>
      <c r="Y1279" s="155">
        <f>_xll.qlCalendarAdvance(Calendar,X1279,NDays&amp;"D")</f>
        <v>47970</v>
      </c>
      <c r="Z1279" s="156">
        <v>3.2478090307339613E-2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47977</v>
      </c>
      <c r="Y1280" s="155">
        <f>_xll.qlCalendarAdvance(Calendar,X1280,NDays&amp;"D")</f>
        <v>47977</v>
      </c>
      <c r="Z1280" s="156">
        <v>3.247866836166402E-2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47984</v>
      </c>
      <c r="Y1281" s="155">
        <f>_xll.qlCalendarAdvance(Calendar,X1281,NDays&amp;"D")</f>
        <v>47984</v>
      </c>
      <c r="Z1281" s="156">
        <v>3.2479213199412271E-2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47991</v>
      </c>
      <c r="Y1282" s="155">
        <f>_xll.qlCalendarAdvance(Calendar,X1282,NDays&amp;"D")</f>
        <v>47991</v>
      </c>
      <c r="Z1282" s="156">
        <v>3.2481224995362101E-2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47998</v>
      </c>
      <c r="Y1283" s="155">
        <f>_xll.qlCalendarAdvance(Calendar,X1283,NDays&amp;"D")</f>
        <v>47998</v>
      </c>
      <c r="Z1283" s="156">
        <v>3.2480203225286886E-2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48005</v>
      </c>
      <c r="Y1284" s="155">
        <f>_xll.qlCalendarAdvance(Calendar,X1284,NDays&amp;"D")</f>
        <v>48005</v>
      </c>
      <c r="Z1284" s="156">
        <v>3.2480648413439894E-2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48012</v>
      </c>
      <c r="Y1285" s="155">
        <f>_xll.qlCalendarAdvance(Calendar,X1285,NDays&amp;"D")</f>
        <v>48012</v>
      </c>
      <c r="Z1285" s="156">
        <v>3.2481060385016747E-2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48019</v>
      </c>
      <c r="Y1286" s="155">
        <f>_xll.qlCalendarAdvance(Calendar,X1286,NDays&amp;"D")</f>
        <v>48019</v>
      </c>
      <c r="Z1286" s="156">
        <v>3.2481439140070734E-2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48026</v>
      </c>
      <c r="Y1287" s="155">
        <f>_xll.qlCalendarAdvance(Calendar,X1287,NDays&amp;"D")</f>
        <v>48026</v>
      </c>
      <c r="Z1287" s="156">
        <v>3.248178467857521E-2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48036</v>
      </c>
      <c r="Y1288" s="155">
        <f>_xll.qlCalendarAdvance(Calendar,X1288,NDays&amp;"D")</f>
        <v>48036</v>
      </c>
      <c r="Z1288" s="156">
        <v>3.2479249989743053E-2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48043</v>
      </c>
      <c r="Y1289" s="155">
        <f>_xll.qlCalendarAdvance(Calendar,X1289,NDays&amp;"D")</f>
        <v>48043</v>
      </c>
      <c r="Z1289" s="156">
        <v>3.2479519556032344E-2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48050</v>
      </c>
      <c r="Y1290" s="155">
        <f>_xll.qlCalendarAdvance(Calendar,X1290,NDays&amp;"D")</f>
        <v>48050</v>
      </c>
      <c r="Z1290" s="156">
        <v>3.2479755911767327E-2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48057</v>
      </c>
      <c r="Y1291" s="155">
        <f>_xll.qlCalendarAdvance(Calendar,X1291,NDays&amp;"D")</f>
        <v>48057</v>
      </c>
      <c r="Z1291" s="156">
        <v>3.2479959057107877E-2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48064</v>
      </c>
      <c r="Y1292" s="155">
        <f>_xll.qlCalendarAdvance(Calendar,X1292,NDays&amp;"D")</f>
        <v>48064</v>
      </c>
      <c r="Z1292" s="156">
        <v>3.2480128991814183E-2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48071</v>
      </c>
      <c r="Y1293" s="155">
        <f>_xll.qlCalendarAdvance(Calendar,X1293,NDays&amp;"D")</f>
        <v>48071</v>
      </c>
      <c r="Z1293" s="156">
        <v>3.2480265715806311E-2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48078</v>
      </c>
      <c r="Y1294" s="155">
        <f>_xll.qlCalendarAdvance(Calendar,X1294,NDays&amp;"D")</f>
        <v>48078</v>
      </c>
      <c r="Z1294" s="156">
        <v>3.2480369229483941E-2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48085</v>
      </c>
      <c r="Y1295" s="155">
        <f>_xll.qlCalendarAdvance(Calendar,X1295,NDays&amp;"D")</f>
        <v>48085</v>
      </c>
      <c r="Z1295" s="156">
        <v>3.2480439532447392E-2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48093</v>
      </c>
      <c r="Y1296" s="155">
        <f>_xll.qlCalendarAdvance(Calendar,X1296,NDays&amp;"D")</f>
        <v>48093</v>
      </c>
      <c r="Z1296" s="156">
        <v>3.248047921270647E-2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48100</v>
      </c>
      <c r="Y1297" s="155">
        <f>_xll.qlCalendarAdvance(Calendar,X1297,NDays&amp;"D")</f>
        <v>48100</v>
      </c>
      <c r="Z1297" s="156">
        <v>3.2480478350276343E-2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48107</v>
      </c>
      <c r="Y1298" s="155">
        <f>_xll.qlCalendarAdvance(Calendar,X1298,NDays&amp;"D")</f>
        <v>48107</v>
      </c>
      <c r="Z1298" s="156">
        <v>3.2480444277211973E-2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48114</v>
      </c>
      <c r="Y1299" s="155">
        <f>_xll.qlCalendarAdvance(Calendar,X1299,NDays&amp;"D")</f>
        <v>48114</v>
      </c>
      <c r="Z1299" s="156">
        <v>3.2480376993753168E-2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48121</v>
      </c>
      <c r="Y1300" s="155">
        <f>_xll.qlCalendarAdvance(Calendar,X1300,NDays&amp;"D")</f>
        <v>48121</v>
      </c>
      <c r="Z1300" s="156">
        <v>3.2480276499500249E-2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48128</v>
      </c>
      <c r="Y1301" s="155">
        <f>_xll.qlCalendarAdvance(Calendar,X1301,NDays&amp;"D")</f>
        <v>48128</v>
      </c>
      <c r="Z1301" s="156">
        <v>3.2480142794852895E-2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48135</v>
      </c>
      <c r="Y1302" s="155">
        <f>_xll.qlCalendarAdvance(Calendar,X1302,NDays&amp;"D")</f>
        <v>48135</v>
      </c>
      <c r="Z1302" s="156">
        <v>3.2479975879571299E-2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48142</v>
      </c>
      <c r="Y1303" s="155">
        <f>_xll.qlCalendarAdvance(Calendar,X1303,NDays&amp;"D")</f>
        <v>48142</v>
      </c>
      <c r="Z1303" s="156">
        <v>3.2479775753895268E-2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48149</v>
      </c>
      <c r="Y1304" s="155">
        <f>_xll.qlCalendarAdvance(Calendar,X1304,NDays&amp;"D")</f>
        <v>48149</v>
      </c>
      <c r="Z1304" s="156">
        <v>3.2479542417505058E-2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48156</v>
      </c>
      <c r="Y1305" s="155">
        <f>_xll.qlCalendarAdvance(Calendar,X1305,NDays&amp;"D")</f>
        <v>48156</v>
      </c>
      <c r="Z1305" s="156">
        <v>3.2479275870640478E-2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48164</v>
      </c>
      <c r="Y1306" s="155">
        <f>_xll.qlCalendarAdvance(Calendar,X1306,NDays&amp;"D")</f>
        <v>48164</v>
      </c>
      <c r="Z1306" s="156">
        <v>3.2478930579644683E-2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48171</v>
      </c>
      <c r="Y1307" s="155">
        <f>_xll.qlCalendarAdvance(Calendar,X1307,NDays&amp;"D")</f>
        <v>48171</v>
      </c>
      <c r="Z1307" s="156">
        <v>3.2478592867306588E-2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48178</v>
      </c>
      <c r="Y1308" s="155">
        <f>_xll.qlCalendarAdvance(Calendar,X1308,NDays&amp;"D")</f>
        <v>48178</v>
      </c>
      <c r="Z1308" s="156">
        <v>3.2479659140296491E-2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48185</v>
      </c>
      <c r="Y1309" s="155">
        <f>_xll.qlCalendarAdvance(Calendar,X1309,NDays&amp;"D")</f>
        <v>48185</v>
      </c>
      <c r="Z1309" s="156">
        <v>3.247781781096748E-2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48192</v>
      </c>
      <c r="Y1310" s="155">
        <f>_xll.qlCalendarAdvance(Calendar,X1310,NDays&amp;"D")</f>
        <v>48192</v>
      </c>
      <c r="Z1310" s="156">
        <v>3.247738046688653E-2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48199</v>
      </c>
      <c r="Y1311" s="155">
        <f>_xll.qlCalendarAdvance(Calendar,X1311,NDays&amp;"D")</f>
        <v>48199</v>
      </c>
      <c r="Z1311" s="156">
        <v>3.2476909912411145E-2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48206</v>
      </c>
      <c r="Y1312" s="155">
        <f>_xll.qlCalendarAdvance(Calendar,X1312,NDays&amp;"D")</f>
        <v>48206</v>
      </c>
      <c r="Z1312" s="156">
        <v>3.2477833689745772E-2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48213</v>
      </c>
      <c r="Y1313" s="155">
        <f>_xll.qlCalendarAdvance(Calendar,X1313,NDays&amp;"D")</f>
        <v>48213</v>
      </c>
      <c r="Z1313" s="156">
        <v>3.2477294293258296E-2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48220</v>
      </c>
      <c r="Y1314" s="155">
        <f>_xll.qlCalendarAdvance(Calendar,X1314,NDays&amp;"D")</f>
        <v>48220</v>
      </c>
      <c r="Z1314" s="156">
        <v>3.2475298985339407E-2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48227</v>
      </c>
      <c r="Y1315" s="155">
        <f>_xll.qlCalendarAdvance(Calendar,X1315,NDays&amp;"D")</f>
        <v>48227</v>
      </c>
      <c r="Z1315" s="156">
        <v>3.247469558856686E-2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48234</v>
      </c>
      <c r="Y1316" s="155">
        <f>_xll.qlCalendarAdvance(Calendar,X1316,NDays&amp;"D")</f>
        <v>48234</v>
      </c>
      <c r="Z1316" s="156">
        <v>3.2474058981240006E-2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48241</v>
      </c>
      <c r="Y1317" s="155">
        <f>_xll.qlCalendarAdvance(Calendar,X1317,NDays&amp;"D")</f>
        <v>48241</v>
      </c>
      <c r="Z1317" s="156">
        <v>3.2473389163358846E-2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48248</v>
      </c>
      <c r="Y1318" s="155">
        <f>_xll.qlCalendarAdvance(Calendar,X1318,NDays&amp;"D")</f>
        <v>48248</v>
      </c>
      <c r="Z1318" s="156">
        <v>3.2472686135003315E-2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48255</v>
      </c>
      <c r="Y1319" s="155">
        <f>_xll.qlCalendarAdvance(Calendar,X1319,NDays&amp;"D")</f>
        <v>48255</v>
      </c>
      <c r="Z1319" s="156">
        <v>3.2471949895933605E-2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48262</v>
      </c>
      <c r="Y1320" s="155">
        <f>_xll.qlCalendarAdvance(Calendar,X1320,NDays&amp;"D")</f>
        <v>48262</v>
      </c>
      <c r="Z1320" s="156">
        <v>3.2471180446469461E-2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48269</v>
      </c>
      <c r="Y1321" s="155">
        <f>_xll.qlCalendarAdvance(Calendar,X1321,NDays&amp;"D")</f>
        <v>48269</v>
      </c>
      <c r="Z1321" s="156">
        <v>3.2470377786291138E-2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48276</v>
      </c>
      <c r="Y1322" s="155">
        <f>_xll.qlCalendarAdvance(Calendar,X1322,NDays&amp;"D")</f>
        <v>48276</v>
      </c>
      <c r="Z1322" s="156">
        <v>3.2469541915718381E-2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48283</v>
      </c>
      <c r="Y1323" s="155">
        <f>_xll.qlCalendarAdvance(Calendar,X1323,NDays&amp;"D")</f>
        <v>48283</v>
      </c>
      <c r="Z1323" s="156">
        <v>3.2468672834591317E-2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48290</v>
      </c>
      <c r="Y1324" s="155">
        <f>_xll.qlCalendarAdvance(Calendar,X1324,NDays&amp;"D")</f>
        <v>48290</v>
      </c>
      <c r="Z1324" s="156">
        <v>3.2467770542750074E-2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48297</v>
      </c>
      <c r="Y1325" s="155">
        <f>_xll.qlCalendarAdvance(Calendar,X1325,NDays&amp;"D")</f>
        <v>48297</v>
      </c>
      <c r="Z1325" s="156">
        <v>3.2466835040594333E-2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48304</v>
      </c>
      <c r="Y1326" s="155">
        <f>_xll.qlCalendarAdvance(Calendar,X1326,NDays&amp;"D")</f>
        <v>48304</v>
      </c>
      <c r="Z1326" s="156">
        <v>3.2465866327724413E-2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48311</v>
      </c>
      <c r="Y1327" s="155">
        <f>_xll.qlCalendarAdvance(Calendar,X1327,NDays&amp;"D")</f>
        <v>48311</v>
      </c>
      <c r="Z1327" s="156">
        <v>3.2464864404300187E-2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48318</v>
      </c>
      <c r="Y1328" s="155">
        <f>_xll.qlCalendarAdvance(Calendar,X1328,NDays&amp;"D")</f>
        <v>48318</v>
      </c>
      <c r="Z1328" s="156">
        <v>3.246382927040159E-2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48325</v>
      </c>
      <c r="Y1329" s="155">
        <f>_xll.qlCalendarAdvance(Calendar,X1329,NDays&amp;"D")</f>
        <v>48325</v>
      </c>
      <c r="Z1329" s="156">
        <v>3.2462760925948686E-2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48332</v>
      </c>
      <c r="Y1330" s="155">
        <f>_xll.qlCalendarAdvance(Calendar,X1330,NDays&amp;"D")</f>
        <v>48332</v>
      </c>
      <c r="Z1330" s="156">
        <v>3.246165937086154E-2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48339</v>
      </c>
      <c r="Y1331" s="155">
        <f>_xll.qlCalendarAdvance(Calendar,X1331,NDays&amp;"D")</f>
        <v>48339</v>
      </c>
      <c r="Z1331" s="156">
        <v>3.2460524605300023E-2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48346</v>
      </c>
      <c r="Y1332" s="155">
        <f>_xll.qlCalendarAdvance(Calendar,X1332,NDays&amp;"D")</f>
        <v>48346</v>
      </c>
      <c r="Z1332" s="156">
        <v>3.24593566291842E-2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48353</v>
      </c>
      <c r="Y1333" s="155">
        <f>_xll.qlCalendarAdvance(Calendar,X1333,NDays&amp;"D")</f>
        <v>48353</v>
      </c>
      <c r="Z1333" s="156">
        <v>3.2458155442594006E-2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48360</v>
      </c>
      <c r="Y1334" s="155">
        <f>_xll.qlCalendarAdvance(Calendar,X1334,NDays&amp;"D")</f>
        <v>48360</v>
      </c>
      <c r="Z1334" s="156">
        <v>3.2456921045369569E-2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48367</v>
      </c>
      <c r="Y1335" s="155">
        <f>_xll.qlCalendarAdvance(Calendar,X1335,NDays&amp;"D")</f>
        <v>48367</v>
      </c>
      <c r="Z1335" s="156">
        <v>3.245565343751089E-2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48374</v>
      </c>
      <c r="Y1336" s="155">
        <f>_xll.qlCalendarAdvance(Calendar,X1336,NDays&amp;"D")</f>
        <v>48374</v>
      </c>
      <c r="Z1336" s="156">
        <v>3.2454352619257776E-2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48381</v>
      </c>
      <c r="Y1337" s="155">
        <f>_xll.qlCalendarAdvance(Calendar,X1337,NDays&amp;"D")</f>
        <v>48381</v>
      </c>
      <c r="Z1337" s="156">
        <v>3.2453018590450355E-2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48388</v>
      </c>
      <c r="Y1338" s="155">
        <f>_xll.qlCalendarAdvance(Calendar,X1338,NDays&amp;"D")</f>
        <v>48388</v>
      </c>
      <c r="Z1338" s="156">
        <v>3.2451651351008692E-2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48395</v>
      </c>
      <c r="Y1339" s="155">
        <f>_xll.qlCalendarAdvance(Calendar,X1339,NDays&amp;"D")</f>
        <v>48395</v>
      </c>
      <c r="Z1339" s="156">
        <v>3.2450250901092659E-2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48402</v>
      </c>
      <c r="Y1340" s="155">
        <f>_xll.qlCalendarAdvance(Calendar,X1340,NDays&amp;"D")</f>
        <v>48402</v>
      </c>
      <c r="Z1340" s="156">
        <v>3.2448817240622319E-2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48409</v>
      </c>
      <c r="Y1341" s="155">
        <f>_xll.qlCalendarAdvance(Calendar,X1341,NDays&amp;"D")</f>
        <v>48409</v>
      </c>
      <c r="Z1341" s="156">
        <v>3.2447350369597672E-2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48416</v>
      </c>
      <c r="Y1342" s="155">
        <f>_xll.qlCalendarAdvance(Calendar,X1342,NDays&amp;"D")</f>
        <v>48416</v>
      </c>
      <c r="Z1342" s="156">
        <v>3.2445850287938782E-2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48423</v>
      </c>
      <c r="Y1343" s="155">
        <f>_xll.qlCalendarAdvance(Calendar,X1343,NDays&amp;"D")</f>
        <v>48423</v>
      </c>
      <c r="Z1343" s="156">
        <v>3.2444316995805522E-2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48430</v>
      </c>
      <c r="Y1344" s="155">
        <f>_xll.qlCalendarAdvance(Calendar,X1344,NDays&amp;"D")</f>
        <v>48430</v>
      </c>
      <c r="Z1344" s="156">
        <v>3.2442750493197892E-2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48437</v>
      </c>
      <c r="Y1345" s="155">
        <f>_xll.qlCalendarAdvance(Calendar,X1345,NDays&amp;"D")</f>
        <v>48437</v>
      </c>
      <c r="Z1345" s="156">
        <v>3.2441150780035954E-2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48444</v>
      </c>
      <c r="Y1346" s="155">
        <f>_xll.qlCalendarAdvance(Calendar,X1346,NDays&amp;"D")</f>
        <v>48444</v>
      </c>
      <c r="Z1346" s="156">
        <v>3.2439517856239775E-2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48451</v>
      </c>
      <c r="Y1347" s="155">
        <f>_xll.qlCalendarAdvance(Calendar,X1347,NDays&amp;"D")</f>
        <v>48451</v>
      </c>
      <c r="Z1347" s="156">
        <v>3.2437851721969224E-2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48458</v>
      </c>
      <c r="Y1348" s="155">
        <f>_xll.qlCalendarAdvance(Calendar,X1348,NDays&amp;"D")</f>
        <v>48458</v>
      </c>
      <c r="Z1348" s="156">
        <v>3.2436152377144367E-2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48465</v>
      </c>
      <c r="Y1349" s="155">
        <f>_xll.qlCalendarAdvance(Calendar,X1349,NDays&amp;"D")</f>
        <v>48465</v>
      </c>
      <c r="Z1349" s="156">
        <v>3.243441982184514E-2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48472</v>
      </c>
      <c r="Y1350" s="155">
        <f>_xll.qlCalendarAdvance(Calendar,X1350,NDays&amp;"D")</f>
        <v>48472</v>
      </c>
      <c r="Z1350" s="156">
        <v>3.2432654055831733E-2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48479</v>
      </c>
      <c r="Y1351" s="155">
        <f>_xll.qlCalendarAdvance(Calendar,X1351,NDays&amp;"D")</f>
        <v>48479</v>
      </c>
      <c r="Z1351" s="156">
        <v>3.2430855079423893E-2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48486</v>
      </c>
      <c r="Y1352" s="155">
        <f>_xll.qlCalendarAdvance(Calendar,X1352,NDays&amp;"D")</f>
        <v>48486</v>
      </c>
      <c r="Z1352" s="156">
        <v>3.2429022892461745E-2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48493</v>
      </c>
      <c r="Y1353" s="155">
        <f>_xll.qlCalendarAdvance(Calendar,X1353,NDays&amp;"D")</f>
        <v>48493</v>
      </c>
      <c r="Z1353" s="156">
        <v>3.2427157494945291E-2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48500</v>
      </c>
      <c r="Y1354" s="155">
        <f>_xll.qlCalendarAdvance(Calendar,X1354,NDays&amp;"D")</f>
        <v>48500</v>
      </c>
      <c r="Z1354" s="156">
        <v>3.2425258886874531E-2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48507</v>
      </c>
      <c r="Y1355" s="155">
        <f>_xll.qlCalendarAdvance(Calendar,X1355,NDays&amp;"D")</f>
        <v>48507</v>
      </c>
      <c r="Z1355" s="156">
        <v>3.2423327068249463E-2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48514</v>
      </c>
      <c r="Y1356" s="155">
        <f>_xll.qlCalendarAdvance(Calendar,X1356,NDays&amp;"D")</f>
        <v>48514</v>
      </c>
      <c r="Z1356" s="156">
        <v>3.2421362039150026E-2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48521</v>
      </c>
      <c r="Y1357" s="155">
        <f>_xll.qlCalendarAdvance(Calendar,X1357,NDays&amp;"D")</f>
        <v>48521</v>
      </c>
      <c r="Z1357" s="156">
        <v>3.2419363799416345E-2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48528</v>
      </c>
      <c r="Y1358" s="155">
        <f>_xll.qlCalendarAdvance(Calendar,X1358,NDays&amp;"D")</f>
        <v>48528</v>
      </c>
      <c r="Z1358" s="156">
        <v>3.2418645437246596E-2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48535</v>
      </c>
      <c r="Y1359" s="155">
        <f>_xll.qlCalendarAdvance(Calendar,X1359,NDays&amp;"D")</f>
        <v>48535</v>
      </c>
      <c r="Z1359" s="156">
        <v>3.2415267688445937E-2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48542</v>
      </c>
      <c r="Y1360" s="155">
        <f>_xll.qlCalendarAdvance(Calendar,X1360,NDays&amp;"D")</f>
        <v>48542</v>
      </c>
      <c r="Z1360" s="156">
        <v>3.2414477785662754E-2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48549</v>
      </c>
      <c r="Y1361" s="155">
        <f>_xll.qlCalendarAdvance(Calendar,X1361,NDays&amp;"D")</f>
        <v>48549</v>
      </c>
      <c r="Z1361" s="156">
        <v>3.2411038735338238E-2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48556</v>
      </c>
      <c r="Y1362" s="155">
        <f>_xll.qlCalendarAdvance(Calendar,X1362,NDays&amp;"D")</f>
        <v>48556</v>
      </c>
      <c r="Z1362" s="156">
        <v>3.2408874443072833E-2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48563</v>
      </c>
      <c r="Y1363" s="155">
        <f>_xll.qlCalendarAdvance(Calendar,X1363,NDays&amp;"D")</f>
        <v>48563</v>
      </c>
      <c r="Z1363" s="156">
        <v>3.2406676940173185E-2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48570</v>
      </c>
      <c r="Y1364" s="155">
        <f>_xll.qlCalendarAdvance(Calendar,X1364,NDays&amp;"D")</f>
        <v>48570</v>
      </c>
      <c r="Z1364" s="156">
        <v>3.240444622671923E-2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48577</v>
      </c>
      <c r="Y1365" s="155">
        <f>_xll.qlCalendarAdvance(Calendar,X1365,NDays&amp;"D")</f>
        <v>48577</v>
      </c>
      <c r="Z1365" s="156">
        <v>3.2402182302790905E-2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48584</v>
      </c>
      <c r="Y1366" s="155">
        <f>_xll.qlCalendarAdvance(Calendar,X1366,NDays&amp;"D")</f>
        <v>48584</v>
      </c>
      <c r="Z1366" s="156">
        <v>3.2399885168308273E-2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48591</v>
      </c>
      <c r="Y1367" s="155">
        <f>_xll.qlCalendarAdvance(Calendar,X1367,NDays&amp;"D")</f>
        <v>48591</v>
      </c>
      <c r="Z1367" s="156">
        <v>3.2397554823351271E-2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48598</v>
      </c>
      <c r="Y1368" s="155">
        <f>_xll.qlCalendarAdvance(Calendar,X1368,NDays&amp;"D")</f>
        <v>48598</v>
      </c>
      <c r="Z1368" s="156">
        <v>3.2395191267760026E-2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48605</v>
      </c>
      <c r="Y1369" s="155">
        <f>_xll.qlCalendarAdvance(Calendar,X1369,NDays&amp;"D")</f>
        <v>48605</v>
      </c>
      <c r="Z1369" s="156">
        <v>3.2392794501774347E-2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48612</v>
      </c>
      <c r="Y1370" s="155">
        <f>_xll.qlCalendarAdvance(Calendar,X1370,NDays&amp;"D")</f>
        <v>48612</v>
      </c>
      <c r="Z1370" s="156">
        <v>3.2390364525074489E-2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48619</v>
      </c>
      <c r="Y1371" s="155">
        <f>_xll.qlCalendarAdvance(Calendar,X1371,NDays&amp;"D")</f>
        <v>48619</v>
      </c>
      <c r="Z1371" s="156">
        <v>3.2387901337980196E-2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48626</v>
      </c>
      <c r="Y1372" s="155">
        <f>_xll.qlCalendarAdvance(Calendar,X1372,NDays&amp;"D")</f>
        <v>48626</v>
      </c>
      <c r="Z1372" s="156">
        <v>3.2385404940331597E-2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48633</v>
      </c>
      <c r="Y1373" s="155">
        <f>_xll.qlCalendarAdvance(Calendar,X1373,NDays&amp;"D")</f>
        <v>48633</v>
      </c>
      <c r="Z1373" s="156">
        <v>3.2382875332048755E-2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48640</v>
      </c>
      <c r="Y1374" s="155">
        <f>_xll.qlCalendarAdvance(Calendar,X1374,NDays&amp;"D")</f>
        <v>48640</v>
      </c>
      <c r="Z1374" s="156">
        <v>3.2380312513371479E-2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48647</v>
      </c>
      <c r="Y1375" s="155">
        <f>_xll.qlCalendarAdvance(Calendar,X1375,NDays&amp;"D")</f>
        <v>48647</v>
      </c>
      <c r="Z1375" s="156">
        <v>3.2377716484139896E-2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48654</v>
      </c>
      <c r="Y1376" s="155">
        <f>_xll.qlCalendarAdvance(Calendar,X1376,NDays&amp;"D")</f>
        <v>48654</v>
      </c>
      <c r="Z1376" s="156">
        <v>3.2375087244433942E-2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48661</v>
      </c>
      <c r="Y1377" s="155">
        <f>_xll.qlCalendarAdvance(Calendar,X1377,NDays&amp;"D")</f>
        <v>48661</v>
      </c>
      <c r="Z1377" s="156">
        <v>3.2372424794173682E-2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48668</v>
      </c>
      <c r="Y1378" s="155">
        <f>_xll.qlCalendarAdvance(Calendar,X1378,NDays&amp;"D")</f>
        <v>48668</v>
      </c>
      <c r="Z1378" s="156">
        <v>3.2369729133359115E-2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48675</v>
      </c>
      <c r="Y1379" s="155">
        <f>_xll.qlCalendarAdvance(Calendar,X1379,NDays&amp;"D")</f>
        <v>48675</v>
      </c>
      <c r="Z1379" s="156">
        <v>3.2367000261990242E-2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48682</v>
      </c>
      <c r="Y1380" s="155">
        <f>_xll.qlCalendarAdvance(Calendar,X1380,NDays&amp;"D")</f>
        <v>48682</v>
      </c>
      <c r="Z1380" s="156">
        <v>3.2364238180067062E-2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48689</v>
      </c>
      <c r="Y1381" s="155">
        <f>_xll.qlCalendarAdvance(Calendar,X1381,NDays&amp;"D")</f>
        <v>48689</v>
      </c>
      <c r="Z1381" s="156">
        <v>3.2361442887749448E-2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48696</v>
      </c>
      <c r="Y1382" s="155">
        <f>_xll.qlCalendarAdvance(Calendar,X1382,NDays&amp;"D")</f>
        <v>48696</v>
      </c>
      <c r="Z1382" s="156">
        <v>3.2358614384877527E-2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48703</v>
      </c>
      <c r="Y1383" s="155">
        <f>_xll.qlCalendarAdvance(Calendar,X1383,NDays&amp;"D")</f>
        <v>48703</v>
      </c>
      <c r="Z1383" s="156">
        <v>3.2355752671531235E-2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48710</v>
      </c>
      <c r="Y1384" s="155">
        <f>_xll.qlCalendarAdvance(Calendar,X1384,NDays&amp;"D")</f>
        <v>48710</v>
      </c>
      <c r="Z1384" s="156">
        <v>3.2352857747550701E-2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48717</v>
      </c>
      <c r="Y1385" s="155">
        <f>_xll.qlCalendarAdvance(Calendar,X1385,NDays&amp;"D")</f>
        <v>48717</v>
      </c>
      <c r="Z1385" s="156">
        <v>3.2349929613095796E-2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48724</v>
      </c>
      <c r="Y1386" s="155">
        <f>_xll.qlCalendarAdvance(Calendar,X1386,NDays&amp;"D")</f>
        <v>48724</v>
      </c>
      <c r="Z1386" s="156">
        <v>3.2346968268086584E-2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48731</v>
      </c>
      <c r="Y1387" s="155">
        <f>_xll.qlCalendarAdvance(Calendar,X1387,NDays&amp;"D")</f>
        <v>48731</v>
      </c>
      <c r="Z1387" s="156">
        <v>3.2343973712682939E-2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48738</v>
      </c>
      <c r="Y1388" s="155">
        <f>_xll.qlCalendarAdvance(Calendar,X1388,NDays&amp;"D")</f>
        <v>48738</v>
      </c>
      <c r="Z1388" s="156">
        <v>3.2340945946724986E-2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48745</v>
      </c>
      <c r="Y1389" s="155">
        <f>_xll.qlCalendarAdvance(Calendar,X1389,NDays&amp;"D")</f>
        <v>48745</v>
      </c>
      <c r="Z1389" s="156">
        <v>3.2337884970132791E-2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48752</v>
      </c>
      <c r="Y1390" s="155">
        <f>_xll.qlCalendarAdvance(Calendar,X1390,NDays&amp;"D")</f>
        <v>48752</v>
      </c>
      <c r="Z1390" s="156">
        <v>3.2334790783226097E-2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48759</v>
      </c>
      <c r="Y1391" s="155">
        <f>_xll.qlCalendarAdvance(Calendar,X1391,NDays&amp;"D")</f>
        <v>48759</v>
      </c>
      <c r="Z1391" s="156">
        <v>3.2331663385605225E-2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48766</v>
      </c>
      <c r="Y1392" s="155">
        <f>_xll.qlCalendarAdvance(Calendar,X1392,NDays&amp;"D")</f>
        <v>48766</v>
      </c>
      <c r="Z1392" s="156">
        <v>3.2328502777589918E-2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48773</v>
      </c>
      <c r="Y1393" s="155">
        <f>_xll.qlCalendarAdvance(Calendar,X1393,NDays&amp;"D")</f>
        <v>48773</v>
      </c>
      <c r="Z1393" s="156">
        <v>3.2325308958940369E-2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48780</v>
      </c>
      <c r="Y1394" s="155">
        <f>_xll.qlCalendarAdvance(Calendar,X1394,NDays&amp;"D")</f>
        <v>48780</v>
      </c>
      <c r="Z1394" s="156">
        <v>3.2322081929896385E-2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48787</v>
      </c>
      <c r="Y1395" s="155">
        <f>_xll.qlCalendarAdvance(Calendar,X1395,NDays&amp;"D")</f>
        <v>48787</v>
      </c>
      <c r="Z1395" s="156">
        <v>3.2318821690298094E-2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48794</v>
      </c>
      <c r="Y1396" s="155">
        <f>_xll.qlCalendarAdvance(Calendar,X1396,NDays&amp;"D")</f>
        <v>48794</v>
      </c>
      <c r="Z1396" s="156">
        <v>3.2315528240305369E-2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48801</v>
      </c>
      <c r="Y1397" s="155">
        <f>_xll.qlCalendarAdvance(Calendar,X1397,NDays&amp;"D")</f>
        <v>48801</v>
      </c>
      <c r="Z1397" s="156">
        <v>3.2312201579678401E-2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48808</v>
      </c>
      <c r="Y1398" s="155">
        <f>_xll.qlCalendarAdvance(Calendar,X1398,NDays&amp;"D")</f>
        <v>48808</v>
      </c>
      <c r="Z1398" s="156">
        <v>3.2308841708577063E-2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48815</v>
      </c>
      <c r="Y1399" s="155">
        <f>_xll.qlCalendarAdvance(Calendar,X1399,NDays&amp;"D")</f>
        <v>48815</v>
      </c>
      <c r="Z1399" s="156">
        <v>3.230544862708129E-2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48822</v>
      </c>
      <c r="Y1400" s="155">
        <f>_xll.qlCalendarAdvance(Calendar,X1400,NDays&amp;"D")</f>
        <v>48822</v>
      </c>
      <c r="Z1400" s="156">
        <v>3.2302022334871339E-2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48829</v>
      </c>
      <c r="Y1401" s="155">
        <f>_xll.qlCalendarAdvance(Calendar,X1401,NDays&amp;"D")</f>
        <v>48829</v>
      </c>
      <c r="Z1401" s="156">
        <v>3.2298562832266953E-2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48836</v>
      </c>
      <c r="Y1402" s="155">
        <f>_xll.qlCalendarAdvance(Calendar,X1402,NDays&amp;"D")</f>
        <v>48836</v>
      </c>
      <c r="Z1402" s="156">
        <v>3.229507011910826E-2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48843</v>
      </c>
      <c r="Y1403" s="155">
        <f>_xll.qlCalendarAdvance(Calendar,X1403,NDays&amp;"D")</f>
        <v>48843</v>
      </c>
      <c r="Z1403" s="156">
        <v>3.2291544195555133E-2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48850</v>
      </c>
      <c r="Y1404" s="155">
        <f>_xll.qlCalendarAdvance(Calendar,X1404,NDays&amp;"D")</f>
        <v>48850</v>
      </c>
      <c r="Z1404" s="156">
        <v>3.2287985061367763E-2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48857</v>
      </c>
      <c r="Y1405" s="155">
        <f>_xll.qlCalendarAdvance(Calendar,X1405,NDays&amp;"D")</f>
        <v>48857</v>
      </c>
      <c r="Z1405" s="156">
        <v>3.2284392716785959E-2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48864</v>
      </c>
      <c r="Y1406" s="155">
        <f>_xll.qlCalendarAdvance(Calendar,X1406,NDays&amp;"D")</f>
        <v>48864</v>
      </c>
      <c r="Z1406" s="156">
        <v>3.2280767161729784E-2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48871</v>
      </c>
      <c r="Y1407" s="155">
        <f>_xll.qlCalendarAdvance(Calendar,X1407,NDays&amp;"D")</f>
        <v>48871</v>
      </c>
      <c r="Z1407" s="156">
        <v>3.2277108396199239E-2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48878</v>
      </c>
      <c r="Y1408" s="155">
        <f>_xll.qlCalendarAdvance(Calendar,X1408,NDays&amp;"D")</f>
        <v>48878</v>
      </c>
      <c r="Z1408" s="156">
        <v>3.2273416419954515E-2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48885</v>
      </c>
      <c r="Y1409" s="155">
        <f>_xll.qlCalendarAdvance(Calendar,X1409,NDays&amp;"D")</f>
        <v>48885</v>
      </c>
      <c r="Z1409" s="156">
        <v>3.2269691233395292E-2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48892</v>
      </c>
      <c r="Y1410" s="155">
        <f>_xll.qlCalendarAdvance(Calendar,X1410,NDays&amp;"D")</f>
        <v>48892</v>
      </c>
      <c r="Z1410" s="156">
        <v>3.2265932836281763E-2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48899</v>
      </c>
      <c r="Y1411" s="155">
        <f>_xll.qlCalendarAdvance(Calendar,X1411,NDays&amp;"D")</f>
        <v>48899</v>
      </c>
      <c r="Z1411" s="156">
        <v>3.2262141228693864E-2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48906</v>
      </c>
      <c r="Y1412" s="155">
        <f>_xll.qlCalendarAdvance(Calendar,X1412,NDays&amp;"D")</f>
        <v>48906</v>
      </c>
      <c r="Z1412" s="156">
        <v>3.2259487105532614E-2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48913</v>
      </c>
      <c r="Y1413" s="155">
        <f>_xll.qlCalendarAdvance(Calendar,X1413,NDays&amp;"D")</f>
        <v>48913</v>
      </c>
      <c r="Z1413" s="156">
        <v>3.2254458381935081E-2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48920</v>
      </c>
      <c r="Y1414" s="155">
        <f>_xll.qlCalendarAdvance(Calendar,X1414,NDays&amp;"D")</f>
        <v>48920</v>
      </c>
      <c r="Z1414" s="156">
        <v>3.2250567142924069E-2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48927</v>
      </c>
      <c r="Y1415" s="155">
        <f>_xll.qlCalendarAdvance(Calendar,X1415,NDays&amp;"D")</f>
        <v>48927</v>
      </c>
      <c r="Z1415" s="156">
        <v>3.2246642693438687E-2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48934</v>
      </c>
      <c r="Y1416" s="155">
        <f>_xll.qlCalendarAdvance(Calendar,X1416,NDays&amp;"D")</f>
        <v>48934</v>
      </c>
      <c r="Z1416" s="156">
        <v>3.2242685033319063E-2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48941</v>
      </c>
      <c r="Y1417" s="155">
        <f>_xll.qlCalendarAdvance(Calendar,X1417,NDays&amp;"D")</f>
        <v>48941</v>
      </c>
      <c r="Z1417" s="156">
        <v>3.2238694162725068E-2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48948</v>
      </c>
      <c r="Y1418" s="155">
        <f>_xll.qlCalendarAdvance(Calendar,X1418,NDays&amp;"D")</f>
        <v>48948</v>
      </c>
      <c r="Z1418" s="156">
        <v>3.2234670081816574E-2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48955</v>
      </c>
      <c r="Y1419" s="155">
        <f>_xll.qlCalendarAdvance(Calendar,X1419,NDays&amp;"D")</f>
        <v>48955</v>
      </c>
      <c r="Z1419" s="156">
        <v>3.2230612790193902E-2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48962</v>
      </c>
      <c r="Y1420" s="155">
        <f>_xll.qlCalendarAdvance(Calendar,X1420,NDays&amp;"D")</f>
        <v>48962</v>
      </c>
      <c r="Z1420" s="156">
        <v>3.2226522288256731E-2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48969</v>
      </c>
      <c r="Y1421" s="155">
        <f>_xll.qlCalendarAdvance(Calendar,X1421,NDays&amp;"D")</f>
        <v>48969</v>
      </c>
      <c r="Z1421" s="156">
        <v>3.2222398575765254E-2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48976</v>
      </c>
      <c r="Y1422" s="155">
        <f>_xll.qlCalendarAdvance(Calendar,X1422,NDays&amp;"D")</f>
        <v>48976</v>
      </c>
      <c r="Z1422" s="156">
        <v>3.2218241652879342E-2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48983</v>
      </c>
      <c r="Y1423" s="155">
        <f>_xll.qlCalendarAdvance(Calendar,X1423,NDays&amp;"D")</f>
        <v>48983</v>
      </c>
      <c r="Z1423" s="156">
        <v>3.2214051519439124E-2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48990</v>
      </c>
      <c r="Y1424" s="155">
        <f>_xll.qlCalendarAdvance(Calendar,X1424,NDays&amp;"D")</f>
        <v>48990</v>
      </c>
      <c r="Z1424" s="156">
        <v>3.2209828175444599E-2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48997</v>
      </c>
      <c r="Y1425" s="155">
        <f>_xll.qlCalendarAdvance(Calendar,X1425,NDays&amp;"D")</f>
        <v>48997</v>
      </c>
      <c r="Z1425" s="156">
        <v>3.2205571621135576E-2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49004</v>
      </c>
      <c r="Y1426" s="155">
        <f>_xll.qlCalendarAdvance(Calendar,X1426,NDays&amp;"D")</f>
        <v>49004</v>
      </c>
      <c r="Z1426" s="156">
        <v>3.2201281856272246E-2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49011</v>
      </c>
      <c r="Y1427" s="155">
        <f>_xll.qlCalendarAdvance(Calendar,X1427,NDays&amp;"D")</f>
        <v>49011</v>
      </c>
      <c r="Z1427" s="156">
        <v>3.2196958880854609E-2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49018</v>
      </c>
      <c r="Y1428" s="155">
        <f>_xll.qlCalendarAdvance(Calendar,X1428,NDays&amp;"D")</f>
        <v>49018</v>
      </c>
      <c r="Z1428" s="156">
        <v>3.2192602695122474E-2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49025</v>
      </c>
      <c r="Y1429" s="155">
        <f>_xll.qlCalendarAdvance(Calendar,X1429,NDays&amp;"D")</f>
        <v>49025</v>
      </c>
      <c r="Z1429" s="156">
        <v>3.2188213298836033E-2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49032</v>
      </c>
      <c r="Y1430" s="155">
        <f>_xll.qlCalendarAdvance(Calendar,X1430,NDays&amp;"D")</f>
        <v>49032</v>
      </c>
      <c r="Z1430" s="156">
        <v>3.218379069207522E-2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49039</v>
      </c>
      <c r="Y1431" s="155">
        <f>_xll.qlCalendarAdvance(Calendar,X1431,NDays&amp;"D")</f>
        <v>49039</v>
      </c>
      <c r="Z1431" s="156">
        <v>3.2179334874680166E-2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49046</v>
      </c>
      <c r="Y1432" s="155">
        <f>_xll.qlCalendarAdvance(Calendar,X1432,NDays&amp;"D")</f>
        <v>49046</v>
      </c>
      <c r="Z1432" s="156">
        <v>3.2174845847050548E-2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49053</v>
      </c>
      <c r="Y1433" s="155">
        <f>_xll.qlCalendarAdvance(Calendar,X1433,NDays&amp;"D")</f>
        <v>49053</v>
      </c>
      <c r="Z1433" s="156">
        <v>3.2170323609026497E-2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49060</v>
      </c>
      <c r="Y1434" s="155">
        <f>_xll.qlCalendarAdvance(Calendar,X1434,NDays&amp;"D")</f>
        <v>49060</v>
      </c>
      <c r="Z1434" s="156">
        <v>3.2165768160368202E-2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49067</v>
      </c>
      <c r="Y1435" s="155">
        <f>_xll.qlCalendarAdvance(Calendar,X1435,NDays&amp;"D")</f>
        <v>49067</v>
      </c>
      <c r="Z1435" s="156">
        <v>3.2161179501155601E-2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49074</v>
      </c>
      <c r="Y1436" s="155">
        <f>_xll.qlCalendarAdvance(Calendar,X1436,NDays&amp;"D")</f>
        <v>49074</v>
      </c>
      <c r="Z1436" s="156">
        <v>3.2156557631628502E-2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49081</v>
      </c>
      <c r="Y1437" s="155">
        <f>_xll.qlCalendarAdvance(Calendar,X1437,NDays&amp;"D")</f>
        <v>49081</v>
      </c>
      <c r="Z1437" s="156">
        <v>3.2151902551547096E-2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49088</v>
      </c>
      <c r="Y1438" s="155">
        <f>_xll.qlCalendarAdvance(Calendar,X1438,NDays&amp;"D")</f>
        <v>49088</v>
      </c>
      <c r="Z1438" s="156">
        <v>3.2147214261071255E-2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49095</v>
      </c>
      <c r="Y1439" s="155">
        <f>_xll.qlCalendarAdvance(Calendar,X1439,NDays&amp;"D")</f>
        <v>49095</v>
      </c>
      <c r="Z1439" s="156">
        <v>3.2142492760121044E-2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49102</v>
      </c>
      <c r="Y1440" s="155">
        <f>_xll.qlCalendarAdvance(Calendar,X1440,NDays&amp;"D")</f>
        <v>49102</v>
      </c>
      <c r="Z1440" s="156">
        <v>3.2137738048696463E-2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49109</v>
      </c>
      <c r="Y1441" s="155">
        <f>_xll.qlCalendarAdvance(Calendar,X1441,NDays&amp;"D")</f>
        <v>49109</v>
      </c>
      <c r="Z1441" s="156">
        <v>3.2132950126717574E-2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49116</v>
      </c>
      <c r="Y1442" s="155">
        <f>_xll.qlCalendarAdvance(Calendar,X1442,NDays&amp;"D")</f>
        <v>49116</v>
      </c>
      <c r="Z1442" s="156">
        <v>3.2128128994424188E-2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49123</v>
      </c>
      <c r="Y1443" s="155">
        <f>_xll.qlCalendarAdvance(Calendar,X1443,NDays&amp;"D")</f>
        <v>49123</v>
      </c>
      <c r="Z1443" s="156">
        <v>3.2123274651736367E-2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49130</v>
      </c>
      <c r="Y1444" s="155">
        <f>_xll.qlCalendarAdvance(Calendar,X1444,NDays&amp;"D")</f>
        <v>49130</v>
      </c>
      <c r="Z1444" s="156">
        <v>3.2118387098494239E-2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49137</v>
      </c>
      <c r="Y1445" s="155">
        <f>_xll.qlCalendarAdvance(Calendar,X1445,NDays&amp;"D")</f>
        <v>49137</v>
      </c>
      <c r="Z1445" s="156">
        <v>3.211346633477774E-2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49144</v>
      </c>
      <c r="Y1446" s="155">
        <f>_xll.qlCalendarAdvance(Calendar,X1446,NDays&amp;"D")</f>
        <v>49144</v>
      </c>
      <c r="Z1446" s="156">
        <v>3.2108512360666808E-2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49151</v>
      </c>
      <c r="Y1447" s="155">
        <f>_xll.qlCalendarAdvance(Calendar,X1447,NDays&amp;"D")</f>
        <v>49151</v>
      </c>
      <c r="Z1447" s="156">
        <v>3.2103525175921632E-2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49158</v>
      </c>
      <c r="Y1448" s="155">
        <f>_xll.qlCalendarAdvance(Calendar,X1448,NDays&amp;"D")</f>
        <v>49158</v>
      </c>
      <c r="Z1448" s="156">
        <v>3.209850478102183E-2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49165</v>
      </c>
      <c r="Y1449" s="155">
        <f>_xll.qlCalendarAdvance(Calendar,X1449,NDays&amp;"D")</f>
        <v>49165</v>
      </c>
      <c r="Z1449" s="156">
        <v>3.2093451175487786E-2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49172</v>
      </c>
      <c r="Y1450" s="155">
        <f>_xll.qlCalendarAdvance(Calendar,X1450,NDays&amp;"D")</f>
        <v>49172</v>
      </c>
      <c r="Z1450" s="156">
        <v>3.2088364359559307E-2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49179</v>
      </c>
      <c r="Y1451" s="155">
        <f>_xll.qlCalendarAdvance(Calendar,X1451,NDays&amp;"D")</f>
        <v>49179</v>
      </c>
      <c r="Z1451" s="156">
        <v>3.2083244333236394E-2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49186</v>
      </c>
      <c r="Y1452" s="155">
        <f>_xll.qlCalendarAdvance(Calendar,X1452,NDays&amp;"D")</f>
        <v>49186</v>
      </c>
      <c r="Z1452" s="156">
        <v>3.2078091096359174E-2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49193</v>
      </c>
      <c r="Y1453" s="155">
        <f>_xll.qlCalendarAdvance(Calendar,X1453,NDays&amp;"D")</f>
        <v>49193</v>
      </c>
      <c r="Z1453" s="156">
        <v>3.2072904649087519E-2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49200</v>
      </c>
      <c r="Y1454" s="155">
        <f>_xll.qlCalendarAdvance(Calendar,X1454,NDays&amp;"D")</f>
        <v>49200</v>
      </c>
      <c r="Z1454" s="156">
        <v>3.206768499142143E-2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49207</v>
      </c>
      <c r="Y1455" s="155">
        <f>_xll.qlCalendarAdvance(Calendar,X1455,NDays&amp;"D")</f>
        <v>49207</v>
      </c>
      <c r="Z1455" s="156">
        <v>3.2062432123280971E-2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49214</v>
      </c>
      <c r="Y1456" s="155">
        <f>_xll.qlCalendarAdvance(Calendar,X1456,NDays&amp;"D")</f>
        <v>49214</v>
      </c>
      <c r="Z1456" s="156">
        <v>3.2057146044586204E-2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49221</v>
      </c>
      <c r="Y1457" s="155">
        <f>_xll.qlCalendarAdvance(Calendar,X1457,NDays&amp;"D")</f>
        <v>49221</v>
      </c>
      <c r="Z1457" s="156">
        <v>3.205182675557694E-2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49228</v>
      </c>
      <c r="Y1458" s="155">
        <f>_xll.qlCalendarAdvance(Calendar,X1458,NDays&amp;"D")</f>
        <v>49228</v>
      </c>
      <c r="Z1458" s="156">
        <v>3.2046474256173241E-2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49235</v>
      </c>
      <c r="Y1459" s="155">
        <f>_xll.qlCalendarAdvance(Calendar,X1459,NDays&amp;"D")</f>
        <v>49235</v>
      </c>
      <c r="Z1459" s="156">
        <v>3.2041088546295171E-2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49242</v>
      </c>
      <c r="Y1460" s="155">
        <f>_xll.qlCalendarAdvance(Calendar,X1460,NDays&amp;"D")</f>
        <v>49242</v>
      </c>
      <c r="Z1460" s="156">
        <v>3.2035669626022667E-2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49249</v>
      </c>
      <c r="Y1461" s="155">
        <f>_xll.qlCalendarAdvance(Calendar,X1461,NDays&amp;"D")</f>
        <v>49249</v>
      </c>
      <c r="Z1461" s="156">
        <v>3.2030217495195856E-2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49256</v>
      </c>
      <c r="Y1462" s="155">
        <f>_xll.qlCalendarAdvance(Calendar,X1462,NDays&amp;"D")</f>
        <v>49256</v>
      </c>
      <c r="Z1462" s="156">
        <v>3.2024734315685421E-2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49263</v>
      </c>
      <c r="Y1463" s="155">
        <f>_xll.qlCalendarAdvance(Calendar,X1463,NDays&amp;"D")</f>
        <v>49263</v>
      </c>
      <c r="Z1463" s="156">
        <v>3.2019244434415839E-2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49270</v>
      </c>
      <c r="Y1464" s="155">
        <f>_xll.qlCalendarAdvance(Calendar,X1464,NDays&amp;"D")</f>
        <v>49270</v>
      </c>
      <c r="Z1464" s="156">
        <v>3.2014786094118897E-2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49277</v>
      </c>
      <c r="Y1465" s="155">
        <f>_xll.qlCalendarAdvance(Calendar,X1465,NDays&amp;"D")</f>
        <v>49277</v>
      </c>
      <c r="Z1465" s="156">
        <v>3.2008265386744839E-2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49284</v>
      </c>
      <c r="Y1466" s="155">
        <f>_xll.qlCalendarAdvance(Calendar,X1466,NDays&amp;"D")</f>
        <v>49284</v>
      </c>
      <c r="Z1466" s="156">
        <v>3.2002776220423357E-2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49291</v>
      </c>
      <c r="Y1467" s="155">
        <f>_xll.qlCalendarAdvance(Calendar,X1467,NDays&amp;"D")</f>
        <v>49291</v>
      </c>
      <c r="Z1467" s="156">
        <v>3.1997287292311327E-2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49298</v>
      </c>
      <c r="Y1468" s="155">
        <f>_xll.qlCalendarAdvance(Calendar,X1468,NDays&amp;"D")</f>
        <v>49298</v>
      </c>
      <c r="Z1468" s="156">
        <v>3.1991798602488686E-2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49305</v>
      </c>
      <c r="Y1469" s="155">
        <f>_xll.qlCalendarAdvance(Calendar,X1469,NDays&amp;"D")</f>
        <v>49305</v>
      </c>
      <c r="Z1469" s="156">
        <v>3.1986310151035369E-2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49312</v>
      </c>
      <c r="Y1470" s="155">
        <f>_xll.qlCalendarAdvance(Calendar,X1470,NDays&amp;"D")</f>
        <v>49312</v>
      </c>
      <c r="Z1470" s="156">
        <v>3.1980821937711568E-2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49319</v>
      </c>
      <c r="Y1471" s="155">
        <f>_xll.qlCalendarAdvance(Calendar,X1471,NDays&amp;"D")</f>
        <v>49319</v>
      </c>
      <c r="Z1471" s="156">
        <v>3.1975333962837027E-2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49326</v>
      </c>
      <c r="Y1472" s="155">
        <f>_xll.qlCalendarAdvance(Calendar,X1472,NDays&amp;"D")</f>
        <v>49326</v>
      </c>
      <c r="Z1472" s="156">
        <v>3.1969846226251875E-2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49333</v>
      </c>
      <c r="Y1473" s="155">
        <f>_xll.qlCalendarAdvance(Calendar,X1473,NDays&amp;"D")</f>
        <v>49333</v>
      </c>
      <c r="Z1473" s="156">
        <v>3.1964358727876174E-2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49340</v>
      </c>
      <c r="Y1474" s="155">
        <f>_xll.qlCalendarAdvance(Calendar,X1474,NDays&amp;"D")</f>
        <v>49340</v>
      </c>
      <c r="Z1474" s="156">
        <v>3.1958871467789862E-2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49347</v>
      </c>
      <c r="Y1475" s="155">
        <f>_xll.qlCalendarAdvance(Calendar,X1475,NDays&amp;"D")</f>
        <v>49347</v>
      </c>
      <c r="Z1475" s="156">
        <v>3.1953384446072874E-2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49354</v>
      </c>
      <c r="Y1476" s="155">
        <f>_xll.qlCalendarAdvance(Calendar,X1476,NDays&amp;"D")</f>
        <v>49354</v>
      </c>
      <c r="Z1476" s="156">
        <v>3.1947897662565339E-2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49361</v>
      </c>
      <c r="Y1477" s="155">
        <f>_xll.qlCalendarAdvance(Calendar,X1477,NDays&amp;"D")</f>
        <v>49361</v>
      </c>
      <c r="Z1477" s="156">
        <v>3.1942411117427127E-2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49368</v>
      </c>
      <c r="Y1478" s="155">
        <f>_xll.qlCalendarAdvance(Calendar,X1478,NDays&amp;"D")</f>
        <v>49368</v>
      </c>
      <c r="Z1478" s="156">
        <v>3.1936924810498368E-2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49375</v>
      </c>
      <c r="Y1479" s="155">
        <f>_xll.qlCalendarAdvance(Calendar,X1479,NDays&amp;"D")</f>
        <v>49375</v>
      </c>
      <c r="Z1479" s="156">
        <v>3.1931438742018869E-2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49382</v>
      </c>
      <c r="Y1480" s="155">
        <f>_xll.qlCalendarAdvance(Calendar,X1480,NDays&amp;"D")</f>
        <v>49382</v>
      </c>
      <c r="Z1480" s="156">
        <v>3.1925952911748823E-2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49389</v>
      </c>
      <c r="Y1481" s="155">
        <f>_xll.qlCalendarAdvance(Calendar,X1481,NDays&amp;"D")</f>
        <v>49389</v>
      </c>
      <c r="Z1481" s="156">
        <v>3.1920467319688228E-2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49396</v>
      </c>
      <c r="Y1482" s="155">
        <f>_xll.qlCalendarAdvance(Calendar,X1482,NDays&amp;"D")</f>
        <v>49396</v>
      </c>
      <c r="Z1482" s="156">
        <v>3.1914981965996958E-2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49403</v>
      </c>
      <c r="Y1483" s="155">
        <f>_xll.qlCalendarAdvance(Calendar,X1483,NDays&amp;"D")</f>
        <v>49403</v>
      </c>
      <c r="Z1483" s="156">
        <v>3.1909496850595076E-2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49410</v>
      </c>
      <c r="Y1484" s="155">
        <f>_xll.qlCalendarAdvance(Calendar,X1484,NDays&amp;"D")</f>
        <v>49410</v>
      </c>
      <c r="Z1484" s="156">
        <v>3.1904011973402646E-2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49417</v>
      </c>
      <c r="Y1485" s="155">
        <f>_xll.qlCalendarAdvance(Calendar,X1485,NDays&amp;"D")</f>
        <v>49417</v>
      </c>
      <c r="Z1485" s="156">
        <v>3.1898527334659477E-2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49424</v>
      </c>
      <c r="Y1486" s="155">
        <f>_xll.qlCalendarAdvance(Calendar,X1486,NDays&amp;"D")</f>
        <v>49424</v>
      </c>
      <c r="Z1486" s="156">
        <v>3.1893042934045823E-2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49431</v>
      </c>
      <c r="Y1487" s="155">
        <f>_xll.qlCalendarAdvance(Calendar,X1487,NDays&amp;"D")</f>
        <v>49431</v>
      </c>
      <c r="Z1487" s="156">
        <v>3.1887558771801494E-2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49438</v>
      </c>
      <c r="Y1488" s="155">
        <f>_xll.qlCalendarAdvance(Calendar,X1488,NDays&amp;"D")</f>
        <v>49438</v>
      </c>
      <c r="Z1488" s="156">
        <v>3.1882074848006425E-2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49445</v>
      </c>
      <c r="Y1489" s="155">
        <f>_xll.qlCalendarAdvance(Calendar,X1489,NDays&amp;"D")</f>
        <v>49445</v>
      </c>
      <c r="Z1489" s="156">
        <v>3.1876591162340873E-2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49452</v>
      </c>
      <c r="Y1490" s="155">
        <f>_xll.qlCalendarAdvance(Calendar,X1490,NDays&amp;"D")</f>
        <v>49452</v>
      </c>
      <c r="Z1490" s="156">
        <v>3.1871107714964708E-2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49459</v>
      </c>
      <c r="Y1491" s="155">
        <f>_xll.qlCalendarAdvance(Calendar,X1491,NDays&amp;"D")</f>
        <v>49459</v>
      </c>
      <c r="Z1491" s="156">
        <v>3.1865624505877932E-2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49466</v>
      </c>
      <c r="Y1492" s="155">
        <f>_xll.qlCalendarAdvance(Calendar,X1492,NDays&amp;"D")</f>
        <v>49466</v>
      </c>
      <c r="Z1492" s="156">
        <v>3.1860141535080544E-2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49473</v>
      </c>
      <c r="Y1493" s="155">
        <f>_xll.qlCalendarAdvance(Calendar,X1493,NDays&amp;"D")</f>
        <v>49473</v>
      </c>
      <c r="Z1493" s="156">
        <v>3.1854658802572544E-2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49480</v>
      </c>
      <c r="Y1494" s="155">
        <f>_xll.qlCalendarAdvance(Calendar,X1494,NDays&amp;"D")</f>
        <v>49480</v>
      </c>
      <c r="Z1494" s="156">
        <v>3.1849176308433869E-2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49487</v>
      </c>
      <c r="Y1495" s="155">
        <f>_xll.qlCalendarAdvance(Calendar,X1495,NDays&amp;"D")</f>
        <v>49487</v>
      </c>
      <c r="Z1495" s="156">
        <v>3.1843694052584581E-2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49495</v>
      </c>
      <c r="Y1496" s="155">
        <f>_xll.qlCalendarAdvance(Calendar,X1496,NDays&amp;"D")</f>
        <v>49495</v>
      </c>
      <c r="Z1496" s="156">
        <v>3.1837428909060606E-2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49502</v>
      </c>
      <c r="Y1497" s="155">
        <f>_xll.qlCalendarAdvance(Calendar,X1497,NDays&amp;"D")</f>
        <v>49502</v>
      </c>
      <c r="Z1497" s="156">
        <v>3.1831947163842855E-2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49509</v>
      </c>
      <c r="Y1498" s="155">
        <f>_xll.qlCalendarAdvance(Calendar,X1498,NDays&amp;"D")</f>
        <v>49509</v>
      </c>
      <c r="Z1498" s="156">
        <v>3.1826465656754621E-2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49516</v>
      </c>
      <c r="Y1499" s="155">
        <f>_xll.qlCalendarAdvance(Calendar,X1499,NDays&amp;"D")</f>
        <v>49516</v>
      </c>
      <c r="Z1499" s="156">
        <v>3.1820984388115647E-2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49523</v>
      </c>
      <c r="Y1500" s="155">
        <f>_xll.qlCalendarAdvance(Calendar,X1500,NDays&amp;"D")</f>
        <v>49523</v>
      </c>
      <c r="Z1500" s="156">
        <v>3.1815503357766062E-2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49530</v>
      </c>
      <c r="Y1501" s="155">
        <f>_xll.qlCalendarAdvance(Calendar,X1501,NDays&amp;"D")</f>
        <v>49530</v>
      </c>
      <c r="Z1501" s="156">
        <v>3.1810022565625928E-2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49537</v>
      </c>
      <c r="Y1502" s="155">
        <f>_xll.qlCalendarAdvance(Calendar,X1502,NDays&amp;"D")</f>
        <v>49537</v>
      </c>
      <c r="Z1502" s="156">
        <v>3.1804542011855119E-2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49544</v>
      </c>
      <c r="Y1503" s="155">
        <f>_xll.qlCalendarAdvance(Calendar,X1503,NDays&amp;"D")</f>
        <v>49544</v>
      </c>
      <c r="Z1503" s="156">
        <v>3.1799061696293762E-2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49551</v>
      </c>
      <c r="Y1504" s="155">
        <f>_xll.qlCalendarAdvance(Calendar,X1504,NDays&amp;"D")</f>
        <v>49551</v>
      </c>
      <c r="Z1504" s="156">
        <v>3.1793581619181666E-2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49558</v>
      </c>
      <c r="Y1505" s="155">
        <f>_xll.qlCalendarAdvance(Calendar,X1505,NDays&amp;"D")</f>
        <v>49558</v>
      </c>
      <c r="Z1505" s="156">
        <v>3.1788101780119149E-2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49565</v>
      </c>
      <c r="Y1506" s="155">
        <f>_xll.qlCalendarAdvance(Calendar,X1506,NDays&amp;"D")</f>
        <v>49565</v>
      </c>
      <c r="Z1506" s="156">
        <v>3.1782622179585829E-2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49572</v>
      </c>
      <c r="Y1507" s="155">
        <f>_xll.qlCalendarAdvance(Calendar,X1507,NDays&amp;"D")</f>
        <v>49572</v>
      </c>
      <c r="Z1507" s="156">
        <v>3.1777142817261961E-2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49579</v>
      </c>
      <c r="Y1508" s="155">
        <f>_xll.qlCalendarAdvance(Calendar,X1508,NDays&amp;"D")</f>
        <v>49579</v>
      </c>
      <c r="Z1508" s="156">
        <v>3.1771663693227481E-2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49586</v>
      </c>
      <c r="Y1509" s="155">
        <f>_xll.qlCalendarAdvance(Calendar,X1509,NDays&amp;"D")</f>
        <v>49586</v>
      </c>
      <c r="Z1509" s="156">
        <v>3.1766184807482389E-2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49593</v>
      </c>
      <c r="Y1510" s="155">
        <f>_xll.qlCalendarAdvance(Calendar,X1510,NDays&amp;"D")</f>
        <v>49593</v>
      </c>
      <c r="Z1510" s="156">
        <v>3.1760706160026686E-2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49600</v>
      </c>
      <c r="Y1511" s="155">
        <f>_xll.qlCalendarAdvance(Calendar,X1511,NDays&amp;"D")</f>
        <v>49600</v>
      </c>
      <c r="Z1511" s="156">
        <v>3.1755227750780435E-2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49607</v>
      </c>
      <c r="Y1512" s="155">
        <f>_xll.qlCalendarAdvance(Calendar,X1512,NDays&amp;"D")</f>
        <v>49607</v>
      </c>
      <c r="Z1512" s="156">
        <v>3.1749749579983444E-2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49614</v>
      </c>
      <c r="Y1513" s="155">
        <f>_xll.qlCalendarAdvance(Calendar,X1513,NDays&amp;"D")</f>
        <v>49614</v>
      </c>
      <c r="Z1513" s="156">
        <v>3.1744271647475841E-2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49621</v>
      </c>
      <c r="Y1514" s="155">
        <f>_xll.qlCalendarAdvance(Calendar,X1514,NDays&amp;"D")</f>
        <v>49621</v>
      </c>
      <c r="Z1514" s="156">
        <v>3.1738793953177691E-2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49628</v>
      </c>
      <c r="Y1515" s="155">
        <f>_xll.qlCalendarAdvance(Calendar,X1515,NDays&amp;"D")</f>
        <v>49628</v>
      </c>
      <c r="Z1515" s="156">
        <v>3.1733316497168929E-2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49636</v>
      </c>
      <c r="Y1516" s="155">
        <f>_xll.qlCalendarAdvance(Calendar,X1516,NDays&amp;"D")</f>
        <v>49636</v>
      </c>
      <c r="Z1516" s="156">
        <v>3.1729070477872767E-2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49643</v>
      </c>
      <c r="Y1517" s="155">
        <f>_xll.qlCalendarAdvance(Calendar,X1517,NDays&amp;"D")</f>
        <v>49643</v>
      </c>
      <c r="Z1517" s="156">
        <v>3.1723592601213824E-2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49650</v>
      </c>
      <c r="Y1518" s="155">
        <f>_xll.qlCalendarAdvance(Calendar,X1518,NDays&amp;"D")</f>
        <v>49650</v>
      </c>
      <c r="Z1518" s="156">
        <v>3.1718114963110722E-2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49657</v>
      </c>
      <c r="Y1519" s="155">
        <f>_xll.qlCalendarAdvance(Calendar,X1519,NDays&amp;"D")</f>
        <v>49657</v>
      </c>
      <c r="Z1519" s="156">
        <v>3.1712637563510171E-2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49664</v>
      </c>
      <c r="Y1520" s="155">
        <f>_xll.qlCalendarAdvance(Calendar,X1520,NDays&amp;"D")</f>
        <v>49664</v>
      </c>
      <c r="Z1520" s="156">
        <v>3.1707160402385526E-2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49671</v>
      </c>
      <c r="Y1521" s="155">
        <f>_xll.qlCalendarAdvance(Calendar,X1521,NDays&amp;"D")</f>
        <v>49671</v>
      </c>
      <c r="Z1521" s="156">
        <v>3.1701683479736786E-2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49678</v>
      </c>
      <c r="Y1522" s="155">
        <f>_xll.qlCalendarAdvance(Calendar,X1522,NDays&amp;"D")</f>
        <v>49678</v>
      </c>
      <c r="Z1522" s="156">
        <v>3.1696206795617243E-2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49685</v>
      </c>
      <c r="Y1523" s="155">
        <f>_xll.qlCalendarAdvance(Calendar,X1523,NDays&amp;"D")</f>
        <v>49685</v>
      </c>
      <c r="Z1523" s="156">
        <v>3.1690730350000251E-2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49692</v>
      </c>
      <c r="Y1524" s="155">
        <f>_xll.qlCalendarAdvance(Calendar,X1524,NDays&amp;"D")</f>
        <v>49692</v>
      </c>
      <c r="Z1524" s="156">
        <v>3.1686257261960282E-2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49699</v>
      </c>
      <c r="Y1525" s="155">
        <f>_xll.qlCalendarAdvance(Calendar,X1525,NDays&amp;"D")</f>
        <v>49699</v>
      </c>
      <c r="Z1525" s="156">
        <v>3.1679778174300566E-2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49706</v>
      </c>
      <c r="Y1526" s="155">
        <f>_xll.qlCalendarAdvance(Calendar,X1526,NDays&amp;"D")</f>
        <v>49706</v>
      </c>
      <c r="Z1526" s="156">
        <v>3.1674302444137936E-2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49713</v>
      </c>
      <c r="Y1527" s="155">
        <f>_xll.qlCalendarAdvance(Calendar,X1527,NDays&amp;"D")</f>
        <v>49713</v>
      </c>
      <c r="Z1527" s="156">
        <v>3.1668826952557794E-2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49720</v>
      </c>
      <c r="Y1528" s="155">
        <f>_xll.qlCalendarAdvance(Calendar,X1528,NDays&amp;"D")</f>
        <v>49720</v>
      </c>
      <c r="Z1528" s="156">
        <v>3.1664352959768216E-2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49727</v>
      </c>
      <c r="Y1529" s="155">
        <f>_xll.qlCalendarAdvance(Calendar,X1529,NDays&amp;"D")</f>
        <v>49727</v>
      </c>
      <c r="Z1529" s="156">
        <v>3.1657876684825226E-2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49734</v>
      </c>
      <c r="Y1530" s="155">
        <f>_xll.qlCalendarAdvance(Calendar,X1530,NDays&amp;"D")</f>
        <v>49734</v>
      </c>
      <c r="Z1530" s="156">
        <v>3.1652401908699446E-2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49741</v>
      </c>
      <c r="Y1531" s="155">
        <f>_xll.qlCalendarAdvance(Calendar,X1531,NDays&amp;"D")</f>
        <v>49741</v>
      </c>
      <c r="Z1531" s="156">
        <v>3.1646927371076217E-2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49748</v>
      </c>
      <c r="Y1532" s="155">
        <f>_xll.qlCalendarAdvance(Calendar,X1532,NDays&amp;"D")</f>
        <v>49748</v>
      </c>
      <c r="Z1532" s="156">
        <v>3.1641453072008829E-2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49755</v>
      </c>
      <c r="Y1533" s="155">
        <f>_xll.qlCalendarAdvance(Calendar,X1533,NDays&amp;"D")</f>
        <v>49755</v>
      </c>
      <c r="Z1533" s="156">
        <v>3.1635979011390702E-2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49762</v>
      </c>
      <c r="Y1534" s="155">
        <f>_xll.qlCalendarAdvance(Calendar,X1534,NDays&amp;"D")</f>
        <v>49762</v>
      </c>
      <c r="Z1534" s="156">
        <v>3.1630505189275127E-2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49769</v>
      </c>
      <c r="Y1535" s="155">
        <f>_xll.qlCalendarAdvance(Calendar,X1535,NDays&amp;"D")</f>
        <v>49769</v>
      </c>
      <c r="Z1535" s="156">
        <v>3.1625031605635456E-2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49776</v>
      </c>
      <c r="Y1536" s="155">
        <f>_xll.qlCalendarAdvance(Calendar,X1536,NDays&amp;"D")</f>
        <v>49776</v>
      </c>
      <c r="Z1536" s="156">
        <v>3.1619558260551628E-2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49783</v>
      </c>
      <c r="Y1537" s="155">
        <f>_xll.qlCalendarAdvance(Calendar,X1537,NDays&amp;"D")</f>
        <v>49783</v>
      </c>
      <c r="Z1537" s="156">
        <v>3.1614085153996996E-2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49790</v>
      </c>
      <c r="Y1538" s="155">
        <f>_xll.qlCalendarAdvance(Calendar,X1538,NDays&amp;"D")</f>
        <v>49790</v>
      </c>
      <c r="Z1538" s="156">
        <v>3.1608612285891624E-2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49797</v>
      </c>
      <c r="Y1539" s="155">
        <f>_xll.qlCalendarAdvance(Calendar,X1539,NDays&amp;"D")</f>
        <v>49797</v>
      </c>
      <c r="Z1539" s="156">
        <v>3.1603139656235513E-2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49804</v>
      </c>
      <c r="Y1540" s="155">
        <f>_xll.qlCalendarAdvance(Calendar,X1540,NDays&amp;"D")</f>
        <v>49804</v>
      </c>
      <c r="Z1540" s="156">
        <v>3.1597667265161888E-2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49811</v>
      </c>
      <c r="Y1541" s="155">
        <f>_xll.qlCalendarAdvance(Calendar,X1541,NDays&amp;"D")</f>
        <v>49811</v>
      </c>
      <c r="Z1541" s="156">
        <v>3.159219511256417E-2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49818</v>
      </c>
      <c r="Y1542" s="155">
        <f>_xll.qlCalendarAdvance(Calendar,X1542,NDays&amp;"D")</f>
        <v>49818</v>
      </c>
      <c r="Z1542" s="156">
        <v>3.1587717966377049E-2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49825</v>
      </c>
      <c r="Y1543" s="155">
        <f>_xll.qlCalendarAdvance(Calendar,X1543,NDays&amp;"D")</f>
        <v>49825</v>
      </c>
      <c r="Z1543" s="156">
        <v>3.158125152284974E-2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49832</v>
      </c>
      <c r="Y1544" s="155">
        <f>_xll.qlCalendarAdvance(Calendar,X1544,NDays&amp;"D")</f>
        <v>49832</v>
      </c>
      <c r="Z1544" s="156">
        <v>3.157578008573303E-2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49839</v>
      </c>
      <c r="Y1545" s="155">
        <f>_xll.qlCalendarAdvance(Calendar,X1545,NDays&amp;"D")</f>
        <v>49839</v>
      </c>
      <c r="Z1545" s="156">
        <v>3.157030888717216E-2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49846</v>
      </c>
      <c r="Y1546" s="155">
        <f>_xll.qlCalendarAdvance(Calendar,X1546,NDays&amp;"D")</f>
        <v>49846</v>
      </c>
      <c r="Z1546" s="156">
        <v>3.1564837927033906E-2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49853</v>
      </c>
      <c r="Y1547" s="155">
        <f>_xll.qlCalendarAdvance(Calendar,X1547,NDays&amp;"D")</f>
        <v>49853</v>
      </c>
      <c r="Z1547" s="156">
        <v>3.1559367205478139E-2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49863</v>
      </c>
      <c r="Y1548" s="155">
        <f>_xll.qlCalendarAdvance(Calendar,X1548,NDays&amp;"D")</f>
        <v>49863</v>
      </c>
      <c r="Z1548" s="156">
        <v>3.1549568757265334E-2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49870</v>
      </c>
      <c r="Y1549" s="155">
        <f>_xll.qlCalendarAdvance(Calendar,X1549,NDays&amp;"D")</f>
        <v>49870</v>
      </c>
      <c r="Z1549" s="156">
        <v>3.1544099539306814E-2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49877</v>
      </c>
      <c r="Y1550" s="155">
        <f>_xll.qlCalendarAdvance(Calendar,X1550,NDays&amp;"D")</f>
        <v>49877</v>
      </c>
      <c r="Z1550" s="156">
        <v>3.1538630559717618E-2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49884</v>
      </c>
      <c r="Y1551" s="155">
        <f>_xll.qlCalendarAdvance(Calendar,X1551,NDays&amp;"D")</f>
        <v>49884</v>
      </c>
      <c r="Z1551" s="156">
        <v>3.1533161818497746E-2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49891</v>
      </c>
      <c r="Y1552" s="155">
        <f>_xll.qlCalendarAdvance(Calendar,X1552,NDays&amp;"D")</f>
        <v>49891</v>
      </c>
      <c r="Z1552" s="156">
        <v>3.1527693315487326E-2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49898</v>
      </c>
      <c r="Y1553" s="155">
        <f>_xll.qlCalendarAdvance(Calendar,X1553,NDays&amp;"D")</f>
        <v>49898</v>
      </c>
      <c r="Z1553" s="156">
        <v>3.1522225050846231E-2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49905</v>
      </c>
      <c r="Y1554" s="155">
        <f>_xll.qlCalendarAdvance(Calendar,X1554,NDays&amp;"D")</f>
        <v>49905</v>
      </c>
      <c r="Z1554" s="156">
        <v>3.1516757024334652E-2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49912</v>
      </c>
      <c r="Y1555" s="155">
        <f>_xll.qlCalendarAdvance(Calendar,X1555,NDays&amp;"D")</f>
        <v>49912</v>
      </c>
      <c r="Z1555" s="156">
        <v>3.1511289236272333E-2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49920</v>
      </c>
      <c r="Y1556" s="155">
        <f>_xll.qlCalendarAdvance(Calendar,X1556,NDays&amp;"D")</f>
        <v>49920</v>
      </c>
      <c r="Z1556" s="156">
        <v>3.1505040627282099E-2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49927</v>
      </c>
      <c r="Y1557" s="155">
        <f>_xll.qlCalendarAdvance(Calendar,X1557,NDays&amp;"D")</f>
        <v>49927</v>
      </c>
      <c r="Z1557" s="156">
        <v>3.1499573349851318E-2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49934</v>
      </c>
      <c r="Y1558" s="155">
        <f>_xll.qlCalendarAdvance(Calendar,X1558,NDays&amp;"D")</f>
        <v>49934</v>
      </c>
      <c r="Z1558" s="156">
        <v>3.1494106310629988E-2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49941</v>
      </c>
      <c r="Y1559" s="155">
        <f>_xll.qlCalendarAdvance(Calendar,X1559,NDays&amp;"D")</f>
        <v>49941</v>
      </c>
      <c r="Z1559" s="156">
        <v>3.1488639509698046E-2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49948</v>
      </c>
      <c r="Y1560" s="155">
        <f>_xll.qlCalendarAdvance(Calendar,X1560,NDays&amp;"D")</f>
        <v>49948</v>
      </c>
      <c r="Z1560" s="156">
        <v>3.1483172947135429E-2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49955</v>
      </c>
      <c r="Y1561" s="155">
        <f>_xll.qlCalendarAdvance(Calendar,X1561,NDays&amp;"D")</f>
        <v>49955</v>
      </c>
      <c r="Z1561" s="156">
        <v>3.1477706622782264E-2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49962</v>
      </c>
      <c r="Y1562" s="155">
        <f>_xll.qlCalendarAdvance(Calendar,X1562,NDays&amp;"D")</f>
        <v>49962</v>
      </c>
      <c r="Z1562" s="156">
        <v>3.1472240536718488E-2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49969</v>
      </c>
      <c r="Y1563" s="155">
        <f>_xll.qlCalendarAdvance(Calendar,X1563,NDays&amp;"D")</f>
        <v>49969</v>
      </c>
      <c r="Z1563" s="156">
        <v>3.1466774688944099E-2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49976</v>
      </c>
      <c r="Y1564" s="155">
        <f>_xll.qlCalendarAdvance(Calendar,X1564,NDays&amp;"D")</f>
        <v>49976</v>
      </c>
      <c r="Z1564" s="156">
        <v>3.1461309079539035E-2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49983</v>
      </c>
      <c r="Y1565" s="155">
        <f>_xll.qlCalendarAdvance(Calendar,X1565,NDays&amp;"D")</f>
        <v>49983</v>
      </c>
      <c r="Z1565" s="156">
        <v>3.1455843708343423E-2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49991</v>
      </c>
      <c r="Y1566" s="155">
        <f>_xll.qlCalendarAdvance(Calendar,X1566,NDays&amp;"D")</f>
        <v>49991</v>
      </c>
      <c r="Z1566" s="156">
        <v>3.1449597861623602E-2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49998</v>
      </c>
      <c r="Y1567" s="155">
        <f>_xll.qlCalendarAdvance(Calendar,X1567,NDays&amp;"D")</f>
        <v>49998</v>
      </c>
      <c r="Z1567" s="156">
        <v>3.1444133001219399E-2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50005</v>
      </c>
      <c r="Y1568" s="155">
        <f>_xll.qlCalendarAdvance(Calendar,X1568,NDays&amp;"D")</f>
        <v>50005</v>
      </c>
      <c r="Z1568" s="156">
        <v>3.1439650788138707E-2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50012</v>
      </c>
      <c r="Y1569" s="155">
        <f>_xll.qlCalendarAdvance(Calendar,X1569,NDays&amp;"D")</f>
        <v>50012</v>
      </c>
      <c r="Z1569" s="156">
        <v>3.1433203994959413E-2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50019</v>
      </c>
      <c r="Y1570" s="155">
        <f>_xll.qlCalendarAdvance(Calendar,X1570,NDays&amp;"D")</f>
        <v>50019</v>
      </c>
      <c r="Z1570" s="156">
        <v>3.1427739849343439E-2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50026</v>
      </c>
      <c r="Y1571" s="155">
        <f>_xll.qlCalendarAdvance(Calendar,X1571,NDays&amp;"D")</f>
        <v>50026</v>
      </c>
      <c r="Z1571" s="156">
        <v>3.1422275941936917E-2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50033</v>
      </c>
      <c r="Y1572" s="155">
        <f>_xll.qlCalendarAdvance(Calendar,X1572,NDays&amp;"D")</f>
        <v>50033</v>
      </c>
      <c r="Z1572" s="156">
        <v>3.1417792842165504E-2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50040</v>
      </c>
      <c r="Y1573" s="155">
        <f>_xll.qlCalendarAdvance(Calendar,X1573,NDays&amp;"D")</f>
        <v>50040</v>
      </c>
      <c r="Z1573" s="156">
        <v>3.1412328951665458E-2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50047</v>
      </c>
      <c r="Y1574" s="155">
        <f>_xll.qlCalendarAdvance(Calendar,X1574,NDays&amp;"D")</f>
        <v>50047</v>
      </c>
      <c r="Z1574" s="156">
        <v>3.1405885649613552E-2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50054</v>
      </c>
      <c r="Y1575" s="155">
        <f>_xll.qlCalendarAdvance(Calendar,X1575,NDays&amp;"D")</f>
        <v>50054</v>
      </c>
      <c r="Z1575" s="156">
        <v>3.1400422695364583E-2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50061</v>
      </c>
      <c r="Y1576" s="155">
        <f>_xll.qlCalendarAdvance(Calendar,X1576,NDays&amp;"D")</f>
        <v>50061</v>
      </c>
      <c r="Z1576" s="156">
        <v>3.1394959979564874E-2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50068</v>
      </c>
      <c r="Y1577" s="155">
        <f>_xll.qlCalendarAdvance(Calendar,X1577,NDays&amp;"D")</f>
        <v>50068</v>
      </c>
      <c r="Z1577" s="156">
        <v>3.1389497501814745E-2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50075</v>
      </c>
      <c r="Y1578" s="155">
        <f>_xll.qlCalendarAdvance(Calendar,X1578,NDays&amp;"D")</f>
        <v>50075</v>
      </c>
      <c r="Z1578" s="156">
        <v>3.1384035262593812E-2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50082</v>
      </c>
      <c r="Y1579" s="155">
        <f>_xll.qlCalendarAdvance(Calendar,X1579,NDays&amp;"D")</f>
        <v>50082</v>
      </c>
      <c r="Z1579" s="156">
        <v>3.1378573261502396E-2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50089</v>
      </c>
      <c r="Y1580" s="155">
        <f>_xll.qlCalendarAdvance(Calendar,X1580,NDays&amp;"D")</f>
        <v>50089</v>
      </c>
      <c r="Z1580" s="156">
        <v>3.137311149886024E-2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50096</v>
      </c>
      <c r="Y1581" s="155">
        <f>_xll.qlCalendarAdvance(Calendar,X1581,NDays&amp;"D")</f>
        <v>50096</v>
      </c>
      <c r="Z1581" s="156">
        <v>3.1367649974427536E-2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50103</v>
      </c>
      <c r="Y1582" s="155">
        <f>_xll.qlCalendarAdvance(Calendar,X1582,NDays&amp;"D")</f>
        <v>50103</v>
      </c>
      <c r="Z1582" s="156">
        <v>3.1362188688204284E-2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50110</v>
      </c>
      <c r="Y1583" s="155">
        <f>_xll.qlCalendarAdvance(Calendar,X1583,NDays&amp;"D")</f>
        <v>50110</v>
      </c>
      <c r="Z1583" s="156">
        <v>3.1356727640350357E-2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50117</v>
      </c>
      <c r="Y1584" s="155">
        <f>_xll.qlCalendarAdvance(Calendar,X1584,NDays&amp;"D")</f>
        <v>50117</v>
      </c>
      <c r="Z1584" s="156">
        <v>3.1351266830785818E-2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50124</v>
      </c>
      <c r="Y1585" s="155">
        <f>_xll.qlCalendarAdvance(Calendar,X1585,NDays&amp;"D")</f>
        <v>50124</v>
      </c>
      <c r="Z1585" s="156">
        <v>3.1345806259590603E-2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50131</v>
      </c>
      <c r="Y1586" s="155">
        <f>_xll.qlCalendarAdvance(Calendar,X1586,NDays&amp;"D")</f>
        <v>50131</v>
      </c>
      <c r="Z1586" s="156">
        <v>3.134034592660484E-2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50138</v>
      </c>
      <c r="Y1587" s="155">
        <f>_xll.qlCalendarAdvance(Calendar,X1587,NDays&amp;"D")</f>
        <v>50138</v>
      </c>
      <c r="Z1587" s="156">
        <v>3.1334885831908466E-2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50145</v>
      </c>
      <c r="Y1588" s="155">
        <f>_xll.qlCalendarAdvance(Calendar,X1588,NDays&amp;"D")</f>
        <v>50145</v>
      </c>
      <c r="Z1588" s="156">
        <v>3.1329425975581415E-2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50152</v>
      </c>
      <c r="Y1589" s="155">
        <f>_xll.qlCalendarAdvance(Calendar,X1589,NDays&amp;"D")</f>
        <v>50152</v>
      </c>
      <c r="Z1589" s="156">
        <v>3.1323966357383881E-2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50159</v>
      </c>
      <c r="Y1590" s="155">
        <f>_xll.qlCalendarAdvance(Calendar,X1590,NDays&amp;"D")</f>
        <v>50159</v>
      </c>
      <c r="Z1590" s="156">
        <v>3.1318506977555671E-2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50166</v>
      </c>
      <c r="Y1591" s="155">
        <f>_xll.qlCalendarAdvance(Calendar,X1591,NDays&amp;"D")</f>
        <v>50166</v>
      </c>
      <c r="Z1591" s="156">
        <v>3.131304783601685E-2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50173</v>
      </c>
      <c r="Y1592" s="155">
        <f>_xll.qlCalendarAdvance(Calendar,X1592,NDays&amp;"D")</f>
        <v>50173</v>
      </c>
      <c r="Z1592" s="156">
        <v>3.1307588932847352E-2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50180</v>
      </c>
      <c r="Y1593" s="155">
        <f>_xll.qlCalendarAdvance(Calendar,X1593,NDays&amp;"D")</f>
        <v>50180</v>
      </c>
      <c r="Z1593" s="156">
        <v>3.1302130267887307E-2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50187</v>
      </c>
      <c r="Y1594" s="155">
        <f>_xll.qlCalendarAdvance(Calendar,X1594,NDays&amp;"D")</f>
        <v>50187</v>
      </c>
      <c r="Z1594" s="156">
        <v>3.1296671841296586E-2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50194</v>
      </c>
      <c r="Y1595" s="155">
        <f>_xll.qlCalendarAdvance(Calendar,X1595,NDays&amp;"D")</f>
        <v>50194</v>
      </c>
      <c r="Z1595" s="156">
        <v>3.1291213652835381E-2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50201</v>
      </c>
      <c r="Y1596" s="155">
        <f>_xll.qlCalendarAdvance(Calendar,X1596,NDays&amp;"D")</f>
        <v>50201</v>
      </c>
      <c r="Z1596" s="156">
        <v>3.1285755702903373E-2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50208</v>
      </c>
      <c r="Y1597" s="155">
        <f>_xll.qlCalendarAdvance(Calendar,X1597,NDays&amp;"D")</f>
        <v>50208</v>
      </c>
      <c r="Z1597" s="156">
        <v>3.128029799110088E-2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50215</v>
      </c>
      <c r="Y1598" s="155">
        <f>_xll.qlCalendarAdvance(Calendar,X1598,NDays&amp;"D")</f>
        <v>50215</v>
      </c>
      <c r="Z1598" s="156">
        <v>3.127484051750784E-2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50222</v>
      </c>
      <c r="Y1599" s="155">
        <f>_xll.qlCalendarAdvance(Calendar,X1599,NDays&amp;"D")</f>
        <v>50222</v>
      </c>
      <c r="Z1599" s="156">
        <v>3.1269383282364061E-2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50229</v>
      </c>
      <c r="Y1600" s="155">
        <f>_xll.qlCalendarAdvance(Calendar,X1600,NDays&amp;"D")</f>
        <v>50229</v>
      </c>
      <c r="Z1600" s="156">
        <v>3.1263926285509669E-2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50236</v>
      </c>
      <c r="Y1601" s="155">
        <f>_xll.qlCalendarAdvance(Calendar,X1601,NDays&amp;"D")</f>
        <v>50236</v>
      </c>
      <c r="Z1601" s="156">
        <v>3.1258469526864729E-2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50243</v>
      </c>
      <c r="Y1602" s="155">
        <f>_xll.qlCalendarAdvance(Calendar,X1602,NDays&amp;"D")</f>
        <v>50243</v>
      </c>
      <c r="Z1602" s="156">
        <v>3.1253013006509178E-2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50250</v>
      </c>
      <c r="Y1603" s="155">
        <f>_xll.qlCalendarAdvance(Calendar,X1603,NDays&amp;"D")</f>
        <v>50250</v>
      </c>
      <c r="Z1603" s="156">
        <v>3.1247556724602887E-2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50257</v>
      </c>
      <c r="Y1604" s="155">
        <f>_xll.qlCalendarAdvance(Calendar,X1604,NDays&amp;"D")</f>
        <v>50257</v>
      </c>
      <c r="Z1604" s="156">
        <v>3.1242100680826113E-2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50264</v>
      </c>
      <c r="Y1605" s="155">
        <f>_xll.qlCalendarAdvance(Calendar,X1605,NDays&amp;"D")</f>
        <v>50264</v>
      </c>
      <c r="Z1605" s="156">
        <v>3.1236644875338726E-2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50271</v>
      </c>
      <c r="Y1606" s="155">
        <f>_xll.qlCalendarAdvance(Calendar,X1606,NDays&amp;"D")</f>
        <v>50271</v>
      </c>
      <c r="Z1606" s="156">
        <v>3.1231189308220664E-2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50278</v>
      </c>
      <c r="Y1607" s="155">
        <f>_xll.qlCalendarAdvance(Calendar,X1607,NDays&amp;"D")</f>
        <v>50278</v>
      </c>
      <c r="Z1607" s="156">
        <v>3.1225733979471926E-2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50285</v>
      </c>
      <c r="Y1608" s="155">
        <f>_xll.qlCalendarAdvance(Calendar,X1608,NDays&amp;"D")</f>
        <v>50285</v>
      </c>
      <c r="Z1608" s="156">
        <v>3.1220278888772768E-2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50292</v>
      </c>
      <c r="Y1609" s="155">
        <f>_xll.qlCalendarAdvance(Calendar,X1609,NDays&amp;"D")</f>
        <v>50292</v>
      </c>
      <c r="Z1609" s="156">
        <v>3.121482403652287E-2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50299</v>
      </c>
      <c r="Y1610" s="155">
        <f>_xll.qlCalendarAdvance(Calendar,X1610,NDays&amp;"D")</f>
        <v>50299</v>
      </c>
      <c r="Z1610" s="156">
        <v>3.1209369422562361E-2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50306</v>
      </c>
      <c r="Y1611" s="155">
        <f>_xll.qlCalendarAdvance(Calendar,X1611,NDays&amp;"D")</f>
        <v>50306</v>
      </c>
      <c r="Z1611" s="156">
        <v>3.120391504689124E-2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50313</v>
      </c>
      <c r="Y1612" s="155">
        <f>_xll.qlCalendarAdvance(Calendar,X1612,NDays&amp;"D")</f>
        <v>50313</v>
      </c>
      <c r="Z1612" s="156">
        <v>3.1198460909509507E-2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50320</v>
      </c>
      <c r="Y1613" s="155">
        <f>_xll.qlCalendarAdvance(Calendar,X1613,NDays&amp;"D")</f>
        <v>50320</v>
      </c>
      <c r="Z1613" s="156">
        <v>3.1193007010337226E-2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50327</v>
      </c>
      <c r="Y1614" s="155">
        <f>_xll.qlCalendarAdvance(Calendar,X1614,NDays&amp;"D")</f>
        <v>50327</v>
      </c>
      <c r="Z1614" s="156">
        <v>3.1187553349614205E-2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50334</v>
      </c>
      <c r="Y1615" s="155">
        <f>_xll.qlCalendarAdvance(Calendar,X1615,NDays&amp;"D")</f>
        <v>50334</v>
      </c>
      <c r="Z1615" s="156">
        <v>3.1182099927100637E-2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50341</v>
      </c>
      <c r="Y1616" s="155">
        <f>_xll.qlCalendarAdvance(Calendar,X1616,NDays&amp;"D")</f>
        <v>50341</v>
      </c>
      <c r="Z1616" s="156">
        <v>3.1176646742796521E-2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50348</v>
      </c>
      <c r="Y1617" s="155">
        <f>_xll.qlCalendarAdvance(Calendar,X1617,NDays&amp;"D")</f>
        <v>50348</v>
      </c>
      <c r="Z1617" s="156">
        <v>3.1171193796941665E-2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50356</v>
      </c>
      <c r="Y1618" s="155">
        <f>_xll.qlCalendarAdvance(Calendar,X1618,NDays&amp;"D")</f>
        <v>50356</v>
      </c>
      <c r="Z1618" s="156">
        <v>3.1164962150462827E-2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50363</v>
      </c>
      <c r="Y1619" s="155">
        <f>_xll.qlCalendarAdvance(Calendar,X1619,NDays&amp;"D")</f>
        <v>50363</v>
      </c>
      <c r="Z1619" s="156">
        <v>3.1159509715079636E-2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50371</v>
      </c>
      <c r="Y1620" s="155">
        <f>_xll.qlCalendarAdvance(Calendar,X1620,NDays&amp;"D")</f>
        <v>50371</v>
      </c>
      <c r="Z1620" s="156">
        <v>3.1155195643606248E-2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50378</v>
      </c>
      <c r="Y1621" s="155">
        <f>_xll.qlCalendarAdvance(Calendar,X1621,NDays&amp;"D")</f>
        <v>50378</v>
      </c>
      <c r="Z1621" s="156">
        <v>3.1149742809448711E-2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50385</v>
      </c>
      <c r="Y1622" s="155">
        <f>_xll.qlCalendarAdvance(Calendar,X1622,NDays&amp;"D")</f>
        <v>50385</v>
      </c>
      <c r="Z1622" s="156">
        <v>3.1144290213793724E-2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50392</v>
      </c>
      <c r="Y1623" s="155">
        <f>_xll.qlCalendarAdvance(Calendar,X1623,NDays&amp;"D")</f>
        <v>50392</v>
      </c>
      <c r="Z1623" s="156">
        <v>3.1138837856614643E-2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50402</v>
      </c>
      <c r="Y1624" s="155">
        <f>_xll.qlCalendarAdvance(Calendar,X1624,NDays&amp;"D")</f>
        <v>50402</v>
      </c>
      <c r="Z1624" s="156">
        <v>3.1129136223437825E-2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50409</v>
      </c>
      <c r="Y1625" s="155">
        <f>_xll.qlCalendarAdvance(Calendar,X1625,NDays&amp;"D")</f>
        <v>50409</v>
      </c>
      <c r="Z1625" s="156">
        <v>3.1123685354081942E-2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50416</v>
      </c>
      <c r="Y1626" s="155">
        <f>_xll.qlCalendarAdvance(Calendar,X1626,NDays&amp;"D")</f>
        <v>50416</v>
      </c>
      <c r="Z1626" s="156">
        <v>3.1118234722935512E-2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50424</v>
      </c>
      <c r="Y1627" s="155">
        <f>_xll.qlCalendarAdvance(Calendar,X1627,NDays&amp;"D")</f>
        <v>50424</v>
      </c>
      <c r="Z1627" s="156">
        <v>3.1112005722020442E-2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50431</v>
      </c>
      <c r="Y1628" s="155">
        <f>_xll.qlCalendarAdvance(Calendar,X1628,NDays&amp;"D")</f>
        <v>50431</v>
      </c>
      <c r="Z1628" s="156">
        <v>3.1106555601505548E-2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50438</v>
      </c>
      <c r="Y1629" s="155">
        <f>_xll.qlCalendarAdvance(Calendar,X1629,NDays&amp;"D")</f>
        <v>50438</v>
      </c>
      <c r="Z1629" s="156">
        <v>3.1101105719439914E-2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50445</v>
      </c>
      <c r="Y1630" s="155">
        <f>_xll.qlCalendarAdvance(Calendar,X1630,NDays&amp;"D")</f>
        <v>50445</v>
      </c>
      <c r="Z1630" s="156">
        <v>3.1095656075503797E-2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50452</v>
      </c>
      <c r="Y1631" s="155">
        <f>_xll.qlCalendarAdvance(Calendar,X1631,NDays&amp;"D")</f>
        <v>50452</v>
      </c>
      <c r="Z1631" s="156">
        <v>3.1090206669937004E-2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50459</v>
      </c>
      <c r="Y1632" s="155">
        <f>_xll.qlCalendarAdvance(Calendar,X1632,NDays&amp;"D")</f>
        <v>50459</v>
      </c>
      <c r="Z1632" s="156">
        <v>3.1084757502579663E-2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50466</v>
      </c>
      <c r="Y1633" s="155">
        <f>_xll.qlCalendarAdvance(Calendar,X1633,NDays&amp;"D")</f>
        <v>50466</v>
      </c>
      <c r="Z1633" s="156">
        <v>3.1079308573591646E-2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50473</v>
      </c>
      <c r="Y1634" s="155">
        <f>_xll.qlCalendarAdvance(Calendar,X1634,NDays&amp;"D")</f>
        <v>50473</v>
      </c>
      <c r="Z1634" s="156">
        <v>3.1073859882813082E-2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50480</v>
      </c>
      <c r="Y1635" s="155">
        <f>_xll.qlCalendarAdvance(Calendar,X1635,NDays&amp;"D")</f>
        <v>50480</v>
      </c>
      <c r="Z1635" s="156">
        <v>3.1068411430403842E-2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50487</v>
      </c>
      <c r="Y1636" s="155">
        <f>_xll.qlCalendarAdvance(Calendar,X1636,NDays&amp;"D")</f>
        <v>50487</v>
      </c>
      <c r="Z1636" s="156">
        <v>3.1062963216204054E-2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50494</v>
      </c>
      <c r="Y1637" s="155">
        <f>_xll.qlCalendarAdvance(Calendar,X1637,NDays&amp;"D")</f>
        <v>50494</v>
      </c>
      <c r="Z1637" s="156">
        <v>3.105751524037359E-2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50501</v>
      </c>
      <c r="Y1638" s="155">
        <f>_xll.qlCalendarAdvance(Calendar,X1638,NDays&amp;"D")</f>
        <v>50501</v>
      </c>
      <c r="Z1638" s="156">
        <v>3.1052067502832514E-2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50508</v>
      </c>
      <c r="Y1639" s="155">
        <f>_xll.qlCalendarAdvance(Calendar,X1639,NDays&amp;"D")</f>
        <v>50508</v>
      </c>
      <c r="Z1639" s="156">
        <v>3.1046620003580827E-2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50515</v>
      </c>
      <c r="Y1640" s="155">
        <f>_xll.qlCalendarAdvance(Calendar,X1640,NDays&amp;"D")</f>
        <v>50515</v>
      </c>
      <c r="Z1640" s="156">
        <v>3.1041172742458656E-2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50522</v>
      </c>
      <c r="Y1641" s="155">
        <f>_xll.qlCalendarAdvance(Calendar,X1641,NDays&amp;"D")</f>
        <v>50522</v>
      </c>
      <c r="Z1641" s="156">
        <v>3.1035725719865681E-2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50529</v>
      </c>
      <c r="Y1642" s="155">
        <f>_xll.qlCalendarAdvance(Calendar,X1642,NDays&amp;"D")</f>
        <v>50529</v>
      </c>
      <c r="Z1642" s="156">
        <v>3.1030278935402222E-2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50536</v>
      </c>
      <c r="Y1643" s="155">
        <f>_xll.qlCalendarAdvance(Calendar,X1643,NDays&amp;"D")</f>
        <v>50536</v>
      </c>
      <c r="Z1643" s="156">
        <v>3.1024832389308088E-2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50543</v>
      </c>
      <c r="Y1644" s="155">
        <f>_xll.qlCalendarAdvance(Calendar,X1644,NDays&amp;"D")</f>
        <v>50543</v>
      </c>
      <c r="Z1644" s="156">
        <v>3.1019386081583278E-2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50550</v>
      </c>
      <c r="Y1645" s="155">
        <f>_xll.qlCalendarAdvance(Calendar,X1645,NDays&amp;"D")</f>
        <v>50550</v>
      </c>
      <c r="Z1645" s="156">
        <v>3.1013940011987984E-2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50557</v>
      </c>
      <c r="Y1646" s="155">
        <f>_xll.qlCalendarAdvance(Calendar,X1646,NDays&amp;"D")</f>
        <v>50557</v>
      </c>
      <c r="Z1646" s="156">
        <v>3.100849418084195E-2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50564</v>
      </c>
      <c r="Y1647" s="155">
        <f>_xll.qlCalendarAdvance(Calendar,X1647,NDays&amp;"D")</f>
        <v>50564</v>
      </c>
      <c r="Z1647" s="156">
        <v>3.1003048587825432E-2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50571</v>
      </c>
      <c r="Y1648" s="155">
        <f>_xll.qlCalendarAdvance(Calendar,X1648,NDays&amp;"D")</f>
        <v>50571</v>
      </c>
      <c r="Z1648" s="156">
        <v>3.0997603233178239E-2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50578</v>
      </c>
      <c r="Y1649" s="155">
        <f>_xll.qlCalendarAdvance(Calendar,X1649,NDays&amp;"D")</f>
        <v>50578</v>
      </c>
      <c r="Z1649" s="156">
        <v>3.0992158116820434E-2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50585</v>
      </c>
      <c r="Y1650" s="155">
        <f>_xll.qlCalendarAdvance(Calendar,X1650,NDays&amp;"D")</f>
        <v>50585</v>
      </c>
      <c r="Z1650" s="156">
        <v>3.0986713238831953E-2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50592</v>
      </c>
      <c r="Y1651" s="155">
        <f>_xll.qlCalendarAdvance(Calendar,X1651,NDays&amp;"D")</f>
        <v>50592</v>
      </c>
      <c r="Z1651" s="156">
        <v>3.0981268598972989E-2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50599</v>
      </c>
      <c r="Y1652" s="155">
        <f>_xll.qlCalendarAdvance(Calendar,X1652,NDays&amp;"D")</f>
        <v>50599</v>
      </c>
      <c r="Z1652" s="156">
        <v>3.0975824197563284E-2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50606</v>
      </c>
      <c r="Y1653" s="155">
        <f>_xll.qlCalendarAdvance(Calendar,X1653,NDays&amp;"D")</f>
        <v>50606</v>
      </c>
      <c r="Z1653" s="156">
        <v>3.0970380034363032E-2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50613</v>
      </c>
      <c r="Y1654" s="155">
        <f>_xll.qlCalendarAdvance(Calendar,X1654,NDays&amp;"D")</f>
        <v>50613</v>
      </c>
      <c r="Z1654" s="156">
        <v>3.0964936109452168E-2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50620</v>
      </c>
      <c r="Y1655" s="155">
        <f>_xll.qlCalendarAdvance(Calendar,X1655,NDays&amp;"D")</f>
        <v>50620</v>
      </c>
      <c r="Z1655" s="156">
        <v>3.0959492422830692E-2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50627</v>
      </c>
      <c r="Y1656" s="155">
        <f>_xll.qlCalendarAdvance(Calendar,X1656,NDays&amp;"D")</f>
        <v>50627</v>
      </c>
      <c r="Z1656" s="156">
        <v>3.0954048974498605E-2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50634</v>
      </c>
      <c r="Y1657" s="155">
        <f>_xll.qlCalendarAdvance(Calendar,X1657,NDays&amp;"D")</f>
        <v>50634</v>
      </c>
      <c r="Z1657" s="156">
        <v>3.0948605764375969E-2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50641</v>
      </c>
      <c r="Y1658" s="155">
        <f>_xll.qlCalendarAdvance(Calendar,X1658,NDays&amp;"D")</f>
        <v>50641</v>
      </c>
      <c r="Z1658" s="156">
        <v>3.0943162792702594E-2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50648</v>
      </c>
      <c r="Y1659" s="155">
        <f>_xll.qlCalendarAdvance(Calendar,X1659,NDays&amp;"D")</f>
        <v>50648</v>
      </c>
      <c r="Z1659" s="156">
        <v>3.0937720059318607E-2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50655</v>
      </c>
      <c r="Y1660" s="155">
        <f>_xll.qlCalendarAdvance(Calendar,X1660,NDays&amp;"D")</f>
        <v>50655</v>
      </c>
      <c r="Z1660" s="156">
        <v>3.0932277564064137E-2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50662</v>
      </c>
      <c r="Y1661" s="155">
        <f>_xll.qlCalendarAdvance(Calendar,X1661,NDays&amp;"D")</f>
        <v>50662</v>
      </c>
      <c r="Z1661" s="156">
        <v>3.0926835307258926E-2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50669</v>
      </c>
      <c r="Y1662" s="155">
        <f>_xll.qlCalendarAdvance(Calendar,X1662,NDays&amp;"D")</f>
        <v>50669</v>
      </c>
      <c r="Z1662" s="156">
        <v>3.0921393288743104E-2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50676</v>
      </c>
      <c r="Y1663" s="155">
        <f>_xll.qlCalendarAdvance(Calendar,X1663,NDays&amp;"D")</f>
        <v>50676</v>
      </c>
      <c r="Z1663" s="156">
        <v>3.0915951508356798E-2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50683</v>
      </c>
      <c r="Y1664" s="155">
        <f>_xll.qlCalendarAdvance(Calendar,X1664,NDays&amp;"D")</f>
        <v>50683</v>
      </c>
      <c r="Z1664" s="156">
        <v>3.0910509966419752E-2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50690</v>
      </c>
      <c r="Y1665" s="155">
        <f>_xll.qlCalendarAdvance(Calendar,X1665,NDays&amp;"D")</f>
        <v>50690</v>
      </c>
      <c r="Z1665" s="156">
        <v>3.0905068662692159E-2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50697</v>
      </c>
      <c r="Y1666" s="155">
        <f>_xll.qlCalendarAdvance(Calendar,X1666,NDays&amp;"D")</f>
        <v>50697</v>
      </c>
      <c r="Z1666" s="156">
        <v>3.089962759733389E-2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50704</v>
      </c>
      <c r="Y1667" s="155">
        <f>_xll.qlCalendarAdvance(Calendar,X1667,NDays&amp;"D")</f>
        <v>50704</v>
      </c>
      <c r="Z1667" s="156">
        <v>3.0894186770185073E-2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50711</v>
      </c>
      <c r="Y1668" s="155">
        <f>_xll.qlCalendarAdvance(Calendar,X1668,NDays&amp;"D")</f>
        <v>50711</v>
      </c>
      <c r="Z1668" s="156">
        <v>3.0888746181325644E-2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50718</v>
      </c>
      <c r="Y1669" s="155">
        <f>_xll.qlCalendarAdvance(Calendar,X1669,NDays&amp;"D")</f>
        <v>50718</v>
      </c>
      <c r="Z1669" s="156">
        <v>3.0883305830835539E-2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50725</v>
      </c>
      <c r="Y1670" s="155">
        <f>_xll.qlCalendarAdvance(Calendar,X1670,NDays&amp;"D")</f>
        <v>50725</v>
      </c>
      <c r="Z1670" s="156">
        <v>3.0877865718554887E-2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50732</v>
      </c>
      <c r="Y1671" s="155">
        <f>_xll.qlCalendarAdvance(Calendar,X1671,NDays&amp;"D")</f>
        <v>50732</v>
      </c>
      <c r="Z1671" s="156">
        <v>3.0872425844643558E-2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50739</v>
      </c>
      <c r="Y1672" s="155">
        <f>_xll.qlCalendarAdvance(Calendar,X1672,NDays&amp;"D")</f>
        <v>50739</v>
      </c>
      <c r="Z1672" s="156">
        <v>3.0866986208941682E-2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50746</v>
      </c>
      <c r="Y1673" s="155">
        <f>_xll.qlCalendarAdvance(Calendar,X1673,NDays&amp;"D")</f>
        <v>50746</v>
      </c>
      <c r="Z1673" s="156">
        <v>3.0861546811449259E-2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50753</v>
      </c>
      <c r="Y1674" s="155">
        <f>_xll.qlCalendarAdvance(Calendar,X1674,NDays&amp;"D")</f>
        <v>50753</v>
      </c>
      <c r="Z1674" s="156">
        <v>3.0856107652486031E-2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50760</v>
      </c>
      <c r="Y1675" s="155">
        <f>_xll.qlCalendarAdvance(Calendar,X1675,NDays&amp;"D")</f>
        <v>50760</v>
      </c>
      <c r="Z1675" s="156">
        <v>3.0850668731732256E-2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50767</v>
      </c>
      <c r="Y1676" s="155">
        <f>_xll.qlCalendarAdvance(Calendar,X1676,NDays&amp;"D")</f>
        <v>50767</v>
      </c>
      <c r="Z1676" s="156">
        <v>3.0845230049187933E-2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50774</v>
      </c>
      <c r="Y1677" s="155">
        <f>_xll.qlCalendarAdvance(Calendar,X1677,NDays&amp;"D")</f>
        <v>50774</v>
      </c>
      <c r="Z1677" s="156">
        <v>3.0839791604932998E-2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50781</v>
      </c>
      <c r="Y1678" s="155">
        <f>_xll.qlCalendarAdvance(Calendar,X1678,NDays&amp;"D")</f>
        <v>50781</v>
      </c>
      <c r="Z1678" s="156">
        <v>3.0834353399127323E-2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50788</v>
      </c>
      <c r="Y1679" s="155">
        <f>_xll.qlCalendarAdvance(Calendar,X1679,NDays&amp;"D")</f>
        <v>50788</v>
      </c>
      <c r="Z1679" s="156">
        <v>3.0828915431531101E-2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50795</v>
      </c>
      <c r="Y1680" s="155">
        <f>_xll.qlCalendarAdvance(Calendar,X1680,NDays&amp;"D")</f>
        <v>50795</v>
      </c>
      <c r="Z1680" s="156">
        <v>3.0823477702224267E-2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50802</v>
      </c>
      <c r="Y1681" s="155">
        <f>_xll.qlCalendarAdvance(Calendar,X1681,NDays&amp;"D")</f>
        <v>50802</v>
      </c>
      <c r="Z1681" s="156">
        <v>3.0818040211126885E-2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50809</v>
      </c>
      <c r="Y1682" s="155">
        <f>_xll.qlCalendarAdvance(Calendar,X1682,NDays&amp;"D")</f>
        <v>50809</v>
      </c>
      <c r="Z1682" s="156">
        <v>3.0812602958238955E-2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50816</v>
      </c>
      <c r="Y1683" s="155">
        <f>_xll.qlCalendarAdvance(Calendar,X1683,NDays&amp;"D")</f>
        <v>50816</v>
      </c>
      <c r="Z1683" s="156">
        <v>3.0807165943880221E-2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50823</v>
      </c>
      <c r="Y1684" s="155">
        <f>_xll.qlCalendarAdvance(Calendar,X1684,NDays&amp;"D")</f>
        <v>50823</v>
      </c>
      <c r="Z1684" s="156">
        <v>3.080172916773094E-2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50830</v>
      </c>
      <c r="Y1685" s="155">
        <f>_xll.qlCalendarAdvance(Calendar,X1685,NDays&amp;"D")</f>
        <v>50830</v>
      </c>
      <c r="Z1685" s="156">
        <v>3.0796292629791111E-2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50837</v>
      </c>
      <c r="Y1686" s="155">
        <f>_xll.qlCalendarAdvance(Calendar,X1686,NDays&amp;"D")</f>
        <v>50837</v>
      </c>
      <c r="Z1686" s="156">
        <v>3.0790856330300542E-2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50844</v>
      </c>
      <c r="Y1687" s="155">
        <f>_xll.qlCalendarAdvance(Calendar,X1687,NDays&amp;"D")</f>
        <v>50844</v>
      </c>
      <c r="Z1687" s="156">
        <v>3.078542026893949E-2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50851</v>
      </c>
      <c r="Y1688" s="155">
        <f>_xll.qlCalendarAdvance(Calendar,X1688,NDays&amp;"D")</f>
        <v>50851</v>
      </c>
      <c r="Z1688" s="156">
        <v>3.0779984445947761E-2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50858</v>
      </c>
      <c r="Y1689" s="155">
        <f>_xll.qlCalendarAdvance(Calendar,X1689,NDays&amp;"D")</f>
        <v>50858</v>
      </c>
      <c r="Z1689" s="156">
        <v>3.0774548861245421E-2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50865</v>
      </c>
      <c r="Y1690" s="155">
        <f>_xll.qlCalendarAdvance(Calendar,X1690,NDays&amp;"D")</f>
        <v>50865</v>
      </c>
      <c r="Z1690" s="156">
        <v>3.0769113514752533E-2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50872</v>
      </c>
      <c r="Y1691" s="155">
        <f>_xll.qlCalendarAdvance(Calendar,X1691,NDays&amp;"D")</f>
        <v>50872</v>
      </c>
      <c r="Z1691" s="156">
        <v>3.0763678406708905E-2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50879</v>
      </c>
      <c r="Y1692" s="155">
        <f>_xll.qlCalendarAdvance(Calendar,X1692,NDays&amp;"D")</f>
        <v>50879</v>
      </c>
      <c r="Z1692" s="156">
        <v>3.0758243536794794E-2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50886</v>
      </c>
      <c r="Y1693" s="155">
        <f>_xll.qlCalendarAdvance(Calendar,X1693,NDays&amp;"D")</f>
        <v>50886</v>
      </c>
      <c r="Z1693" s="156">
        <v>3.0752808905250006E-2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50893</v>
      </c>
      <c r="Y1694" s="155">
        <f>_xll.qlCalendarAdvance(Calendar,X1694,NDays&amp;"D")</f>
        <v>50893</v>
      </c>
      <c r="Z1694" s="156">
        <v>3.0747374511914671E-2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50900</v>
      </c>
      <c r="Y1695" s="155">
        <f>_xll.qlCalendarAdvance(Calendar,X1695,NDays&amp;"D")</f>
        <v>50900</v>
      </c>
      <c r="Z1695" s="156">
        <v>3.0741940357028597E-2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50907</v>
      </c>
      <c r="Y1696" s="155">
        <f>_xll.qlCalendarAdvance(Calendar,X1696,NDays&amp;"D")</f>
        <v>50907</v>
      </c>
      <c r="Z1696" s="156">
        <v>3.0736506440272038E-2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50914</v>
      </c>
      <c r="Y1697" s="155">
        <f>_xll.qlCalendarAdvance(Calendar,X1697,NDays&amp;"D")</f>
        <v>50914</v>
      </c>
      <c r="Z1697" s="156">
        <v>3.0731072761964739E-2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50921</v>
      </c>
      <c r="Y1698" s="155">
        <f>_xll.qlCalendarAdvance(Calendar,X1698,NDays&amp;"D")</f>
        <v>50921</v>
      </c>
      <c r="Z1698" s="156">
        <v>3.0725639321866893E-2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50928</v>
      </c>
      <c r="Y1699" s="155">
        <f>_xll.qlCalendarAdvance(Calendar,X1699,NDays&amp;"D")</f>
        <v>50928</v>
      </c>
      <c r="Z1699" s="156">
        <v>3.0720206120058435E-2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50935</v>
      </c>
      <c r="Y1700" s="155">
        <f>_xll.qlCalendarAdvance(Calendar,X1700,NDays&amp;"D")</f>
        <v>50935</v>
      </c>
      <c r="Z1700" s="156">
        <v>3.0714773156539366E-2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50942</v>
      </c>
      <c r="Y1701" s="155">
        <f>_xll.qlCalendarAdvance(Calendar,X1701,NDays&amp;"D")</f>
        <v>50942</v>
      </c>
      <c r="Z1701" s="156">
        <v>3.0709340431309684E-2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50949</v>
      </c>
      <c r="Y1702" s="155">
        <f>_xll.qlCalendarAdvance(Calendar,X1702,NDays&amp;"D")</f>
        <v>50949</v>
      </c>
      <c r="Z1702" s="156">
        <v>3.0703907944369391E-2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50956</v>
      </c>
      <c r="Y1703" s="155">
        <f>_xll.qlCalendarAdvance(Calendar,X1703,NDays&amp;"D")</f>
        <v>50956</v>
      </c>
      <c r="Z1703" s="156">
        <v>3.0698475695718486E-2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50963</v>
      </c>
      <c r="Y1704" s="155">
        <f>_xll.qlCalendarAdvance(Calendar,X1704,NDays&amp;"D")</f>
        <v>50963</v>
      </c>
      <c r="Z1704" s="156">
        <v>3.0693043685356969E-2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50970</v>
      </c>
      <c r="Y1705" s="155">
        <f>_xll.qlCalendarAdvance(Calendar,X1705,NDays&amp;"D")</f>
        <v>50970</v>
      </c>
      <c r="Z1705" s="156">
        <v>3.068761191328484E-2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50977</v>
      </c>
      <c r="Y1706" s="155">
        <f>_xll.qlCalendarAdvance(Calendar,X1706,NDays&amp;"D")</f>
        <v>50977</v>
      </c>
      <c r="Z1706" s="156">
        <v>3.06821803795021E-2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50984</v>
      </c>
      <c r="Y1707" s="155">
        <f>_xll.qlCalendarAdvance(Calendar,X1707,NDays&amp;"D")</f>
        <v>50984</v>
      </c>
      <c r="Z1707" s="156">
        <v>3.0676749084008748E-2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50991</v>
      </c>
      <c r="Y1708" s="155">
        <f>_xll.qlCalendarAdvance(Calendar,X1708,NDays&amp;"D")</f>
        <v>50991</v>
      </c>
      <c r="Z1708" s="156">
        <v>3.0671318026804784E-2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50998</v>
      </c>
      <c r="Y1709" s="155">
        <f>_xll.qlCalendarAdvance(Calendar,X1709,NDays&amp;"D")</f>
        <v>50998</v>
      </c>
      <c r="Z1709" s="156">
        <v>3.0665887207970144E-2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51005</v>
      </c>
      <c r="Y1710" s="155">
        <f>_xll.qlCalendarAdvance(Calendar,X1710,NDays&amp;"D")</f>
        <v>51005</v>
      </c>
      <c r="Z1710" s="156">
        <v>3.0660456627344956E-2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51012</v>
      </c>
      <c r="Y1711" s="155">
        <f>_xll.qlCalendarAdvance(Calendar,X1711,NDays&amp;"D")</f>
        <v>51012</v>
      </c>
      <c r="Z1711" s="156">
        <v>3.0655026285009157E-2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51019</v>
      </c>
      <c r="Y1712" s="155">
        <f>_xll.qlCalendarAdvance(Calendar,X1712,NDays&amp;"D")</f>
        <v>51019</v>
      </c>
      <c r="Z1712" s="156">
        <v>3.0649596180962746E-2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51026</v>
      </c>
      <c r="Y1713" s="155">
        <f>_xll.qlCalendarAdvance(Calendar,X1713,NDays&amp;"D")</f>
        <v>51026</v>
      </c>
      <c r="Z1713" s="156">
        <v>3.0644166315205723E-2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51033</v>
      </c>
      <c r="Y1714" s="155">
        <f>_xll.qlCalendarAdvance(Calendar,X1714,NDays&amp;"D")</f>
        <v>51033</v>
      </c>
      <c r="Z1714" s="156">
        <v>3.0638736687818025E-2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51040</v>
      </c>
      <c r="Y1715" s="155">
        <f>_xll.qlCalendarAdvance(Calendar,X1715,NDays&amp;"D")</f>
        <v>51040</v>
      </c>
      <c r="Z1715" s="156">
        <v>3.0633307298639778E-2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51047</v>
      </c>
      <c r="Y1716" s="155">
        <f>_xll.qlCalendarAdvance(Calendar,X1716,NDays&amp;"D")</f>
        <v>51047</v>
      </c>
      <c r="Z1716" s="156">
        <v>3.062787814775092E-2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51054</v>
      </c>
      <c r="Y1717" s="155">
        <f>_xll.qlCalendarAdvance(Calendar,X1717,NDays&amp;"D")</f>
        <v>51054</v>
      </c>
      <c r="Z1717" s="156">
        <v>3.062244923515145E-2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51061</v>
      </c>
      <c r="Y1718" s="155">
        <f>_xll.qlCalendarAdvance(Calendar,X1718,NDays&amp;"D")</f>
        <v>51061</v>
      </c>
      <c r="Z1718" s="156">
        <v>3.0617020560921304E-2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51068</v>
      </c>
      <c r="Y1719" s="155">
        <f>_xll.qlCalendarAdvance(Calendar,X1719,NDays&amp;"D")</f>
        <v>51068</v>
      </c>
      <c r="Z1719" s="156">
        <v>3.0611592124900611E-2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51075</v>
      </c>
      <c r="Y1720" s="155">
        <f>_xll.qlCalendarAdvance(Calendar,X1720,NDays&amp;"D")</f>
        <v>51075</v>
      </c>
      <c r="Z1720" s="156">
        <v>3.0606163927169305E-2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51082</v>
      </c>
      <c r="Y1721" s="155">
        <f>_xll.qlCalendarAdvance(Calendar,X1721,NDays&amp;"D")</f>
        <v>51082</v>
      </c>
      <c r="Z1721" s="156">
        <v>3.0600736913850568E-2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51089</v>
      </c>
      <c r="Y1722" s="155">
        <f>_xll.qlCalendarAdvance(Calendar,X1722,NDays&amp;"D")</f>
        <v>51089</v>
      </c>
      <c r="Z1722" s="156">
        <v>3.0595314403649709E-2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51096</v>
      </c>
      <c r="Y1723" s="155">
        <f>_xll.qlCalendarAdvance(Calendar,X1723,NDays&amp;"D")</f>
        <v>51096</v>
      </c>
      <c r="Z1723" s="156">
        <v>3.0589896691450846E-2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51103</v>
      </c>
      <c r="Y1724" s="155">
        <f>_xll.qlCalendarAdvance(Calendar,X1724,NDays&amp;"D")</f>
        <v>51103</v>
      </c>
      <c r="Z1724" s="156">
        <v>3.0584483777014171E-2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51110</v>
      </c>
      <c r="Y1725" s="155">
        <f>_xll.qlCalendarAdvance(Calendar,X1725,NDays&amp;"D")</f>
        <v>51110</v>
      </c>
      <c r="Z1725" s="156">
        <v>3.0579075660579491E-2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51117</v>
      </c>
      <c r="Y1726" s="155">
        <f>_xll.qlCalendarAdvance(Calendar,X1726,NDays&amp;"D")</f>
        <v>51117</v>
      </c>
      <c r="Z1726" s="156">
        <v>3.0573672341986935E-2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51124</v>
      </c>
      <c r="Y1727" s="155">
        <f>_xll.qlCalendarAdvance(Calendar,X1727,NDays&amp;"D")</f>
        <v>51124</v>
      </c>
      <c r="Z1727" s="156">
        <v>3.0568273821396375E-2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51131</v>
      </c>
      <c r="Y1728" s="155">
        <f>_xll.qlCalendarAdvance(Calendar,X1728,NDays&amp;"D")</f>
        <v>51131</v>
      </c>
      <c r="Z1728" s="156">
        <v>3.0562880098488066E-2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51138</v>
      </c>
      <c r="Y1729" s="155">
        <f>_xll.qlCalendarAdvance(Calendar,X1729,NDays&amp;"D")</f>
        <v>51138</v>
      </c>
      <c r="Z1729" s="156">
        <v>3.0557491173501816E-2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51145</v>
      </c>
      <c r="Y1730" s="155">
        <f>_xll.qlCalendarAdvance(Calendar,X1730,NDays&amp;"D")</f>
        <v>51145</v>
      </c>
      <c r="Z1730" s="156">
        <v>3.0552107046437627E-2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51152</v>
      </c>
      <c r="Y1731" s="155">
        <f>_xll.qlCalendarAdvance(Calendar,X1731,NDays&amp;"D")</f>
        <v>51152</v>
      </c>
      <c r="Z1731" s="156">
        <v>3.0546727717375433E-2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51159</v>
      </c>
      <c r="Y1732" s="155">
        <f>_xll.qlCalendarAdvance(Calendar,X1732,NDays&amp;"D")</f>
        <v>51159</v>
      </c>
      <c r="Z1732" s="156">
        <v>3.0541353186075426E-2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51166</v>
      </c>
      <c r="Y1733" s="155">
        <f>_xll.qlCalendarAdvance(Calendar,X1733,NDays&amp;"D")</f>
        <v>51166</v>
      </c>
      <c r="Z1733" s="156">
        <v>3.0535983452777415E-2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51173</v>
      </c>
      <c r="Y1734" s="155">
        <f>_xll.qlCalendarAdvance(Calendar,X1734,NDays&amp;"D")</f>
        <v>51173</v>
      </c>
      <c r="Z1734" s="156">
        <v>3.0530618517241592E-2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51180</v>
      </c>
      <c r="Y1735" s="155">
        <f>_xll.qlCalendarAdvance(Calendar,X1735,NDays&amp;"D")</f>
        <v>51180</v>
      </c>
      <c r="Z1735" s="156">
        <v>3.0525258379627829E-2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51187</v>
      </c>
      <c r="Y1736" s="155">
        <f>_xll.qlCalendarAdvance(Calendar,X1736,NDays&amp;"D")</f>
        <v>51187</v>
      </c>
      <c r="Z1736" s="156">
        <v>3.0519903039936125E-2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51194</v>
      </c>
      <c r="Y1737" s="155">
        <f>_xll.qlCalendarAdvance(Calendar,X1737,NDays&amp;"D")</f>
        <v>51194</v>
      </c>
      <c r="Z1737" s="156">
        <v>3.0514552498086545E-2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51201</v>
      </c>
      <c r="Y1738" s="155">
        <f>_xll.qlCalendarAdvance(Calendar,X1738,NDays&amp;"D")</f>
        <v>51201</v>
      </c>
      <c r="Z1738" s="156">
        <v>3.0509206754159024E-2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51208</v>
      </c>
      <c r="Y1739" s="155">
        <f>_xll.qlCalendarAdvance(Calendar,X1739,NDays&amp;"D")</f>
        <v>51208</v>
      </c>
      <c r="Z1739" s="156">
        <v>3.0503865808153563E-2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51215</v>
      </c>
      <c r="Y1740" s="155">
        <f>_xll.qlCalendarAdvance(Calendar,X1740,NDays&amp;"D")</f>
        <v>51215</v>
      </c>
      <c r="Z1740" s="156">
        <v>3.0498529659990226E-2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51222</v>
      </c>
      <c r="Y1741" s="155">
        <f>_xll.qlCalendarAdvance(Calendar,X1741,NDays&amp;"D")</f>
        <v>51222</v>
      </c>
      <c r="Z1741" s="156">
        <v>3.0493198309669012E-2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51229</v>
      </c>
      <c r="Y1742" s="155">
        <f>_xll.qlCalendarAdvance(Calendar,X1742,NDays&amp;"D")</f>
        <v>51229</v>
      </c>
      <c r="Z1742" s="156">
        <v>3.0487871757269858E-2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51236</v>
      </c>
      <c r="Y1743" s="155">
        <f>_xll.qlCalendarAdvance(Calendar,X1743,NDays&amp;"D")</f>
        <v>51236</v>
      </c>
      <c r="Z1743" s="156">
        <v>3.0482550002872699E-2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51243</v>
      </c>
      <c r="Y1744" s="155">
        <f>_xll.qlCalendarAdvance(Calendar,X1744,NDays&amp;"D")</f>
        <v>51243</v>
      </c>
      <c r="Z1744" s="156">
        <v>3.0477233046157792E-2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51250</v>
      </c>
      <c r="Y1745" s="155">
        <f>_xll.qlCalendarAdvance(Calendar,X1745,NDays&amp;"D")</f>
        <v>51250</v>
      </c>
      <c r="Z1745" s="156">
        <v>3.0471920887524817E-2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51257</v>
      </c>
      <c r="Y1746" s="155">
        <f>_xll.qlCalendarAdvance(Calendar,X1746,NDays&amp;"D")</f>
        <v>51257</v>
      </c>
      <c r="Z1746" s="156">
        <v>3.0466613526574093E-2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51264</v>
      </c>
      <c r="Y1747" s="155">
        <f>_xll.qlCalendarAdvance(Calendar,X1747,NDays&amp;"D")</f>
        <v>51264</v>
      </c>
      <c r="Z1747" s="156">
        <v>3.0461310963705301E-2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51271</v>
      </c>
      <c r="Y1748" s="155">
        <f>_xll.qlCalendarAdvance(Calendar,X1748,NDays&amp;"D")</f>
        <v>51271</v>
      </c>
      <c r="Z1748" s="156">
        <v>3.0456013198598697E-2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51278</v>
      </c>
      <c r="Y1749" s="155">
        <f>_xll.qlCalendarAdvance(Calendar,X1749,NDays&amp;"D")</f>
        <v>51278</v>
      </c>
      <c r="Z1749" s="156">
        <v>3.0450720231414152E-2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51285</v>
      </c>
      <c r="Y1750" s="155">
        <f>_xll.qlCalendarAdvance(Calendar,X1750,NDays&amp;"D")</f>
        <v>51285</v>
      </c>
      <c r="Z1750" s="156">
        <v>3.0445432062071731E-2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51292</v>
      </c>
      <c r="Y1751" s="155">
        <f>_xll.qlCalendarAdvance(Calendar,X1751,NDays&amp;"D")</f>
        <v>51292</v>
      </c>
      <c r="Z1751" s="156">
        <v>3.044014869065137E-2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51299</v>
      </c>
      <c r="Y1752" s="155">
        <f>_xll.qlCalendarAdvance(Calendar,X1752,NDays&amp;"D")</f>
        <v>51299</v>
      </c>
      <c r="Z1752" s="156">
        <v>3.0434870117153068E-2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51306</v>
      </c>
      <c r="Y1753" s="155">
        <f>_xll.qlCalendarAdvance(Calendar,X1753,NDays&amp;"D")</f>
        <v>51306</v>
      </c>
      <c r="Z1753" s="156">
        <v>3.042959634149689E-2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51313</v>
      </c>
      <c r="Y1754" s="155">
        <f>_xll.qlCalendarAdvance(Calendar,X1754,NDays&amp;"D")</f>
        <v>51313</v>
      </c>
      <c r="Z1754" s="156">
        <v>3.0424327363762771E-2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51320</v>
      </c>
      <c r="Y1755" s="155">
        <f>_xll.qlCalendarAdvance(Calendar,X1755,NDays&amp;"D")</f>
        <v>51320</v>
      </c>
      <c r="Z1755" s="156">
        <v>3.0419972500892456E-2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51327</v>
      </c>
      <c r="Y1756" s="155">
        <f>_xll.qlCalendarAdvance(Calendar,X1756,NDays&amp;"D")</f>
        <v>51327</v>
      </c>
      <c r="Z1756" s="156">
        <v>3.0413803801900841E-2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51334</v>
      </c>
      <c r="Y1757" s="155">
        <f>_xll.qlCalendarAdvance(Calendar,X1757,NDays&amp;"D")</f>
        <v>51334</v>
      </c>
      <c r="Z1757" s="156">
        <v>3.0408549217693093E-2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51341</v>
      </c>
      <c r="Y1758" s="155">
        <f>_xll.qlCalendarAdvance(Calendar,X1758,NDays&amp;"D")</f>
        <v>51341</v>
      </c>
      <c r="Z1758" s="156">
        <v>3.0403299431487341E-2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51348</v>
      </c>
      <c r="Y1759" s="155">
        <f>_xll.qlCalendarAdvance(Calendar,X1759,NDays&amp;"D")</f>
        <v>51348</v>
      </c>
      <c r="Z1759" s="156">
        <v>3.0398054443043776E-2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51355</v>
      </c>
      <c r="Y1760" s="155">
        <f>_xll.qlCalendarAdvance(Calendar,X1760,NDays&amp;"D")</f>
        <v>51355</v>
      </c>
      <c r="Z1760" s="156">
        <v>3.0392814252682143E-2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51362</v>
      </c>
      <c r="Y1761" s="155">
        <f>_xll.qlCalendarAdvance(Calendar,X1761,NDays&amp;"D")</f>
        <v>51362</v>
      </c>
      <c r="Z1761" s="156">
        <v>3.0387578860082698E-2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51369</v>
      </c>
      <c r="Y1762" s="155">
        <f>_xll.qlCalendarAdvance(Calendar,X1762,NDays&amp;"D")</f>
        <v>51369</v>
      </c>
      <c r="Z1762" s="156">
        <v>3.0382348265405312E-2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51376</v>
      </c>
      <c r="Y1763" s="155">
        <f>_xll.qlCalendarAdvance(Calendar,X1763,NDays&amp;"D")</f>
        <v>51376</v>
      </c>
      <c r="Z1763" s="156">
        <v>3.037712246857005E-2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51383</v>
      </c>
      <c r="Y1764" s="155">
        <f>_xll.qlCalendarAdvance(Calendar,X1764,NDays&amp;"D")</f>
        <v>51383</v>
      </c>
      <c r="Z1764" s="156">
        <v>3.0371901469656848E-2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51390</v>
      </c>
      <c r="Y1765" s="155">
        <f>_xll.qlCalendarAdvance(Calendar,X1765,NDays&amp;"D")</f>
        <v>51390</v>
      </c>
      <c r="Z1765" s="156">
        <v>3.0366685268585769E-2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51397</v>
      </c>
      <c r="Y1766" s="155">
        <f>_xll.qlCalendarAdvance(Calendar,X1766,NDays&amp;"D")</f>
        <v>51397</v>
      </c>
      <c r="Z1766" s="156">
        <v>3.0361473865356814E-2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51404</v>
      </c>
      <c r="Y1767" s="155">
        <f>_xll.qlCalendarAdvance(Calendar,X1767,NDays&amp;"D")</f>
        <v>51404</v>
      </c>
      <c r="Z1767" s="156">
        <v>3.0356267260129854E-2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51411</v>
      </c>
      <c r="Y1768" s="155">
        <f>_xll.qlCalendarAdvance(Calendar,X1768,NDays&amp;"D")</f>
        <v>51411</v>
      </c>
      <c r="Z1768" s="156">
        <v>3.0351065452665082E-2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51418</v>
      </c>
      <c r="Y1769" s="155">
        <f>_xll.qlCalendarAdvance(Calendar,X1769,NDays&amp;"D")</f>
        <v>51418</v>
      </c>
      <c r="Z1769" s="156">
        <v>3.034586844312237E-2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51425</v>
      </c>
      <c r="Y1770" s="155">
        <f>_xll.qlCalendarAdvance(Calendar,X1770,NDays&amp;"D")</f>
        <v>51425</v>
      </c>
      <c r="Z1770" s="156">
        <v>3.0340676231421781E-2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51432</v>
      </c>
      <c r="Y1771" s="155">
        <f>_xll.qlCalendarAdvance(Calendar,X1771,NDays&amp;"D")</f>
        <v>51432</v>
      </c>
      <c r="Z1771" s="156">
        <v>3.0335488817643252E-2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51439</v>
      </c>
      <c r="Y1772" s="155">
        <f>_xll.qlCalendarAdvance(Calendar,X1772,NDays&amp;"D")</f>
        <v>51439</v>
      </c>
      <c r="Z1772" s="156">
        <v>3.0330306201786783E-2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51446</v>
      </c>
      <c r="Y1773" s="155">
        <f>_xll.qlCalendarAdvance(Calendar,X1773,NDays&amp;"D")</f>
        <v>51446</v>
      </c>
      <c r="Z1773" s="156">
        <v>3.0325128383772437E-2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51453</v>
      </c>
      <c r="Y1774" s="155">
        <f>_xll.qlCalendarAdvance(Calendar,X1774,NDays&amp;"D")</f>
        <v>51453</v>
      </c>
      <c r="Z1774" s="156">
        <v>3.0319955363600215E-2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51460</v>
      </c>
      <c r="Y1775" s="155">
        <f>_xll.qlCalendarAdvance(Calendar,X1775,NDays&amp;"D")</f>
        <v>51460</v>
      </c>
      <c r="Z1775" s="156">
        <v>3.0314787141350052E-2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51467</v>
      </c>
      <c r="Y1776" s="155">
        <f>_xll.qlCalendarAdvance(Calendar,X1776,NDays&amp;"D")</f>
        <v>51467</v>
      </c>
      <c r="Z1776" s="156">
        <v>3.0309623716942014E-2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51474</v>
      </c>
      <c r="Y1777" s="155">
        <f>_xll.qlCalendarAdvance(Calendar,X1777,NDays&amp;"D")</f>
        <v>51474</v>
      </c>
      <c r="Z1777" s="156">
        <v>3.0304465090456034E-2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51481</v>
      </c>
      <c r="Y1778" s="155">
        <f>_xll.qlCalendarAdvance(Calendar,X1778,NDays&amp;"D")</f>
        <v>51481</v>
      </c>
      <c r="Z1778" s="156">
        <v>3.0299311261892115E-2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51488</v>
      </c>
      <c r="Y1779" s="155">
        <f>_xll.qlCalendarAdvance(Calendar,X1779,NDays&amp;"D")</f>
        <v>51488</v>
      </c>
      <c r="Z1779" s="156">
        <v>3.0294162231090382E-2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51496</v>
      </c>
      <c r="Y1780" s="155">
        <f>_xll.qlCalendarAdvance(Calendar,X1780,NDays&amp;"D")</f>
        <v>51496</v>
      </c>
      <c r="Z1780" s="156">
        <v>3.028828349950885E-2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51503</v>
      </c>
      <c r="Y1781" s="155">
        <f>_xll.qlCalendarAdvance(Calendar,X1781,NDays&amp;"D")</f>
        <v>51503</v>
      </c>
      <c r="Z1781" s="156">
        <v>3.0283144749922997E-2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51510</v>
      </c>
      <c r="Y1782" s="155">
        <f>_xll.qlCalendarAdvance(Calendar,X1782,NDays&amp;"D")</f>
        <v>51510</v>
      </c>
      <c r="Z1782" s="156">
        <v>3.0278010798259203E-2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51517</v>
      </c>
      <c r="Y1783" s="155">
        <f>_xll.qlCalendarAdvance(Calendar,X1783,NDays&amp;"D")</f>
        <v>51517</v>
      </c>
      <c r="Z1783" s="156">
        <v>3.0272881644357597E-2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51524</v>
      </c>
      <c r="Y1784" s="155">
        <f>_xll.qlCalendarAdvance(Calendar,X1784,NDays&amp;"D")</f>
        <v>51524</v>
      </c>
      <c r="Z1784" s="156">
        <v>3.0267757288457986E-2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51531</v>
      </c>
      <c r="Y1785" s="155">
        <f>_xll.qlCalendarAdvance(Calendar,X1785,NDays&amp;"D")</f>
        <v>51531</v>
      </c>
      <c r="Z1785" s="156">
        <v>3.0262637730400499E-2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51538</v>
      </c>
      <c r="Y1786" s="155">
        <f>_xll.qlCalendarAdvance(Calendar,X1786,NDays&amp;"D")</f>
        <v>51538</v>
      </c>
      <c r="Z1786" s="156">
        <v>3.0257522970265072E-2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51545</v>
      </c>
      <c r="Y1787" s="155">
        <f>_xll.qlCalendarAdvance(Calendar,X1787,NDays&amp;"D")</f>
        <v>51545</v>
      </c>
      <c r="Z1787" s="156">
        <v>3.0252413007891832E-2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51552</v>
      </c>
      <c r="Y1788" s="155">
        <f>_xll.qlCalendarAdvance(Calendar,X1788,NDays&amp;"D")</f>
        <v>51552</v>
      </c>
      <c r="Z1788" s="156">
        <v>3.0247307843520588E-2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51559</v>
      </c>
      <c r="Y1789" s="155">
        <f>_xll.qlCalendarAdvance(Calendar,X1789,NDays&amp;"D")</f>
        <v>51559</v>
      </c>
      <c r="Z1789" s="156">
        <v>3.0242207476831595E-2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51566</v>
      </c>
      <c r="Y1790" s="155">
        <f>_xll.qlCalendarAdvance(Calendar,X1790,NDays&amp;"D")</f>
        <v>51566</v>
      </c>
      <c r="Z1790" s="156">
        <v>3.0237111908224534E-2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51573</v>
      </c>
      <c r="Y1791" s="155">
        <f>_xll.qlCalendarAdvance(Calendar,X1791,NDays&amp;"D")</f>
        <v>51573</v>
      </c>
      <c r="Z1791" s="156">
        <v>3.0232021137379661E-2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51580</v>
      </c>
      <c r="Y1792" s="155">
        <f>_xll.qlCalendarAdvance(Calendar,X1792,NDays&amp;"D")</f>
        <v>51580</v>
      </c>
      <c r="Z1792" s="156">
        <v>3.0226935164456847E-2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51587</v>
      </c>
      <c r="Y1793" s="155">
        <f>_xll.qlCalendarAdvance(Calendar,X1793,NDays&amp;"D")</f>
        <v>51587</v>
      </c>
      <c r="Z1793" s="156">
        <v>3.0221853989376157E-2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51594</v>
      </c>
      <c r="Y1794" s="155">
        <f>_xll.qlCalendarAdvance(Calendar,X1794,NDays&amp;"D")</f>
        <v>51594</v>
      </c>
      <c r="Z1794" s="156">
        <v>3.0216777612217527E-2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51601</v>
      </c>
      <c r="Y1795" s="155">
        <f>_xll.qlCalendarAdvance(Calendar,X1795,NDays&amp;"D")</f>
        <v>51601</v>
      </c>
      <c r="Z1795" s="156">
        <v>3.0211706032980956E-2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51608</v>
      </c>
      <c r="Y1796" s="155">
        <f>_xll.qlCalendarAdvance(Calendar,X1796,NDays&amp;"D")</f>
        <v>51608</v>
      </c>
      <c r="Z1796" s="156">
        <v>3.0206639251506573E-2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51615</v>
      </c>
      <c r="Y1797" s="155">
        <f>_xll.qlCalendarAdvance(Calendar,X1797,NDays&amp;"D")</f>
        <v>51615</v>
      </c>
      <c r="Z1797" s="156">
        <v>3.0201577267954249E-2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51622</v>
      </c>
      <c r="Y1798" s="155">
        <f>_xll.qlCalendarAdvance(Calendar,X1798,NDays&amp;"D")</f>
        <v>51622</v>
      </c>
      <c r="Z1798" s="156">
        <v>3.0196520082244049E-2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51629</v>
      </c>
      <c r="Y1799" s="155">
        <f>_xll.qlCalendarAdvance(Calendar,X1799,NDays&amp;"D")</f>
        <v>51629</v>
      </c>
      <c r="Z1799" s="156">
        <v>3.0191467694535845E-2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51636</v>
      </c>
      <c r="Y1800" s="155">
        <f>_xll.qlCalendarAdvance(Calendar,X1800,NDays&amp;"D")</f>
        <v>51636</v>
      </c>
      <c r="Z1800" s="156">
        <v>3.0186420104509892E-2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51643</v>
      </c>
      <c r="Y1801" s="155">
        <f>_xll.qlCalendarAdvance(Calendar,X1801,NDays&amp;"D")</f>
        <v>51643</v>
      </c>
      <c r="Z1801" s="156">
        <v>3.0181377312485935E-2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51650</v>
      </c>
      <c r="Y1802" s="155">
        <f>_xll.qlCalendarAdvance(Calendar,X1802,NDays&amp;"D")</f>
        <v>51650</v>
      </c>
      <c r="Z1802" s="156">
        <v>3.0176339318304102E-2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51657</v>
      </c>
      <c r="Y1803" s="155">
        <f>_xll.qlCalendarAdvance(Calendar,X1803,NDays&amp;"D")</f>
        <v>51657</v>
      </c>
      <c r="Z1803" s="156">
        <v>3.0171306121964392E-2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51664</v>
      </c>
      <c r="Y1804" s="155">
        <f>_xll.qlCalendarAdvance(Calendar,X1804,NDays&amp;"D")</f>
        <v>51664</v>
      </c>
      <c r="Z1804" s="156">
        <v>3.0166277723546742E-2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51671</v>
      </c>
      <c r="Y1805" s="155">
        <f>_xll.qlCalendarAdvance(Calendar,X1805,NDays&amp;"D")</f>
        <v>51671</v>
      </c>
      <c r="Z1805" s="156">
        <v>3.0161254122891279E-2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51678</v>
      </c>
      <c r="Y1806" s="155">
        <f>_xll.qlCalendarAdvance(Calendar,X1806,NDays&amp;"D")</f>
        <v>51678</v>
      </c>
      <c r="Z1806" s="156">
        <v>3.0156235320317748E-2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51685</v>
      </c>
      <c r="Y1807" s="155">
        <f>_xll.qlCalendarAdvance(Calendar,X1807,NDays&amp;"D")</f>
        <v>51685</v>
      </c>
      <c r="Z1807" s="156">
        <v>3.0152125971616428E-2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51692</v>
      </c>
      <c r="Y1808" s="155">
        <f>_xll.qlCalendarAdvance(Calendar,X1808,NDays&amp;"D")</f>
        <v>51692</v>
      </c>
      <c r="Z1808" s="156">
        <v>3.0146212108537185E-2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51699</v>
      </c>
      <c r="Y1809" s="155">
        <f>_xll.qlCalendarAdvance(Calendar,X1809,NDays&amp;"D")</f>
        <v>51699</v>
      </c>
      <c r="Z1809" s="156">
        <v>3.0141207699410089E-2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51706</v>
      </c>
      <c r="Y1810" s="155">
        <f>_xll.qlCalendarAdvance(Calendar,X1810,NDays&amp;"D")</f>
        <v>51706</v>
      </c>
      <c r="Z1810" s="156">
        <v>3.0136208088205052E-2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51713</v>
      </c>
      <c r="Y1811" s="155">
        <f>_xll.qlCalendarAdvance(Calendar,X1811,NDays&amp;"D")</f>
        <v>51713</v>
      </c>
      <c r="Z1811" s="156">
        <v>3.0131213274922075E-2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51720</v>
      </c>
      <c r="Y1812" s="155">
        <f>_xll.qlCalendarAdvance(Calendar,X1812,NDays&amp;"D")</f>
        <v>51720</v>
      </c>
      <c r="Z1812" s="156">
        <v>3.0126223259481222E-2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51727</v>
      </c>
      <c r="Y1813" s="155">
        <f>_xll.qlCalendarAdvance(Calendar,X1813,NDays&amp;"D")</f>
        <v>51727</v>
      </c>
      <c r="Z1813" s="156">
        <v>3.0121238041802556E-2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51734</v>
      </c>
      <c r="Y1814" s="155">
        <f>_xll.qlCalendarAdvance(Calendar,X1814,NDays&amp;"D")</f>
        <v>51734</v>
      </c>
      <c r="Z1814" s="156">
        <v>3.0116257622205822E-2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51741</v>
      </c>
      <c r="Y1815" s="155">
        <f>_xll.qlCalendarAdvance(Calendar,X1815,NDays&amp;"D")</f>
        <v>51741</v>
      </c>
      <c r="Z1815" s="156">
        <v>3.0111282000371276E-2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51748</v>
      </c>
      <c r="Y1816" s="155">
        <f>_xll.qlCalendarAdvance(Calendar,X1816,NDays&amp;"D")</f>
        <v>51748</v>
      </c>
      <c r="Z1816" s="156">
        <v>3.0106311176378853E-2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51755</v>
      </c>
      <c r="Y1817" s="155">
        <f>_xll.qlCalendarAdvance(Calendar,X1817,NDays&amp;"D")</f>
        <v>51755</v>
      </c>
      <c r="Z1817" s="156">
        <v>3.0101345150308489E-2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51762</v>
      </c>
      <c r="Y1818" s="155">
        <f>_xll.qlCalendarAdvance(Calendar,X1818,NDays&amp;"D")</f>
        <v>51762</v>
      </c>
      <c r="Z1818" s="156">
        <v>3.0096383922000314E-2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51769</v>
      </c>
      <c r="Y1819" s="155">
        <f>_xll.qlCalendarAdvance(Calendar,X1819,NDays&amp;"D")</f>
        <v>51769</v>
      </c>
      <c r="Z1819" s="156">
        <v>3.0091427491614198E-2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51776</v>
      </c>
      <c r="Y1820" s="155">
        <f>_xll.qlCalendarAdvance(Calendar,X1820,NDays&amp;"D")</f>
        <v>51776</v>
      </c>
      <c r="Z1820" s="156">
        <v>3.0086475859150141E-2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51783</v>
      </c>
      <c r="Y1821" s="155">
        <f>_xll.qlCalendarAdvance(Calendar,X1821,NDays&amp;"D")</f>
        <v>51783</v>
      </c>
      <c r="Z1821" s="156">
        <v>3.0081529024528209E-2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51790</v>
      </c>
      <c r="Y1822" s="155">
        <f>_xll.qlCalendarAdvance(Calendar,X1822,NDays&amp;"D")</f>
        <v>51790</v>
      </c>
      <c r="Z1822" s="156">
        <v>3.0076586987748399E-2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51797</v>
      </c>
      <c r="Y1823" s="155">
        <f>_xll.qlCalendarAdvance(Calendar,X1823,NDays&amp;"D")</f>
        <v>51797</v>
      </c>
      <c r="Z1823" s="156">
        <v>3.007164974889065E-2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51804</v>
      </c>
      <c r="Y1824" s="155">
        <f>_xll.qlCalendarAdvance(Calendar,X1824,NDays&amp;"D")</f>
        <v>51804</v>
      </c>
      <c r="Z1824" s="156">
        <v>3.0066717307875024E-2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51811</v>
      </c>
      <c r="Y1825" s="155">
        <f>_xll.qlCalendarAdvance(Calendar,X1825,NDays&amp;"D")</f>
        <v>51811</v>
      </c>
      <c r="Z1825" s="156">
        <v>3.0061789664781458E-2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51818</v>
      </c>
      <c r="Y1826" s="155">
        <f>_xll.qlCalendarAdvance(Calendar,X1826,NDays&amp;"D")</f>
        <v>51818</v>
      </c>
      <c r="Z1826" s="156">
        <v>3.0056866819530015E-2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51825</v>
      </c>
      <c r="Y1827" s="155">
        <f>_xll.qlCalendarAdvance(Calendar,X1827,NDays&amp;"D")</f>
        <v>51825</v>
      </c>
      <c r="Z1827" s="156">
        <v>3.005194877204076E-2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51832</v>
      </c>
      <c r="Y1828" s="155">
        <f>_xll.qlCalendarAdvance(Calendar,X1828,NDays&amp;"D")</f>
        <v>51832</v>
      </c>
      <c r="Z1828" s="156">
        <v>3.0047938665394014E-2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51839</v>
      </c>
      <c r="Y1829" s="155">
        <f>_xll.qlCalendarAdvance(Calendar,X1829,NDays&amp;"D")</f>
        <v>51839</v>
      </c>
      <c r="Z1829" s="156">
        <v>3.0042127070908364E-2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51846</v>
      </c>
      <c r="Y1830" s="155">
        <f>_xll.qlCalendarAdvance(Calendar,X1830,NDays&amp;"D")</f>
        <v>51846</v>
      </c>
      <c r="Z1830" s="156">
        <v>3.0037223417105352E-2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51853</v>
      </c>
      <c r="Y1831" s="155">
        <f>_xll.qlCalendarAdvance(Calendar,X1831,NDays&amp;"D")</f>
        <v>51853</v>
      </c>
      <c r="Z1831" s="156">
        <v>3.0032324561064527E-2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51861</v>
      </c>
      <c r="Y1832" s="155">
        <f>_xll.qlCalendarAdvance(Calendar,X1832,NDays&amp;"D")</f>
        <v>51861</v>
      </c>
      <c r="Z1832" s="156">
        <v>3.0026731743575397E-2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51868</v>
      </c>
      <c r="Y1833" s="155">
        <f>_xll.qlCalendarAdvance(Calendar,X1833,NDays&amp;"D")</f>
        <v>51868</v>
      </c>
      <c r="Z1833" s="156">
        <v>3.0021843168830387E-2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51875</v>
      </c>
      <c r="Y1834" s="155">
        <f>_xll.qlCalendarAdvance(Calendar,X1834,NDays&amp;"D")</f>
        <v>51875</v>
      </c>
      <c r="Z1834" s="156">
        <v>3.0016959391847564E-2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51882</v>
      </c>
      <c r="Y1835" s="155">
        <f>_xll.qlCalendarAdvance(Calendar,X1835,NDays&amp;"D")</f>
        <v>51882</v>
      </c>
      <c r="Z1835" s="156">
        <v>3.0012080412866737E-2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51889</v>
      </c>
      <c r="Y1836" s="155">
        <f>_xll.qlCalendarAdvance(Calendar,X1836,NDays&amp;"D")</f>
        <v>51889</v>
      </c>
      <c r="Z1836" s="156">
        <v>3.0007206231648098E-2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51896</v>
      </c>
      <c r="Y1837" s="155">
        <f>_xll.qlCalendarAdvance(Calendar,X1837,NDays&amp;"D")</f>
        <v>51896</v>
      </c>
      <c r="Z1837" s="156">
        <v>3.0002336848271582E-2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51903</v>
      </c>
      <c r="Y1838" s="155">
        <f>_xll.qlCalendarAdvance(Calendar,X1838,NDays&amp;"D")</f>
        <v>51903</v>
      </c>
      <c r="Z1838" s="156">
        <v>2.9997472262897062E-2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51910</v>
      </c>
      <c r="Y1839" s="155">
        <f>_xll.qlCalendarAdvance(Calendar,X1839,NDays&amp;"D")</f>
        <v>51910</v>
      </c>
      <c r="Z1839" s="156">
        <v>2.9992612475204794E-2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51917</v>
      </c>
      <c r="Y1840" s="155">
        <f>_xll.qlCalendarAdvance(Calendar,X1840,NDays&amp;"D")</f>
        <v>51917</v>
      </c>
      <c r="Z1840" s="156">
        <v>2.9987757485594457E-2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51924</v>
      </c>
      <c r="Y1841" s="155">
        <f>_xll.qlCalendarAdvance(Calendar,X1841,NDays&amp;"D")</f>
        <v>51924</v>
      </c>
      <c r="Z1841" s="156">
        <v>2.9982907293666372E-2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51931</v>
      </c>
      <c r="Y1842" s="155">
        <f>_xll.qlCalendarAdvance(Calendar,X1842,NDays&amp;"D")</f>
        <v>51931</v>
      </c>
      <c r="Z1842" s="156">
        <v>2.9978061899740283E-2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51938</v>
      </c>
      <c r="Y1843" s="155">
        <f>_xll.qlCalendarAdvance(Calendar,X1843,NDays&amp;"D")</f>
        <v>51938</v>
      </c>
      <c r="Z1843" s="156">
        <v>2.9973221303576381E-2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51945</v>
      </c>
      <c r="Y1844" s="155">
        <f>_xll.qlCalendarAdvance(Calendar,X1844,NDays&amp;"D")</f>
        <v>51945</v>
      </c>
      <c r="Z1844" s="156">
        <v>2.9968385505334538E-2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51952</v>
      </c>
      <c r="Y1845" s="155">
        <f>_xll.qlCalendarAdvance(Calendar,X1845,NDays&amp;"D")</f>
        <v>51952</v>
      </c>
      <c r="Z1845" s="156">
        <v>2.996355450493482E-2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51959</v>
      </c>
      <c r="Y1846" s="155">
        <f>_xll.qlCalendarAdvance(Calendar,X1846,NDays&amp;"D")</f>
        <v>51959</v>
      </c>
      <c r="Z1846" s="156">
        <v>2.995872830245716E-2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51966</v>
      </c>
      <c r="Y1847" s="155">
        <f>_xll.qlCalendarAdvance(Calendar,X1847,NDays&amp;"D")</f>
        <v>51966</v>
      </c>
      <c r="Z1847" s="156">
        <v>2.9953906897821625E-2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51973</v>
      </c>
      <c r="Y1848" s="155">
        <f>_xll.qlCalendarAdvance(Calendar,X1848,NDays&amp;"D")</f>
        <v>51973</v>
      </c>
      <c r="Z1848" s="156">
        <v>2.9949090290948277E-2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51980</v>
      </c>
      <c r="Y1849" s="155">
        <f>_xll.qlCalendarAdvance(Calendar,X1849,NDays&amp;"D")</f>
        <v>51980</v>
      </c>
      <c r="Z1849" s="156">
        <v>2.9944278482076925E-2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51987</v>
      </c>
      <c r="Y1850" s="155">
        <f>_xll.qlCalendarAdvance(Calendar,X1850,NDays&amp;"D")</f>
        <v>51987</v>
      </c>
      <c r="Z1850" s="156">
        <v>2.9939471471047696E-2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51994</v>
      </c>
      <c r="Y1851" s="155">
        <f>_xll.qlCalendarAdvance(Calendar,X1851,NDays&amp;"D")</f>
        <v>51994</v>
      </c>
      <c r="Z1851" s="156">
        <v>2.9934669257860591E-2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52001</v>
      </c>
      <c r="Y1852" s="155">
        <f>_xll.qlCalendarAdvance(Calendar,X1852,NDays&amp;"D")</f>
        <v>52001</v>
      </c>
      <c r="Z1852" s="156">
        <v>2.9929871842435674E-2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52008</v>
      </c>
      <c r="Y1853" s="155">
        <f>_xll.qlCalendarAdvance(Calendar,X1853,NDays&amp;"D")</f>
        <v>52008</v>
      </c>
      <c r="Z1853" s="156">
        <v>2.9925079224932816E-2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52015</v>
      </c>
      <c r="Y1854" s="155">
        <f>_xll.qlCalendarAdvance(Calendar,X1854,NDays&amp;"D")</f>
        <v>52015</v>
      </c>
      <c r="Z1854" s="156">
        <v>2.9920291405352017E-2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52022</v>
      </c>
      <c r="Y1855" s="155">
        <f>_xll.qlCalendarAdvance(Calendar,X1855,NDays&amp;"D")</f>
        <v>52022</v>
      </c>
      <c r="Z1855" s="156">
        <v>2.9915508383613343E-2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52029</v>
      </c>
      <c r="Y1856" s="155">
        <f>_xll.qlCalendarAdvance(Calendar,X1856,NDays&amp;"D")</f>
        <v>52029</v>
      </c>
      <c r="Z1856" s="156">
        <v>2.9910730159716792E-2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52036</v>
      </c>
      <c r="Y1857" s="155">
        <f>_xll.qlCalendarAdvance(Calendar,X1857,NDays&amp;"D")</f>
        <v>52036</v>
      </c>
      <c r="Z1857" s="156">
        <v>2.9905956733662364E-2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52043</v>
      </c>
      <c r="Y1858" s="155">
        <f>_xll.qlCalendarAdvance(Calendar,X1858,NDays&amp;"D")</f>
        <v>52043</v>
      </c>
      <c r="Z1858" s="156">
        <v>2.9901188105529997E-2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52050</v>
      </c>
      <c r="Y1859" s="155">
        <f>_xll.qlCalendarAdvance(Calendar,X1859,NDays&amp;"D")</f>
        <v>52050</v>
      </c>
      <c r="Z1859" s="156">
        <v>2.9899128242649731E-2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52057</v>
      </c>
      <c r="Y1860" s="155">
        <f>_xll.qlCalendarAdvance(Calendar,X1860,NDays&amp;"D")</f>
        <v>52057</v>
      </c>
      <c r="Z1860" s="156">
        <v>2.9891665242871568E-2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52064</v>
      </c>
      <c r="Y1861" s="155">
        <f>_xll.qlCalendarAdvance(Calendar,X1861,NDays&amp;"D")</f>
        <v>52064</v>
      </c>
      <c r="Z1861" s="156">
        <v>2.9886911008185635E-2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52071</v>
      </c>
      <c r="Y1862" s="155">
        <f>_xll.qlCalendarAdvance(Calendar,X1862,NDays&amp;"D")</f>
        <v>52071</v>
      </c>
      <c r="Z1862" s="156">
        <v>2.9882161571501697E-2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52078</v>
      </c>
      <c r="Y1863" s="155">
        <f>_xll.qlCalendarAdvance(Calendar,X1863,NDays&amp;"D")</f>
        <v>52078</v>
      </c>
      <c r="Z1863" s="156">
        <v>2.9877416932659884E-2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52085</v>
      </c>
      <c r="Y1864" s="155">
        <f>_xll.qlCalendarAdvance(Calendar,X1864,NDays&amp;"D")</f>
        <v>52085</v>
      </c>
      <c r="Z1864" s="156">
        <v>2.9872677091660194E-2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52092</v>
      </c>
      <c r="Y1865" s="155">
        <f>_xll.qlCalendarAdvance(Calendar,X1865,NDays&amp;"D")</f>
        <v>52092</v>
      </c>
      <c r="Z1865" s="156">
        <v>2.9867942048582563E-2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52099</v>
      </c>
      <c r="Y1866" s="155">
        <f>_xll.qlCalendarAdvance(Calendar,X1866,NDays&amp;"D")</f>
        <v>52099</v>
      </c>
      <c r="Z1866" s="156">
        <v>2.986321180326712E-2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52106</v>
      </c>
      <c r="Y1867" s="155">
        <f>_xll.qlCalendarAdvance(Calendar,X1867,NDays&amp;"D")</f>
        <v>52106</v>
      </c>
      <c r="Z1867" s="156">
        <v>2.9858486355873737E-2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52113</v>
      </c>
      <c r="Y1868" s="155">
        <f>_xll.qlCalendarAdvance(Calendar,X1868,NDays&amp;"D")</f>
        <v>52113</v>
      </c>
      <c r="Z1868" s="156">
        <v>2.9853765706322477E-2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52120</v>
      </c>
      <c r="Y1869" s="155">
        <f>_xll.qlCalendarAdvance(Calendar,X1869,NDays&amp;"D")</f>
        <v>52120</v>
      </c>
      <c r="Z1869" s="156">
        <v>2.9849049854693277E-2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52127</v>
      </c>
      <c r="Y1870" s="155">
        <f>_xll.qlCalendarAdvance(Calendar,X1870,NDays&amp;"D")</f>
        <v>52127</v>
      </c>
      <c r="Z1870" s="156">
        <v>2.9844338800826264E-2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52134</v>
      </c>
      <c r="Y1871" s="155">
        <f>_xll.qlCalendarAdvance(Calendar,X1871,NDays&amp;"D")</f>
        <v>52134</v>
      </c>
      <c r="Z1871" s="156">
        <v>2.9839632544881312E-2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52141</v>
      </c>
      <c r="Y1872" s="155">
        <f>_xll.qlCalendarAdvance(Calendar,X1872,NDays&amp;"D")</f>
        <v>52141</v>
      </c>
      <c r="Z1872" s="156">
        <v>2.9834931086778482E-2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52148</v>
      </c>
      <c r="Y1873" s="155">
        <f>_xll.qlCalendarAdvance(Calendar,X1873,NDays&amp;"D")</f>
        <v>52148</v>
      </c>
      <c r="Z1873" s="156">
        <v>2.9830234426597713E-2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52155</v>
      </c>
      <c r="Y1874" s="155">
        <f>_xll.qlCalendarAdvance(Calendar,X1874,NDays&amp;"D")</f>
        <v>52155</v>
      </c>
      <c r="Z1874" s="156">
        <v>2.9825542564179131E-2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52162</v>
      </c>
      <c r="Y1875" s="155">
        <f>_xll.qlCalendarAdvance(Calendar,X1875,NDays&amp;"D")</f>
        <v>52162</v>
      </c>
      <c r="Z1875" s="156">
        <v>2.9820855499682608E-2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52169</v>
      </c>
      <c r="Y1876" s="155">
        <f>_xll.qlCalendarAdvance(Calendar,X1876,NDays&amp;"D")</f>
        <v>52169</v>
      </c>
      <c r="Z1876" s="156">
        <v>2.9816173233028209E-2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52176</v>
      </c>
      <c r="Y1877" s="155">
        <f>_xll.qlCalendarAdvance(Calendar,X1877,NDays&amp;"D")</f>
        <v>52176</v>
      </c>
      <c r="Z1877" s="156">
        <v>2.9811495764135998E-2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52183</v>
      </c>
      <c r="Y1878" s="155">
        <f>_xll.qlCalendarAdvance(Calendar,X1878,NDays&amp;"D")</f>
        <v>52183</v>
      </c>
      <c r="Z1878" s="156">
        <v>2.9806823093245782E-2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52190</v>
      </c>
      <c r="Y1879" s="155">
        <f>_xll.qlCalendarAdvance(Calendar,X1879,NDays&amp;"D")</f>
        <v>52190</v>
      </c>
      <c r="Z1879" s="156">
        <v>2.9802155220117754E-2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52198</v>
      </c>
      <c r="Y1880" s="155">
        <f>_xll.qlCalendarAdvance(Calendar,X1880,NDays&amp;"D")</f>
        <v>52198</v>
      </c>
      <c r="Z1880" s="156">
        <v>2.9798626961818897E-2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52205</v>
      </c>
      <c r="Y1881" s="155">
        <f>_xll.qlCalendarAdvance(Calendar,X1881,NDays&amp;"D")</f>
        <v>52205</v>
      </c>
      <c r="Z1881" s="156">
        <v>2.9793969284428456E-2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52212</v>
      </c>
      <c r="Y1882" s="155">
        <f>_xll.qlCalendarAdvance(Calendar,X1882,NDays&amp;"D")</f>
        <v>52212</v>
      </c>
      <c r="Z1882" s="156">
        <v>2.9789316405812727E-2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52219</v>
      </c>
      <c r="Y1883" s="155">
        <f>_xll.qlCalendarAdvance(Calendar,X1883,NDays&amp;"D")</f>
        <v>52219</v>
      </c>
      <c r="Z1883" s="156">
        <v>2.9784668325945063E-2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52226</v>
      </c>
      <c r="Y1884" s="155">
        <f>_xll.qlCalendarAdvance(Calendar,X1884,NDays&amp;"D")</f>
        <v>52226</v>
      </c>
      <c r="Z1884" s="156">
        <v>2.978002504485211E-2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52233</v>
      </c>
      <c r="Y1885" s="155">
        <f>_xll.qlCalendarAdvance(Calendar,X1885,NDays&amp;"D")</f>
        <v>52233</v>
      </c>
      <c r="Z1885" s="156">
        <v>2.9775386562533868E-2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52240</v>
      </c>
      <c r="Y1886" s="155">
        <f>_xll.qlCalendarAdvance(Calendar,X1886,NDays&amp;"D")</f>
        <v>52240</v>
      </c>
      <c r="Z1886" s="156">
        <v>2.9770752879016982E-2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52247</v>
      </c>
      <c r="Y1887" s="155">
        <f>_xll.qlCalendarAdvance(Calendar,X1887,NDays&amp;"D")</f>
        <v>52247</v>
      </c>
      <c r="Z1887" s="156">
        <v>2.9767024062954395E-2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52254</v>
      </c>
      <c r="Y1888" s="155">
        <f>_xll.qlCalendarAdvance(Calendar,X1888,NDays&amp;"D")</f>
        <v>52254</v>
      </c>
      <c r="Z1888" s="156">
        <v>2.9761499908227407E-2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52261</v>
      </c>
      <c r="Y1889" s="155">
        <f>_xll.qlCalendarAdvance(Calendar,X1889,NDays&amp;"D")</f>
        <v>52261</v>
      </c>
      <c r="Z1889" s="156">
        <v>2.9756880620981363E-2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52268</v>
      </c>
      <c r="Y1890" s="155">
        <f>_xll.qlCalendarAdvance(Calendar,X1890,NDays&amp;"D")</f>
        <v>52268</v>
      </c>
      <c r="Z1890" s="156">
        <v>2.9752266132536676E-2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52275</v>
      </c>
      <c r="Y1891" s="155">
        <f>_xll.qlCalendarAdvance(Calendar,X1891,NDays&amp;"D")</f>
        <v>52275</v>
      </c>
      <c r="Z1891" s="156">
        <v>2.9748556356390399E-2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52282</v>
      </c>
      <c r="Y1892" s="155">
        <f>_xll.qlCalendarAdvance(Calendar,X1892,NDays&amp;"D")</f>
        <v>52282</v>
      </c>
      <c r="Z1892" s="156">
        <v>2.9743051551891497E-2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52289</v>
      </c>
      <c r="Y1893" s="155">
        <f>_xll.qlCalendarAdvance(Calendar,X1893,NDays&amp;"D")</f>
        <v>52289</v>
      </c>
      <c r="Z1893" s="156">
        <v>2.9738451459717652E-2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52296</v>
      </c>
      <c r="Y1894" s="155">
        <f>_xll.qlCalendarAdvance(Calendar,X1894,NDays&amp;"D")</f>
        <v>52296</v>
      </c>
      <c r="Z1894" s="156">
        <v>2.9733856166318517E-2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52303</v>
      </c>
      <c r="Y1895" s="155">
        <f>_xll.qlCalendarAdvance(Calendar,X1895,NDays&amp;"D")</f>
        <v>52303</v>
      </c>
      <c r="Z1895" s="156">
        <v>2.9729265671694094E-2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52310</v>
      </c>
      <c r="Y1896" s="155">
        <f>_xll.qlCalendarAdvance(Calendar,X1896,NDays&amp;"D")</f>
        <v>52310</v>
      </c>
      <c r="Z1896" s="156">
        <v>2.9724679975844381E-2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52317</v>
      </c>
      <c r="Y1897" s="155">
        <f>_xll.qlCalendarAdvance(Calendar,X1897,NDays&amp;"D")</f>
        <v>52317</v>
      </c>
      <c r="Z1897" s="156">
        <v>2.9720099078742734E-2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52324</v>
      </c>
      <c r="Y1898" s="155">
        <f>_xll.qlCalendarAdvance(Calendar,X1898,NDays&amp;"D")</f>
        <v>52324</v>
      </c>
      <c r="Z1898" s="156">
        <v>2.9715522980389153E-2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52331</v>
      </c>
      <c r="Y1899" s="155">
        <f>_xll.qlCalendarAdvance(Calendar,X1899,NDays&amp;"D")</f>
        <v>52331</v>
      </c>
      <c r="Z1899" s="156">
        <v>2.9710951680810282E-2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52338</v>
      </c>
      <c r="Y1900" s="155">
        <f>_xll.qlCalendarAdvance(Calendar,X1900,NDays&amp;"D")</f>
        <v>52338</v>
      </c>
      <c r="Z1900" s="156">
        <v>2.9706385179979478E-2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52345</v>
      </c>
      <c r="Y1901" s="155">
        <f>_xll.qlCalendarAdvance(Calendar,X1901,NDays&amp;"D")</f>
        <v>52345</v>
      </c>
      <c r="Z1901" s="156">
        <v>2.9701823477950029E-2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52352</v>
      </c>
      <c r="Y1902" s="155">
        <f>_xll.qlCalendarAdvance(Calendar,X1902,NDays&amp;"D")</f>
        <v>52352</v>
      </c>
      <c r="Z1902" s="156">
        <v>2.9697266574668646E-2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52359</v>
      </c>
      <c r="Y1903" s="155">
        <f>_xll.qlCalendarAdvance(Calendar,X1903,NDays&amp;"D")</f>
        <v>52359</v>
      </c>
      <c r="Z1903" s="156">
        <v>2.9692714470108683E-2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52366</v>
      </c>
      <c r="Y1904" s="155">
        <f>_xll.qlCalendarAdvance(Calendar,X1904,NDays&amp;"D")</f>
        <v>52366</v>
      </c>
      <c r="Z1904" s="156">
        <v>2.9688167164350077E-2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52373</v>
      </c>
      <c r="Y1905" s="155">
        <f>_xll.qlCalendarAdvance(Calendar,X1905,NDays&amp;"D")</f>
        <v>52373</v>
      </c>
      <c r="Z1905" s="156">
        <v>2.9684524085145103E-2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52380</v>
      </c>
      <c r="Y1906" s="155">
        <f>_xll.qlCalendarAdvance(Calendar,X1906,NDays&amp;"D")</f>
        <v>52380</v>
      </c>
      <c r="Z1906" s="156">
        <v>2.9679086949103706E-2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52387</v>
      </c>
      <c r="Y1907" s="155">
        <f>_xll.qlCalendarAdvance(Calendar,X1907,NDays&amp;"D")</f>
        <v>52387</v>
      </c>
      <c r="Z1907" s="156">
        <v>2.9674554039615941E-2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52394</v>
      </c>
      <c r="Y1908" s="155">
        <f>_xll.qlCalendarAdvance(Calendar,X1908,NDays&amp;"D")</f>
        <v>52394</v>
      </c>
      <c r="Z1908" s="156">
        <v>2.9670025928876242E-2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52401</v>
      </c>
      <c r="Y1909" s="155">
        <f>_xll.qlCalendarAdvance(Calendar,X1909,NDays&amp;"D")</f>
        <v>52401</v>
      </c>
      <c r="Z1909" s="156">
        <v>2.9665502616884609E-2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52408</v>
      </c>
      <c r="Y1910" s="155">
        <f>_xll.qlCalendarAdvance(Calendar,X1910,NDays&amp;"D")</f>
        <v>52408</v>
      </c>
      <c r="Z1910" s="156">
        <v>2.9660984103694332E-2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52418</v>
      </c>
      <c r="Y1911" s="155">
        <f>_xll.qlCalendarAdvance(Calendar,X1911,NDays&amp;"D")</f>
        <v>52418</v>
      </c>
      <c r="Z1911" s="156">
        <v>2.9652739080017199E-2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52425</v>
      </c>
      <c r="Y1912" s="155">
        <f>_xll.qlCalendarAdvance(Calendar,X1912,NDays&amp;"D")</f>
        <v>52425</v>
      </c>
      <c r="Z1912" s="156">
        <v>2.9648232277885711E-2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52432</v>
      </c>
      <c r="Y1913" s="155">
        <f>_xll.qlCalendarAdvance(Calendar,X1913,NDays&amp;"D")</f>
        <v>52432</v>
      </c>
      <c r="Z1913" s="156">
        <v>2.9643730273436475E-2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52439</v>
      </c>
      <c r="Y1914" s="155">
        <f>_xll.qlCalendarAdvance(Calendar,X1914,NDays&amp;"D")</f>
        <v>52439</v>
      </c>
      <c r="Z1914" s="156">
        <v>2.9639233066909298E-2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52446</v>
      </c>
      <c r="Y1915" s="155">
        <f>_xll.qlCalendarAdvance(Calendar,X1915,NDays&amp;"D")</f>
        <v>52446</v>
      </c>
      <c r="Z1915" s="156">
        <v>2.9634740658304182E-2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52453</v>
      </c>
      <c r="Y1916" s="155">
        <f>_xll.qlCalendarAdvance(Calendar,X1916,NDays&amp;"D")</f>
        <v>52453</v>
      </c>
      <c r="Z1916" s="156">
        <v>2.9630253047541188E-2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52460</v>
      </c>
      <c r="Y1917" s="155">
        <f>_xll.qlCalendarAdvance(Calendar,X1917,NDays&amp;"D")</f>
        <v>52460</v>
      </c>
      <c r="Z1917" s="156">
        <v>2.9625770234460447E-2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52467</v>
      </c>
      <c r="Y1918" s="155">
        <f>_xll.qlCalendarAdvance(Calendar,X1918,NDays&amp;"D")</f>
        <v>52467</v>
      </c>
      <c r="Z1918" s="156">
        <v>2.9621292219461637E-2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52474</v>
      </c>
      <c r="Y1919" s="155">
        <f>_xll.qlCalendarAdvance(Calendar,X1919,NDays&amp;"D")</f>
        <v>52474</v>
      </c>
      <c r="Z1919" s="156">
        <v>2.9616819002145078E-2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52482</v>
      </c>
      <c r="Y1920" s="155">
        <f>_xll.qlCalendarAdvance(Calendar,X1920,NDays&amp;"D")</f>
        <v>52482</v>
      </c>
      <c r="Z1920" s="156">
        <v>2.9611712628820896E-2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52489</v>
      </c>
      <c r="Y1921" s="155">
        <f>_xll.qlCalendarAdvance(Calendar,X1921,NDays&amp;"D")</f>
        <v>52489</v>
      </c>
      <c r="Z1921" s="156">
        <v>2.9607249692720217E-2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52496</v>
      </c>
      <c r="Y1922" s="155">
        <f>_xll.qlCalendarAdvance(Calendar,X1922,NDays&amp;"D")</f>
        <v>52496</v>
      </c>
      <c r="Z1922" s="156">
        <v>2.9602791554301788E-2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52503</v>
      </c>
      <c r="Y1923" s="155">
        <f>_xll.qlCalendarAdvance(Calendar,X1923,NDays&amp;"D")</f>
        <v>52503</v>
      </c>
      <c r="Z1923" s="156">
        <v>2.9598338213965292E-2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52510</v>
      </c>
      <c r="Y1924" s="155">
        <f>_xll.qlCalendarAdvance(Calendar,X1924,NDays&amp;"D")</f>
        <v>52510</v>
      </c>
      <c r="Z1924" s="156">
        <v>2.9593889671311047E-2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52517</v>
      </c>
      <c r="Y1925" s="155">
        <f>_xll.qlCalendarAdvance(Calendar,X1925,NDays&amp;"D")</f>
        <v>52517</v>
      </c>
      <c r="Z1925" s="156">
        <v>2.9589445926578861E-2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52524</v>
      </c>
      <c r="Y1926" s="155">
        <f>_xll.qlCalendarAdvance(Calendar,X1926,NDays&amp;"D")</f>
        <v>52524</v>
      </c>
      <c r="Z1926" s="156">
        <v>2.9585006979688799E-2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52531</v>
      </c>
      <c r="Y1927" s="155">
        <f>_xll.qlCalendarAdvance(Calendar,X1927,NDays&amp;"D")</f>
        <v>52531</v>
      </c>
      <c r="Z1927" s="156">
        <v>2.9580572830640861E-2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52538</v>
      </c>
      <c r="Y1928" s="155">
        <f>_xll.qlCalendarAdvance(Calendar,X1928,NDays&amp;"D")</f>
        <v>52538</v>
      </c>
      <c r="Z1928" s="156">
        <v>2.9576143479514982E-2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52545</v>
      </c>
      <c r="Y1929" s="155">
        <f>_xll.qlCalendarAdvance(Calendar,X1929,NDays&amp;"D")</f>
        <v>52545</v>
      </c>
      <c r="Z1929" s="156">
        <v>2.957261762114971E-2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52552</v>
      </c>
      <c r="Y1930" s="155">
        <f>_xll.qlCalendarAdvance(Calendar,X1930,NDays&amp;"D")</f>
        <v>52552</v>
      </c>
      <c r="Z1930" s="156">
        <v>2.9567299170629724E-2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52559</v>
      </c>
      <c r="Y1931" s="155">
        <f>_xll.qlCalendarAdvance(Calendar,X1931,NDays&amp;"D")</f>
        <v>52559</v>
      </c>
      <c r="Z1931" s="156">
        <v>2.956288421295028E-2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52566</v>
      </c>
      <c r="Y1932" s="155">
        <f>_xll.qlCalendarAdvance(Calendar,X1932,NDays&amp;"D")</f>
        <v>52566</v>
      </c>
      <c r="Z1932" s="156">
        <v>2.9558474053192896E-2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52573</v>
      </c>
      <c r="Y1933" s="155">
        <f>_xll.qlCalendarAdvance(Calendar,X1933,NDays&amp;"D")</f>
        <v>52573</v>
      </c>
      <c r="Z1933" s="156">
        <v>2.9554068691277635E-2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52580</v>
      </c>
      <c r="Y1934" s="155">
        <f>_xll.qlCalendarAdvance(Calendar,X1934,NDays&amp;"D")</f>
        <v>52580</v>
      </c>
      <c r="Z1934" s="156">
        <v>2.9549668127124562E-2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52587</v>
      </c>
      <c r="Y1935" s="155">
        <f>_xll.qlCalendarAdvance(Calendar,X1935,NDays&amp;"D")</f>
        <v>52587</v>
      </c>
      <c r="Z1935" s="156">
        <v>2.9545272360893549E-2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52594</v>
      </c>
      <c r="Y1936" s="155">
        <f>_xll.qlCalendarAdvance(Calendar,X1936,NDays&amp;"D")</f>
        <v>52594</v>
      </c>
      <c r="Z1936" s="156">
        <v>2.9540881392424723E-2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52601</v>
      </c>
      <c r="Y1937" s="155">
        <f>_xll.qlCalendarAdvance(Calendar,X1937,NDays&amp;"D")</f>
        <v>52601</v>
      </c>
      <c r="Z1937" s="156">
        <v>2.9536495221877956E-2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52608</v>
      </c>
      <c r="Y1938" s="155">
        <f>_xll.qlCalendarAdvance(Calendar,X1938,NDays&amp;"D")</f>
        <v>52608</v>
      </c>
      <c r="Z1938" s="156">
        <v>2.953211384925325E-2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52615</v>
      </c>
      <c r="Y1939" s="155">
        <f>_xll.qlCalendarAdvance(Calendar,X1939,NDays&amp;"D")</f>
        <v>52615</v>
      </c>
      <c r="Z1939" s="156">
        <v>2.9527737274390731E-2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52622</v>
      </c>
      <c r="Y1940" s="155">
        <f>_xll.qlCalendarAdvance(Calendar,X1940,NDays&amp;"D")</f>
        <v>52622</v>
      </c>
      <c r="Z1940" s="156">
        <v>2.9523365497370335E-2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52629</v>
      </c>
      <c r="Y1941" s="155">
        <f>_xll.qlCalendarAdvance(Calendar,X1941,NDays&amp;"D")</f>
        <v>52629</v>
      </c>
      <c r="Z1941" s="156">
        <v>2.9518998518271999E-2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52636</v>
      </c>
      <c r="Y1942" s="155">
        <f>_xll.qlCalendarAdvance(Calendar,X1942,NDays&amp;"D")</f>
        <v>52636</v>
      </c>
      <c r="Z1942" s="156">
        <v>2.9514636336855915E-2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52643</v>
      </c>
      <c r="Y1943" s="155">
        <f>_xll.qlCalendarAdvance(Calendar,X1943,NDays&amp;"D")</f>
        <v>52643</v>
      </c>
      <c r="Z1943" s="156">
        <v>2.951027895336189E-2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52650</v>
      </c>
      <c r="Y1944" s="155">
        <f>_xll.qlCalendarAdvance(Calendar,X1944,NDays&amp;"D")</f>
        <v>52650</v>
      </c>
      <c r="Z1944" s="156">
        <v>2.9505926367789925E-2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52657</v>
      </c>
      <c r="Y1945" s="155">
        <f>_xll.qlCalendarAdvance(Calendar,X1945,NDays&amp;"D")</f>
        <v>52657</v>
      </c>
      <c r="Z1945" s="156">
        <v>2.9501578579980148E-2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52664</v>
      </c>
      <c r="Y1946" s="155">
        <f>_xll.qlCalendarAdvance(Calendar,X1946,NDays&amp;"D")</f>
        <v>52664</v>
      </c>
      <c r="Z1946" s="156">
        <v>2.949723559009243E-2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52671</v>
      </c>
      <c r="Y1947" s="155">
        <f>_xll.qlCalendarAdvance(Calendar,X1947,NDays&amp;"D")</f>
        <v>52671</v>
      </c>
      <c r="Z1947" s="156">
        <v>2.94928973979669E-2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52678</v>
      </c>
      <c r="Y1948" s="155">
        <f>_xll.qlCalendarAdvance(Calendar,X1948,NDays&amp;"D")</f>
        <v>52678</v>
      </c>
      <c r="Z1948" s="156">
        <v>2.9488564003763429E-2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52685</v>
      </c>
      <c r="Y1949" s="155">
        <f>_xll.qlCalendarAdvance(Calendar,X1949,NDays&amp;"D")</f>
        <v>52685</v>
      </c>
      <c r="Z1949" s="156">
        <v>2.9484235407402082E-2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52692</v>
      </c>
      <c r="Y1950" s="155">
        <f>_xll.qlCalendarAdvance(Calendar,X1950,NDays&amp;"D")</f>
        <v>52692</v>
      </c>
      <c r="Z1950" s="156">
        <v>2.9479911608882858E-2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52699</v>
      </c>
      <c r="Y1951" s="155">
        <f>_xll.qlCalendarAdvance(Calendar,X1951,NDays&amp;"D")</f>
        <v>52699</v>
      </c>
      <c r="Z1951" s="156">
        <v>2.9475592608205758E-2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52706</v>
      </c>
      <c r="Y1952" s="155">
        <f>_xll.qlCalendarAdvance(Calendar,X1952,NDays&amp;"D")</f>
        <v>52706</v>
      </c>
      <c r="Z1952" s="156">
        <v>2.9471278405290846E-2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52713</v>
      </c>
      <c r="Y1953" s="155">
        <f>_xll.qlCalendarAdvance(Calendar,X1953,NDays&amp;"D")</f>
        <v>52713</v>
      </c>
      <c r="Z1953" s="156">
        <v>2.9466969000297993E-2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52720</v>
      </c>
      <c r="Y1954" s="155">
        <f>_xll.qlCalendarAdvance(Calendar,X1954,NDays&amp;"D")</f>
        <v>52720</v>
      </c>
      <c r="Z1954" s="156">
        <v>2.9462664393147264E-2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52727</v>
      </c>
      <c r="Y1955" s="155">
        <f>_xll.qlCalendarAdvance(Calendar,X1955,NDays&amp;"D")</f>
        <v>52727</v>
      </c>
      <c r="Z1955" s="156">
        <v>2.9458364583838659E-2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52734</v>
      </c>
      <c r="Y1956" s="155">
        <f>_xll.qlCalendarAdvance(Calendar,X1956,NDays&amp;"D")</f>
        <v>52734</v>
      </c>
      <c r="Z1956" s="156">
        <v>2.9454069572372177E-2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52741</v>
      </c>
      <c r="Y1957" s="155">
        <f>_xll.qlCalendarAdvance(Calendar,X1957,NDays&amp;"D")</f>
        <v>52741</v>
      </c>
      <c r="Z1957" s="156">
        <v>2.9449779358667882E-2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52748</v>
      </c>
      <c r="Y1958" s="155">
        <f>_xll.qlCalendarAdvance(Calendar,X1958,NDays&amp;"D")</f>
        <v>52748</v>
      </c>
      <c r="Z1958" s="156">
        <v>2.9445493942965584E-2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52755</v>
      </c>
      <c r="Y1959" s="155">
        <f>_xll.qlCalendarAdvance(Calendar,X1959,NDays&amp;"D")</f>
        <v>52755</v>
      </c>
      <c r="Z1959" s="156">
        <v>2.9441213325025473E-2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52762</v>
      </c>
      <c r="Y1960" s="155">
        <f>_xll.qlCalendarAdvance(Calendar,X1960,NDays&amp;"D")</f>
        <v>52762</v>
      </c>
      <c r="Z1960" s="156">
        <v>2.9436937504847549E-2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52769</v>
      </c>
      <c r="Y1961" s="155">
        <f>_xll.qlCalendarAdvance(Calendar,X1961,NDays&amp;"D")</f>
        <v>52769</v>
      </c>
      <c r="Z1961" s="156">
        <v>2.9432666482591685E-2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52776</v>
      </c>
      <c r="Y1962" s="155">
        <f>_xll.qlCalendarAdvance(Calendar,X1962,NDays&amp;"D")</f>
        <v>52776</v>
      </c>
      <c r="Z1962" s="156">
        <v>2.9428400258177945E-2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52783</v>
      </c>
      <c r="Y1963" s="155">
        <f>_xll.qlCalendarAdvance(Calendar,X1963,NDays&amp;"D")</f>
        <v>52783</v>
      </c>
      <c r="Z1963" s="156">
        <v>2.9424138831606328E-2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52790</v>
      </c>
      <c r="Y1964" s="155">
        <f>_xll.qlCalendarAdvance(Calendar,X1964,NDays&amp;"D")</f>
        <v>52790</v>
      </c>
      <c r="Z1964" s="156">
        <v>2.9419882202956771E-2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52797</v>
      </c>
      <c r="Y1965" s="155">
        <f>_xll.qlCalendarAdvance(Calendar,X1965,NDays&amp;"D")</f>
        <v>52797</v>
      </c>
      <c r="Z1965" s="156">
        <v>2.9415630372149337E-2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52804</v>
      </c>
      <c r="Y1966" s="155">
        <f>_xll.qlCalendarAdvance(Calendar,X1966,NDays&amp;"D")</f>
        <v>52804</v>
      </c>
      <c r="Z1966" s="156">
        <v>2.9411383339024155E-2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52811</v>
      </c>
      <c r="Y1967" s="155">
        <f>_xll.qlCalendarAdvance(Calendar,X1967,NDays&amp;"D")</f>
        <v>52811</v>
      </c>
      <c r="Z1967" s="156">
        <v>2.9407141103900969E-2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52818</v>
      </c>
      <c r="Y1968" s="155">
        <f>_xll.qlCalendarAdvance(Calendar,X1968,NDays&amp;"D")</f>
        <v>52818</v>
      </c>
      <c r="Z1968" s="156">
        <v>2.940290366653997E-2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52825</v>
      </c>
      <c r="Y1969" s="155">
        <f>_xll.qlCalendarAdvance(Calendar,X1969,NDays&amp;"D")</f>
        <v>52825</v>
      </c>
      <c r="Z1969" s="156">
        <v>2.9398671027021095E-2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52832</v>
      </c>
      <c r="Y1970" s="155">
        <f>_xll.qlCalendarAdvance(Calendar,X1970,NDays&amp;"D")</f>
        <v>52832</v>
      </c>
      <c r="Z1970" s="156">
        <v>2.9394443185344343E-2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52839</v>
      </c>
      <c r="Y1971" s="155">
        <f>_xll.qlCalendarAdvance(Calendar,X1971,NDays&amp;"D")</f>
        <v>52839</v>
      </c>
      <c r="Z1971" s="156">
        <v>2.9390220141509715E-2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52846</v>
      </c>
      <c r="Y1972" s="155">
        <f>_xll.qlCalendarAdvance(Calendar,X1972,NDays&amp;"D")</f>
        <v>52846</v>
      </c>
      <c r="Z1972" s="156">
        <v>2.9386001895517211E-2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52853</v>
      </c>
      <c r="Y1973" s="155">
        <f>_xll.qlCalendarAdvance(Calendar,X1973,NDays&amp;"D")</f>
        <v>52853</v>
      </c>
      <c r="Z1973" s="156">
        <v>2.9381788447446766E-2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52860</v>
      </c>
      <c r="Y1974" s="155">
        <f>_xll.qlCalendarAdvance(Calendar,X1974,NDays&amp;"D")</f>
        <v>52860</v>
      </c>
      <c r="Z1974" s="156">
        <v>2.9377579797138509E-2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52867</v>
      </c>
      <c r="Y1975" s="155">
        <f>_xll.qlCalendarAdvance(Calendar,X1975,NDays&amp;"D")</f>
        <v>52867</v>
      </c>
      <c r="Z1975" s="156">
        <v>2.9373375944672375E-2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52874</v>
      </c>
      <c r="Y1976" s="155">
        <f>_xll.qlCalendarAdvance(Calendar,X1976,NDays&amp;"D")</f>
        <v>52874</v>
      </c>
      <c r="Z1976" s="156">
        <v>2.9369176890048365E-2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52881</v>
      </c>
      <c r="Y1977" s="155">
        <f>_xll.qlCalendarAdvance(Calendar,X1977,NDays&amp;"D")</f>
        <v>52881</v>
      </c>
      <c r="Z1977" s="156">
        <v>2.9364982633346415E-2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52888</v>
      </c>
      <c r="Y1978" s="155">
        <f>_xll.qlCalendarAdvance(Calendar,X1978,NDays&amp;"D")</f>
        <v>52888</v>
      </c>
      <c r="Z1978" s="156">
        <v>2.9360793174406652E-2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52895</v>
      </c>
      <c r="Y1979" s="155">
        <f>_xll.qlCalendarAdvance(Calendar,X1979,NDays&amp;"D")</f>
        <v>52895</v>
      </c>
      <c r="Z1979" s="156">
        <v>2.9356608513309013E-2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52902</v>
      </c>
      <c r="Y1980" s="155">
        <f>_xll.qlCalendarAdvance(Calendar,X1980,NDays&amp;"D")</f>
        <v>52902</v>
      </c>
      <c r="Z1980" s="156">
        <v>2.9352428650053497E-2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52909</v>
      </c>
      <c r="Y1981" s="155">
        <f>_xll.qlCalendarAdvance(Calendar,X1981,NDays&amp;"D")</f>
        <v>52909</v>
      </c>
      <c r="Z1981" s="156">
        <v>2.9348253584640105E-2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52916</v>
      </c>
      <c r="Y1982" s="155">
        <f>_xll.qlCalendarAdvance(Calendar,X1982,NDays&amp;"D")</f>
        <v>52916</v>
      </c>
      <c r="Z1982" s="156">
        <v>2.9344083317068836E-2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52923</v>
      </c>
      <c r="Y1983" s="155">
        <f>_xll.qlCalendarAdvance(Calendar,X1983,NDays&amp;"D")</f>
        <v>52923</v>
      </c>
      <c r="Z1983" s="156">
        <v>2.9339917847259755E-2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52930</v>
      </c>
      <c r="Y1984" s="155">
        <f>_xll.qlCalendarAdvance(Calendar,X1984,NDays&amp;"D")</f>
        <v>52930</v>
      </c>
      <c r="Z1984" s="156">
        <v>2.9335757175532606E-2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52937</v>
      </c>
      <c r="Y1985" s="155">
        <f>_xll.qlCalendarAdvance(Calendar,X1985,NDays&amp;"D")</f>
        <v>52937</v>
      </c>
      <c r="Z1985" s="156">
        <v>2.9331601301407773E-2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52944</v>
      </c>
      <c r="Y1986" s="155">
        <f>_xll.qlCalendarAdvance(Calendar,X1986,NDays&amp;"D")</f>
        <v>52944</v>
      </c>
      <c r="Z1986" s="156">
        <v>2.9327450225204998E-2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52951</v>
      </c>
      <c r="Y1987" s="155">
        <f>_xll.qlCalendarAdvance(Calendar,X1987,NDays&amp;"D")</f>
        <v>52951</v>
      </c>
      <c r="Z1987" s="156">
        <v>2.9323303946764412E-2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52958</v>
      </c>
      <c r="Y1988" s="155">
        <f>_xll.qlCalendarAdvance(Calendar,X1988,NDays&amp;"D")</f>
        <v>52958</v>
      </c>
      <c r="Z1988" s="156">
        <v>2.9319162466325821E-2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52965</v>
      </c>
      <c r="Y1989" s="155">
        <f>_xll.qlCalendarAdvance(Calendar,X1989,NDays&amp;"D")</f>
        <v>52965</v>
      </c>
      <c r="Z1989" s="156">
        <v>2.9315025783649418E-2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52972</v>
      </c>
      <c r="Y1990" s="155">
        <f>_xll.qlCalendarAdvance(Calendar,X1990,NDays&amp;"D")</f>
        <v>52972</v>
      </c>
      <c r="Z1990" s="156">
        <v>2.9310893898815138E-2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52979</v>
      </c>
      <c r="Y1991" s="155">
        <f>_xll.qlCalendarAdvance(Calendar,X1991,NDays&amp;"D")</f>
        <v>52979</v>
      </c>
      <c r="Z1991" s="156">
        <v>2.9306766811822982E-2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52986</v>
      </c>
      <c r="Y1992" s="155">
        <f>_xll.qlCalendarAdvance(Calendar,X1992,NDays&amp;"D")</f>
        <v>52986</v>
      </c>
      <c r="Z1992" s="156">
        <v>2.9302644522672949E-2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52993</v>
      </c>
      <c r="Y1993" s="155">
        <f>_xll.qlCalendarAdvance(Calendar,X1993,NDays&amp;"D")</f>
        <v>52993</v>
      </c>
      <c r="Z1993" s="156">
        <v>2.9298527031285104E-2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53000</v>
      </c>
      <c r="Y1994" s="155">
        <f>_xll.qlCalendarAdvance(Calendar,X1994,NDays&amp;"D")</f>
        <v>53000</v>
      </c>
      <c r="Z1994" s="156">
        <v>2.9294414337819319E-2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53007</v>
      </c>
      <c r="Y1995" s="155">
        <f>_xll.qlCalendarAdvance(Calendar,X1995,NDays&amp;"D")</f>
        <v>53007</v>
      </c>
      <c r="Z1995" s="156">
        <v>2.9290306442195657E-2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53014</v>
      </c>
      <c r="Y1996" s="155">
        <f>_xll.qlCalendarAdvance(Calendar,X1996,NDays&amp;"D")</f>
        <v>53014</v>
      </c>
      <c r="Z1996" s="156">
        <v>2.9286203344334183E-2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53021</v>
      </c>
      <c r="Y1997" s="155">
        <f>_xll.qlCalendarAdvance(Calendar,X1997,NDays&amp;"D")</f>
        <v>53021</v>
      </c>
      <c r="Z1997" s="156">
        <v>2.9282105044394768E-2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53028</v>
      </c>
      <c r="Y1998" s="155">
        <f>_xll.qlCalendarAdvance(Calendar,X1998,NDays&amp;"D")</f>
        <v>53028</v>
      </c>
      <c r="Z1998" s="156">
        <v>2.9278011542217541E-2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53035</v>
      </c>
      <c r="Y1999" s="155">
        <f>_xll.qlCalendarAdvance(Calendar,X1999,NDays&amp;"D")</f>
        <v>53035</v>
      </c>
      <c r="Z1999" s="156">
        <v>2.9273922837882438E-2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53042</v>
      </c>
      <c r="Y2000" s="155">
        <f>_xll.qlCalendarAdvance(Calendar,X2000,NDays&amp;"D")</f>
        <v>53042</v>
      </c>
      <c r="Z2000" s="156">
        <v>2.9269838931469394E-2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53049</v>
      </c>
      <c r="Y2001" s="155">
        <f>_xll.qlCalendarAdvance(Calendar,X2001,NDays&amp;"D")</f>
        <v>53049</v>
      </c>
      <c r="Z2001" s="156">
        <v>2.9265759822818538E-2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53056</v>
      </c>
      <c r="Y2002" s="155">
        <f>_xll.qlCalendarAdvance(Calendar,X2002,NDays&amp;"D")</f>
        <v>53056</v>
      </c>
      <c r="Z2002" s="156">
        <v>2.9261685512009805E-2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53063</v>
      </c>
      <c r="Y2003" s="155">
        <f>_xll.qlCalendarAdvance(Calendar,X2003,NDays&amp;"D")</f>
        <v>53063</v>
      </c>
      <c r="Z2003" s="156">
        <v>2.9257615999043196E-2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53070</v>
      </c>
      <c r="Y2004" s="155">
        <f>_xll.qlCalendarAdvance(Calendar,X2004,NDays&amp;"D")</f>
        <v>53070</v>
      </c>
      <c r="Z2004" s="156">
        <v>2.9253551283998647E-2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53077</v>
      </c>
      <c r="Y2005" s="155">
        <f>_xll.qlCalendarAdvance(Calendar,X2005,NDays&amp;"D")</f>
        <v>53077</v>
      </c>
      <c r="Z2005" s="156">
        <v>2.9249491366716285E-2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53084</v>
      </c>
      <c r="Y2006" s="155">
        <f>_xll.qlCalendarAdvance(Calendar,X2006,NDays&amp;"D")</f>
        <v>53084</v>
      </c>
      <c r="Z2006" s="156">
        <v>2.9245436247276047E-2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53091</v>
      </c>
      <c r="Y2007" s="155">
        <f>_xll.qlCalendarAdvance(Calendar,X2007,NDays&amp;"D")</f>
        <v>53091</v>
      </c>
      <c r="Z2007" s="156">
        <v>2.9241385925677932E-2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53098</v>
      </c>
      <c r="Y2008" s="155">
        <f>_xll.qlCalendarAdvance(Calendar,X2008,NDays&amp;"D")</f>
        <v>53098</v>
      </c>
      <c r="Z2008" s="156">
        <v>2.9237340401921941E-2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53105</v>
      </c>
      <c r="Y2009" s="155">
        <f>_xll.qlCalendarAdvance(Calendar,X2009,NDays&amp;"D")</f>
        <v>53105</v>
      </c>
      <c r="Z2009" s="156">
        <v>2.9233299675928137E-2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53112</v>
      </c>
      <c r="Y2010" s="155">
        <f>_xll.qlCalendarAdvance(Calendar,X2010,NDays&amp;"D")</f>
        <v>53112</v>
      </c>
      <c r="Z2010" s="156">
        <v>2.9229263747856393E-2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53119</v>
      </c>
      <c r="Y2011" s="155">
        <f>_xll.qlCalendarAdvance(Calendar,X2011,NDays&amp;"D")</f>
        <v>53119</v>
      </c>
      <c r="Z2011" s="156">
        <v>2.9225232617546837E-2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53126</v>
      </c>
      <c r="Y2012" s="155">
        <f>_xll.qlCalendarAdvance(Calendar,X2012,NDays&amp;"D")</f>
        <v>53126</v>
      </c>
      <c r="Z2012" s="156">
        <v>2.922120628515934E-2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53133</v>
      </c>
      <c r="Y2013" s="155">
        <f>_xll.qlCalendarAdvance(Calendar,X2013,NDays&amp;"D")</f>
        <v>53133</v>
      </c>
      <c r="Z2013" s="156">
        <v>2.9217184750613967E-2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53140</v>
      </c>
      <c r="Y2014" s="155">
        <f>_xll.qlCalendarAdvance(Calendar,X2014,NDays&amp;"D")</f>
        <v>53140</v>
      </c>
      <c r="Z2014" s="156">
        <v>2.9213168013750845E-2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53148</v>
      </c>
      <c r="Y2015" s="155">
        <f>_xll.qlCalendarAdvance(Calendar,X2015,NDays&amp;"D")</f>
        <v>53148</v>
      </c>
      <c r="Z2015" s="156">
        <v>2.9208583332396287E-2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53155</v>
      </c>
      <c r="Y2016" s="155">
        <f>_xll.qlCalendarAdvance(Calendar,X2016,NDays&amp;"D")</f>
        <v>53155</v>
      </c>
      <c r="Z2016" s="156">
        <v>2.9204576876669108E-2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53162</v>
      </c>
      <c r="Y2017" s="155">
        <f>_xll.qlCalendarAdvance(Calendar,X2017,NDays&amp;"D")</f>
        <v>53162</v>
      </c>
      <c r="Z2017" s="156">
        <v>2.9200575218863989E-2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53169</v>
      </c>
      <c r="Y2018" s="155">
        <f>_xll.qlCalendarAdvance(Calendar,X2018,NDays&amp;"D")</f>
        <v>53169</v>
      </c>
      <c r="Z2018" s="156">
        <v>2.9196578358821057E-2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53176</v>
      </c>
      <c r="Y2019" s="155">
        <f>_xll.qlCalendarAdvance(Calendar,X2019,NDays&amp;"D")</f>
        <v>53176</v>
      </c>
      <c r="Z2019" s="156">
        <v>2.9192586296700185E-2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53183</v>
      </c>
      <c r="Y2020" s="155">
        <f>_xll.qlCalendarAdvance(Calendar,X2020,NDays&amp;"D")</f>
        <v>53183</v>
      </c>
      <c r="Z2020" s="156">
        <v>2.9188599032421436E-2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53190</v>
      </c>
      <c r="Y2021" s="155">
        <f>_xll.qlCalendarAdvance(Calendar,X2021,NDays&amp;"D")</f>
        <v>53190</v>
      </c>
      <c r="Z2021" s="156">
        <v>2.9184616565904875E-2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53197</v>
      </c>
      <c r="Y2022" s="155">
        <f>_xll.qlCalendarAdvance(Calendar,X2022,NDays&amp;"D")</f>
        <v>53197</v>
      </c>
      <c r="Z2022" s="156">
        <v>2.9180638897230438E-2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53204</v>
      </c>
      <c r="Y2023" s="155">
        <f>_xll.qlCalendarAdvance(Calendar,X2023,NDays&amp;"D")</f>
        <v>53204</v>
      </c>
      <c r="Z2023" s="156">
        <v>2.9176666026318188E-2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53211</v>
      </c>
      <c r="Y2024" s="155">
        <f>_xll.qlCalendarAdvance(Calendar,X2024,NDays&amp;"D")</f>
        <v>53211</v>
      </c>
      <c r="Z2024" s="156">
        <v>2.9172697953248061E-2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53218</v>
      </c>
      <c r="Y2025" s="155">
        <f>_xll.qlCalendarAdvance(Calendar,X2025,NDays&amp;"D")</f>
        <v>53218</v>
      </c>
      <c r="Z2025" s="156">
        <v>2.9168734678099995E-2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53225</v>
      </c>
      <c r="Y2026" s="155">
        <f>_xll.qlCalendarAdvance(Calendar,X2026,NDays&amp;"D")</f>
        <v>53225</v>
      </c>
      <c r="Z2026" s="156">
        <v>2.9164776200714115E-2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53232</v>
      </c>
      <c r="Y2027" s="155">
        <f>_xll.qlCalendarAdvance(Calendar,X2027,NDays&amp;"D")</f>
        <v>53232</v>
      </c>
      <c r="Z2027" s="156">
        <v>2.9160822521250296E-2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53239</v>
      </c>
      <c r="Y2028" s="155">
        <f>_xll.qlCalendarAdvance(Calendar,X2028,NDays&amp;"D")</f>
        <v>53239</v>
      </c>
      <c r="Z2028" s="156">
        <v>2.9156873639548664E-2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53246</v>
      </c>
      <c r="Y2029" s="155">
        <f>_xll.qlCalendarAdvance(Calendar,X2029,NDays&amp;"D")</f>
        <v>53246</v>
      </c>
      <c r="Z2029" s="156">
        <v>2.9152929555849028E-2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53253</v>
      </c>
      <c r="Y2030" s="155">
        <f>_xll.qlCalendarAdvance(Calendar,X2030,NDays&amp;"D")</f>
        <v>53253</v>
      </c>
      <c r="Z2030" s="156">
        <v>2.9148990269751707E-2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53260</v>
      </c>
      <c r="Y2031" s="155">
        <f>_xll.qlCalendarAdvance(Calendar,X2031,NDays&amp;"D")</f>
        <v>53260</v>
      </c>
      <c r="Z2031" s="156">
        <v>2.9145055781656382E-2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53267</v>
      </c>
      <c r="Y2032" s="155">
        <f>_xll.qlCalendarAdvance(Calendar,X2032,NDays&amp;"D")</f>
        <v>53267</v>
      </c>
      <c r="Z2032" s="156">
        <v>2.9141126091243308E-2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53274</v>
      </c>
      <c r="Y2033" s="155">
        <f>_xll.qlCalendarAdvance(Calendar,X2033,NDays&amp;"D")</f>
        <v>53274</v>
      </c>
      <c r="Z2033" s="156">
        <v>2.9137201198752294E-2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53281</v>
      </c>
      <c r="Y2034" s="155">
        <f>_xll.qlCalendarAdvance(Calendar,X2034,NDays&amp;"D")</f>
        <v>53281</v>
      </c>
      <c r="Z2034" s="156">
        <v>2.9133281104023467E-2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53288</v>
      </c>
      <c r="Y2035" s="155">
        <f>_xll.qlCalendarAdvance(Calendar,X2035,NDays&amp;"D")</f>
        <v>53288</v>
      </c>
      <c r="Z2035" s="156">
        <v>2.9130264816283891E-2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53295</v>
      </c>
      <c r="Y2036" s="155">
        <f>_xll.qlCalendarAdvance(Calendar,X2036,NDays&amp;"D")</f>
        <v>53295</v>
      </c>
      <c r="Z2036" s="156">
        <v>2.9125455308172121E-2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53302</v>
      </c>
      <c r="Y2037" s="155">
        <f>_xll.qlCalendarAdvance(Calendar,X2037,NDays&amp;"D")</f>
        <v>53302</v>
      </c>
      <c r="Z2037" s="156">
        <v>2.9121549606969666E-2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53309</v>
      </c>
      <c r="Y2038" s="155">
        <f>_xll.qlCalendarAdvance(Calendar,X2038,NDays&amp;"D")</f>
        <v>53309</v>
      </c>
      <c r="Z2038" s="156">
        <v>2.9117648703609333E-2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53316</v>
      </c>
      <c r="Y2039" s="155">
        <f>_xll.qlCalendarAdvance(Calendar,X2039,NDays&amp;"D")</f>
        <v>53316</v>
      </c>
      <c r="Z2039" s="156">
        <v>2.9113752598091125E-2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53323</v>
      </c>
      <c r="Y2040" s="155">
        <f>_xll.qlCalendarAdvance(Calendar,X2040,NDays&amp;"D")</f>
        <v>53323</v>
      </c>
      <c r="Z2040" s="156">
        <v>2.910986129041504E-2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53330</v>
      </c>
      <c r="Y2041" s="155">
        <f>_xll.qlCalendarAdvance(Calendar,X2041,NDays&amp;"D")</f>
        <v>53330</v>
      </c>
      <c r="Z2041" s="156">
        <v>2.9105974780581079E-2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53337</v>
      </c>
      <c r="Y2042" s="155">
        <f>_xll.qlCalendarAdvance(Calendar,X2042,NDays&amp;"D")</f>
        <v>53337</v>
      </c>
      <c r="Z2042" s="156">
        <v>2.9102093068509305E-2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53344</v>
      </c>
      <c r="Y2043" s="155">
        <f>_xll.qlCalendarAdvance(Calendar,X2043,NDays&amp;"D")</f>
        <v>53344</v>
      </c>
      <c r="Z2043" s="156">
        <v>2.9098216154279655E-2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53351</v>
      </c>
      <c r="Y2044" s="155">
        <f>_xll.qlCalendarAdvance(Calendar,X2044,NDays&amp;"D")</f>
        <v>53351</v>
      </c>
      <c r="Z2044" s="156">
        <v>2.9094344038052E-2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53358</v>
      </c>
      <c r="Y2045" s="155">
        <f>_xll.qlCalendarAdvance(Calendar,X2045,NDays&amp;"D")</f>
        <v>53358</v>
      </c>
      <c r="Z2045" s="156">
        <v>2.9090476719426661E-2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53365</v>
      </c>
      <c r="Y2046" s="155">
        <f>_xll.qlCalendarAdvance(Calendar,X2046,NDays&amp;"D")</f>
        <v>53365</v>
      </c>
      <c r="Z2046" s="156">
        <v>2.9086614198723382E-2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53372</v>
      </c>
      <c r="Y2047" s="155">
        <f>_xll.qlCalendarAdvance(Calendar,X2047,NDays&amp;"D")</f>
        <v>53372</v>
      </c>
      <c r="Z2047" s="156">
        <v>2.9082756475942162E-2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53379</v>
      </c>
      <c r="Y2048" s="155">
        <f>_xll.qlCalendarAdvance(Calendar,X2048,NDays&amp;"D")</f>
        <v>53379</v>
      </c>
      <c r="Z2048" s="156">
        <v>2.9078903550763258E-2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53386</v>
      </c>
      <c r="Y2049" s="155">
        <f>_xll.qlCalendarAdvance(Calendar,X2049,NDays&amp;"D")</f>
        <v>53386</v>
      </c>
      <c r="Z2049" s="156">
        <v>2.9075055423586349E-2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53393</v>
      </c>
      <c r="Y2050" s="155">
        <f>_xll.qlCalendarAdvance(Calendar,X2050,NDays&amp;"D")</f>
        <v>53393</v>
      </c>
      <c r="Z2050" s="156">
        <v>2.9071212094171628E-2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53400</v>
      </c>
      <c r="Y2051" s="155">
        <f>_xll.qlCalendarAdvance(Calendar,X2051,NDays&amp;"D")</f>
        <v>53400</v>
      </c>
      <c r="Z2051" s="156">
        <v>2.906737356259903E-2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53407</v>
      </c>
      <c r="Y2052" s="155">
        <f>_xll.qlCalendarAdvance(Calendar,X2052,NDays&amp;"D")</f>
        <v>53407</v>
      </c>
      <c r="Z2052" s="156">
        <v>2.9063539828868556E-2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53414</v>
      </c>
      <c r="Y2053" s="155">
        <f>_xll.qlCalendarAdvance(Calendar,X2053,NDays&amp;"D")</f>
        <v>53414</v>
      </c>
      <c r="Z2053" s="156">
        <v>2.9059710892980206E-2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53421</v>
      </c>
      <c r="Y2054" s="155">
        <f>_xll.qlCalendarAdvance(Calendar,X2054,NDays&amp;"D")</f>
        <v>53421</v>
      </c>
      <c r="Z2054" s="156">
        <v>2.9055886754854043E-2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53428</v>
      </c>
      <c r="Y2055" s="155">
        <f>_xll.qlCalendarAdvance(Calendar,X2055,NDays&amp;"D")</f>
        <v>53428</v>
      </c>
      <c r="Z2055" s="156">
        <v>2.9052067414729876E-2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53435</v>
      </c>
      <c r="Y2056" s="155">
        <f>_xll.qlCalendarAdvance(Calendar,X2056,NDays&amp;"D")</f>
        <v>53435</v>
      </c>
      <c r="Z2056" s="156">
        <v>2.9048252872287961E-2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53442</v>
      </c>
      <c r="Y2057" s="155">
        <f>_xll.qlCalendarAdvance(Calendar,X2057,NDays&amp;"D")</f>
        <v>53442</v>
      </c>
      <c r="Z2057" s="156">
        <v>2.9044443127688169E-2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53449</v>
      </c>
      <c r="Y2058" s="155">
        <f>_xll.qlCalendarAdvance(Calendar,X2058,NDays&amp;"D")</f>
        <v>53449</v>
      </c>
      <c r="Z2058" s="156">
        <v>2.90406381809305E-2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53456</v>
      </c>
      <c r="Y2059" s="155">
        <f>_xll.qlCalendarAdvance(Calendar,X2059,NDays&amp;"D")</f>
        <v>53456</v>
      </c>
      <c r="Z2059" s="156">
        <v>2.9036838032014956E-2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53463</v>
      </c>
      <c r="Y2060" s="155">
        <f>_xll.qlCalendarAdvance(Calendar,X2060,NDays&amp;"D")</f>
        <v>53463</v>
      </c>
      <c r="Z2060" s="156">
        <v>2.9033042680941534E-2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53470</v>
      </c>
      <c r="Y2061" s="155">
        <f>_xll.qlCalendarAdvance(Calendar,X2061,NDays&amp;"D")</f>
        <v>53470</v>
      </c>
      <c r="Z2061" s="156">
        <v>2.9029252127550365E-2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53477</v>
      </c>
      <c r="Y2062" s="155">
        <f>_xll.qlCalendarAdvance(Calendar,X2062,NDays&amp;"D")</f>
        <v>53477</v>
      </c>
      <c r="Z2062" s="156">
        <v>2.9025466372161191E-2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53484</v>
      </c>
      <c r="Y2063" s="155">
        <f>_xll.qlCalendarAdvance(Calendar,X2063,NDays&amp;"D")</f>
        <v>53484</v>
      </c>
      <c r="Z2063" s="156">
        <v>2.9021685414534204E-2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53491</v>
      </c>
      <c r="Y2064" s="155">
        <f>_xll.qlCalendarAdvance(Calendar,X2064,NDays&amp;"D")</f>
        <v>53491</v>
      </c>
      <c r="Z2064" s="156">
        <v>2.9017909254749341E-2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53498</v>
      </c>
      <c r="Y2065" s="155">
        <f>_xll.qlCalendarAdvance(Calendar,X2065,NDays&amp;"D")</f>
        <v>53498</v>
      </c>
      <c r="Z2065" s="156">
        <v>2.9014137892806602E-2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53505</v>
      </c>
      <c r="Y2066" s="155">
        <f>_xll.qlCalendarAdvance(Calendar,X2066,NDays&amp;"D")</f>
        <v>53505</v>
      </c>
      <c r="Z2066" s="156">
        <v>2.901037132862605E-2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53513</v>
      </c>
      <c r="Y2067" s="155">
        <f>_xll.qlCalendarAdvance(Calendar,X2067,NDays&amp;"D")</f>
        <v>53513</v>
      </c>
      <c r="Z2067" s="156">
        <v>2.9006072558885876E-2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53520</v>
      </c>
      <c r="Y2068" s="155">
        <f>_xll.qlCalendarAdvance(Calendar,X2068,NDays&amp;"D")</f>
        <v>53520</v>
      </c>
      <c r="Z2068" s="156">
        <v>2.9002316275761331E-2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53527</v>
      </c>
      <c r="Y2069" s="155">
        <f>_xll.qlCalendarAdvance(Calendar,X2069,NDays&amp;"D")</f>
        <v>53527</v>
      </c>
      <c r="Z2069" s="156">
        <v>2.8998564790478909E-2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53534</v>
      </c>
      <c r="Y2070" s="155">
        <f>_xll.qlCalendarAdvance(Calendar,X2070,NDays&amp;"D")</f>
        <v>53534</v>
      </c>
      <c r="Z2070" s="156">
        <v>2.8994818103118547E-2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53541</v>
      </c>
      <c r="Y2071" s="155">
        <f>_xll.qlCalendarAdvance(Calendar,X2071,NDays&amp;"D")</f>
        <v>53541</v>
      </c>
      <c r="Z2071" s="156">
        <v>2.8991076213440437E-2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53548</v>
      </c>
      <c r="Y2072" s="155">
        <f>_xll.qlCalendarAdvance(Calendar,X2072,NDays&amp;"D")</f>
        <v>53548</v>
      </c>
      <c r="Z2072" s="156">
        <v>2.8987339121684386E-2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53555</v>
      </c>
      <c r="Y2073" s="155">
        <f>_xll.qlCalendarAdvance(Calendar,X2073,NDays&amp;"D")</f>
        <v>53555</v>
      </c>
      <c r="Z2073" s="156">
        <v>2.8983606827770458E-2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53562</v>
      </c>
      <c r="Y2074" s="155">
        <f>_xll.qlCalendarAdvance(Calendar,X2074,NDays&amp;"D")</f>
        <v>53562</v>
      </c>
      <c r="Z2074" s="156">
        <v>2.8979879331618719E-2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53569</v>
      </c>
      <c r="Y2075" s="155">
        <f>_xll.qlCalendarAdvance(Calendar,X2075,NDays&amp;"D")</f>
        <v>53569</v>
      </c>
      <c r="Z2075" s="156">
        <v>2.8976156633309103E-2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53576</v>
      </c>
      <c r="Y2076" s="155">
        <f>_xll.qlCalendarAdvance(Calendar,X2076,NDays&amp;"D")</f>
        <v>53576</v>
      </c>
      <c r="Z2076" s="156">
        <v>2.897243873284161E-2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53583</v>
      </c>
      <c r="Y2077" s="155">
        <f>_xll.qlCalendarAdvance(Calendar,X2077,NDays&amp;"D")</f>
        <v>53583</v>
      </c>
      <c r="Z2077" s="156">
        <v>2.8968725630216241E-2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53590</v>
      </c>
      <c r="Y2078" s="155">
        <f>_xll.qlCalendarAdvance(Calendar,X2078,NDays&amp;"D")</f>
        <v>53590</v>
      </c>
      <c r="Z2078" s="156">
        <v>2.896501732535306E-2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53597</v>
      </c>
      <c r="Y2079" s="155">
        <f>_xll.qlCalendarAdvance(Calendar,X2079,NDays&amp;"D")</f>
        <v>53597</v>
      </c>
      <c r="Z2079" s="156">
        <v>2.8961313818411938E-2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53604</v>
      </c>
      <c r="Y2080" s="155">
        <f>_xll.qlCalendarAdvance(Calendar,X2080,NDays&amp;"D")</f>
        <v>53604</v>
      </c>
      <c r="Z2080" s="156">
        <v>2.8957615109233004E-2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53611</v>
      </c>
      <c r="Y2081" s="155">
        <f>_xll.qlCalendarAdvance(Calendar,X2081,NDays&amp;"D")</f>
        <v>53611</v>
      </c>
      <c r="Z2081" s="156">
        <v>2.8953921197896193E-2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53618</v>
      </c>
      <c r="Y2082" s="155">
        <f>_xll.qlCalendarAdvance(Calendar,X2082,NDays&amp;"D")</f>
        <v>53618</v>
      </c>
      <c r="Z2082" s="156">
        <v>2.895023208432157E-2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53625</v>
      </c>
      <c r="Y2083" s="155">
        <f>_xll.qlCalendarAdvance(Calendar,X2083,NDays&amp;"D")</f>
        <v>53625</v>
      </c>
      <c r="Z2083" s="156">
        <v>2.8946547768669006E-2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53632</v>
      </c>
      <c r="Y2084" s="155">
        <f>_xll.qlCalendarAdvance(Calendar,X2084,NDays&amp;"D")</f>
        <v>53632</v>
      </c>
      <c r="Z2084" s="156">
        <v>2.8942868250778631E-2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53639</v>
      </c>
      <c r="Y2085" s="155">
        <f>_xll.qlCalendarAdvance(Calendar,X2085,NDays&amp;"D")</f>
        <v>53639</v>
      </c>
      <c r="Z2085" s="156">
        <v>2.8939193530650442E-2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53646</v>
      </c>
      <c r="Y2086" s="155">
        <f>_xll.qlCalendarAdvance(Calendar,X2086,NDays&amp;"D")</f>
        <v>53646</v>
      </c>
      <c r="Z2086" s="156">
        <v>2.8935523608604186E-2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53654</v>
      </c>
      <c r="Y2087" s="155">
        <f>_xll.qlCalendarAdvance(Calendar,X2087,NDays&amp;"D")</f>
        <v>53654</v>
      </c>
      <c r="Z2087" s="156">
        <v>2.8933137259352648E-2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53661</v>
      </c>
      <c r="Y2088" s="155">
        <f>_xll.qlCalendarAdvance(Calendar,X2088,NDays&amp;"D")</f>
        <v>53661</v>
      </c>
      <c r="Z2088" s="156">
        <v>2.8929477715511354E-2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53668</v>
      </c>
      <c r="Y2089" s="155">
        <f>_xll.qlCalendarAdvance(Calendar,X2089,NDays&amp;"D")</f>
        <v>53668</v>
      </c>
      <c r="Z2089" s="156">
        <v>2.8925822970338189E-2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53675</v>
      </c>
      <c r="Y2090" s="155">
        <f>_xll.qlCalendarAdvance(Calendar,X2090,NDays&amp;"D")</f>
        <v>53675</v>
      </c>
      <c r="Z2090" s="156">
        <v>2.8922173023833153E-2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53682</v>
      </c>
      <c r="Y2091" s="155">
        <f>_xll.qlCalendarAdvance(Calendar,X2091,NDays&amp;"D")</f>
        <v>53682</v>
      </c>
      <c r="Z2091" s="156">
        <v>2.8918527875996247E-2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53689</v>
      </c>
      <c r="Y2092" s="155">
        <f>_xll.qlCalendarAdvance(Calendar,X2092,NDays&amp;"D")</f>
        <v>53689</v>
      </c>
      <c r="Z2092" s="156">
        <v>2.8914887526827471E-2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53696</v>
      </c>
      <c r="Y2093" s="155">
        <f>_xll.qlCalendarAdvance(Calendar,X2093,NDays&amp;"D")</f>
        <v>53696</v>
      </c>
      <c r="Z2093" s="156">
        <v>2.8911251976273533E-2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53703</v>
      </c>
      <c r="Y2094" s="155">
        <f>_xll.qlCalendarAdvance(Calendar,X2094,NDays&amp;"D")</f>
        <v>53703</v>
      </c>
      <c r="Z2094" s="156">
        <v>2.8907621224494306E-2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53710</v>
      </c>
      <c r="Y2095" s="155">
        <f>_xll.qlCalendarAdvance(Calendar,X2095,NDays&amp;"D")</f>
        <v>53710</v>
      </c>
      <c r="Z2095" s="156">
        <v>2.890489673860408E-2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53717</v>
      </c>
      <c r="Y2096" s="155">
        <f>_xll.qlCalendarAdvance(Calendar,X2096,NDays&amp;"D")</f>
        <v>53717</v>
      </c>
      <c r="Z2096" s="156">
        <v>2.890037411678037E-2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53724</v>
      </c>
      <c r="Y2097" s="155">
        <f>_xll.qlCalendarAdvance(Calendar,X2097,NDays&amp;"D")</f>
        <v>53724</v>
      </c>
      <c r="Z2097" s="156">
        <v>2.8896757760952241E-2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53731</v>
      </c>
      <c r="Y2098" s="155">
        <f>_xll.qlCalendarAdvance(Calendar,X2098,NDays&amp;"D")</f>
        <v>53731</v>
      </c>
      <c r="Z2098" s="156">
        <v>2.8893146203792242E-2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53738</v>
      </c>
      <c r="Y2099" s="155">
        <f>_xll.qlCalendarAdvance(Calendar,X2099,NDays&amp;"D")</f>
        <v>53738</v>
      </c>
      <c r="Z2099" s="156">
        <v>2.8890441123459176E-2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53745</v>
      </c>
      <c r="Y2100" s="155">
        <f>_xll.qlCalendarAdvance(Calendar,X2100,NDays&amp;"D")</f>
        <v>53745</v>
      </c>
      <c r="Z2100" s="156">
        <v>2.888593748537005E-2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53752</v>
      </c>
      <c r="Y2101" s="155">
        <f>_xll.qlCalendarAdvance(Calendar,X2101,NDays&amp;"D")</f>
        <v>53752</v>
      </c>
      <c r="Z2101" s="156">
        <v>2.8882340324241085E-2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53759</v>
      </c>
      <c r="Y2102" s="155">
        <f>_xll.qlCalendarAdvance(Calendar,X2102,NDays&amp;"D")</f>
        <v>53759</v>
      </c>
      <c r="Z2102" s="156">
        <v>2.8878747961726958E-2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53766</v>
      </c>
      <c r="Y2103" s="155">
        <f>_xll.qlCalendarAdvance(Calendar,X2103,NDays&amp;"D")</f>
        <v>53766</v>
      </c>
      <c r="Z2103" s="156">
        <v>2.8875160397854316E-2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53773</v>
      </c>
      <c r="Y2104" s="155">
        <f>_xll.qlCalendarAdvance(Calendar,X2104,NDays&amp;"D")</f>
        <v>53773</v>
      </c>
      <c r="Z2104" s="156">
        <v>2.8871577632649803E-2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53780</v>
      </c>
      <c r="Y2105" s="155">
        <f>_xll.qlCalendarAdvance(Calendar,X2105,NDays&amp;"D")</f>
        <v>53780</v>
      </c>
      <c r="Z2105" s="156">
        <v>2.8867999666140065E-2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53787</v>
      </c>
      <c r="Y2106" s="155">
        <f>_xll.qlCalendarAdvance(Calendar,X2106,NDays&amp;"D")</f>
        <v>53787</v>
      </c>
      <c r="Z2106" s="156">
        <v>2.8864426498245166E-2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53794</v>
      </c>
      <c r="Y2107" s="155">
        <f>_xll.qlCalendarAdvance(Calendar,X2107,NDays&amp;"D")</f>
        <v>53794</v>
      </c>
      <c r="Z2107" s="156">
        <v>2.8860858129045042E-2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53801</v>
      </c>
      <c r="Y2108" s="155">
        <f>_xll.qlCalendarAdvance(Calendar,X2108,NDays&amp;"D")</f>
        <v>53801</v>
      </c>
      <c r="Z2108" s="156">
        <v>2.8857294558486402E-2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53808</v>
      </c>
      <c r="Y2109" s="155">
        <f>_xll.qlCalendarAdvance(Calendar,X2109,NDays&amp;"D")</f>
        <v>53808</v>
      </c>
      <c r="Z2109" s="156">
        <v>2.8853735786595891E-2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53815</v>
      </c>
      <c r="Y2110" s="155">
        <f>_xll.qlCalendarAdvance(Calendar,X2110,NDays&amp;"D")</f>
        <v>53815</v>
      </c>
      <c r="Z2110" s="156">
        <v>2.885018181337351E-2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53822</v>
      </c>
      <c r="Y2111" s="155">
        <f>_xll.qlCalendarAdvance(Calendar,X2111,NDays&amp;"D")</f>
        <v>53822</v>
      </c>
      <c r="Z2111" s="156">
        <v>2.8846632638765968E-2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53829</v>
      </c>
      <c r="Y2112" s="155">
        <f>_xll.qlCalendarAdvance(Calendar,X2112,NDays&amp;"D")</f>
        <v>53829</v>
      </c>
      <c r="Z2112" s="156">
        <v>2.8843088262906491E-2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53836</v>
      </c>
      <c r="Y2113" s="155">
        <f>_xll.qlCalendarAdvance(Calendar,X2113,NDays&amp;"D")</f>
        <v>53836</v>
      </c>
      <c r="Z2113" s="156">
        <v>2.8840451155034419E-2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53843</v>
      </c>
      <c r="Y2114" s="155">
        <f>_xll.qlCalendarAdvance(Calendar,X2114,NDays&amp;"D")</f>
        <v>53843</v>
      </c>
      <c r="Z2114" s="156">
        <v>2.88360139070587E-2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53850</v>
      </c>
      <c r="Y2115" s="155">
        <f>_xll.qlCalendarAdvance(Calendar,X2115,NDays&amp;"D")</f>
        <v>53850</v>
      </c>
      <c r="Z2115" s="156">
        <v>2.8832483927123675E-2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53857</v>
      </c>
      <c r="Y2116" s="155">
        <f>_xll.qlCalendarAdvance(Calendar,X2116,NDays&amp;"D")</f>
        <v>53857</v>
      </c>
      <c r="Z2116" s="156">
        <v>2.8828958745830136E-2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53864</v>
      </c>
      <c r="Y2117" s="155">
        <f>_xll.qlCalendarAdvance(Calendar,X2117,NDays&amp;"D")</f>
        <v>53864</v>
      </c>
      <c r="Z2117" s="156">
        <v>2.8825438363204725E-2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53871</v>
      </c>
      <c r="Y2118" s="155">
        <f>_xll.qlCalendarAdvance(Calendar,X2118,NDays&amp;"D")</f>
        <v>53871</v>
      </c>
      <c r="Z2118" s="156">
        <v>2.8821922779220799E-2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53878</v>
      </c>
      <c r="Y2119" s="155">
        <f>_xll.qlCalendarAdvance(Calendar,X2119,NDays&amp;"D")</f>
        <v>53878</v>
      </c>
      <c r="Z2119" s="156">
        <v>2.8818411993931647E-2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53885</v>
      </c>
      <c r="Y2120" s="155">
        <f>_xll.qlCalendarAdvance(Calendar,X2120,NDays&amp;"D")</f>
        <v>53885</v>
      </c>
      <c r="Z2120" s="156">
        <v>2.881490600728398E-2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53892</v>
      </c>
      <c r="Y2121" s="155">
        <f>_xll.qlCalendarAdvance(Calendar,X2121,NDays&amp;"D")</f>
        <v>53892</v>
      </c>
      <c r="Z2121" s="156">
        <v>2.8811404819304443E-2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53899</v>
      </c>
      <c r="Y2122" s="155">
        <f>_xll.qlCalendarAdvance(Calendar,X2122,NDays&amp;"D")</f>
        <v>53899</v>
      </c>
      <c r="Z2122" s="156">
        <v>2.8807908429939744E-2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53906</v>
      </c>
      <c r="Y2123" s="155">
        <f>_xll.qlCalendarAdvance(Calendar,X2123,NDays&amp;"D")</f>
        <v>53906</v>
      </c>
      <c r="Z2123" s="156">
        <v>2.8804416839243174E-2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53913</v>
      </c>
      <c r="Y2124" s="155">
        <f>_xll.qlCalendarAdvance(Calendar,X2124,NDays&amp;"D")</f>
        <v>53913</v>
      </c>
      <c r="Z2124" s="156">
        <v>2.8800930047214734E-2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53920</v>
      </c>
      <c r="Y2125" s="155">
        <f>_xll.qlCalendarAdvance(Calendar,X2125,NDays&amp;"D")</f>
        <v>53920</v>
      </c>
      <c r="Z2125" s="156">
        <v>2.8797448053854424E-2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53927</v>
      </c>
      <c r="Y2126" s="155">
        <f>_xll.qlCalendarAdvance(Calendar,X2126,NDays&amp;"D")</f>
        <v>53927</v>
      </c>
      <c r="Z2126" s="156">
        <v>2.8793970859108953E-2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53934</v>
      </c>
      <c r="Y2127" s="155">
        <f>_xll.qlCalendarAdvance(Calendar,X2127,NDays&amp;"D")</f>
        <v>53934</v>
      </c>
      <c r="Z2127" s="156">
        <v>2.8791401805732253E-2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53941</v>
      </c>
      <c r="Y2128" s="155">
        <f>_xll.qlCalendarAdvance(Calendar,X2128,NDays&amp;"D")</f>
        <v>53941</v>
      </c>
      <c r="Z2128" s="156">
        <v>2.8787030865622398E-2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53948</v>
      </c>
      <c r="Y2129" s="155">
        <f>_xll.qlCalendarAdvance(Calendar,X2129,NDays&amp;"D")</f>
        <v>53948</v>
      </c>
      <c r="Z2129" s="156">
        <v>2.8783568066828025E-2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53955</v>
      </c>
      <c r="Y2130" s="155">
        <f>_xll.qlCalendarAdvance(Calendar,X2130,NDays&amp;"D")</f>
        <v>53955</v>
      </c>
      <c r="Z2130" s="156">
        <v>2.8780110066728426E-2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53962</v>
      </c>
      <c r="Y2131" s="155">
        <f>_xll.qlCalendarAdvance(Calendar,X2131,NDays&amp;"D")</f>
        <v>53962</v>
      </c>
      <c r="Z2131" s="156">
        <v>2.8776656865243666E-2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53969</v>
      </c>
      <c r="Y2132" s="155">
        <f>_xll.qlCalendarAdvance(Calendar,X2132,NDays&amp;"D")</f>
        <v>53969</v>
      </c>
      <c r="Z2132" s="156">
        <v>2.8773208462453681E-2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53976</v>
      </c>
      <c r="Y2133" s="155">
        <f>_xll.qlCalendarAdvance(Calendar,X2133,NDays&amp;"D")</f>
        <v>53976</v>
      </c>
      <c r="Z2133" s="156">
        <v>2.8770668600299754E-2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53983</v>
      </c>
      <c r="Y2134" s="155">
        <f>_xll.qlCalendarAdvance(Calendar,X2134,NDays&amp;"D")</f>
        <v>53983</v>
      </c>
      <c r="Z2134" s="156">
        <v>2.8766326052744873E-2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53990</v>
      </c>
      <c r="Y2135" s="155">
        <f>_xll.qlCalendarAdvance(Calendar,X2135,NDays&amp;"D")</f>
        <v>53990</v>
      </c>
      <c r="Z2135" s="156">
        <v>2.876289204587934E-2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53997</v>
      </c>
      <c r="Y2136" s="155">
        <f>_xll.qlCalendarAdvance(Calendar,X2136,NDays&amp;"D")</f>
        <v>53997</v>
      </c>
      <c r="Z2136" s="156">
        <v>2.8759462837681937E-2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54004</v>
      </c>
      <c r="Y2137" s="155">
        <f>_xll.qlCalendarAdvance(Calendar,X2137,NDays&amp;"D")</f>
        <v>54004</v>
      </c>
      <c r="Z2137" s="156">
        <v>2.8756942444667644E-2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54011</v>
      </c>
      <c r="Y2138" s="155">
        <f>_xll.qlCalendarAdvance(Calendar,X2138,NDays&amp;"D")</f>
        <v>54011</v>
      </c>
      <c r="Z2138" s="156">
        <v>2.8752618817158293E-2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54018</v>
      </c>
      <c r="Y2139" s="155">
        <f>_xll.qlCalendarAdvance(Calendar,X2139,NDays&amp;"D")</f>
        <v>54018</v>
      </c>
      <c r="Z2139" s="156">
        <v>2.8749204004885343E-2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54025</v>
      </c>
      <c r="Y2140" s="155">
        <f>_xll.qlCalendarAdvance(Calendar,X2140,NDays&amp;"D")</f>
        <v>54025</v>
      </c>
      <c r="Z2140" s="156">
        <v>2.8745793991253876E-2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54032</v>
      </c>
      <c r="Y2141" s="155">
        <f>_xll.qlCalendarAdvance(Calendar,X2141,NDays&amp;"D")</f>
        <v>54032</v>
      </c>
      <c r="Z2141" s="156">
        <v>2.8742388776290539E-2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54039</v>
      </c>
      <c r="Y2142" s="155">
        <f>_xll.qlCalendarAdvance(Calendar,X2142,NDays&amp;"D")</f>
        <v>54039</v>
      </c>
      <c r="Z2142" s="156">
        <v>2.8738988359942041E-2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54046</v>
      </c>
      <c r="Y2143" s="155">
        <f>_xll.qlCalendarAdvance(Calendar,X2143,NDays&amp;"D")</f>
        <v>54046</v>
      </c>
      <c r="Z2143" s="156">
        <v>2.8735592742261673E-2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54053</v>
      </c>
      <c r="Y2144" s="155">
        <f>_xll.qlCalendarAdvance(Calendar,X2144,NDays&amp;"D")</f>
        <v>54053</v>
      </c>
      <c r="Z2144" s="156">
        <v>2.8732201923222789E-2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54060</v>
      </c>
      <c r="Y2145" s="155">
        <f>_xll.qlCalendarAdvance(Calendar,X2145,NDays&amp;"D")</f>
        <v>54060</v>
      </c>
      <c r="Z2145" s="156">
        <v>2.8728815902825389E-2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54067</v>
      </c>
      <c r="Y2146" s="155">
        <f>_xll.qlCalendarAdvance(Calendar,X2146,NDays&amp;"D")</f>
        <v>54067</v>
      </c>
      <c r="Z2146" s="156">
        <v>2.8725434681069473E-2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54074</v>
      </c>
      <c r="Y2147" s="155">
        <f>_xll.qlCalendarAdvance(Calendar,X2147,NDays&amp;"D")</f>
        <v>54074</v>
      </c>
      <c r="Z2147" s="156">
        <v>2.8722962989997658E-2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54081</v>
      </c>
      <c r="Y2148" s="155">
        <f>_xll.qlCalendarAdvance(Calendar,X2148,NDays&amp;"D")</f>
        <v>54081</v>
      </c>
      <c r="Z2148" s="156">
        <v>2.8718686633508739E-2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54088</v>
      </c>
      <c r="Y2149" s="155">
        <f>_xll.qlCalendarAdvance(Calendar,X2149,NDays&amp;"D")</f>
        <v>54088</v>
      </c>
      <c r="Z2149" s="156">
        <v>2.8715319807677275E-2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54095</v>
      </c>
      <c r="Y2150" s="155">
        <f>_xll.qlCalendarAdvance(Calendar,X2150,NDays&amp;"D")</f>
        <v>54095</v>
      </c>
      <c r="Z2150" s="156">
        <v>2.8711957780513941E-2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54102</v>
      </c>
      <c r="Y2151" s="155">
        <f>_xll.qlCalendarAdvance(Calendar,X2151,NDays&amp;"D")</f>
        <v>54102</v>
      </c>
      <c r="Z2151" s="156">
        <v>2.8709505581789863E-2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54109</v>
      </c>
      <c r="Y2152" s="155">
        <f>_xll.qlCalendarAdvance(Calendar,X2152,NDays&amp;"D")</f>
        <v>54109</v>
      </c>
      <c r="Z2152" s="156">
        <v>2.8705248122085081E-2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54116</v>
      </c>
      <c r="Y2153" s="155">
        <f>_xll.qlCalendarAdvance(Calendar,X2153,NDays&amp;"D")</f>
        <v>54116</v>
      </c>
      <c r="Z2153" s="156">
        <v>2.8701900490819554E-2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54123</v>
      </c>
      <c r="Y2154" s="155">
        <f>_xll.qlCalendarAdvance(Calendar,X2154,NDays&amp;"D")</f>
        <v>54123</v>
      </c>
      <c r="Z2154" s="156">
        <v>2.8698557658248802E-2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54130</v>
      </c>
      <c r="Y2155" s="155">
        <f>_xll.qlCalendarAdvance(Calendar,X2155,NDays&amp;"D")</f>
        <v>54130</v>
      </c>
      <c r="Z2155" s="156">
        <v>2.8695219624266244E-2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54137</v>
      </c>
      <c r="Y2156" s="155">
        <f>_xll.qlCalendarAdvance(Calendar,X2156,NDays&amp;"D")</f>
        <v>54137</v>
      </c>
      <c r="Z2156" s="156">
        <v>2.869188638892517E-2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54144</v>
      </c>
      <c r="Y2157" s="155">
        <f>_xll.qlCalendarAdvance(Calendar,X2157,NDays&amp;"D")</f>
        <v>54144</v>
      </c>
      <c r="Z2157" s="156">
        <v>2.868855795227887E-2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54151</v>
      </c>
      <c r="Y2158" s="155">
        <f>_xll.qlCalendarAdvance(Calendar,X2158,NDays&amp;"D")</f>
        <v>54151</v>
      </c>
      <c r="Z2158" s="156">
        <v>2.8685234314167474E-2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54158</v>
      </c>
      <c r="Y2159" s="155">
        <f>_xll.qlCalendarAdvance(Calendar,X2159,NDays&amp;"D")</f>
        <v>54158</v>
      </c>
      <c r="Z2159" s="156">
        <v>2.8681915474830788E-2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54165</v>
      </c>
      <c r="Y2160" s="155">
        <f>_xll.qlCalendarAdvance(Calendar,X2160,NDays&amp;"D")</f>
        <v>54165</v>
      </c>
      <c r="Z2160" s="156">
        <v>2.8678601434029005E-2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54172</v>
      </c>
      <c r="Y2161" s="155">
        <f>_xll.qlCalendarAdvance(Calendar,X2161,NDays&amp;"D")</f>
        <v>54172</v>
      </c>
      <c r="Z2161" s="156">
        <v>2.8675292191948643E-2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54179</v>
      </c>
      <c r="Y2162" s="155">
        <f>_xll.qlCalendarAdvance(Calendar,X2162,NDays&amp;"D")</f>
        <v>54179</v>
      </c>
      <c r="Z2162" s="156">
        <v>2.8671987748429828E-2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54186</v>
      </c>
      <c r="Y2163" s="155">
        <f>_xll.qlCalendarAdvance(Calendar,X2163,NDays&amp;"D")</f>
        <v>54186</v>
      </c>
      <c r="Z2163" s="156">
        <v>2.8668688103579143E-2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54193</v>
      </c>
      <c r="Y2164" s="155">
        <f>_xll.qlCalendarAdvance(Calendar,X2164,NDays&amp;"D")</f>
        <v>54193</v>
      </c>
      <c r="Z2164" s="156">
        <v>2.8665393257369942E-2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54200</v>
      </c>
      <c r="Y2165" s="155">
        <f>_xll.qlCalendarAdvance(Calendar,X2165,NDays&amp;"D")</f>
        <v>54200</v>
      </c>
      <c r="Z2165" s="156">
        <v>2.8663009333977918E-2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54207</v>
      </c>
      <c r="Y2166" s="155">
        <f>_xll.qlCalendarAdvance(Calendar,X2166,NDays&amp;"D")</f>
        <v>54207</v>
      </c>
      <c r="Z2166" s="156">
        <v>2.8658817960849348E-2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54214</v>
      </c>
      <c r="Y2167" s="155">
        <f>_xll.qlCalendarAdvance(Calendar,X2167,NDays&amp;"D")</f>
        <v>54214</v>
      </c>
      <c r="Z2167" s="156">
        <v>2.8655537510564599E-2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54221</v>
      </c>
      <c r="Y2168" s="155">
        <f>_xll.qlCalendarAdvance(Calendar,X2168,NDays&amp;"D")</f>
        <v>54221</v>
      </c>
      <c r="Z2168" s="156">
        <v>2.865226185889469E-2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54228</v>
      </c>
      <c r="Y2169" s="155">
        <f>_xll.qlCalendarAdvance(Calendar,X2169,NDays&amp;"D")</f>
        <v>54228</v>
      </c>
      <c r="Z2169" s="156">
        <v>2.8648991005839619E-2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54235</v>
      </c>
      <c r="Y2170" s="155">
        <f>_xll.qlCalendarAdvance(Calendar,X2170,NDays&amp;"D")</f>
        <v>54235</v>
      </c>
      <c r="Z2170" s="156">
        <v>2.8645724951479323E-2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54245</v>
      </c>
      <c r="Y2171" s="155">
        <f>_xll.qlCalendarAdvance(Calendar,X2171,NDays&amp;"D")</f>
        <v>54245</v>
      </c>
      <c r="Z2171" s="156">
        <v>2.8639254344282605E-2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54252</v>
      </c>
      <c r="Y2172" s="155">
        <f>_xll.qlCalendarAdvance(Calendar,X2172,NDays&amp;"D")</f>
        <v>54252</v>
      </c>
      <c r="Z2172" s="156">
        <v>2.8635999775987742E-2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54259</v>
      </c>
      <c r="Y2173" s="155">
        <f>_xll.qlCalendarAdvance(Calendar,X2173,NDays&amp;"D")</f>
        <v>54259</v>
      </c>
      <c r="Z2173" s="156">
        <v>2.8632750005375129E-2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54266</v>
      </c>
      <c r="Y2174" s="155">
        <f>_xll.qlCalendarAdvance(Calendar,X2174,NDays&amp;"D")</f>
        <v>54266</v>
      </c>
      <c r="Z2174" s="156">
        <v>2.8629505032764513E-2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54273</v>
      </c>
      <c r="Y2175" s="155">
        <f>_xll.qlCalendarAdvance(Calendar,X2175,NDays&amp;"D")</f>
        <v>54273</v>
      </c>
      <c r="Z2175" s="156">
        <v>2.862626485799602E-2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54280</v>
      </c>
      <c r="Y2176" s="155">
        <f>_xll.qlCalendarAdvance(Calendar,X2176,NDays&amp;"D")</f>
        <v>54280</v>
      </c>
      <c r="Z2176" s="156">
        <v>2.8623029481069651E-2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54287</v>
      </c>
      <c r="Y2177" s="155">
        <f>_xll.qlCalendarAdvance(Calendar,X2177,NDays&amp;"D")</f>
        <v>54287</v>
      </c>
      <c r="Z2177" s="156">
        <v>2.8619798901745597E-2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54294</v>
      </c>
      <c r="Y2178" s="155">
        <f>_xll.qlCalendarAdvance(Calendar,X2178,NDays&amp;"D")</f>
        <v>54294</v>
      </c>
      <c r="Z2178" s="156">
        <v>2.8616573120423539E-2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54301</v>
      </c>
      <c r="Y2179" s="155">
        <f>_xll.qlCalendarAdvance(Calendar,X2179,NDays&amp;"D")</f>
        <v>54301</v>
      </c>
      <c r="Z2179" s="156">
        <v>2.8613352136863668E-2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54309</v>
      </c>
      <c r="Y2180" s="155">
        <f>_xll.qlCalendarAdvance(Calendar,X2180,NDays&amp;"D")</f>
        <v>54309</v>
      </c>
      <c r="Z2180" s="156">
        <v>2.8609676887558777E-2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54316</v>
      </c>
      <c r="Y2181" s="155">
        <f>_xll.qlCalendarAdvance(Calendar,X2181,NDays&amp;"D")</f>
        <v>54316</v>
      </c>
      <c r="Z2181" s="156">
        <v>2.8606466184974977E-2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54323</v>
      </c>
      <c r="Y2182" s="155">
        <f>_xll.qlCalendarAdvance(Calendar,X2182,NDays&amp;"D")</f>
        <v>54323</v>
      </c>
      <c r="Z2182" s="156">
        <v>2.8603260280153364E-2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54330</v>
      </c>
      <c r="Y2183" s="155">
        <f>_xll.qlCalendarAdvance(Calendar,X2183,NDays&amp;"D")</f>
        <v>54330</v>
      </c>
      <c r="Z2183" s="156">
        <v>2.8600059173333747E-2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54337</v>
      </c>
      <c r="Y2184" s="155">
        <f>_xll.qlCalendarAdvance(Calendar,X2184,NDays&amp;"D")</f>
        <v>54337</v>
      </c>
      <c r="Z2184" s="156">
        <v>2.8596862864116446E-2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54344</v>
      </c>
      <c r="Y2185" s="155">
        <f>_xll.qlCalendarAdvance(Calendar,X2185,NDays&amp;"D")</f>
        <v>54344</v>
      </c>
      <c r="Z2185" s="156">
        <v>2.8593671352741268E-2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54351</v>
      </c>
      <c r="Y2186" s="155">
        <f>_xll.qlCalendarAdvance(Calendar,X2186,NDays&amp;"D")</f>
        <v>54351</v>
      </c>
      <c r="Z2186" s="156">
        <v>2.8590484639208213E-2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54358</v>
      </c>
      <c r="Y2187" s="155">
        <f>_xll.qlCalendarAdvance(Calendar,X2187,NDays&amp;"D")</f>
        <v>54358</v>
      </c>
      <c r="Z2187" s="156">
        <v>2.8587302723677155E-2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54365</v>
      </c>
      <c r="Y2188" s="155">
        <f>_xll.qlCalendarAdvance(Calendar,X2188,NDays&amp;"D")</f>
        <v>54365</v>
      </c>
      <c r="Z2188" s="156">
        <v>2.8584125605668476E-2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54372</v>
      </c>
      <c r="Y2189" s="155">
        <f>_xll.qlCalendarAdvance(Calendar,X2189,NDays&amp;"D")</f>
        <v>54372</v>
      </c>
      <c r="Z2189" s="156">
        <v>2.858186141207586E-2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54379</v>
      </c>
      <c r="Y2190" s="155">
        <f>_xll.qlCalendarAdvance(Calendar,X2190,NDays&amp;"D")</f>
        <v>54379</v>
      </c>
      <c r="Z2190" s="156">
        <v>2.8577785763257424E-2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54386</v>
      </c>
      <c r="Y2191" s="155">
        <f>_xll.qlCalendarAdvance(Calendar,X2191,NDays&amp;"D")</f>
        <v>54386</v>
      </c>
      <c r="Z2191" s="156">
        <v>2.8574623038934988E-2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54393</v>
      </c>
      <c r="Y2192" s="155">
        <f>_xll.qlCalendarAdvance(Calendar,X2192,NDays&amp;"D")</f>
        <v>54393</v>
      </c>
      <c r="Z2192" s="156">
        <v>2.8571465112294803E-2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54400</v>
      </c>
      <c r="Y2193" s="155">
        <f>_xll.qlCalendarAdvance(Calendar,X2193,NDays&amp;"D")</f>
        <v>54400</v>
      </c>
      <c r="Z2193" s="156">
        <v>2.8568311983336869E-2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54407</v>
      </c>
      <c r="Y2194" s="155">
        <f>_xll.qlCalendarAdvance(Calendar,X2194,NDays&amp;"D")</f>
        <v>54407</v>
      </c>
      <c r="Z2194" s="156">
        <v>2.8565163652380932E-2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54414</v>
      </c>
      <c r="Y2195" s="155">
        <f>_xll.qlCalendarAdvance(Calendar,X2195,NDays&amp;"D")</f>
        <v>54414</v>
      </c>
      <c r="Z2195" s="156">
        <v>2.8562020119107245E-2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54421</v>
      </c>
      <c r="Y2196" s="155">
        <f>_xll.qlCalendarAdvance(Calendar,X2196,NDays&amp;"D")</f>
        <v>54421</v>
      </c>
      <c r="Z2196" s="156">
        <v>2.8558881383675683E-2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54428</v>
      </c>
      <c r="Y2197" s="155">
        <f>_xll.qlCalendarAdvance(Calendar,X2197,NDays&amp;"D")</f>
        <v>54428</v>
      </c>
      <c r="Z2197" s="156">
        <v>2.8555747446006308E-2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54435</v>
      </c>
      <c r="Y2198" s="155">
        <f>_xll.qlCalendarAdvance(Calendar,X2198,NDays&amp;"D")</f>
        <v>54435</v>
      </c>
      <c r="Z2198" s="156">
        <v>2.8552618306338928E-2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54442</v>
      </c>
      <c r="Y2199" s="155">
        <f>_xll.qlCalendarAdvance(Calendar,X2199,NDays&amp;"D")</f>
        <v>54442</v>
      </c>
      <c r="Z2199" s="156">
        <v>2.85494939643538E-2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54449</v>
      </c>
      <c r="Y2200" s="155">
        <f>_xll.qlCalendarAdvance(Calendar,X2200,NDays&amp;"D")</f>
        <v>54449</v>
      </c>
      <c r="Z2200" s="156">
        <v>2.854637442013086E-2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54456</v>
      </c>
      <c r="Y2201" s="155">
        <f>_xll.qlCalendarAdvance(Calendar,X2201,NDays&amp;"D")</f>
        <v>54456</v>
      </c>
      <c r="Z2201" s="156">
        <v>2.8543259673750043E-2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54463</v>
      </c>
      <c r="Y2202" s="155">
        <f>_xll.qlCalendarAdvance(Calendar,X2202,NDays&amp;"D")</f>
        <v>54463</v>
      </c>
      <c r="Z2202" s="156">
        <v>2.854014972521135E-2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54470</v>
      </c>
      <c r="Y2203" s="155">
        <f>_xll.qlCalendarAdvance(Calendar,X2203,NDays&amp;"D")</f>
        <v>54470</v>
      </c>
      <c r="Z2203" s="156">
        <v>2.853704457451478E-2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54477</v>
      </c>
      <c r="Y2204" s="155">
        <f>_xll.qlCalendarAdvance(Calendar,X2204,NDays&amp;"D")</f>
        <v>54477</v>
      </c>
      <c r="Z2204" s="156">
        <v>2.8533944221420526E-2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54484</v>
      </c>
      <c r="Y2205" s="155">
        <f>_xll.qlCalendarAdvance(Calendar,X2205,NDays&amp;"D")</f>
        <v>54484</v>
      </c>
      <c r="Z2205" s="156">
        <v>2.8530848666408204E-2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54491</v>
      </c>
      <c r="Y2206" s="155">
        <f>_xll.qlCalendarAdvance(Calendar,X2206,NDays&amp;"D")</f>
        <v>54491</v>
      </c>
      <c r="Z2206" s="156">
        <v>2.8527757909078133E-2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54498</v>
      </c>
      <c r="Y2207" s="155">
        <f>_xll.qlCalendarAdvance(Calendar,X2207,NDays&amp;"D")</f>
        <v>54498</v>
      </c>
      <c r="Z2207" s="156">
        <v>2.852467194951025E-2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54505</v>
      </c>
      <c r="Y2208" s="155">
        <f>_xll.qlCalendarAdvance(Calendar,X2208,NDays&amp;"D")</f>
        <v>54505</v>
      </c>
      <c r="Z2208" s="156">
        <v>2.852159078778449E-2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54512</v>
      </c>
      <c r="Y2209" s="155">
        <f>_xll.qlCalendarAdvance(Calendar,X2209,NDays&amp;"D")</f>
        <v>54512</v>
      </c>
      <c r="Z2209" s="156">
        <v>2.8518514423900854E-2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54519</v>
      </c>
      <c r="Y2210" s="155">
        <f>_xll.qlCalendarAdvance(Calendar,X2210,NDays&amp;"D")</f>
        <v>54519</v>
      </c>
      <c r="Z2210" s="156">
        <v>2.8515442857699469E-2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54526</v>
      </c>
      <c r="Y2211" s="155">
        <f>_xll.qlCalendarAdvance(Calendar,X2211,NDays&amp;"D")</f>
        <v>54526</v>
      </c>
      <c r="Z2211" s="156">
        <v>2.8512376089420144E-2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54533</v>
      </c>
      <c r="Y2212" s="155">
        <f>_xll.qlCalendarAdvance(Calendar,X2212,NDays&amp;"D")</f>
        <v>54533</v>
      </c>
      <c r="Z2212" s="156">
        <v>2.8509314119062878E-2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54540</v>
      </c>
      <c r="Y2213" s="155">
        <f>_xll.qlCalendarAdvance(Calendar,X2213,NDays&amp;"D")</f>
        <v>54540</v>
      </c>
      <c r="Z2213" s="156">
        <v>2.8506256946307929E-2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54547</v>
      </c>
      <c r="Y2214" s="155">
        <f>_xll.qlCalendarAdvance(Calendar,X2214,NDays&amp;"D")</f>
        <v>54547</v>
      </c>
      <c r="Z2214" s="156">
        <v>2.8503204571315166E-2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54554</v>
      </c>
      <c r="Y2215" s="155">
        <f>_xll.qlCalendarAdvance(Calendar,X2215,NDays&amp;"D")</f>
        <v>54554</v>
      </c>
      <c r="Z2215" s="156">
        <v>2.8500156994324399E-2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54561</v>
      </c>
      <c r="Y2216" s="155">
        <f>_xll.qlCalendarAdvance(Calendar,X2216,NDays&amp;"D")</f>
        <v>54561</v>
      </c>
      <c r="Z2216" s="156">
        <v>2.849711421509582E-2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54568</v>
      </c>
      <c r="Y2217" s="155">
        <f>_xll.qlCalendarAdvance(Calendar,X2217,NDays&amp;"D")</f>
        <v>54568</v>
      </c>
      <c r="Z2217" s="156">
        <v>2.8494076233709364E-2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54575</v>
      </c>
      <c r="Y2218" s="155">
        <f>_xll.qlCalendarAdvance(Calendar,X2218,NDays&amp;"D")</f>
        <v>54575</v>
      </c>
      <c r="Z2218" s="156">
        <v>2.8491043049925224E-2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54582</v>
      </c>
      <c r="Y2219" s="155">
        <f>_xll.qlCalendarAdvance(Calendar,X2219,NDays&amp;"D")</f>
        <v>54582</v>
      </c>
      <c r="Z2219" s="156">
        <v>2.8488014664223016E-2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54589</v>
      </c>
      <c r="Y2220" s="155">
        <f>_xll.qlCalendarAdvance(Calendar,X2220,NDays&amp;"D")</f>
        <v>54589</v>
      </c>
      <c r="Z2220" s="156">
        <v>2.8484991076123123E-2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54596</v>
      </c>
      <c r="Y2221" s="155">
        <f>_xll.qlCalendarAdvance(Calendar,X2221,NDays&amp;"D")</f>
        <v>54596</v>
      </c>
      <c r="Z2221" s="156">
        <v>2.8481972285865353E-2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54603</v>
      </c>
      <c r="Y2222" s="155">
        <f>_xll.qlCalendarAdvance(Calendar,X2222,NDays&amp;"D")</f>
        <v>54603</v>
      </c>
      <c r="Z2222" s="156">
        <v>2.8478958293449708E-2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54610</v>
      </c>
      <c r="Y2223" s="155">
        <f>_xll.qlCalendarAdvance(Calendar,X2223,NDays&amp;"D")</f>
        <v>54610</v>
      </c>
      <c r="Z2223" s="156">
        <v>2.8475949098796249E-2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54617</v>
      </c>
      <c r="Y2224" s="155">
        <f>_xll.qlCalendarAdvance(Calendar,X2224,NDays&amp;"D")</f>
        <v>54617</v>
      </c>
      <c r="Z2224" s="156">
        <v>2.8472944702064851E-2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54624</v>
      </c>
      <c r="Y2225" s="155">
        <f>_xll.qlCalendarAdvance(Calendar,X2225,NDays&amp;"D")</f>
        <v>54624</v>
      </c>
      <c r="Z2225" s="156">
        <v>2.8469945103015704E-2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54631</v>
      </c>
      <c r="Y2226" s="155">
        <f>_xll.qlCalendarAdvance(Calendar,X2226,NDays&amp;"D")</f>
        <v>54631</v>
      </c>
      <c r="Z2226" s="156">
        <v>2.846695030180868E-2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54638</v>
      </c>
      <c r="Y2227" s="155">
        <f>_xll.qlCalendarAdvance(Calendar,X2227,NDays&amp;"D")</f>
        <v>54638</v>
      </c>
      <c r="Z2227" s="156">
        <v>2.8463960298363844E-2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54645</v>
      </c>
      <c r="Y2228" s="155">
        <f>_xll.qlCalendarAdvance(Calendar,X2228,NDays&amp;"D")</f>
        <v>54645</v>
      </c>
      <c r="Z2228" s="156">
        <v>2.8460975092841068E-2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54652</v>
      </c>
      <c r="Y2229" s="155">
        <f>_xll.qlCalendarAdvance(Calendar,X2229,NDays&amp;"D")</f>
        <v>54652</v>
      </c>
      <c r="Z2229" s="156">
        <v>2.8457994684920607E-2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54659</v>
      </c>
      <c r="Y2230" s="155">
        <f>_xll.qlCalendarAdvance(Calendar,X2230,NDays&amp;"D")</f>
        <v>54659</v>
      </c>
      <c r="Z2230" s="156">
        <v>2.8455019075082078E-2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54666</v>
      </c>
      <c r="Y2231" s="155">
        <f>_xll.qlCalendarAdvance(Calendar,X2231,NDays&amp;"D")</f>
        <v>54666</v>
      </c>
      <c r="Z2231" s="156">
        <v>2.84520482629258E-2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54673</v>
      </c>
      <c r="Y2232" s="155">
        <f>_xll.qlCalendarAdvance(Calendar,X2232,NDays&amp;"D")</f>
        <v>54673</v>
      </c>
      <c r="Z2232" s="156">
        <v>2.8449082248451774E-2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54680</v>
      </c>
      <c r="Y2233" s="155">
        <f>_xll.qlCalendarAdvance(Calendar,X2233,NDays&amp;"D")</f>
        <v>54680</v>
      </c>
      <c r="Z2233" s="156">
        <v>2.8446121031899807E-2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54687</v>
      </c>
      <c r="Y2234" s="155">
        <f>_xll.qlCalendarAdvance(Calendar,X2234,NDays&amp;"D")</f>
        <v>54687</v>
      </c>
      <c r="Z2234" s="156">
        <v>2.8443164613189964E-2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54694</v>
      </c>
      <c r="Y2235" s="155">
        <f>_xll.qlCalendarAdvance(Calendar,X2235,NDays&amp;"D")</f>
        <v>54694</v>
      </c>
      <c r="Z2235" s="156">
        <v>2.8440212992242309E-2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54701</v>
      </c>
      <c r="Y2236" s="155">
        <f>_xll.qlCalendarAdvance(Calendar,X2236,NDays&amp;"D")</f>
        <v>54701</v>
      </c>
      <c r="Z2236" s="156">
        <v>2.8437266168976905E-2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54708</v>
      </c>
      <c r="Y2237" s="155">
        <f>_xll.qlCalendarAdvance(Calendar,X2237,NDays&amp;"D")</f>
        <v>54708</v>
      </c>
      <c r="Z2237" s="156">
        <v>2.8434324143713496E-2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54715</v>
      </c>
      <c r="Y2238" s="155">
        <f>_xll.qlCalendarAdvance(Calendar,X2238,NDays&amp;"D")</f>
        <v>54715</v>
      </c>
      <c r="Z2238" s="156">
        <v>2.8431386916212276E-2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54722</v>
      </c>
      <c r="Y2239" s="155">
        <f>_xll.qlCalendarAdvance(Calendar,X2239,NDays&amp;"D")</f>
        <v>54722</v>
      </c>
      <c r="Z2239" s="156">
        <v>2.8428454486473242E-2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54729</v>
      </c>
      <c r="Y2240" s="155">
        <f>_xll.qlCalendarAdvance(Calendar,X2240,NDays&amp;"D")</f>
        <v>54729</v>
      </c>
      <c r="Z2240" s="156">
        <v>2.8425526854416461E-2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54736</v>
      </c>
      <c r="Y2241" s="155">
        <f>_xll.qlCalendarAdvance(Calendar,X2241,NDays&amp;"D")</f>
        <v>54736</v>
      </c>
      <c r="Z2241" s="156">
        <v>2.8422593362966708E-2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54743</v>
      </c>
      <c r="Y2242" s="155">
        <f>_xll.qlCalendarAdvance(Calendar,X2242,NDays&amp;"D")</f>
        <v>54743</v>
      </c>
      <c r="Z2242" s="156">
        <v>2.8419631057285955E-2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54750</v>
      </c>
      <c r="Y2243" s="155">
        <f>_xll.qlCalendarAdvance(Calendar,X2243,NDays&amp;"D")</f>
        <v>54750</v>
      </c>
      <c r="Z2243" s="156">
        <v>2.8416639117789799E-2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54757</v>
      </c>
      <c r="Y2244" s="155">
        <f>_xll.qlCalendarAdvance(Calendar,X2244,NDays&amp;"D")</f>
        <v>54757</v>
      </c>
      <c r="Z2244" s="156">
        <v>2.8413617544558178E-2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54764</v>
      </c>
      <c r="Y2245" s="155">
        <f>_xll.qlCalendarAdvance(Calendar,X2245,NDays&amp;"D")</f>
        <v>54764</v>
      </c>
      <c r="Z2245" s="156">
        <v>2.8410566337591092E-2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54771</v>
      </c>
      <c r="Y2246" s="155">
        <f>_xll.qlCalendarAdvance(Calendar,X2246,NDays&amp;"D")</f>
        <v>54771</v>
      </c>
      <c r="Z2246" s="156">
        <v>2.8407485496568796E-2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54778</v>
      </c>
      <c r="Y2247" s="155">
        <f>_xll.qlCalendarAdvance(Calendar,X2247,NDays&amp;"D")</f>
        <v>54778</v>
      </c>
      <c r="Z2247" s="156">
        <v>2.8404375021890971E-2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54785</v>
      </c>
      <c r="Y2248" s="155">
        <f>_xll.qlCalendarAdvance(Calendar,X2248,NDays&amp;"D")</f>
        <v>54785</v>
      </c>
      <c r="Z2248" s="156">
        <v>2.8401234913237872E-2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54792</v>
      </c>
      <c r="Y2249" s="155">
        <f>_xll.qlCalendarAdvance(Calendar,X2249,NDays&amp;"D")</f>
        <v>54792</v>
      </c>
      <c r="Z2249" s="156">
        <v>2.8398065170929243E-2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54799</v>
      </c>
      <c r="Y2250" s="155">
        <f>_xll.qlCalendarAdvance(Calendar,X2250,NDays&amp;"D")</f>
        <v>54799</v>
      </c>
      <c r="Z2250" s="156">
        <v>2.8394865794725277E-2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54806</v>
      </c>
      <c r="Y2251" s="155">
        <f>_xll.qlCalendarAdvance(Calendar,X2251,NDays&amp;"D")</f>
        <v>54806</v>
      </c>
      <c r="Z2251" s="156">
        <v>2.8391636784625973E-2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54813</v>
      </c>
      <c r="Y2252" s="155">
        <f>_xll.qlCalendarAdvance(Calendar,X2252,NDays&amp;"D")</f>
        <v>54813</v>
      </c>
      <c r="Z2252" s="156">
        <v>2.8388378140631332E-2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54820</v>
      </c>
      <c r="Y2253" s="155">
        <f>_xll.qlCalendarAdvance(Calendar,X2253,NDays&amp;"D")</f>
        <v>54820</v>
      </c>
      <c r="Z2253" s="156">
        <v>2.8385089862901225E-2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54827</v>
      </c>
      <c r="Y2254" s="155">
        <f>_xll.qlCalendarAdvance(Calendar,X2254,NDays&amp;"D")</f>
        <v>54827</v>
      </c>
      <c r="Z2254" s="156">
        <v>2.8381771951355717E-2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54834</v>
      </c>
      <c r="Y2255" s="155">
        <f>_xll.qlCalendarAdvance(Calendar,X2255,NDays&amp;"D")</f>
        <v>54834</v>
      </c>
      <c r="Z2255" s="156">
        <v>2.8378424405994807E-2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54841</v>
      </c>
      <c r="Y2256" s="155">
        <f>_xll.qlCalendarAdvance(Calendar,X2256,NDays&amp;"D")</f>
        <v>54841</v>
      </c>
      <c r="Z2256" s="156">
        <v>2.8375047226738559E-2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54848</v>
      </c>
      <c r="Y2257" s="155">
        <f>_xll.qlCalendarAdvance(Calendar,X2257,NDays&amp;"D")</f>
        <v>54848</v>
      </c>
      <c r="Z2257" s="156">
        <v>2.8371640413746846E-2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54855</v>
      </c>
      <c r="Y2258" s="155">
        <f>_xll.qlCalendarAdvance(Calendar,X2258,NDays&amp;"D")</f>
        <v>54855</v>
      </c>
      <c r="Z2258" s="156">
        <v>2.8368203966779859E-2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54862</v>
      </c>
      <c r="Y2259" s="155">
        <f>_xll.qlCalendarAdvance(Calendar,X2259,NDays&amp;"D")</f>
        <v>54862</v>
      </c>
      <c r="Z2259" s="156">
        <v>2.8364737886237279E-2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54869</v>
      </c>
      <c r="Y2260" s="155">
        <f>_xll.qlCalendarAdvance(Calendar,X2260,NDays&amp;"D")</f>
        <v>54869</v>
      </c>
      <c r="Z2260" s="156">
        <v>2.8361242171719425E-2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54876</v>
      </c>
      <c r="Y2261" s="155">
        <f>_xll.qlCalendarAdvance(Calendar,X2261,NDays&amp;"D")</f>
        <v>54876</v>
      </c>
      <c r="Z2261" s="156">
        <v>2.8357716823306234E-2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54883</v>
      </c>
      <c r="Y2262" s="155">
        <f>_xll.qlCalendarAdvance(Calendar,X2262,NDays&amp;"D")</f>
        <v>54883</v>
      </c>
      <c r="Z2262" s="156">
        <v>2.8354161841157577E-2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54890</v>
      </c>
      <c r="Y2263" s="155">
        <f>_xll.qlCalendarAdvance(Calendar,X2263,NDays&amp;"D")</f>
        <v>54890</v>
      </c>
      <c r="Z2263" s="156">
        <v>2.8350577225193518E-2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54897</v>
      </c>
      <c r="Y2264" s="155">
        <f>_xll.qlCalendarAdvance(Calendar,X2264,NDays&amp;"D")</f>
        <v>54897</v>
      </c>
      <c r="Z2264" s="156">
        <v>2.8346962975414058E-2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54904</v>
      </c>
      <c r="Y2265" s="155">
        <f>_xll.qlCalendarAdvance(Calendar,X2265,NDays&amp;"D")</f>
        <v>54904</v>
      </c>
      <c r="Z2265" s="156">
        <v>2.8343319091819197E-2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54911</v>
      </c>
      <c r="Y2266" s="155">
        <f>_xll.qlCalendarAdvance(Calendar,X2266,NDays&amp;"D")</f>
        <v>54911</v>
      </c>
      <c r="Z2266" s="156">
        <v>2.833964557448887E-2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54918</v>
      </c>
      <c r="Y2267" s="155">
        <f>_xll.qlCalendarAdvance(Calendar,X2267,NDays&amp;"D")</f>
        <v>54918</v>
      </c>
      <c r="Z2267" s="156">
        <v>2.8335942423183269E-2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54925</v>
      </c>
      <c r="Y2268" s="155">
        <f>_xll.qlCalendarAdvance(Calendar,X2268,NDays&amp;"D")</f>
        <v>54925</v>
      </c>
      <c r="Z2268" s="156">
        <v>2.8332209638222139E-2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54932</v>
      </c>
      <c r="Y2269" s="155">
        <f>_xll.qlCalendarAdvance(Calendar,X2269,NDays&amp;"D")</f>
        <v>54932</v>
      </c>
      <c r="Z2269" s="156">
        <v>2.8328447219205799E-2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54939</v>
      </c>
      <c r="Y2270" s="155">
        <f>_xll.qlCalendarAdvance(Calendar,X2270,NDays&amp;"D")</f>
        <v>54939</v>
      </c>
      <c r="Z2270" s="156">
        <v>2.832465516653393E-2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54946</v>
      </c>
      <c r="Y2271" s="155">
        <f>_xll.qlCalendarAdvance(Calendar,X2271,NDays&amp;"D")</f>
        <v>54946</v>
      </c>
      <c r="Z2271" s="156">
        <v>2.8320833480206531E-2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54953</v>
      </c>
      <c r="Y2272" s="155">
        <f>_xll.qlCalendarAdvance(Calendar,X2272,NDays&amp;"D")</f>
        <v>54953</v>
      </c>
      <c r="Z2272" s="156">
        <v>2.8316982159823922E-2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54960</v>
      </c>
      <c r="Y2273" s="155">
        <f>_xll.qlCalendarAdvance(Calendar,X2273,NDays&amp;"D")</f>
        <v>54960</v>
      </c>
      <c r="Z2273" s="156">
        <v>2.8313101205705848E-2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54967</v>
      </c>
      <c r="Y2274" s="155">
        <f>_xll.qlCalendarAdvance(Calendar,X2274,NDays&amp;"D")</f>
        <v>54967</v>
      </c>
      <c r="Z2274" s="156">
        <v>2.8309190617772373E-2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54974</v>
      </c>
      <c r="Y2275" s="155">
        <f>_xll.qlCalendarAdvance(Calendar,X2275,NDays&amp;"D")</f>
        <v>54974</v>
      </c>
      <c r="Z2275" s="156">
        <v>2.8305250396023496E-2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54981</v>
      </c>
      <c r="Y2276" s="155">
        <f>_xll.qlCalendarAdvance(Calendar,X2276,NDays&amp;"D")</f>
        <v>54981</v>
      </c>
      <c r="Z2276" s="156">
        <v>2.8301280540379281E-2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54988</v>
      </c>
      <c r="Y2277" s="155">
        <f>_xll.qlCalendarAdvance(Calendar,X2277,NDays&amp;"D")</f>
        <v>54988</v>
      </c>
      <c r="Z2277" s="156">
        <v>2.8297281051159473E-2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54995</v>
      </c>
      <c r="Y2278" s="155">
        <f>_xll.qlCalendarAdvance(Calendar,X2278,NDays&amp;"D")</f>
        <v>54995</v>
      </c>
      <c r="Z2278" s="156">
        <v>2.8293251928124263E-2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55002</v>
      </c>
      <c r="Y2279" s="155">
        <f>_xll.qlCalendarAdvance(Calendar,X2279,NDays&amp;"D")</f>
        <v>55002</v>
      </c>
      <c r="Z2279" s="156">
        <v>2.8289193171033844E-2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55009</v>
      </c>
      <c r="Y2280" s="155">
        <f>_xll.qlCalendarAdvance(Calendar,X2280,NDays&amp;"D")</f>
        <v>55009</v>
      </c>
      <c r="Z2280" s="156">
        <v>2.8285104780287895E-2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55016</v>
      </c>
      <c r="Y2281" s="155">
        <f>_xll.qlCalendarAdvance(Calendar,X2281,NDays&amp;"D")</f>
        <v>55016</v>
      </c>
      <c r="Z2281" s="156">
        <v>2.8280986755806481E-2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55023</v>
      </c>
      <c r="Y2282" s="155">
        <f>_xll.qlCalendarAdvance(Calendar,X2282,NDays&amp;"D")</f>
        <v>55023</v>
      </c>
      <c r="Z2282" s="156">
        <v>2.8276839097429729E-2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55030</v>
      </c>
      <c r="Y2283" s="155">
        <f>_xll.qlCalendarAdvance(Calendar,X2283,NDays&amp;"D")</f>
        <v>55030</v>
      </c>
      <c r="Z2283" s="156">
        <v>2.8272661805157639E-2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55037</v>
      </c>
      <c r="Y2284" s="155">
        <f>_xll.qlCalendarAdvance(Calendar,X2284,NDays&amp;"D")</f>
        <v>55037</v>
      </c>
      <c r="Z2284" s="156">
        <v>2.8268454879309957E-2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55044</v>
      </c>
      <c r="Y2285" s="155">
        <f>_xll.qlCalendarAdvance(Calendar,X2285,NDays&amp;"D")</f>
        <v>55044</v>
      </c>
      <c r="Z2285" s="156">
        <v>2.8264218319487E-2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55051</v>
      </c>
      <c r="Y2286" s="155">
        <f>_xll.qlCalendarAdvance(Calendar,X2286,NDays&amp;"D")</f>
        <v>55051</v>
      </c>
      <c r="Z2286" s="156">
        <v>2.825995212608845E-2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55058</v>
      </c>
      <c r="Y2287" s="155">
        <f>_xll.qlCalendarAdvance(Calendar,X2287,NDays&amp;"D")</f>
        <v>55058</v>
      </c>
      <c r="Z2287" s="156">
        <v>2.825565629863469E-2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55065</v>
      </c>
      <c r="Y2288" s="155">
        <f>_xll.qlCalendarAdvance(Calendar,X2288,NDays&amp;"D")</f>
        <v>55065</v>
      </c>
      <c r="Z2288" s="156">
        <v>2.8251330837445465E-2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55072</v>
      </c>
      <c r="Y2289" s="155">
        <f>_xll.qlCalendarAdvance(Calendar,X2289,NDays&amp;"D")</f>
        <v>55072</v>
      </c>
      <c r="Z2289" s="156">
        <v>2.8246975742600711E-2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55079</v>
      </c>
      <c r="Y2290" s="155">
        <f>_xll.qlCalendarAdvance(Calendar,X2290,NDays&amp;"D")</f>
        <v>55079</v>
      </c>
      <c r="Z2290" s="156">
        <v>2.8242591013860618E-2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55086</v>
      </c>
      <c r="Y2291" s="155">
        <f>_xll.qlCalendarAdvance(Calendar,X2291,NDays&amp;"D")</f>
        <v>55086</v>
      </c>
      <c r="Z2291" s="156">
        <v>2.8238176651225189E-2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55093</v>
      </c>
      <c r="Y2292" s="155">
        <f>_xll.qlCalendarAdvance(Calendar,X2292,NDays&amp;"D")</f>
        <v>55093</v>
      </c>
      <c r="Z2292" s="156">
        <v>2.8233732655014165E-2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55100</v>
      </c>
      <c r="Y2293" s="155">
        <f>_xll.qlCalendarAdvance(Calendar,X2293,NDays&amp;"D")</f>
        <v>55100</v>
      </c>
      <c r="Z2293" s="156">
        <v>2.8229259024907805E-2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55107</v>
      </c>
      <c r="Y2294" s="155">
        <f>_xll.qlCalendarAdvance(Calendar,X2294,NDays&amp;"D")</f>
        <v>55107</v>
      </c>
      <c r="Z2294" s="156">
        <v>2.8224755760986042E-2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55114</v>
      </c>
      <c r="Y2295" s="155">
        <f>_xll.qlCalendarAdvance(Calendar,X2295,NDays&amp;"D")</f>
        <v>55114</v>
      </c>
      <c r="Z2295" s="156">
        <v>2.8220222863328814E-2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55121</v>
      </c>
      <c r="Y2296" s="155">
        <f>_xll.qlCalendarAdvance(Calendar,X2296,NDays&amp;"D")</f>
        <v>55121</v>
      </c>
      <c r="Z2296" s="156">
        <v>2.8215660331776249E-2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55128</v>
      </c>
      <c r="Y2297" s="155">
        <f>_xll.qlCalendarAdvance(Calendar,X2297,NDays&amp;"D")</f>
        <v>55128</v>
      </c>
      <c r="Z2297" s="156">
        <v>2.8211068166488218E-2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55135</v>
      </c>
      <c r="Y2298" s="155">
        <f>_xll.qlCalendarAdvance(Calendar,X2298,NDays&amp;"D")</f>
        <v>55135</v>
      </c>
      <c r="Z2298" s="156">
        <v>2.8206446367544658E-2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55142</v>
      </c>
      <c r="Y2299" s="155">
        <f>_xll.qlCalendarAdvance(Calendar,X2299,NDays&amp;"D")</f>
        <v>55142</v>
      </c>
      <c r="Z2299" s="156">
        <v>2.8201794934705759E-2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55149</v>
      </c>
      <c r="Y2300" s="155">
        <f>_xll.qlCalendarAdvance(Calendar,X2300,NDays&amp;"D")</f>
        <v>55149</v>
      </c>
      <c r="Z2300" s="156">
        <v>2.8197113868211332E-2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55156</v>
      </c>
      <c r="Y2301" s="155">
        <f>_xll.qlCalendarAdvance(Calendar,X2301,NDays&amp;"D")</f>
        <v>55156</v>
      </c>
      <c r="Z2301" s="156">
        <v>2.8192403167741631E-2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55163</v>
      </c>
      <c r="Y2302" s="155">
        <f>_xll.qlCalendarAdvance(Calendar,X2302,NDays&amp;"D")</f>
        <v>55163</v>
      </c>
      <c r="Z2302" s="156">
        <v>2.81876628336164E-2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55170</v>
      </c>
      <c r="Y2303" s="155">
        <f>_xll.qlCalendarAdvance(Calendar,X2303,NDays&amp;"D")</f>
        <v>55170</v>
      </c>
      <c r="Z2303" s="156">
        <v>2.8182892865755704E-2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55177</v>
      </c>
      <c r="Y2304" s="155">
        <f>_xll.qlCalendarAdvance(Calendar,X2304,NDays&amp;"D")</f>
        <v>55177</v>
      </c>
      <c r="Z2304" s="156">
        <v>2.8178093263999671E-2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55184</v>
      </c>
      <c r="Y2305" s="155">
        <f>_xll.qlCalendarAdvance(Calendar,X2305,NDays&amp;"D")</f>
        <v>55184</v>
      </c>
      <c r="Z2305" s="156">
        <v>2.8173264028428235E-2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55191</v>
      </c>
      <c r="Y2306" s="155">
        <f>_xll.qlCalendarAdvance(Calendar,X2306,NDays&amp;"D")</f>
        <v>55191</v>
      </c>
      <c r="Z2306" s="156">
        <v>2.8168405159281207E-2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55198</v>
      </c>
      <c r="Y2307" s="155">
        <f>_xll.qlCalendarAdvance(Calendar,X2307,NDays&amp;"D")</f>
        <v>55198</v>
      </c>
      <c r="Z2307" s="156">
        <v>2.8163516656078968E-2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55205</v>
      </c>
      <c r="Y2308" s="155">
        <f>_xll.qlCalendarAdvance(Calendar,X2308,NDays&amp;"D")</f>
        <v>55205</v>
      </c>
      <c r="Z2308" s="156">
        <v>2.8158598519301137E-2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55212</v>
      </c>
      <c r="Y2309" s="155">
        <f>_xll.qlCalendarAdvance(Calendar,X2309,NDays&amp;"D")</f>
        <v>55212</v>
      </c>
      <c r="Z2309" s="156">
        <v>2.8153650748707904E-2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55219</v>
      </c>
      <c r="Y2310" s="155">
        <f>_xll.qlCalendarAdvance(Calendar,X2310,NDays&amp;"D")</f>
        <v>55219</v>
      </c>
      <c r="Z2310" s="156">
        <v>2.8148673344459141E-2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55226</v>
      </c>
      <c r="Y2311" s="155">
        <f>_xll.qlCalendarAdvance(Calendar,X2311,NDays&amp;"D")</f>
        <v>55226</v>
      </c>
      <c r="Z2311" s="156">
        <v>2.8143666306235104E-2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55233</v>
      </c>
      <c r="Y2312" s="155">
        <f>_xll.qlCalendarAdvance(Calendar,X2312,NDays&amp;"D")</f>
        <v>55233</v>
      </c>
      <c r="Z2312" s="156">
        <v>2.8138629634355539E-2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55240</v>
      </c>
      <c r="Y2313" s="155">
        <f>_xll.qlCalendarAdvance(Calendar,X2313,NDays&amp;"D")</f>
        <v>55240</v>
      </c>
      <c r="Z2313" s="156">
        <v>2.8133563328740507E-2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55247</v>
      </c>
      <c r="Y2314" s="155">
        <f>_xll.qlCalendarAdvance(Calendar,X2314,NDays&amp;"D")</f>
        <v>55247</v>
      </c>
      <c r="Z2314" s="156">
        <v>2.8128467389390011E-2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55254</v>
      </c>
      <c r="Y2315" s="155">
        <f>_xll.qlCalendarAdvance(Calendar,X2315,NDays&amp;"D")</f>
        <v>55254</v>
      </c>
      <c r="Z2315" s="156">
        <v>2.8123341816144176E-2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55261</v>
      </c>
      <c r="Y2316" s="155">
        <f>_xll.qlCalendarAdvance(Calendar,X2316,NDays&amp;"D")</f>
        <v>55261</v>
      </c>
      <c r="Z2316" s="156">
        <v>2.8118186609162876E-2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55268</v>
      </c>
      <c r="Y2317" s="155">
        <f>_xll.qlCalendarAdvance(Calendar,X2317,NDays&amp;"D")</f>
        <v>55268</v>
      </c>
      <c r="Z2317" s="156">
        <v>2.8113001768526047E-2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55275</v>
      </c>
      <c r="Y2318" s="155">
        <f>_xll.qlCalendarAdvance(Calendar,X2318,NDays&amp;"D")</f>
        <v>55275</v>
      </c>
      <c r="Z2318" s="156">
        <v>2.8107787294073816E-2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55282</v>
      </c>
      <c r="Y2319" s="155">
        <f>_xll.qlCalendarAdvance(Calendar,X2319,NDays&amp;"D")</f>
        <v>55282</v>
      </c>
      <c r="Z2319" s="156">
        <v>2.8102543185806184E-2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55289</v>
      </c>
      <c r="Y2320" s="155">
        <f>_xll.qlCalendarAdvance(Calendar,X2320,NDays&amp;"D")</f>
        <v>55289</v>
      </c>
      <c r="Z2320" s="156">
        <v>2.8097269443803086E-2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55296</v>
      </c>
      <c r="Y2321" s="155">
        <f>_xll.qlCalendarAdvance(Calendar,X2321,NDays&amp;"D")</f>
        <v>55296</v>
      </c>
      <c r="Z2321" s="156">
        <v>2.8091966068144458E-2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55303</v>
      </c>
      <c r="Y2322" s="155">
        <f>_xll.qlCalendarAdvance(Calendar,X2322,NDays&amp;"D")</f>
        <v>55303</v>
      </c>
      <c r="Z2322" s="156">
        <v>2.8086633058670429E-2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55310</v>
      </c>
      <c r="Y2323" s="155">
        <f>_xll.qlCalendarAdvance(Calendar,X2323,NDays&amp;"D")</f>
        <v>55310</v>
      </c>
      <c r="Z2323" s="156">
        <v>2.8081270415380999E-2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55317</v>
      </c>
      <c r="Y2324" s="155">
        <f>_xll.qlCalendarAdvance(Calendar,X2324,NDays&amp;"D")</f>
        <v>55317</v>
      </c>
      <c r="Z2324" s="156">
        <v>2.8075878138356103E-2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55324</v>
      </c>
      <c r="Y2325" s="155">
        <f>_xll.qlCalendarAdvance(Calendar,X2325,NDays&amp;"D")</f>
        <v>55324</v>
      </c>
      <c r="Z2325" s="156">
        <v>2.8070456227595741E-2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55331</v>
      </c>
      <c r="Y2326" s="155">
        <f>_xll.qlCalendarAdvance(Calendar,X2326,NDays&amp;"D")</f>
        <v>55331</v>
      </c>
      <c r="Z2326" s="156">
        <v>2.8065004683019978E-2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55339</v>
      </c>
      <c r="Y2327" s="155">
        <f>_xll.qlCalendarAdvance(Calendar,X2327,NDays&amp;"D")</f>
        <v>55339</v>
      </c>
      <c r="Z2327" s="156">
        <v>2.805873806035919E-2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55346</v>
      </c>
      <c r="Y2328" s="155">
        <f>_xll.qlCalendarAdvance(Calendar,X2328,NDays&amp;"D")</f>
        <v>55346</v>
      </c>
      <c r="Z2328" s="156">
        <v>2.8053223014898876E-2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55353</v>
      </c>
      <c r="Y2329" s="155">
        <f>_xll.qlCalendarAdvance(Calendar,X2329,NDays&amp;"D")</f>
        <v>55353</v>
      </c>
      <c r="Z2329" s="156">
        <v>2.8047678335862969E-2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55360</v>
      </c>
      <c r="Y2330" s="155">
        <f>_xll.qlCalendarAdvance(Calendar,X2330,NDays&amp;"D")</f>
        <v>55360</v>
      </c>
      <c r="Z2330" s="156">
        <v>2.804210402301166E-2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55367</v>
      </c>
      <c r="Y2331" s="155">
        <f>_xll.qlCalendarAdvance(Calendar,X2331,NDays&amp;"D")</f>
        <v>55367</v>
      </c>
      <c r="Z2331" s="156">
        <v>2.803650007634495E-2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55374</v>
      </c>
      <c r="Y2332" s="155">
        <f>_xll.qlCalendarAdvance(Calendar,X2332,NDays&amp;"D")</f>
        <v>55374</v>
      </c>
      <c r="Z2332" s="156">
        <v>2.8030866495862838E-2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55381</v>
      </c>
      <c r="Y2333" s="155">
        <f>_xll.qlCalendarAdvance(Calendar,X2333,NDays&amp;"D")</f>
        <v>55381</v>
      </c>
      <c r="Z2333" s="156">
        <v>2.8025203281805133E-2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55388</v>
      </c>
      <c r="Y2334" s="155">
        <f>_xll.qlCalendarAdvance(Calendar,X2334,NDays&amp;"D")</f>
        <v>55388</v>
      </c>
      <c r="Z2334" s="156">
        <v>2.8019510434011963E-2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55395</v>
      </c>
      <c r="Y2335" s="155">
        <f>_xll.qlCalendarAdvance(Calendar,X2335,NDays&amp;"D")</f>
        <v>55395</v>
      </c>
      <c r="Z2335" s="156">
        <v>2.8013787952323455E-2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55402</v>
      </c>
      <c r="Y2336" s="155">
        <f>_xll.qlCalendarAdvance(Calendar,X2336,NDays&amp;"D")</f>
        <v>55402</v>
      </c>
      <c r="Z2336" s="156">
        <v>2.8008035837219225E-2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55409</v>
      </c>
      <c r="Y2337" s="155">
        <f>_xll.qlCalendarAdvance(Calendar,X2337,NDays&amp;"D")</f>
        <v>55409</v>
      </c>
      <c r="Z2337" s="156">
        <v>2.8002254088059786E-2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55416</v>
      </c>
      <c r="Y2338" s="155">
        <f>_xll.qlCalendarAdvance(Calendar,X2338,NDays&amp;"D")</f>
        <v>55416</v>
      </c>
      <c r="Z2338" s="156">
        <v>2.7996442705404689E-2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55423</v>
      </c>
      <c r="Y2339" s="155">
        <f>_xll.qlCalendarAdvance(Calendar,X2339,NDays&amp;"D")</f>
        <v>55423</v>
      </c>
      <c r="Z2339" s="156">
        <v>2.7990601688774319E-2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55430</v>
      </c>
      <c r="Y2340" s="155">
        <f>_xll.qlCalendarAdvance(Calendar,X2340,NDays&amp;"D")</f>
        <v>55430</v>
      </c>
      <c r="Z2340" s="156">
        <v>2.7984731038648292E-2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55437</v>
      </c>
      <c r="Y2341" s="155">
        <f>_xll.qlCalendarAdvance(Calendar,X2341,NDays&amp;"D")</f>
        <v>55437</v>
      </c>
      <c r="Z2341" s="156">
        <v>2.7978830754626927E-2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55444</v>
      </c>
      <c r="Y2342" s="155">
        <f>_xll.qlCalendarAdvance(Calendar,X2342,NDays&amp;"D")</f>
        <v>55444</v>
      </c>
      <c r="Z2342" s="156">
        <v>2.7972900836950032E-2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55451</v>
      </c>
      <c r="Y2343" s="155">
        <f>_xll.qlCalendarAdvance(Calendar,X2343,NDays&amp;"D")</f>
        <v>55451</v>
      </c>
      <c r="Z2343" s="156">
        <v>2.7966941285457736E-2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55458</v>
      </c>
      <c r="Y2344" s="155">
        <f>_xll.qlCalendarAdvance(Calendar,X2344,NDays&amp;"D")</f>
        <v>55458</v>
      </c>
      <c r="Z2344" s="156">
        <v>2.7960952100389846E-2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55465</v>
      </c>
      <c r="Y2345" s="155">
        <f>_xll.qlCalendarAdvance(Calendar,X2345,NDays&amp;"D")</f>
        <v>55465</v>
      </c>
      <c r="Z2345" s="156">
        <v>2.7954933281586491E-2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55472</v>
      </c>
      <c r="Y2346" s="155">
        <f>_xll.qlCalendarAdvance(Calendar,X2346,NDays&amp;"D")</f>
        <v>55472</v>
      </c>
      <c r="Z2346" s="156">
        <v>2.7948884828967735E-2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55479</v>
      </c>
      <c r="Y2347" s="155">
        <f>_xll.qlCalendarAdvance(Calendar,X2347,NDays&amp;"D")</f>
        <v>55479</v>
      </c>
      <c r="Z2347" s="156">
        <v>2.7943455795385042E-2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55486</v>
      </c>
      <c r="Y2348" s="155">
        <f>_xll.qlCalendarAdvance(Calendar,X2348,NDays&amp;"D")</f>
        <v>55486</v>
      </c>
      <c r="Z2348" s="156">
        <v>2.7936699022603761E-2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55493</v>
      </c>
      <c r="Y2349" s="155">
        <f>_xll.qlCalendarAdvance(Calendar,X2349,NDays&amp;"D")</f>
        <v>55493</v>
      </c>
      <c r="Z2349" s="156">
        <v>2.7930561668938481E-2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55500</v>
      </c>
      <c r="Y2350" s="155">
        <f>_xll.qlCalendarAdvance(Calendar,X2350,NDays&amp;"D")</f>
        <v>55500</v>
      </c>
      <c r="Z2350" s="156">
        <v>2.7924394681377862E-2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55507</v>
      </c>
      <c r="Y2351" s="155">
        <f>_xll.qlCalendarAdvance(Calendar,X2351,NDays&amp;"D")</f>
        <v>55507</v>
      </c>
      <c r="Z2351" s="156">
        <v>2.7918198060321586E-2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55514</v>
      </c>
      <c r="Y2352" s="155">
        <f>_xll.qlCalendarAdvance(Calendar,X2352,NDays&amp;"D")</f>
        <v>55514</v>
      </c>
      <c r="Z2352" s="156">
        <v>2.7911971805529845E-2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55521</v>
      </c>
      <c r="Y2353" s="155">
        <f>_xll.qlCalendarAdvance(Calendar,X2353,NDays&amp;"D")</f>
        <v>55521</v>
      </c>
      <c r="Z2353" s="156">
        <v>2.790571591676283E-2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55528</v>
      </c>
      <c r="Y2354" s="155">
        <f>_xll.qlCalendarAdvance(Calendar,X2354,NDays&amp;"D")</f>
        <v>55528</v>
      </c>
      <c r="Z2354" s="156">
        <v>2.7899430394500158E-2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55535</v>
      </c>
      <c r="Y2355" s="155">
        <f>_xll.qlCalendarAdvance(Calendar,X2355,NDays&amp;"D")</f>
        <v>55535</v>
      </c>
      <c r="Z2355" s="156">
        <v>2.7893115238581956E-2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55542</v>
      </c>
      <c r="Y2356" s="155">
        <f>_xll.qlCalendarAdvance(Calendar,X2356,NDays&amp;"D")</f>
        <v>55542</v>
      </c>
      <c r="Z2356" s="156">
        <v>2.7886770448848353E-2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55549</v>
      </c>
      <c r="Y2357" s="155">
        <f>_xll.qlCalendarAdvance(Calendar,X2357,NDays&amp;"D")</f>
        <v>55549</v>
      </c>
      <c r="Z2357" s="156">
        <v>2.7880396025299348E-2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55556</v>
      </c>
      <c r="Y2358" s="155">
        <f>_xll.qlCalendarAdvance(Calendar,X2358,NDays&amp;"D")</f>
        <v>55556</v>
      </c>
      <c r="Z2358" s="156">
        <v>2.7873991968414558E-2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55563</v>
      </c>
      <c r="Y2359" s="155">
        <f>_xll.qlCalendarAdvance(Calendar,X2359,NDays&amp;"D")</f>
        <v>55563</v>
      </c>
      <c r="Z2359" s="156">
        <v>2.7867558277554494E-2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55570</v>
      </c>
      <c r="Y2360" s="155">
        <f>_xll.qlCalendarAdvance(Calendar,X2360,NDays&amp;"D")</f>
        <v>55570</v>
      </c>
      <c r="Z2360" s="156">
        <v>2.7861094952958965E-2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55577</v>
      </c>
      <c r="Y2361" s="155">
        <f>_xll.qlCalendarAdvance(Calendar,X2361,NDays&amp;"D")</f>
        <v>55577</v>
      </c>
      <c r="Z2361" s="156">
        <v>2.7854601994787842E-2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55584</v>
      </c>
      <c r="Y2362" s="155">
        <f>_xll.qlCalendarAdvance(Calendar,X2362,NDays&amp;"D")</f>
        <v>55584</v>
      </c>
      <c r="Z2362" s="156">
        <v>2.7848079402801318E-2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55591</v>
      </c>
      <c r="Y2363" s="155">
        <f>_xll.qlCalendarAdvance(Calendar,X2363,NDays&amp;"D")</f>
        <v>55591</v>
      </c>
      <c r="Z2363" s="156">
        <v>2.7841527177319136E-2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55598</v>
      </c>
      <c r="Y2364" s="155">
        <f>_xll.qlCalendarAdvance(Calendar,X2364,NDays&amp;"D")</f>
        <v>55598</v>
      </c>
      <c r="Z2364" s="156">
        <v>2.7834945317941617E-2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55605</v>
      </c>
      <c r="Y2365" s="155">
        <f>_xll.qlCalendarAdvance(Calendar,X2365,NDays&amp;"D")</f>
        <v>55605</v>
      </c>
      <c r="Z2365" s="156">
        <v>2.7828333825068441E-2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55612</v>
      </c>
      <c r="Y2366" s="155">
        <f>_xll.qlCalendarAdvance(Calendar,X2366,NDays&amp;"D")</f>
        <v>55612</v>
      </c>
      <c r="Z2366" s="156">
        <v>2.7821692698379863E-2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55619</v>
      </c>
      <c r="Y2367" s="155">
        <f>_xll.qlCalendarAdvance(Calendar,X2367,NDays&amp;"D")</f>
        <v>55619</v>
      </c>
      <c r="Z2367" s="156">
        <v>2.7815021937955819E-2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55626</v>
      </c>
      <c r="Y2368" s="155">
        <f>_xll.qlCalendarAdvance(Calendar,X2368,NDays&amp;"D")</f>
        <v>55626</v>
      </c>
      <c r="Z2368" s="156">
        <v>2.780832154379631E-2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55633</v>
      </c>
      <c r="Y2369" s="155">
        <f>_xll.qlCalendarAdvance(Calendar,X2369,NDays&amp;"D")</f>
        <v>55633</v>
      </c>
      <c r="Z2369" s="156">
        <v>2.780159151622108E-2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55640</v>
      </c>
      <c r="Y2370" s="155">
        <f>_xll.qlCalendarAdvance(Calendar,X2370,NDays&amp;"D")</f>
        <v>55640</v>
      </c>
      <c r="Z2370" s="156">
        <v>2.7794831854830448E-2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55647</v>
      </c>
      <c r="Y2371" s="155">
        <f>_xll.qlCalendarAdvance(Calendar,X2371,NDays&amp;"D")</f>
        <v>55647</v>
      </c>
      <c r="Z2371" s="156">
        <v>2.7788042559624415E-2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55654</v>
      </c>
      <c r="Y2372" s="155">
        <f>_xll.qlCalendarAdvance(Calendar,X2372,NDays&amp;"D")</f>
        <v>55654</v>
      </c>
      <c r="Z2372" s="156">
        <v>2.7781223630842788E-2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55661</v>
      </c>
      <c r="Y2373" s="155">
        <f>_xll.qlCalendarAdvance(Calendar,X2373,NDays&amp;"D")</f>
        <v>55661</v>
      </c>
      <c r="Z2373" s="156">
        <v>2.7774375068485568E-2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55668</v>
      </c>
      <c r="Y2374" s="155">
        <f>_xll.qlCalendarAdvance(Calendar,X2374,NDays&amp;"D")</f>
        <v>55668</v>
      </c>
      <c r="Z2374" s="156">
        <v>2.7767496872233011E-2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55675</v>
      </c>
      <c r="Y2375" s="155">
        <f>_xll.qlCalendarAdvance(Calendar,X2375,NDays&amp;"D")</f>
        <v>55675</v>
      </c>
      <c r="Z2375" s="156">
        <v>2.7760589042484796E-2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55682</v>
      </c>
      <c r="Y2376" s="155">
        <f>_xll.qlCalendarAdvance(Calendar,X2376,NDays&amp;"D")</f>
        <v>55682</v>
      </c>
      <c r="Z2376" s="156">
        <v>2.7753651579081051E-2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55689</v>
      </c>
      <c r="Y2377" s="155">
        <f>_xll.qlCalendarAdvance(Calendar,X2377,NDays&amp;"D")</f>
        <v>55689</v>
      </c>
      <c r="Z2377" s="156">
        <v>2.7746684481861905E-2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55696</v>
      </c>
      <c r="Y2378" s="155">
        <f>_xll.qlCalendarAdvance(Calendar,X2378,NDays&amp;"D")</f>
        <v>55696</v>
      </c>
      <c r="Z2378" s="156">
        <v>2.773968775098723E-2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55703</v>
      </c>
      <c r="Y2379" s="155">
        <f>_xll.qlCalendarAdvance(Calendar,X2379,NDays&amp;"D")</f>
        <v>55703</v>
      </c>
      <c r="Z2379" s="156">
        <v>2.7733226450252779E-2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55710</v>
      </c>
      <c r="Y2380" s="155">
        <f>_xll.qlCalendarAdvance(Calendar,X2380,NDays&amp;"D")</f>
        <v>55710</v>
      </c>
      <c r="Z2380" s="156">
        <v>2.7725605388511099E-2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55717</v>
      </c>
      <c r="Y2381" s="155">
        <f>_xll.qlCalendarAdvance(Calendar,X2381,NDays&amp;"D")</f>
        <v>55717</v>
      </c>
      <c r="Z2381" s="156">
        <v>2.7718519756669835E-2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55724</v>
      </c>
      <c r="Y2382" s="155">
        <f>_xll.qlCalendarAdvance(Calendar,X2382,NDays&amp;"D")</f>
        <v>55724</v>
      </c>
      <c r="Z2382" s="156">
        <v>2.7711404491093106E-2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55731</v>
      </c>
      <c r="Y2383" s="155">
        <f>_xll.qlCalendarAdvance(Calendar,X2383,NDays&amp;"D")</f>
        <v>55731</v>
      </c>
      <c r="Z2383" s="156">
        <v>2.7704259592020719E-2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55738</v>
      </c>
      <c r="Y2384" s="155">
        <f>_xll.qlCalendarAdvance(Calendar,X2384,NDays&amp;"D")</f>
        <v>55738</v>
      </c>
      <c r="Z2384" s="156">
        <v>2.7697085059212867E-2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55745</v>
      </c>
      <c r="Y2385" s="155">
        <f>_xll.qlCalendarAdvance(Calendar,X2385,NDays&amp;"D")</f>
        <v>55745</v>
      </c>
      <c r="Z2385" s="156">
        <v>2.7689880892749485E-2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55752</v>
      </c>
      <c r="Y2386" s="155">
        <f>_xll.qlCalendarAdvance(Calendar,X2386,NDays&amp;"D")</f>
        <v>55752</v>
      </c>
      <c r="Z2386" s="156">
        <v>2.7682647092630575E-2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55759</v>
      </c>
      <c r="Y2387" s="155">
        <f>_xll.qlCalendarAdvance(Calendar,X2387,NDays&amp;"D")</f>
        <v>55759</v>
      </c>
      <c r="Z2387" s="156">
        <v>2.767538365893607E-2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55766</v>
      </c>
      <c r="Y2388" s="155">
        <f>_xll.qlCalendarAdvance(Calendar,X2388,NDays&amp;"D")</f>
        <v>55766</v>
      </c>
      <c r="Z2388" s="156">
        <v>2.76680905915061E-2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55773</v>
      </c>
      <c r="Y2389" s="155">
        <f>_xll.qlCalendarAdvance(Calendar,X2389,NDays&amp;"D")</f>
        <v>55773</v>
      </c>
      <c r="Z2389" s="156">
        <v>2.7660767890420601E-2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55780</v>
      </c>
      <c r="Y2390" s="155">
        <f>_xll.qlCalendarAdvance(Calendar,X2390,NDays&amp;"D")</f>
        <v>55780</v>
      </c>
      <c r="Z2390" s="156">
        <v>2.7653415555679572E-2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55787</v>
      </c>
      <c r="Y2391" s="155">
        <f>_xll.qlCalendarAdvance(Calendar,X2391,NDays&amp;"D")</f>
        <v>55787</v>
      </c>
      <c r="Z2391" s="156">
        <v>2.7646033587283014E-2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55794</v>
      </c>
      <c r="Y2392" s="155">
        <f>_xll.qlCalendarAdvance(Calendar,X2392,NDays&amp;"D")</f>
        <v>55794</v>
      </c>
      <c r="Z2392" s="156">
        <v>2.7638621985390799E-2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55801</v>
      </c>
      <c r="Y2393" s="155">
        <f>_xll.qlCalendarAdvance(Calendar,X2393,NDays&amp;"D")</f>
        <v>55801</v>
      </c>
      <c r="Z2393" s="156">
        <v>2.7631180749683182E-2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55808</v>
      </c>
      <c r="Y2394" s="155">
        <f>_xll.qlCalendarAdvance(Calendar,X2394,NDays&amp;"D")</f>
        <v>55808</v>
      </c>
      <c r="Z2394" s="156">
        <v>2.7623709880399971E-2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55815</v>
      </c>
      <c r="Y2395" s="155">
        <f>_xll.qlCalendarAdvance(Calendar,X2395,NDays&amp;"D")</f>
        <v>55815</v>
      </c>
      <c r="Z2395" s="156">
        <v>2.7616209377461232E-2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55822</v>
      </c>
      <c r="Y2396" s="155">
        <f>_xll.qlCalendarAdvance(Calendar,X2396,NDays&amp;"D")</f>
        <v>55822</v>
      </c>
      <c r="Z2396" s="156">
        <v>2.7608679240946898E-2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55829</v>
      </c>
      <c r="Y2397" s="155">
        <f>_xll.qlCalendarAdvance(Calendar,X2397,NDays&amp;"D")</f>
        <v>55829</v>
      </c>
      <c r="Z2397" s="156">
        <v>2.76011194706971E-2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55836</v>
      </c>
      <c r="Y2398" s="155">
        <f>_xll.qlCalendarAdvance(Calendar,X2398,NDays&amp;"D")</f>
        <v>55836</v>
      </c>
      <c r="Z2398" s="156">
        <v>2.7593530066871708E-2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55843</v>
      </c>
      <c r="Y2399" s="155">
        <f>_xll.qlCalendarAdvance(Calendar,X2399,NDays&amp;"D")</f>
        <v>55843</v>
      </c>
      <c r="Z2399" s="156">
        <v>2.7585911029390786E-2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55850</v>
      </c>
      <c r="Y2400" s="155">
        <f>_xll.qlCalendarAdvance(Calendar,X2400,NDays&amp;"D")</f>
        <v>55850</v>
      </c>
      <c r="Z2400" s="156">
        <v>2.7578771107257261E-2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55857</v>
      </c>
      <c r="Y2401" s="155">
        <f>_xll.qlCalendarAdvance(Calendar,X2401,NDays&amp;"D")</f>
        <v>55857</v>
      </c>
      <c r="Z2401" s="156">
        <v>2.7570584053462355E-2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55864</v>
      </c>
      <c r="Y2402" s="155">
        <f>_xll.qlCalendarAdvance(Calendar,X2402,NDays&amp;"D")</f>
        <v>55864</v>
      </c>
      <c r="Z2402" s="156">
        <v>2.7562876115174717E-2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55871</v>
      </c>
      <c r="Y2403" s="155">
        <f>_xll.qlCalendarAdvance(Calendar,X2403,NDays&amp;"D")</f>
        <v>55871</v>
      </c>
      <c r="Z2403" s="156">
        <v>2.755513854323155E-2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55879</v>
      </c>
      <c r="Y2404" s="155">
        <f>_xll.qlCalendarAdvance(Calendar,X2404,NDays&amp;"D")</f>
        <v>55879</v>
      </c>
      <c r="Z2404" s="156">
        <v>2.7546259317876576E-2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55886</v>
      </c>
      <c r="Y2405" s="155">
        <f>_xll.qlCalendarAdvance(Calendar,X2405,NDays&amp;"D")</f>
        <v>55886</v>
      </c>
      <c r="Z2405" s="156">
        <v>2.753845824520873E-2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55893</v>
      </c>
      <c r="Y2406" s="155">
        <f>_xll.qlCalendarAdvance(Calendar,X2406,NDays&amp;"D")</f>
        <v>55893</v>
      </c>
      <c r="Z2406" s="156">
        <v>2.7530627538965291E-2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55900</v>
      </c>
      <c r="Y2407" s="155">
        <f>_xll.qlCalendarAdvance(Calendar,X2407,NDays&amp;"D")</f>
        <v>55900</v>
      </c>
      <c r="Z2407" s="156">
        <v>2.7522767199146259E-2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55907</v>
      </c>
      <c r="Y2408" s="155">
        <f>_xll.qlCalendarAdvance(Calendar,X2408,NDays&amp;"D")</f>
        <v>55907</v>
      </c>
      <c r="Z2408" s="156">
        <v>2.7514877225831569E-2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55914</v>
      </c>
      <c r="Y2409" s="155">
        <f>_xll.qlCalendarAdvance(Calendar,X2409,NDays&amp;"D")</f>
        <v>55914</v>
      </c>
      <c r="Z2409" s="156">
        <v>2.7506957618541605E-2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55921</v>
      </c>
      <c r="Y2410" s="155">
        <f>_xll.qlCalendarAdvance(Calendar,X2410,NDays&amp;"D")</f>
        <v>55921</v>
      </c>
      <c r="Z2410" s="156">
        <v>2.7499008378075729E-2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55928</v>
      </c>
      <c r="Y2411" s="155">
        <f>_xll.qlCalendarAdvance(Calendar,X2411,NDays&amp;"D")</f>
        <v>55928</v>
      </c>
      <c r="Z2411" s="156">
        <v>2.7491029503794451E-2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55935</v>
      </c>
      <c r="Y2412" s="155">
        <f>_xll.qlCalendarAdvance(Calendar,X2412,NDays&amp;"D")</f>
        <v>55935</v>
      </c>
      <c r="Z2412" s="156">
        <v>2.7483020995857643E-2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55942</v>
      </c>
      <c r="Y2413" s="155">
        <f>_xll.qlCalendarAdvance(Calendar,X2413,NDays&amp;"D")</f>
        <v>55942</v>
      </c>
      <c r="Z2413" s="156">
        <v>2.7474982854345242E-2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55949</v>
      </c>
      <c r="Y2414" s="155">
        <f>_xll.qlCalendarAdvance(Calendar,X2414,NDays&amp;"D")</f>
        <v>55949</v>
      </c>
      <c r="Z2414" s="156">
        <v>2.746691507941712E-2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55956</v>
      </c>
      <c r="Y2415" s="155">
        <f>_xll.qlCalendarAdvance(Calendar,X2415,NDays&amp;"D")</f>
        <v>55956</v>
      </c>
      <c r="Z2415" s="156">
        <v>2.7458817670673596E-2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55963</v>
      </c>
      <c r="Y2416" s="155">
        <f>_xll.qlCalendarAdvance(Calendar,X2416,NDays&amp;"D")</f>
        <v>55963</v>
      </c>
      <c r="Z2416" s="156">
        <v>2.7450690628354479E-2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55970</v>
      </c>
      <c r="Y2417" s="155">
        <f>_xll.qlCalendarAdvance(Calendar,X2417,NDays&amp;"D")</f>
        <v>55970</v>
      </c>
      <c r="Z2417" s="156">
        <v>2.7442533952619641E-2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55977</v>
      </c>
      <c r="Y2418" s="155">
        <f>_xll.qlCalendarAdvance(Calendar,X2418,NDays&amp;"D")</f>
        <v>55977</v>
      </c>
      <c r="Z2418" s="156">
        <v>2.7434347642989465E-2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55984</v>
      </c>
      <c r="Y2419" s="155">
        <f>_xll.qlCalendarAdvance(Calendar,X2419,NDays&amp;"D")</f>
        <v>55984</v>
      </c>
      <c r="Z2419" s="156">
        <v>2.7426131699943568E-2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55991</v>
      </c>
      <c r="Y2420" s="155">
        <f>_xll.qlCalendarAdvance(Calendar,X2420,NDays&amp;"D")</f>
        <v>55991</v>
      </c>
      <c r="Z2420" s="156">
        <v>2.7417886123242141E-2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55998</v>
      </c>
      <c r="Y2421" s="155">
        <f>_xll.qlCalendarAdvance(Calendar,X2421,NDays&amp;"D")</f>
        <v>55998</v>
      </c>
      <c r="Z2421" s="156">
        <v>2.7409610913124993E-2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56005</v>
      </c>
      <c r="Y2422" s="155">
        <f>_xll.qlCalendarAdvance(Calendar,X2422,NDays&amp;"D")</f>
        <v>56005</v>
      </c>
      <c r="Z2422" s="156">
        <v>2.740130606927238E-2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56012</v>
      </c>
      <c r="Y2423" s="155">
        <f>_xll.qlCalendarAdvance(Calendar,X2423,NDays&amp;"D")</f>
        <v>56012</v>
      </c>
      <c r="Z2423" s="156">
        <v>2.7392971591844173E-2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56019</v>
      </c>
      <c r="Y2424" s="155">
        <f>_xll.qlCalendarAdvance(Calendar,X2424,NDays&amp;"D")</f>
        <v>56019</v>
      </c>
      <c r="Z2424" s="156">
        <v>2.7384607480840373E-2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56026</v>
      </c>
      <c r="Y2425" s="155">
        <f>_xll.qlCalendarAdvance(Calendar,X2425,NDays&amp;"D")</f>
        <v>56026</v>
      </c>
      <c r="Z2425" s="156">
        <v>2.7376213736420851E-2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56033</v>
      </c>
      <c r="Y2426" s="155">
        <f>_xll.qlCalendarAdvance(Calendar,X2426,NDays&amp;"D")</f>
        <v>56033</v>
      </c>
      <c r="Z2426" s="156">
        <v>2.7367790358265864E-2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56040</v>
      </c>
      <c r="Y2427" s="155">
        <f>_xll.qlCalendarAdvance(Calendar,X2427,NDays&amp;"D")</f>
        <v>56040</v>
      </c>
      <c r="Z2427" s="156">
        <v>2.7359337346375412E-2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56047</v>
      </c>
      <c r="Y2428" s="155">
        <f>_xll.qlCalendarAdvance(Calendar,X2428,NDays&amp;"D")</f>
        <v>56047</v>
      </c>
      <c r="Z2428" s="156">
        <v>2.7350854701149174E-2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56054</v>
      </c>
      <c r="Y2429" s="155">
        <f>_xll.qlCalendarAdvance(Calendar,X2429,NDays&amp;"D")</f>
        <v>56054</v>
      </c>
      <c r="Z2429" s="156">
        <v>2.7342342422267407E-2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56061</v>
      </c>
      <c r="Y2430" s="155">
        <f>_xll.qlCalendarAdvance(Calendar,X2430,NDays&amp;"D")</f>
        <v>56061</v>
      </c>
      <c r="Z2430" s="156">
        <v>2.7333800509730111E-2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56068</v>
      </c>
      <c r="Y2431" s="155">
        <f>_xll.qlCalendarAdvance(Calendar,X2431,NDays&amp;"D")</f>
        <v>56068</v>
      </c>
      <c r="Z2431" s="156">
        <v>2.7326498826012457E-2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56075</v>
      </c>
      <c r="Y2432" s="155">
        <f>_xll.qlCalendarAdvance(Calendar,X2432,NDays&amp;"D")</f>
        <v>56075</v>
      </c>
      <c r="Z2432" s="156">
        <v>2.7316627784248482E-2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56082</v>
      </c>
      <c r="Y2433" s="155">
        <f>_xll.qlCalendarAdvance(Calendar,X2433,NDays&amp;"D")</f>
        <v>56082</v>
      </c>
      <c r="Z2433" s="156">
        <v>2.7307996971064341E-2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56089</v>
      </c>
      <c r="Y2434" s="155">
        <f>_xll.qlCalendarAdvance(Calendar,X2434,NDays&amp;"D")</f>
        <v>56089</v>
      </c>
      <c r="Z2434" s="156">
        <v>2.7299336524304607E-2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56096</v>
      </c>
      <c r="Y2435" s="155">
        <f>_xll.qlCalendarAdvance(Calendar,X2435,NDays&amp;"D")</f>
        <v>56096</v>
      </c>
      <c r="Z2435" s="156">
        <v>2.7290646444129152E-2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56103</v>
      </c>
      <c r="Y2436" s="155">
        <f>_xll.qlCalendarAdvance(Calendar,X2436,NDays&amp;"D")</f>
        <v>56103</v>
      </c>
      <c r="Z2436" s="156">
        <v>2.7281926730298167E-2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56110</v>
      </c>
      <c r="Y2437" s="155">
        <f>_xll.qlCalendarAdvance(Calendar,X2437,NDays&amp;"D")</f>
        <v>56110</v>
      </c>
      <c r="Z2437" s="156">
        <v>2.7273177382971525E-2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56117</v>
      </c>
      <c r="Y2438" s="155">
        <f>_xll.qlCalendarAdvance(Calendar,X2438,NDays&amp;"D")</f>
        <v>56117</v>
      </c>
      <c r="Z2438" s="156">
        <v>2.7264398401909418E-2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56124</v>
      </c>
      <c r="Y2439" s="155">
        <f>_xll.qlCalendarAdvance(Calendar,X2439,NDays&amp;"D")</f>
        <v>56124</v>
      </c>
      <c r="Z2439" s="156">
        <v>2.7255589787591461E-2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56131</v>
      </c>
      <c r="Y2440" s="155">
        <f>_xll.qlCalendarAdvance(Calendar,X2440,NDays&amp;"D")</f>
        <v>56131</v>
      </c>
      <c r="Z2440" s="156">
        <v>2.7246751539617975E-2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56138</v>
      </c>
      <c r="Y2441" s="155">
        <f>_xll.qlCalendarAdvance(Calendar,X2441,NDays&amp;"D")</f>
        <v>56138</v>
      </c>
      <c r="Z2441" s="156">
        <v>2.7237883657909023E-2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56145</v>
      </c>
      <c r="Y2442" s="155">
        <f>_xll.qlCalendarAdvance(Calendar,X2442,NDays&amp;"D")</f>
        <v>56145</v>
      </c>
      <c r="Z2442" s="156">
        <v>2.7228986142864287E-2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56152</v>
      </c>
      <c r="Y2443" s="155">
        <f>_xll.qlCalendarAdvance(Calendar,X2443,NDays&amp;"D")</f>
        <v>56152</v>
      </c>
      <c r="Z2443" s="156">
        <v>2.7220058994323892E-2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56159</v>
      </c>
      <c r="Y2444" s="155">
        <f>_xll.qlCalendarAdvance(Calendar,X2444,NDays&amp;"D")</f>
        <v>56159</v>
      </c>
      <c r="Z2444" s="156">
        <v>2.7211102212127969E-2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56166</v>
      </c>
      <c r="Y2445" s="155">
        <f>_xll.qlCalendarAdvance(Calendar,X2445,NDays&amp;"D")</f>
        <v>56166</v>
      </c>
      <c r="Z2445" s="156">
        <v>2.720211579619658E-2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56173</v>
      </c>
      <c r="Y2446" s="155">
        <f>_xll.qlCalendarAdvance(Calendar,X2446,NDays&amp;"D")</f>
        <v>56173</v>
      </c>
      <c r="Z2446" s="156">
        <v>2.7193099747089278E-2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56180</v>
      </c>
      <c r="Y2447" s="155">
        <f>_xll.qlCalendarAdvance(Calendar,X2447,NDays&amp;"D")</f>
        <v>56180</v>
      </c>
      <c r="Z2447" s="156">
        <v>2.718405406424651E-2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56187</v>
      </c>
      <c r="Y2448" s="155">
        <f>_xll.qlCalendarAdvance(Calendar,X2448,NDays&amp;"D")</f>
        <v>56187</v>
      </c>
      <c r="Z2448" s="156">
        <v>2.7174978747988021E-2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56194</v>
      </c>
      <c r="Y2449" s="155">
        <f>_xll.qlCalendarAdvance(Calendar,X2449,NDays&amp;"D")</f>
        <v>56194</v>
      </c>
      <c r="Z2449" s="156">
        <v>2.7165873798153939E-2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56201</v>
      </c>
      <c r="Y2450" s="155">
        <f>_xll.qlCalendarAdvance(Calendar,X2450,NDays&amp;"D")</f>
        <v>56201</v>
      </c>
      <c r="Z2450" s="156">
        <v>2.7156739214744263E-2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56208</v>
      </c>
      <c r="Y2451" s="155">
        <f>_xll.qlCalendarAdvance(Calendar,X2451,NDays&amp;"D")</f>
        <v>56208</v>
      </c>
      <c r="Z2451" s="156">
        <v>2.7147574997758994E-2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56216</v>
      </c>
      <c r="Y2452" s="155">
        <f>_xll.qlCalendarAdvance(Calendar,X2452,NDays&amp;"D")</f>
        <v>56216</v>
      </c>
      <c r="Z2452" s="156">
        <v>2.7137794153384576E-2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56223</v>
      </c>
      <c r="Y2453" s="155">
        <f>_xll.qlCalendarAdvance(Calendar,X2453,NDays&amp;"D")</f>
        <v>56223</v>
      </c>
      <c r="Z2453" s="156">
        <v>2.712856081116044E-2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56230</v>
      </c>
      <c r="Y2454" s="155">
        <f>_xll.qlCalendarAdvance(Calendar,X2454,NDays&amp;"D")</f>
        <v>56230</v>
      </c>
      <c r="Z2454" s="156">
        <v>2.7119297831390554E-2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56237</v>
      </c>
      <c r="Y2455" s="155">
        <f>_xll.qlCalendarAdvance(Calendar,X2455,NDays&amp;"D")</f>
        <v>56237</v>
      </c>
      <c r="Z2455" s="156">
        <v>2.7110005214181498E-2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56244</v>
      </c>
      <c r="Y2456" s="155">
        <f>_xll.qlCalendarAdvance(Calendar,X2456,NDays&amp;"D")</f>
        <v>56244</v>
      </c>
      <c r="Z2456" s="156">
        <v>2.7100682959426692E-2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56251</v>
      </c>
      <c r="Y2457" s="155">
        <f>_xll.qlCalendarAdvance(Calendar,X2457,NDays&amp;"D")</f>
        <v>56251</v>
      </c>
      <c r="Z2457" s="156">
        <v>2.7091331067179425E-2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56258</v>
      </c>
      <c r="Y2458" s="155">
        <f>_xll.qlCalendarAdvance(Calendar,X2458,NDays&amp;"D")</f>
        <v>56258</v>
      </c>
      <c r="Z2458" s="156">
        <v>2.7081949537519634E-2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56265</v>
      </c>
      <c r="Y2459" s="155">
        <f>_xll.qlCalendarAdvance(Calendar,X2459,NDays&amp;"D")</f>
        <v>56265</v>
      </c>
      <c r="Z2459" s="156">
        <v>2.7072882679608501E-2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56272</v>
      </c>
      <c r="Y2460" s="155">
        <f>_xll.qlCalendarAdvance(Calendar,X2460,NDays&amp;"D")</f>
        <v>56272</v>
      </c>
      <c r="Z2460" s="156">
        <v>2.7063097565669381E-2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56279</v>
      </c>
      <c r="Y2461" s="155">
        <f>_xll.qlCalendarAdvance(Calendar,X2461,NDays&amp;"D")</f>
        <v>56279</v>
      </c>
      <c r="Z2461" s="156">
        <v>2.705362712363879E-2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56286</v>
      </c>
      <c r="Y2462" s="155">
        <f>_xll.qlCalendarAdvance(Calendar,X2462,NDays&amp;"D")</f>
        <v>56286</v>
      </c>
      <c r="Z2462" s="156">
        <v>2.7044127044062449E-2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56293</v>
      </c>
      <c r="Y2463" s="155">
        <f>_xll.qlCalendarAdvance(Calendar,X2463,NDays&amp;"D")</f>
        <v>56293</v>
      </c>
      <c r="Z2463" s="156">
        <v>2.7034930316935935E-2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56300</v>
      </c>
      <c r="Y2464" s="155">
        <f>_xll.qlCalendarAdvance(Calendar,X2464,NDays&amp;"D")</f>
        <v>56300</v>
      </c>
      <c r="Z2464" s="156">
        <v>2.7025037972618904E-2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56307</v>
      </c>
      <c r="Y2465" s="155">
        <f>_xll.qlCalendarAdvance(Calendar,X2465,NDays&amp;"D")</f>
        <v>56307</v>
      </c>
      <c r="Z2465" s="156">
        <v>2.701544898080499E-2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56314</v>
      </c>
      <c r="Y2466" s="155">
        <f>_xll.qlCalendarAdvance(Calendar,X2466,NDays&amp;"D")</f>
        <v>56314</v>
      </c>
      <c r="Z2466" s="156">
        <v>2.7005830351498616E-2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56321</v>
      </c>
      <c r="Y2467" s="155">
        <f>_xll.qlCalendarAdvance(Calendar,X2467,NDays&amp;"D")</f>
        <v>56321</v>
      </c>
      <c r="Z2467" s="156">
        <v>2.6996182084806364E-2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56328</v>
      </c>
      <c r="Y2468" s="155">
        <f>_xll.qlCalendarAdvance(Calendar,X2468,NDays&amp;"D")</f>
        <v>56328</v>
      </c>
      <c r="Z2468" s="156">
        <v>2.6986504180674942E-2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56335</v>
      </c>
      <c r="Y2469" s="155">
        <f>_xll.qlCalendarAdvance(Calendar,X2469,NDays&amp;"D")</f>
        <v>56335</v>
      </c>
      <c r="Z2469" s="156">
        <v>2.6976796639157641E-2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56342</v>
      </c>
      <c r="Y2470" s="155">
        <f>_xll.qlCalendarAdvance(Calendar,X2470,NDays&amp;"D")</f>
        <v>56342</v>
      </c>
      <c r="Z2470" s="156">
        <v>2.6967059460254461E-2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56349</v>
      </c>
      <c r="Y2471" s="155">
        <f>_xll.qlCalendarAdvance(Calendar,X2471,NDays&amp;"D")</f>
        <v>56349</v>
      </c>
      <c r="Z2471" s="156">
        <v>2.6957292643965403E-2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56356</v>
      </c>
      <c r="Y2472" s="155">
        <f>_xll.qlCalendarAdvance(Calendar,X2472,NDays&amp;"D")</f>
        <v>56356</v>
      </c>
      <c r="Z2472" s="156">
        <v>2.6947496190290465E-2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56363</v>
      </c>
      <c r="Y2473" s="155">
        <f>_xll.qlCalendarAdvance(Calendar,X2473,NDays&amp;"D")</f>
        <v>56363</v>
      </c>
      <c r="Z2473" s="156">
        <v>2.6937670099256295E-2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56370</v>
      </c>
      <c r="Y2474" s="155">
        <f>_xll.qlCalendarAdvance(Calendar,X2474,NDays&amp;"D")</f>
        <v>56370</v>
      </c>
      <c r="Z2474" s="156">
        <v>2.6927814370836245E-2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56377</v>
      </c>
      <c r="Y2475" s="155">
        <f>_xll.qlCalendarAdvance(Calendar,X2475,NDays&amp;"D")</f>
        <v>56377</v>
      </c>
      <c r="Z2475" s="156">
        <v>2.6917929005030317E-2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56384</v>
      </c>
      <c r="Y2476" s="155">
        <f>_xll.qlCalendarAdvance(Calendar,X2476,NDays&amp;"D")</f>
        <v>56384</v>
      </c>
      <c r="Z2476" s="156">
        <v>2.6908014001945091E-2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56391</v>
      </c>
      <c r="Y2477" s="155">
        <f>_xll.qlCalendarAdvance(Calendar,X2477,NDays&amp;"D")</f>
        <v>56391</v>
      </c>
      <c r="Z2477" s="156">
        <v>2.6898362485912042E-2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56398</v>
      </c>
      <c r="Y2478" s="155">
        <f>_xll.qlCalendarAdvance(Calendar,X2478,NDays&amp;"D")</f>
        <v>56398</v>
      </c>
      <c r="Z2478" s="156">
        <v>2.6888095083696939E-2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56405</v>
      </c>
      <c r="Y2479" s="155">
        <f>_xll.qlCalendarAdvance(Calendar,X2479,NDays&amp;"D")</f>
        <v>56405</v>
      </c>
      <c r="Z2479" s="156">
        <v>2.6878091168560658E-2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56412</v>
      </c>
      <c r="Y2480" s="155">
        <f>_xll.qlCalendarAdvance(Calendar,X2480,NDays&amp;"D")</f>
        <v>56412</v>
      </c>
      <c r="Z2480" s="156">
        <v>2.6868057616091789E-2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56419</v>
      </c>
      <c r="Y2481" s="155">
        <f>_xll.qlCalendarAdvance(Calendar,X2481,NDays&amp;"D")</f>
        <v>56419</v>
      </c>
      <c r="Z2481" s="156">
        <v>2.6857994426316978E-2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56426</v>
      </c>
      <c r="Y2482" s="155">
        <f>_xll.qlCalendarAdvance(Calendar,X2482,NDays&amp;"D")</f>
        <v>56426</v>
      </c>
      <c r="Z2482" s="156">
        <v>2.6847901599209578E-2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56436</v>
      </c>
      <c r="Y2483" s="155">
        <f>_xll.qlCalendarAdvance(Calendar,X2483,NDays&amp;"D")</f>
        <v>56436</v>
      </c>
      <c r="Z2483" s="156">
        <v>2.6832881700658007E-2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56443</v>
      </c>
      <c r="Y2484" s="155">
        <f>_xll.qlCalendarAdvance(Calendar,X2484,NDays&amp;"D")</f>
        <v>56443</v>
      </c>
      <c r="Z2484" s="156">
        <v>2.6822722645540864E-2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56450</v>
      </c>
      <c r="Y2485" s="155">
        <f>_xll.qlCalendarAdvance(Calendar,X2485,NDays&amp;"D")</f>
        <v>56450</v>
      </c>
      <c r="Z2485" s="156">
        <v>2.6812533956688256E-2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56457</v>
      </c>
      <c r="Y2486" s="155">
        <f>_xll.qlCalendarAdvance(Calendar,X2486,NDays&amp;"D")</f>
        <v>56457</v>
      </c>
      <c r="Z2486" s="156">
        <v>2.6802315634659735E-2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56464</v>
      </c>
      <c r="Y2487" s="155">
        <f>_xll.qlCalendarAdvance(Calendar,X2487,NDays&amp;"D")</f>
        <v>56464</v>
      </c>
      <c r="Z2487" s="156">
        <v>2.6792067678975684E-2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56471</v>
      </c>
      <c r="Y2488" s="155">
        <f>_xll.qlCalendarAdvance(Calendar,X2488,NDays&amp;"D")</f>
        <v>56471</v>
      </c>
      <c r="Z2488" s="156">
        <v>2.6781790090035784E-2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56478</v>
      </c>
      <c r="Y2489" s="155">
        <f>_xll.qlCalendarAdvance(Calendar,X2489,NDays&amp;"D")</f>
        <v>56478</v>
      </c>
      <c r="Z2489" s="156">
        <v>2.6771482867600227E-2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56485</v>
      </c>
      <c r="Y2490" s="155">
        <f>_xll.qlCalendarAdvance(Calendar,X2490,NDays&amp;"D")</f>
        <v>56485</v>
      </c>
      <c r="Z2490" s="156">
        <v>2.6761146011669013E-2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56492</v>
      </c>
      <c r="Y2491" s="155">
        <f>_xll.qlCalendarAdvance(Calendar,X2491,NDays&amp;"D")</f>
        <v>56492</v>
      </c>
      <c r="Z2491" s="156">
        <v>2.6750779522322077E-2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56500</v>
      </c>
      <c r="Y2492" s="155">
        <f>_xll.qlCalendarAdvance(Calendar,X2492,NDays&amp;"D")</f>
        <v>56500</v>
      </c>
      <c r="Z2492" s="156">
        <v>2.6738895820059838E-2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56507</v>
      </c>
      <c r="Y2493" s="155">
        <f>_xll.qlCalendarAdvance(Calendar,X2493,NDays&amp;"D")</f>
        <v>56507</v>
      </c>
      <c r="Z2493" s="156">
        <v>2.6728465830707648E-2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56514</v>
      </c>
      <c r="Y2494" s="155">
        <f>_xll.qlCalendarAdvance(Calendar,X2494,NDays&amp;"D")</f>
        <v>56514</v>
      </c>
      <c r="Z2494" s="156">
        <v>2.6718006207779865E-2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56521</v>
      </c>
      <c r="Y2495" s="155">
        <f>_xll.qlCalendarAdvance(Calendar,X2495,NDays&amp;"D")</f>
        <v>56521</v>
      </c>
      <c r="Z2495" s="156">
        <v>2.6707516951436361E-2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56528</v>
      </c>
      <c r="Y2496" s="155">
        <f>_xll.qlCalendarAdvance(Calendar,X2496,NDays&amp;"D")</f>
        <v>56528</v>
      </c>
      <c r="Z2496" s="156">
        <v>2.6696998061677135E-2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56535</v>
      </c>
      <c r="Y2497" s="155">
        <f>_xll.qlCalendarAdvance(Calendar,X2497,NDays&amp;"D")</f>
        <v>56535</v>
      </c>
      <c r="Z2497" s="156">
        <v>2.668644953866206E-2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56542</v>
      </c>
      <c r="Y2498" s="155">
        <f>_xll.qlCalendarAdvance(Calendar,X2498,NDays&amp;"D")</f>
        <v>56542</v>
      </c>
      <c r="Z2498" s="156">
        <v>2.6675871382071392E-2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56549</v>
      </c>
      <c r="Y2499" s="155">
        <f>_xll.qlCalendarAdvance(Calendar,X2499,NDays&amp;"D")</f>
        <v>56549</v>
      </c>
      <c r="Z2499" s="156">
        <v>2.6665263591985067E-2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56556</v>
      </c>
      <c r="Y2500" s="155">
        <f>_xll.qlCalendarAdvance(Calendar,X2500,NDays&amp;"D")</f>
        <v>56556</v>
      </c>
      <c r="Z2500" s="156">
        <v>2.6654626168802764E-2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56563</v>
      </c>
      <c r="Y2501" s="155">
        <f>_xll.qlCalendarAdvance(Calendar,X2501,NDays&amp;"D")</f>
        <v>56563</v>
      </c>
      <c r="Z2501" s="156">
        <v>2.6644217903672995E-2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56570</v>
      </c>
      <c r="Y2502" s="155">
        <f>_xll.qlCalendarAdvance(Calendar,X2502,NDays&amp;"D")</f>
        <v>56570</v>
      </c>
      <c r="Z2502" s="156">
        <v>2.663339553027555E-2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56577</v>
      </c>
      <c r="Y2503" s="155">
        <f>_xll.qlCalendarAdvance(Calendar,X2503,NDays&amp;"D")</f>
        <v>56577</v>
      </c>
      <c r="Z2503" s="156">
        <v>2.6622842953303305E-2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56584</v>
      </c>
      <c r="Y2504" s="155">
        <f>_xll.qlCalendarAdvance(Calendar,X2504,NDays&amp;"D")</f>
        <v>56584</v>
      </c>
      <c r="Z2504" s="156">
        <v>2.6612332285926854E-2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56591</v>
      </c>
      <c r="Y2505" s="155">
        <f>_xll.qlCalendarAdvance(Calendar,X2505,NDays&amp;"D")</f>
        <v>56591</v>
      </c>
      <c r="Z2505" s="156">
        <v>2.6601863527906389E-2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56598</v>
      </c>
      <c r="Y2506" s="155">
        <f>_xll.qlCalendarAdvance(Calendar,X2506,NDays&amp;"D")</f>
        <v>56598</v>
      </c>
      <c r="Z2506" s="156">
        <v>2.6591436679082037E-2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56605</v>
      </c>
      <c r="Y2507" s="155">
        <f>_xll.qlCalendarAdvance(Calendar,X2507,NDays&amp;"D")</f>
        <v>56605</v>
      </c>
      <c r="Z2507" s="156">
        <v>2.6581051739693606E-2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56612</v>
      </c>
      <c r="Y2508" s="155">
        <f>_xll.qlCalendarAdvance(Calendar,X2508,NDays&amp;"D")</f>
        <v>56612</v>
      </c>
      <c r="Z2508" s="156">
        <v>2.6570708709741098E-2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56619</v>
      </c>
      <c r="Y2509" s="155">
        <f>_xll.qlCalendarAdvance(Calendar,X2509,NDays&amp;"D")</f>
        <v>56619</v>
      </c>
      <c r="Z2509" s="156">
        <v>2.6560407588984702E-2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56626</v>
      </c>
      <c r="Y2510" s="155">
        <f>_xll.qlCalendarAdvance(Calendar,X2510,NDays&amp;"D")</f>
        <v>56626</v>
      </c>
      <c r="Z2510" s="156">
        <v>2.6550148377664229E-2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56633</v>
      </c>
      <c r="Y2511" s="155">
        <f>_xll.qlCalendarAdvance(Calendar,X2511,NDays&amp;"D")</f>
        <v>56633</v>
      </c>
      <c r="Z2511" s="156">
        <v>2.6539931075699741E-2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56640</v>
      </c>
      <c r="Y2512" s="155">
        <f>_xll.qlCalendarAdvance(Calendar,X2512,NDays&amp;"D")</f>
        <v>56640</v>
      </c>
      <c r="Z2512" s="156">
        <v>2.6529755682931366E-2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56647</v>
      </c>
      <c r="Y2513" s="155">
        <f>_xll.qlCalendarAdvance(Calendar,X2513,NDays&amp;"D")</f>
        <v>56647</v>
      </c>
      <c r="Z2513" s="156">
        <v>2.6519622199598913E-2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56654</v>
      </c>
      <c r="Y2514" s="155">
        <f>_xll.qlCalendarAdvance(Calendar,X2514,NDays&amp;"D")</f>
        <v>56654</v>
      </c>
      <c r="Z2514" s="156">
        <v>2.6509530625622446E-2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56661</v>
      </c>
      <c r="Y2515" s="155">
        <f>_xll.qlCalendarAdvance(Calendar,X2515,NDays&amp;"D")</f>
        <v>56661</v>
      </c>
      <c r="Z2515" s="156">
        <v>2.64994809610819E-2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56668</v>
      </c>
      <c r="Y2516" s="155">
        <f>_xll.qlCalendarAdvance(Calendar,X2516,NDays&amp;"D")</f>
        <v>56668</v>
      </c>
      <c r="Z2516" s="156">
        <v>2.6489473205737468E-2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56675</v>
      </c>
      <c r="Y2517" s="155">
        <f>_xll.qlCalendarAdvance(Calendar,X2517,NDays&amp;"D")</f>
        <v>56675</v>
      </c>
      <c r="Z2517" s="156">
        <v>2.6479507359669086E-2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56682</v>
      </c>
      <c r="Y2518" s="155">
        <f>_xll.qlCalendarAdvance(Calendar,X2518,NDays&amp;"D")</f>
        <v>56682</v>
      </c>
      <c r="Z2518" s="156">
        <v>2.6469583422956688E-2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56689</v>
      </c>
      <c r="Y2519" s="155">
        <f>_xll.qlCalendarAdvance(Calendar,X2519,NDays&amp;"D")</f>
        <v>56689</v>
      </c>
      <c r="Z2519" s="156">
        <v>2.6459701395600277E-2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56696</v>
      </c>
      <c r="Y2520" s="155">
        <f>_xll.qlCalendarAdvance(Calendar,X2520,NDays&amp;"D")</f>
        <v>56696</v>
      </c>
      <c r="Z2520" s="156">
        <v>2.6449861277439979E-2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56703</v>
      </c>
      <c r="Y2521" s="155">
        <f>_xll.qlCalendarAdvance(Calendar,X2521,NDays&amp;"D")</f>
        <v>56703</v>
      </c>
      <c r="Z2521" s="156">
        <v>2.6440063068635666E-2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56710</v>
      </c>
      <c r="Y2522" s="155">
        <f>_xll.qlCalendarAdvance(Calendar,X2522,NDays&amp;"D")</f>
        <v>56710</v>
      </c>
      <c r="Z2522" s="156">
        <v>2.6430306769187339E-2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56717</v>
      </c>
      <c r="Y2523" s="155">
        <f>_xll.qlCalendarAdvance(Calendar,X2523,NDays&amp;"D")</f>
        <v>56717</v>
      </c>
      <c r="Z2523" s="156">
        <v>2.6420592379015062E-2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56724</v>
      </c>
      <c r="Y2524" s="155">
        <f>_xll.qlCalendarAdvance(Calendar,X2524,NDays&amp;"D")</f>
        <v>56724</v>
      </c>
      <c r="Z2524" s="156">
        <v>2.6410919898038898E-2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56731</v>
      </c>
      <c r="Y2525" s="155">
        <f>_xll.qlCalendarAdvance(Calendar,X2525,NDays&amp;"D")</f>
        <v>56731</v>
      </c>
      <c r="Z2525" s="156">
        <v>2.6401289326498656E-2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56738</v>
      </c>
      <c r="Y2526" s="155">
        <f>_xll.qlCalendarAdvance(Calendar,X2526,NDays&amp;"D")</f>
        <v>56738</v>
      </c>
      <c r="Z2526" s="156">
        <v>2.6391700664234463E-2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56745</v>
      </c>
      <c r="Y2527" s="155">
        <f>_xll.qlCalendarAdvance(Calendar,X2527,NDays&amp;"D")</f>
        <v>56745</v>
      </c>
      <c r="Z2527" s="156">
        <v>2.638215391124632E-2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56752</v>
      </c>
      <c r="Y2528" s="155">
        <f>_xll.qlCalendarAdvance(Calendar,X2528,NDays&amp;"D")</f>
        <v>56752</v>
      </c>
      <c r="Z2528" s="156">
        <v>2.637264906745429E-2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56759</v>
      </c>
      <c r="Y2529" s="155">
        <f>_xll.qlCalendarAdvance(Calendar,X2529,NDays&amp;"D")</f>
        <v>56759</v>
      </c>
      <c r="Z2529" s="156">
        <v>2.6363186133098182E-2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56766</v>
      </c>
      <c r="Y2530" s="155">
        <f>_xll.qlCalendarAdvance(Calendar,X2530,NDays&amp;"D")</f>
        <v>56766</v>
      </c>
      <c r="Z2530" s="156">
        <v>2.6353765107858251E-2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56773</v>
      </c>
      <c r="Y2531" s="155">
        <f>_xll.qlCalendarAdvance(Calendar,X2531,NDays&amp;"D")</f>
        <v>56773</v>
      </c>
      <c r="Z2531" s="156">
        <v>2.634438599189437E-2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56780</v>
      </c>
      <c r="Y2532" s="155">
        <f>_xll.qlCalendarAdvance(Calendar,X2532,NDays&amp;"D")</f>
        <v>56780</v>
      </c>
      <c r="Z2532" s="156">
        <v>2.6335048785286475E-2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56787</v>
      </c>
      <c r="Y2533" s="155">
        <f>_xll.qlCalendarAdvance(Calendar,X2533,NDays&amp;"D")</f>
        <v>56787</v>
      </c>
      <c r="Z2533" s="156">
        <v>2.6325753488034564E-2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56794</v>
      </c>
      <c r="Y2534" s="155">
        <f>_xll.qlCalendarAdvance(Calendar,X2534,NDays&amp;"D")</f>
        <v>56794</v>
      </c>
      <c r="Z2534" s="156">
        <v>2.6316500099898832E-2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56801</v>
      </c>
      <c r="Y2535" s="155">
        <f>_xll.qlCalendarAdvance(Calendar,X2535,NDays&amp;"D")</f>
        <v>56801</v>
      </c>
      <c r="Z2535" s="156">
        <v>2.6307288621039149E-2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56808</v>
      </c>
      <c r="Y2536" s="155">
        <f>_xll.qlCalendarAdvance(Calendar,X2536,NDays&amp;"D")</f>
        <v>56808</v>
      </c>
      <c r="Z2536" s="156">
        <v>2.6298119051375579E-2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56815</v>
      </c>
      <c r="Y2537" s="155">
        <f>_xll.qlCalendarAdvance(Calendar,X2537,NDays&amp;"D")</f>
        <v>56815</v>
      </c>
      <c r="Z2537" s="156">
        <v>2.6288991391067995E-2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56822</v>
      </c>
      <c r="Y2538" s="155">
        <f>_xll.qlCalendarAdvance(Calendar,X2538,NDays&amp;"D")</f>
        <v>56822</v>
      </c>
      <c r="Z2538" s="156">
        <v>2.6279905640036461E-2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56829</v>
      </c>
      <c r="Y2539" s="155">
        <f>_xll.qlCalendarAdvance(Calendar,X2539,NDays&amp;"D")</f>
        <v>56829</v>
      </c>
      <c r="Z2539" s="156">
        <v>2.6270861798121103E-2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56836</v>
      </c>
      <c r="Y2540" s="155">
        <f>_xll.qlCalendarAdvance(Calendar,X2540,NDays&amp;"D")</f>
        <v>56836</v>
      </c>
      <c r="Z2540" s="156">
        <v>2.6261859865561732E-2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56843</v>
      </c>
      <c r="Y2541" s="155">
        <f>_xll.qlCalendarAdvance(Calendar,X2541,NDays&amp;"D")</f>
        <v>56843</v>
      </c>
      <c r="Z2541" s="156">
        <v>2.625289984227841E-2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56850</v>
      </c>
      <c r="Y2542" s="155">
        <f>_xll.qlCalendarAdvance(Calendar,X2542,NDays&amp;"D")</f>
        <v>56850</v>
      </c>
      <c r="Z2542" s="156">
        <v>2.6243981728191201E-2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56857</v>
      </c>
      <c r="Y2543" s="155">
        <f>_xll.qlCalendarAdvance(Calendar,X2543,NDays&amp;"D")</f>
        <v>56857</v>
      </c>
      <c r="Z2543" s="156">
        <v>2.6235105523140234E-2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56864</v>
      </c>
      <c r="Y2544" s="155">
        <f>_xll.qlCalendarAdvance(Calendar,X2544,NDays&amp;"D")</f>
        <v>56864</v>
      </c>
      <c r="Z2544" s="156">
        <v>2.6226271227525189E-2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56871</v>
      </c>
      <c r="Y2545" s="155">
        <f>_xll.qlCalendarAdvance(Calendar,X2545,NDays&amp;"D")</f>
        <v>56871</v>
      </c>
      <c r="Z2545" s="156">
        <v>2.6217478841106256E-2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56878</v>
      </c>
      <c r="Y2546" s="155">
        <f>_xll.qlCalendarAdvance(Calendar,X2546,NDays&amp;"D")</f>
        <v>56878</v>
      </c>
      <c r="Z2546" s="156">
        <v>2.6208728363883438E-2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56885</v>
      </c>
      <c r="Y2547" s="155">
        <f>_xll.qlCalendarAdvance(Calendar,X2547,NDays&amp;"D")</f>
        <v>56885</v>
      </c>
      <c r="Z2547" s="156">
        <v>2.6200019796016605E-2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56892</v>
      </c>
      <c r="Y2548" s="155">
        <f>_xll.qlCalendarAdvance(Calendar,X2548,NDays&amp;"D")</f>
        <v>56892</v>
      </c>
      <c r="Z2548" s="156">
        <v>2.6191353137265949E-2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56899</v>
      </c>
      <c r="Y2549" s="155">
        <f>_xll.qlCalendarAdvance(Calendar,X2549,NDays&amp;"D")</f>
        <v>56899</v>
      </c>
      <c r="Z2549" s="156">
        <v>2.6182728387631471E-2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56906</v>
      </c>
      <c r="Y2550" s="155">
        <f>_xll.qlCalendarAdvance(Calendar,X2550,NDays&amp;"D")</f>
        <v>56906</v>
      </c>
      <c r="Z2550" s="156">
        <v>2.6174145547352978E-2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56913</v>
      </c>
      <c r="Y2551" s="155">
        <f>_xll.qlCalendarAdvance(Calendar,X2551,NDays&amp;"D")</f>
        <v>56913</v>
      </c>
      <c r="Z2551" s="156">
        <v>2.6165604616270599E-2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56920</v>
      </c>
      <c r="Y2552" s="155">
        <f>_xll.qlCalendarAdvance(Calendar,X2552,NDays&amp;"D")</f>
        <v>56920</v>
      </c>
      <c r="Z2552" s="156">
        <v>2.6157105594384333E-2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56927</v>
      </c>
      <c r="Y2553" s="155">
        <f>_xll.qlCalendarAdvance(Calendar,X2553,NDays&amp;"D")</f>
        <v>56927</v>
      </c>
      <c r="Z2553" s="156">
        <v>2.6148648481614245E-2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56934</v>
      </c>
      <c r="Y2554" s="155">
        <f>_xll.qlCalendarAdvance(Calendar,X2554,NDays&amp;"D")</f>
        <v>56934</v>
      </c>
      <c r="Z2554" s="156">
        <v>2.614023327804027E-2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56941</v>
      </c>
      <c r="Y2555" s="155">
        <f>_xll.qlCalendarAdvance(Calendar,X2555,NDays&amp;"D")</f>
        <v>56941</v>
      </c>
      <c r="Z2555" s="156">
        <v>2.6131859983742345E-2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56948</v>
      </c>
      <c r="Y2556" s="155">
        <f>_xll.qlCalendarAdvance(Calendar,X2556,NDays&amp;"D")</f>
        <v>56948</v>
      </c>
      <c r="Z2556" s="156">
        <v>2.6123528598640533E-2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56955</v>
      </c>
      <c r="Y2557" s="155">
        <f>_xll.qlCalendarAdvance(Calendar,X2557,NDays&amp;"D")</f>
        <v>56955</v>
      </c>
      <c r="Z2557" s="156">
        <v>2.6115239122734835E-2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56962</v>
      </c>
      <c r="Y2558" s="155">
        <f>_xll.qlCalendarAdvance(Calendar,X2558,NDays&amp;"D")</f>
        <v>56962</v>
      </c>
      <c r="Z2558" s="156">
        <v>2.610699155602525E-2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56969</v>
      </c>
      <c r="Y2559" s="155">
        <f>_xll.qlCalendarAdvance(Calendar,X2559,NDays&amp;"D")</f>
        <v>56969</v>
      </c>
      <c r="Z2559" s="156">
        <v>2.6098785898591714E-2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56976</v>
      </c>
      <c r="Y2560" s="155">
        <f>_xll.qlCalendarAdvance(Calendar,X2560,NDays&amp;"D")</f>
        <v>56976</v>
      </c>
      <c r="Z2560" s="156">
        <v>2.6090622150034548E-2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56983</v>
      </c>
      <c r="Y2561" s="155">
        <f>_xll.qlCalendarAdvance(Calendar,X2561,NDays&amp;"D")</f>
        <v>56983</v>
      </c>
      <c r="Z2561" s="156">
        <v>2.6082500310833368E-2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56990</v>
      </c>
      <c r="Y2562" s="155">
        <f>_xll.qlCalendarAdvance(Calendar,X2562,NDays&amp;"D")</f>
        <v>56990</v>
      </c>
      <c r="Z2562" s="156">
        <v>2.6074420380908236E-2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56997</v>
      </c>
      <c r="Y2563" s="155">
        <f>_xll.qlCalendarAdvance(Calendar,X2563,NDays&amp;"D")</f>
        <v>56997</v>
      </c>
      <c r="Z2563" s="156">
        <v>2.6066382360099283E-2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57004</v>
      </c>
      <c r="Y2564" s="155">
        <f>_xll.qlCalendarAdvance(Calendar,X2564,NDays&amp;"D")</f>
        <v>57004</v>
      </c>
      <c r="Z2564" s="156">
        <v>2.6058386248406507E-2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57011</v>
      </c>
      <c r="Y2565" s="155">
        <f>_xll.qlCalendarAdvance(Calendar,X2565,NDays&amp;"D")</f>
        <v>57011</v>
      </c>
      <c r="Z2565" s="156">
        <v>2.605043204598978E-2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57018</v>
      </c>
      <c r="Y2566" s="155">
        <f>_xll.qlCalendarAdvance(Calendar,X2566,NDays&amp;"D")</f>
        <v>57018</v>
      </c>
      <c r="Z2566" s="156">
        <v>2.604251975268923E-2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57025</v>
      </c>
      <c r="Y2567" s="155">
        <f>_xll.qlCalendarAdvance(Calendar,X2567,NDays&amp;"D")</f>
        <v>57025</v>
      </c>
      <c r="Z2567" s="156">
        <v>2.6034649368504859E-2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57032</v>
      </c>
      <c r="Y2568" s="155">
        <f>_xll.qlCalendarAdvance(Calendar,X2568,NDays&amp;"D")</f>
        <v>57032</v>
      </c>
      <c r="Z2568" s="156">
        <v>2.60268208935166E-2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57039</v>
      </c>
      <c r="Y2569" s="155">
        <f>_xll.qlCalendarAdvance(Calendar,X2569,NDays&amp;"D")</f>
        <v>57039</v>
      </c>
      <c r="Z2569" s="156">
        <v>2.6019034327644519E-2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57046</v>
      </c>
      <c r="Y2570" s="155">
        <f>_xll.qlCalendarAdvance(Calendar,X2570,NDays&amp;"D")</f>
        <v>57046</v>
      </c>
      <c r="Z2570" s="156">
        <v>2.6011289671048488E-2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57053</v>
      </c>
      <c r="Y2571" s="155">
        <f>_xll.qlCalendarAdvance(Calendar,X2571,NDays&amp;"D")</f>
        <v>57053</v>
      </c>
      <c r="Z2571" s="156">
        <v>2.6003586923408761E-2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57060</v>
      </c>
      <c r="Y2572" s="155">
        <f>_xll.qlCalendarAdvance(Calendar,X2572,NDays&amp;"D")</f>
        <v>57060</v>
      </c>
      <c r="Z2572" s="156">
        <v>2.5995926085045085E-2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57067</v>
      </c>
      <c r="Y2573" s="155">
        <f>_xll.qlCalendarAdvance(Calendar,X2573,NDays&amp;"D")</f>
        <v>57067</v>
      </c>
      <c r="Z2573" s="156">
        <v>2.5988307155877521E-2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57074</v>
      </c>
      <c r="Y2574" s="155">
        <f>_xll.qlCalendarAdvance(Calendar,X2574,NDays&amp;"D")</f>
        <v>57074</v>
      </c>
      <c r="Z2574" s="156">
        <v>2.5980730135826136E-2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57081</v>
      </c>
      <c r="Y2575" s="155">
        <f>_xll.qlCalendarAdvance(Calendar,X2575,NDays&amp;"D")</f>
        <v>57081</v>
      </c>
      <c r="Z2575" s="156">
        <v>2.5973195024810991E-2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57088</v>
      </c>
      <c r="Y2576" s="155">
        <f>_xll.qlCalendarAdvance(Calendar,X2576,NDays&amp;"D")</f>
        <v>57088</v>
      </c>
      <c r="Z2576" s="156">
        <v>2.5965701823071896E-2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57095</v>
      </c>
      <c r="Y2577" s="155">
        <f>_xll.qlCalendarAdvance(Calendar,X2577,NDays&amp;"D")</f>
        <v>57095</v>
      </c>
      <c r="Z2577" s="156">
        <v>2.5958250530448979E-2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57102</v>
      </c>
      <c r="Y2578" s="155">
        <f>_xll.qlCalendarAdvance(Calendar,X2578,NDays&amp;"D")</f>
        <v>57102</v>
      </c>
      <c r="Z2578" s="156">
        <v>2.5950841146782366E-2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57109</v>
      </c>
      <c r="Y2579" s="155">
        <f>_xll.qlCalendarAdvance(Calendar,X2579,NDays&amp;"D")</f>
        <v>57109</v>
      </c>
      <c r="Z2579" s="156">
        <v>2.5943473672391804E-2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57116</v>
      </c>
      <c r="Y2580" s="155">
        <f>_xll.qlCalendarAdvance(Calendar,X2580,NDays&amp;"D")</f>
        <v>57116</v>
      </c>
      <c r="Z2580" s="156">
        <v>2.5936148107197354E-2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57123</v>
      </c>
      <c r="Y2581" s="155">
        <f>_xll.qlCalendarAdvance(Calendar,X2581,NDays&amp;"D")</f>
        <v>57123</v>
      </c>
      <c r="Z2581" s="156">
        <v>2.5928864451039146E-2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57130</v>
      </c>
      <c r="Y2582" s="155">
        <f>_xll.qlCalendarAdvance(Calendar,X2582,NDays&amp;"D")</f>
        <v>57130</v>
      </c>
      <c r="Z2582" s="156">
        <v>2.5921622703997116E-2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57137</v>
      </c>
      <c r="Y2583" s="155">
        <f>_xll.qlCalendarAdvance(Calendar,X2583,NDays&amp;"D")</f>
        <v>57137</v>
      </c>
      <c r="Z2583" s="156">
        <v>2.5914422866151199E-2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57144</v>
      </c>
      <c r="Y2584" s="155">
        <f>_xll.qlCalendarAdvance(Calendar,X2584,NDays&amp;"D")</f>
        <v>57144</v>
      </c>
      <c r="Z2584" s="156">
        <v>2.5907264937421459E-2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57151</v>
      </c>
      <c r="Y2585" s="155">
        <f>_xll.qlCalendarAdvance(Calendar,X2585,NDays&amp;"D")</f>
        <v>57151</v>
      </c>
      <c r="Z2585" s="156">
        <v>2.5900148917648025E-2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57158</v>
      </c>
      <c r="Y2586" s="155">
        <f>_xll.qlCalendarAdvance(Calendar,X2586,NDays&amp;"D")</f>
        <v>57158</v>
      </c>
      <c r="Z2586" s="156">
        <v>2.5893074807070704E-2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57166</v>
      </c>
      <c r="Y2587" s="155">
        <f>_xll.qlCalendarAdvance(Calendar,X2587,NDays&amp;"D")</f>
        <v>57166</v>
      </c>
      <c r="Z2587" s="156">
        <v>2.588504142662984E-2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57173</v>
      </c>
      <c r="Y2588" s="155">
        <f>_xll.qlCalendarAdvance(Calendar,X2588,NDays&amp;"D")</f>
        <v>57173</v>
      </c>
      <c r="Z2588" s="156">
        <v>2.5878057121335729E-2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57180</v>
      </c>
      <c r="Y2589" s="155">
        <f>_xll.qlCalendarAdvance(Calendar,X2589,NDays&amp;"D")</f>
        <v>57180</v>
      </c>
      <c r="Z2589" s="156">
        <v>2.5871114725077859E-2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57187</v>
      </c>
      <c r="Y2590" s="155">
        <f>_xll.qlCalendarAdvance(Calendar,X2590,NDays&amp;"D")</f>
        <v>57187</v>
      </c>
      <c r="Z2590" s="156">
        <v>2.5864214238175975E-2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57194</v>
      </c>
      <c r="Y2591" s="155">
        <f>_xll.qlCalendarAdvance(Calendar,X2591,NDays&amp;"D")</f>
        <v>57194</v>
      </c>
      <c r="Z2591" s="156">
        <v>2.5857355660070525E-2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57201</v>
      </c>
      <c r="Y2592" s="155">
        <f>_xll.qlCalendarAdvance(Calendar,X2592,NDays&amp;"D")</f>
        <v>57201</v>
      </c>
      <c r="Z2592" s="156">
        <v>2.5850538991161187E-2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57208</v>
      </c>
      <c r="Y2593" s="155">
        <f>_xll.qlCalendarAdvance(Calendar,X2593,NDays&amp;"D")</f>
        <v>57208</v>
      </c>
      <c r="Z2593" s="156">
        <v>2.5843764231368027E-2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57215</v>
      </c>
      <c r="Y2594" s="155">
        <f>_xll.qlCalendarAdvance(Calendar,X2594,NDays&amp;"D")</f>
        <v>57215</v>
      </c>
      <c r="Z2594" s="156">
        <v>2.5837031380531172E-2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57222</v>
      </c>
      <c r="Y2595" s="155">
        <f>_xll.qlCalendarAdvance(Calendar,X2595,NDays&amp;"D")</f>
        <v>57222</v>
      </c>
      <c r="Z2595" s="156">
        <v>2.5830340438970367E-2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57229</v>
      </c>
      <c r="Y2596" s="155">
        <f>_xll.qlCalendarAdvance(Calendar,X2596,NDays&amp;"D")</f>
        <v>57229</v>
      </c>
      <c r="Z2596" s="156">
        <v>2.5823691406525739E-2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57236</v>
      </c>
      <c r="Y2597" s="155">
        <f>_xll.qlCalendarAdvance(Calendar,X2597,NDays&amp;"D")</f>
        <v>57236</v>
      </c>
      <c r="Z2597" s="156">
        <v>2.5817084283037417E-2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57243</v>
      </c>
      <c r="Y2598" s="155">
        <f>_xll.qlCalendarAdvance(Calendar,X2598,NDays&amp;"D")</f>
        <v>57243</v>
      </c>
      <c r="Z2598" s="156">
        <v>2.5810519068665272E-2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57250</v>
      </c>
      <c r="Y2599" s="155">
        <f>_xll.qlCalendarAdvance(Calendar,X2599,NDays&amp;"D")</f>
        <v>57250</v>
      </c>
      <c r="Z2599" s="156">
        <v>2.580399576348924E-2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57257</v>
      </c>
      <c r="Y2600" s="155">
        <f>_xll.qlCalendarAdvance(Calendar,X2600,NDays&amp;"D")</f>
        <v>57257</v>
      </c>
      <c r="Z2600" s="156">
        <v>2.579751436734945E-2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57264</v>
      </c>
      <c r="Y2601" s="155">
        <f>_xll.qlCalendarAdvance(Calendar,X2601,NDays&amp;"D")</f>
        <v>57264</v>
      </c>
      <c r="Z2601" s="156">
        <v>2.5791074880165965E-2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57271</v>
      </c>
      <c r="Y2602" s="155">
        <f>_xll.qlCalendarAdvance(Calendar,X2602,NDays&amp;"D")</f>
        <v>57271</v>
      </c>
      <c r="Z2602" s="156">
        <v>2.5784677302098657E-2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57278</v>
      </c>
      <c r="Y2603" s="155">
        <f>_xll.qlCalendarAdvance(Calendar,X2603,NDays&amp;"D")</f>
        <v>57278</v>
      </c>
      <c r="Z2603" s="156">
        <v>2.5778321633227463E-2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57285</v>
      </c>
      <c r="Y2604" s="155">
        <f>_xll.qlCalendarAdvance(Calendar,X2604,NDays&amp;"D")</f>
        <v>57285</v>
      </c>
      <c r="Z2604" s="156">
        <v>2.5772007873312575E-2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57292</v>
      </c>
      <c r="Y2605" s="155">
        <f>_xll.qlCalendarAdvance(Calendar,X2605,NDays&amp;"D")</f>
        <v>57292</v>
      </c>
      <c r="Z2605" s="156">
        <v>2.5765736022433927E-2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57299</v>
      </c>
      <c r="Y2606" s="155">
        <f>_xll.qlCalendarAdvance(Calendar,X2606,NDays&amp;"D")</f>
        <v>57299</v>
      </c>
      <c r="Z2606" s="156">
        <v>2.5759506080591521E-2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57306</v>
      </c>
      <c r="Y2607" s="155">
        <f>_xll.qlCalendarAdvance(Calendar,X2607,NDays&amp;"D")</f>
        <v>57306</v>
      </c>
      <c r="Z2607" s="156">
        <v>2.5753798882237611E-2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57313</v>
      </c>
      <c r="Y2608" s="155">
        <f>_xll.qlCalendarAdvance(Calendar,X2608,NDays&amp;"D")</f>
        <v>57313</v>
      </c>
      <c r="Z2608" s="156">
        <v>2.5747171924495049E-2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57320</v>
      </c>
      <c r="Y2609" s="155">
        <f>_xll.qlCalendarAdvance(Calendar,X2609,NDays&amp;"D")</f>
        <v>57320</v>
      </c>
      <c r="Z2609" s="156">
        <v>2.5741067709761367E-2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57327</v>
      </c>
      <c r="Y2610" s="155">
        <f>_xll.qlCalendarAdvance(Calendar,X2610,NDays&amp;"D")</f>
        <v>57327</v>
      </c>
      <c r="Z2610" s="156">
        <v>2.5735005404303735E-2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57334</v>
      </c>
      <c r="Y2611" s="155">
        <f>_xll.qlCalendarAdvance(Calendar,X2611,NDays&amp;"D")</f>
        <v>57334</v>
      </c>
      <c r="Z2611" s="156">
        <v>2.5728985008042216E-2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57341</v>
      </c>
      <c r="Y2612" s="155">
        <f>_xll.qlCalendarAdvance(Calendar,X2612,NDays&amp;"D")</f>
        <v>57341</v>
      </c>
      <c r="Z2612" s="156">
        <v>2.5723006520497194E-2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57348</v>
      </c>
      <c r="Y2613" s="155">
        <f>_xll.qlCalendarAdvance(Calendar,X2613,NDays&amp;"D")</f>
        <v>57348</v>
      </c>
      <c r="Z2613" s="156">
        <v>2.5717069942068349E-2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57355</v>
      </c>
      <c r="Y2614" s="155">
        <f>_xll.qlCalendarAdvance(Calendar,X2614,NDays&amp;"D")</f>
        <v>57355</v>
      </c>
      <c r="Z2614" s="156">
        <v>2.5711175272835618E-2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57362</v>
      </c>
      <c r="Y2615" s="155">
        <f>_xll.qlCalendarAdvance(Calendar,X2615,NDays&amp;"D")</f>
        <v>57362</v>
      </c>
      <c r="Z2615" s="156">
        <v>2.5705322512639128E-2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57369</v>
      </c>
      <c r="Y2616" s="155">
        <f>_xll.qlCalendarAdvance(Calendar,X2616,NDays&amp;"D")</f>
        <v>57369</v>
      </c>
      <c r="Z2616" s="156">
        <v>2.569951166147888E-2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57376</v>
      </c>
      <c r="Y2617" s="155">
        <f>_xll.qlCalendarAdvance(Calendar,X2617,NDays&amp;"D")</f>
        <v>57376</v>
      </c>
      <c r="Z2617" s="156">
        <v>2.5693742719354873E-2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57383</v>
      </c>
      <c r="Y2618" s="155">
        <f>_xll.qlCalendarAdvance(Calendar,X2618,NDays&amp;"D")</f>
        <v>57383</v>
      </c>
      <c r="Z2618" s="156">
        <v>2.5688015686187171E-2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57390</v>
      </c>
      <c r="Y2619" s="155">
        <f>_xll.qlCalendarAdvance(Calendar,X2619,NDays&amp;"D")</f>
        <v>57390</v>
      </c>
      <c r="Z2619" s="156">
        <v>2.5682330562135647E-2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57397</v>
      </c>
      <c r="Y2620" s="155">
        <f>_xll.qlCalendarAdvance(Calendar,X2620,NDays&amp;"D")</f>
        <v>57397</v>
      </c>
      <c r="Z2620" s="156">
        <v>2.5676687347040428E-2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57404</v>
      </c>
      <c r="Y2621" s="155">
        <f>_xll.qlCalendarAdvance(Calendar,X2621,NDays&amp;"D")</f>
        <v>57404</v>
      </c>
      <c r="Z2621" s="156">
        <v>2.5671086041141322E-2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57411</v>
      </c>
      <c r="Y2622" s="155">
        <f>_xll.qlCalendarAdvance(Calendar,X2622,NDays&amp;"D")</f>
        <v>57411</v>
      </c>
      <c r="Z2622" s="156">
        <v>2.5665526644198522E-2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57418</v>
      </c>
      <c r="Y2623" s="155">
        <f>_xll.qlCalendarAdvance(Calendar,X2623,NDays&amp;"D")</f>
        <v>57418</v>
      </c>
      <c r="Z2623" s="156">
        <v>2.5660009156212027E-2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57425</v>
      </c>
      <c r="Y2624" s="155">
        <f>_xll.qlCalendarAdvance(Calendar,X2624,NDays&amp;"D")</f>
        <v>57425</v>
      </c>
      <c r="Z2624" s="156">
        <v>2.5654533577261773E-2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57432</v>
      </c>
      <c r="Y2625" s="155">
        <f>_xll.qlCalendarAdvance(Calendar,X2625,NDays&amp;"D")</f>
        <v>57432</v>
      </c>
      <c r="Z2625" s="156">
        <v>2.5649099907427697E-2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57439</v>
      </c>
      <c r="Y2626" s="155">
        <f>_xll.qlCalendarAdvance(Calendar,X2626,NDays&amp;"D")</f>
        <v>57439</v>
      </c>
      <c r="Z2626" s="156">
        <v>2.5643708146629862E-2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57446</v>
      </c>
      <c r="Y2627" s="155">
        <f>_xll.qlCalendarAdvance(Calendar,X2627,NDays&amp;"D")</f>
        <v>57446</v>
      </c>
      <c r="Z2627" s="156">
        <v>2.5638358294788333E-2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57453</v>
      </c>
      <c r="Y2628" s="155">
        <f>_xll.qlCalendarAdvance(Calendar,X2628,NDays&amp;"D")</f>
        <v>57453</v>
      </c>
      <c r="Z2628" s="156">
        <v>2.5633050351983044E-2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57460</v>
      </c>
      <c r="Y2629" s="155">
        <f>_xll.qlCalendarAdvance(Calendar,X2629,NDays&amp;"D")</f>
        <v>57460</v>
      </c>
      <c r="Z2629" s="156">
        <v>2.5627784318293934E-2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57467</v>
      </c>
      <c r="Y2630" s="155">
        <f>_xll.qlCalendarAdvance(Calendar,X2630,NDays&amp;"D")</f>
        <v>57467</v>
      </c>
      <c r="Z2630" s="156">
        <v>2.5622560193561128E-2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57474</v>
      </c>
      <c r="Y2631" s="155">
        <f>_xll.qlCalendarAdvance(Calendar,X2631,NDays&amp;"D")</f>
        <v>57474</v>
      </c>
      <c r="Z2631" s="156">
        <v>2.5617377977704692E-2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57481</v>
      </c>
      <c r="Y2632" s="155">
        <f>_xll.qlCalendarAdvance(Calendar,X2632,NDays&amp;"D")</f>
        <v>57481</v>
      </c>
      <c r="Z2632" s="156">
        <v>2.5612237671044369E-2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57488</v>
      </c>
      <c r="Y2633" s="155">
        <f>_xll.qlCalendarAdvance(Calendar,X2633,NDays&amp;"D")</f>
        <v>57488</v>
      </c>
      <c r="Z2633" s="156">
        <v>2.5607139273420287E-2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57495</v>
      </c>
      <c r="Y2634" s="155">
        <f>_xll.qlCalendarAdvance(Calendar,X2634,NDays&amp;"D")</f>
        <v>57495</v>
      </c>
      <c r="Z2634" s="156">
        <v>2.5602082784592639E-2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57502</v>
      </c>
      <c r="Y2635" s="155">
        <f>_xll.qlCalendarAdvance(Calendar,X2635,NDays&amp;"D")</f>
        <v>57502</v>
      </c>
      <c r="Z2635" s="156">
        <v>2.5597068204961104E-2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57509</v>
      </c>
      <c r="Y2636" s="155">
        <f>_xll.qlCalendarAdvance(Calendar,X2636,NDays&amp;"D")</f>
        <v>57509</v>
      </c>
      <c r="Z2636" s="156">
        <v>2.5592095534285875E-2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57516</v>
      </c>
      <c r="Y2637" s="155">
        <f>_xll.qlCalendarAdvance(Calendar,X2637,NDays&amp;"D")</f>
        <v>57516</v>
      </c>
      <c r="Z2637" s="156">
        <v>2.5587164772646886E-2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57523</v>
      </c>
      <c r="Y2638" s="155">
        <f>_xll.qlCalendarAdvance(Calendar,X2638,NDays&amp;"D")</f>
        <v>57523</v>
      </c>
      <c r="Z2638" s="156">
        <v>2.5582275919804331E-2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57531</v>
      </c>
      <c r="Y2639" s="155">
        <f>_xll.qlCalendarAdvance(Calendar,X2639,NDays&amp;"D")</f>
        <v>57531</v>
      </c>
      <c r="Z2639" s="156">
        <v>2.5576739976900242E-2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57538</v>
      </c>
      <c r="Y2640" s="155">
        <f>_xll.qlCalendarAdvance(Calendar,X2640,NDays&amp;"D")</f>
        <v>57538</v>
      </c>
      <c r="Z2640" s="156">
        <v>2.5571940929260961E-2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57545</v>
      </c>
      <c r="Y2641" s="155">
        <f>_xll.qlCalendarAdvance(Calendar,X2641,NDays&amp;"D")</f>
        <v>57545</v>
      </c>
      <c r="Z2641" s="156">
        <v>2.5567183790577985E-2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57552</v>
      </c>
      <c r="Y2642" s="155">
        <f>_xll.qlCalendarAdvance(Calendar,X2642,NDays&amp;"D")</f>
        <v>57552</v>
      </c>
      <c r="Z2642" s="156">
        <v>2.5562468560931251E-2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57559</v>
      </c>
      <c r="Y2643" s="155">
        <f>_xll.qlCalendarAdvance(Calendar,X2643,NDays&amp;"D")</f>
        <v>57559</v>
      </c>
      <c r="Z2643" s="156">
        <v>2.5557795240240821E-2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57566</v>
      </c>
      <c r="Y2644" s="155">
        <f>_xll.qlCalendarAdvance(Calendar,X2644,NDays&amp;"D")</f>
        <v>57566</v>
      </c>
      <c r="Z2644" s="156">
        <v>2.5553163828586634E-2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57573</v>
      </c>
      <c r="Y2645" s="155">
        <f>_xll.qlCalendarAdvance(Calendar,X2645,NDays&amp;"D")</f>
        <v>57573</v>
      </c>
      <c r="Z2645" s="156">
        <v>2.5548574325888751E-2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57580</v>
      </c>
      <c r="Y2646" s="155">
        <f>_xll.qlCalendarAdvance(Calendar,X2646,NDays&amp;"D")</f>
        <v>57580</v>
      </c>
      <c r="Z2646" s="156">
        <v>2.5544026732147174E-2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57587</v>
      </c>
      <c r="Y2647" s="155">
        <f>_xll.qlCalendarAdvance(Calendar,X2647,NDays&amp;"D")</f>
        <v>57587</v>
      </c>
      <c r="Z2647" s="156">
        <v>2.5539521047361902E-2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57594</v>
      </c>
      <c r="Y2648" s="155">
        <f>_xll.qlCalendarAdvance(Calendar,X2648,NDays&amp;"D")</f>
        <v>57594</v>
      </c>
      <c r="Z2648" s="156">
        <v>2.5535057271772743E-2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57601</v>
      </c>
      <c r="Y2649" s="155">
        <f>_xll.qlCalendarAdvance(Calendar,X2649,NDays&amp;"D")</f>
        <v>57601</v>
      </c>
      <c r="Z2649" s="156">
        <v>2.553063540513989E-2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57608</v>
      </c>
      <c r="Y2650" s="155">
        <f>_xll.qlCalendarAdvance(Calendar,X2650,NDays&amp;"D")</f>
        <v>57608</v>
      </c>
      <c r="Z2650" s="156">
        <v>2.5526255447223534E-2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57615</v>
      </c>
      <c r="Y2651" s="155">
        <f>_xll.qlCalendarAdvance(Calendar,X2651,NDays&amp;"D")</f>
        <v>57615</v>
      </c>
      <c r="Z2651" s="156">
        <v>2.5521917398663163E-2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57622</v>
      </c>
      <c r="Y2652" s="155">
        <f>_xll.qlCalendarAdvance(Calendar,X2652,NDays&amp;"D")</f>
        <v>57622</v>
      </c>
      <c r="Z2652" s="156">
        <v>2.5517621258739354E-2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57629</v>
      </c>
      <c r="Y2653" s="155">
        <f>_xll.qlCalendarAdvance(Calendar,X2653,NDays&amp;"D")</f>
        <v>57629</v>
      </c>
      <c r="Z2653" s="156">
        <v>2.5513367027931722E-2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57636</v>
      </c>
      <c r="Y2654" s="155">
        <f>_xll.qlCalendarAdvance(Calendar,X2654,NDays&amp;"D")</f>
        <v>57636</v>
      </c>
      <c r="Z2654" s="156">
        <v>2.5509154706160331E-2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57643</v>
      </c>
      <c r="Y2655" s="155">
        <f>_xll.qlCalendarAdvance(Calendar,X2655,NDays&amp;"D")</f>
        <v>57643</v>
      </c>
      <c r="Z2655" s="156">
        <v>2.5504984293425181E-2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57650</v>
      </c>
      <c r="Y2656" s="155">
        <f>_xll.qlCalendarAdvance(Calendar,X2656,NDays&amp;"D")</f>
        <v>57650</v>
      </c>
      <c r="Z2656" s="156">
        <v>2.5500855789566401E-2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57657</v>
      </c>
      <c r="Y2657" s="155">
        <f>_xll.qlCalendarAdvance(Calendar,X2657,NDays&amp;"D")</f>
        <v>57657</v>
      </c>
      <c r="Z2657" s="156">
        <v>2.549676919458399E-2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57664</v>
      </c>
      <c r="Y2658" s="155">
        <f>_xll.qlCalendarAdvance(Calendar,X2658,NDays&amp;"D")</f>
        <v>57664</v>
      </c>
      <c r="Z2658" s="156">
        <v>2.5492724508717757E-2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57672</v>
      </c>
      <c r="Y2659" s="155">
        <f>_xll.qlCalendarAdvance(Calendar,X2659,NDays&amp;"D")</f>
        <v>57672</v>
      </c>
      <c r="Z2659" s="156">
        <v>2.5489390598263384E-2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57679</v>
      </c>
      <c r="Y2660" s="155">
        <f>_xll.qlCalendarAdvance(Calendar,X2660,NDays&amp;"D")</f>
        <v>57679</v>
      </c>
      <c r="Z2660" s="156">
        <v>2.5485441145178811E-2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57686</v>
      </c>
      <c r="Y2661" s="155">
        <f>_xll.qlCalendarAdvance(Calendar,X2661,NDays&amp;"D")</f>
        <v>57686</v>
      </c>
      <c r="Z2661" s="156">
        <v>2.5481533607072393E-2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57693</v>
      </c>
      <c r="Y2662" s="155">
        <f>_xll.qlCalendarAdvance(Calendar,X2662,NDays&amp;"D")</f>
        <v>57693</v>
      </c>
      <c r="Z2662" s="156">
        <v>2.5477667983890839E-2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57700</v>
      </c>
      <c r="Y2663" s="155">
        <f>_xll.qlCalendarAdvance(Calendar,X2663,NDays&amp;"D")</f>
        <v>57700</v>
      </c>
      <c r="Z2663" s="156">
        <v>2.5473844275767377E-2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57707</v>
      </c>
      <c r="Y2664" s="155">
        <f>_xll.qlCalendarAdvance(Calendar,X2664,NDays&amp;"D")</f>
        <v>57707</v>
      </c>
      <c r="Z2664" s="156">
        <v>2.5470062482595424E-2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57714</v>
      </c>
      <c r="Y2665" s="155">
        <f>_xll.qlCalendarAdvance(Calendar,X2665,NDays&amp;"D")</f>
        <v>57714</v>
      </c>
      <c r="Z2665" s="156">
        <v>2.5466322604348335E-2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57721</v>
      </c>
      <c r="Y2666" s="155">
        <f>_xll.qlCalendarAdvance(Calendar,X2666,NDays&amp;"D")</f>
        <v>57721</v>
      </c>
      <c r="Z2666" s="156">
        <v>2.5462624641132692E-2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57728</v>
      </c>
      <c r="Y2667" s="155">
        <f>_xll.qlCalendarAdvance(Calendar,X2667,NDays&amp;"D")</f>
        <v>57728</v>
      </c>
      <c r="Z2667" s="156">
        <v>2.5459609460094512E-2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57735</v>
      </c>
      <c r="Y2668" s="155">
        <f>_xll.qlCalendarAdvance(Calendar,X2668,NDays&amp;"D")</f>
        <v>57735</v>
      </c>
      <c r="Z2668" s="156">
        <v>2.5455354459555934E-2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57742</v>
      </c>
      <c r="Y2669" s="155">
        <f>_xll.qlCalendarAdvance(Calendar,X2669,NDays&amp;"D")</f>
        <v>57742</v>
      </c>
      <c r="Z2669" s="156">
        <v>2.5451782241168175E-2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57749</v>
      </c>
      <c r="Y2670" s="155">
        <f>_xll.qlCalendarAdvance(Calendar,X2670,NDays&amp;"D")</f>
        <v>57749</v>
      </c>
      <c r="Z2670" s="156">
        <v>2.5448251937785216E-2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57756</v>
      </c>
      <c r="Y2671" s="155">
        <f>_xll.qlCalendarAdvance(Calendar,X2671,NDays&amp;"D")</f>
        <v>57756</v>
      </c>
      <c r="Z2671" s="156">
        <v>2.5445415388916093E-2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57763</v>
      </c>
      <c r="Y2672" s="155">
        <f>_xll.qlCalendarAdvance(Calendar,X2672,NDays&amp;"D")</f>
        <v>57763</v>
      </c>
      <c r="Z2672" s="156">
        <v>2.5441317075820535E-2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57770</v>
      </c>
      <c r="Y2673" s="155">
        <f>_xll.qlCalendarAdvance(Calendar,X2673,NDays&amp;"D")</f>
        <v>57770</v>
      </c>
      <c r="Z2673" s="156">
        <v>2.5437912517238814E-2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57777</v>
      </c>
      <c r="Y2674" s="155">
        <f>_xll.qlCalendarAdvance(Calendar,X2674,NDays&amp;"D")</f>
        <v>57777</v>
      </c>
      <c r="Z2674" s="156">
        <v>2.5434549873635248E-2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57784</v>
      </c>
      <c r="Y2675" s="155">
        <f>_xll.qlCalendarAdvance(Calendar,X2675,NDays&amp;"D")</f>
        <v>57784</v>
      </c>
      <c r="Z2675" s="156">
        <v>2.5431229144903256E-2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57791</v>
      </c>
      <c r="Y2676" s="155">
        <f>_xll.qlCalendarAdvance(Calendar,X2676,NDays&amp;"D")</f>
        <v>57791</v>
      </c>
      <c r="Z2676" s="156">
        <v>2.5427950331176064E-2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57798</v>
      </c>
      <c r="Y2677" s="155">
        <f>_xll.qlCalendarAdvance(Calendar,X2677,NDays&amp;"D")</f>
        <v>57798</v>
      </c>
      <c r="Z2677" s="156">
        <v>2.542471343234709E-2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57805</v>
      </c>
      <c r="Y2678" s="155">
        <f>_xll.qlCalendarAdvance(Calendar,X2678,NDays&amp;"D")</f>
        <v>57805</v>
      </c>
      <c r="Z2678" s="156">
        <v>2.5421518448416336E-2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57812</v>
      </c>
      <c r="Y2679" s="155">
        <f>_xll.qlCalendarAdvance(Calendar,X2679,NDays&amp;"D")</f>
        <v>57812</v>
      </c>
      <c r="Z2679" s="156">
        <v>2.5418365379410446E-2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57819</v>
      </c>
      <c r="Y2680" s="155">
        <f>_xll.qlCalendarAdvance(Calendar,X2680,NDays&amp;"D")</f>
        <v>57819</v>
      </c>
      <c r="Z2680" s="156">
        <v>2.5415254225302775E-2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57826</v>
      </c>
      <c r="Y2681" s="155">
        <f>_xll.qlCalendarAdvance(Calendar,X2681,NDays&amp;"D")</f>
        <v>57826</v>
      </c>
      <c r="Z2681" s="156">
        <v>2.5412184986199904E-2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57833</v>
      </c>
      <c r="Y2682" s="155">
        <f>_xll.qlCalendarAdvance(Calendar,X2682,NDays&amp;"D")</f>
        <v>57833</v>
      </c>
      <c r="Z2682" s="156">
        <v>2.5409157661968607E-2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57840</v>
      </c>
      <c r="Y2683" s="155">
        <f>_xll.qlCalendarAdvance(Calendar,X2683,NDays&amp;"D")</f>
        <v>57840</v>
      </c>
      <c r="Z2683" s="156">
        <v>2.5406172252635528E-2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57847</v>
      </c>
      <c r="Y2684" s="155">
        <f>_xll.qlCalendarAdvance(Calendar,X2684,NDays&amp;"D")</f>
        <v>57847</v>
      </c>
      <c r="Z2684" s="156">
        <v>2.5403228758200669E-2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57854</v>
      </c>
      <c r="Y2685" s="155">
        <f>_xll.qlCalendarAdvance(Calendar,X2685,NDays&amp;"D")</f>
        <v>57854</v>
      </c>
      <c r="Z2685" s="156">
        <v>2.5401017798372116E-2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57861</v>
      </c>
      <c r="Y2686" s="155">
        <f>_xll.qlCalendarAdvance(Calendar,X2686,NDays&amp;"D")</f>
        <v>57861</v>
      </c>
      <c r="Z2686" s="156">
        <v>2.5397467513998961E-2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57868</v>
      </c>
      <c r="Y2687" s="155">
        <f>_xll.qlCalendarAdvance(Calendar,X2687,NDays&amp;"D")</f>
        <v>57868</v>
      </c>
      <c r="Z2687" s="156">
        <v>2.5394649764285404E-2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57875</v>
      </c>
      <c r="Y2688" s="155">
        <f>_xll.qlCalendarAdvance(Calendar,X2688,NDays&amp;"D")</f>
        <v>57875</v>
      </c>
      <c r="Z2688" s="156">
        <v>2.539187392944342E-2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57882</v>
      </c>
      <c r="Y2689" s="155">
        <f>_xll.qlCalendarAdvance(Calendar,X2689,NDays&amp;"D")</f>
        <v>57882</v>
      </c>
      <c r="Z2689" s="156">
        <v>2.5389140009499656E-2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57889</v>
      </c>
      <c r="Y2690" s="155">
        <f>_xll.qlCalendarAdvance(Calendar,X2690,NDays&amp;"D")</f>
        <v>57889</v>
      </c>
      <c r="Z2690" s="156">
        <v>2.538644800445411E-2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57896</v>
      </c>
      <c r="Y2691" s="155">
        <f>_xll.qlCalendarAdvance(Calendar,X2691,NDays&amp;"D")</f>
        <v>57896</v>
      </c>
      <c r="Z2691" s="156">
        <v>2.5383797914200201E-2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57903</v>
      </c>
      <c r="Y2692" s="155">
        <f>_xll.qlCalendarAdvance(Calendar,X2692,NDays&amp;"D")</f>
        <v>57903</v>
      </c>
      <c r="Z2692" s="156">
        <v>2.5381189738951093E-2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57910</v>
      </c>
      <c r="Y2693" s="155">
        <f>_xll.qlCalendarAdvance(Calendar,X2693,NDays&amp;"D")</f>
        <v>57910</v>
      </c>
      <c r="Z2693" s="156">
        <v>2.5378623478520268E-2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57917</v>
      </c>
      <c r="Y2694" s="155">
        <f>_xll.qlCalendarAdvance(Calendar,X2694,NDays&amp;"D")</f>
        <v>57917</v>
      </c>
      <c r="Z2694" s="156">
        <v>2.5376099132961016E-2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57924</v>
      </c>
      <c r="Y2695" s="155">
        <f>_xll.qlCalendarAdvance(Calendar,X2695,NDays&amp;"D")</f>
        <v>57924</v>
      </c>
      <c r="Z2695" s="156">
        <v>2.5373616702299984E-2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57931</v>
      </c>
      <c r="Y2696" s="155">
        <f>_xll.qlCalendarAdvance(Calendar,X2696,NDays&amp;"D")</f>
        <v>57931</v>
      </c>
      <c r="Z2696" s="156">
        <v>2.5371176186483879E-2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57938</v>
      </c>
      <c r="Y2697" s="155">
        <f>_xll.qlCalendarAdvance(Calendar,X2697,NDays&amp;"D")</f>
        <v>57938</v>
      </c>
      <c r="Z2697" s="156">
        <v>2.5368777585539348E-2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57945</v>
      </c>
      <c r="Y2698" s="155">
        <f>_xll.qlCalendarAdvance(Calendar,X2698,NDays&amp;"D")</f>
        <v>57945</v>
      </c>
      <c r="Z2698" s="156">
        <v>2.5366420899466391E-2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57952</v>
      </c>
      <c r="Y2699" s="155">
        <f>_xll.qlCalendarAdvance(Calendar,X2699,NDays&amp;"D")</f>
        <v>57952</v>
      </c>
      <c r="Z2699" s="156">
        <v>2.5364836112224953E-2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57959</v>
      </c>
      <c r="Y2700" s="155">
        <f>_xll.qlCalendarAdvance(Calendar,X2700,NDays&amp;"D")</f>
        <v>57959</v>
      </c>
      <c r="Z2700" s="156">
        <v>2.5361833271961842E-2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57966</v>
      </c>
      <c r="Y2701" s="155">
        <f>_xll.qlCalendarAdvance(Calendar,X2701,NDays&amp;"D")</f>
        <v>57966</v>
      </c>
      <c r="Z2701" s="156">
        <v>2.5359602330450315E-2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57973</v>
      </c>
      <c r="Y2702" s="155">
        <f>_xll.qlCalendarAdvance(Calendar,X2702,NDays&amp;"D")</f>
        <v>57973</v>
      </c>
      <c r="Z2702" s="156">
        <v>2.5357413303837006E-2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57980</v>
      </c>
      <c r="Y2703" s="155">
        <f>_xll.qlCalendarAdvance(Calendar,X2703,NDays&amp;"D")</f>
        <v>57980</v>
      </c>
      <c r="Z2703" s="156">
        <v>2.5355266192068626E-2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57987</v>
      </c>
      <c r="Y2704" s="155">
        <f>_xll.qlCalendarAdvance(Calendar,X2704,NDays&amp;"D")</f>
        <v>57987</v>
      </c>
      <c r="Z2704" s="156">
        <v>2.5353160995145174E-2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57994</v>
      </c>
      <c r="Y2705" s="155">
        <f>_xll.qlCalendarAdvance(Calendar,X2705,NDays&amp;"D")</f>
        <v>57994</v>
      </c>
      <c r="Z2705" s="156">
        <v>2.5351844745522545E-2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58001</v>
      </c>
      <c r="Y2706" s="155">
        <f>_xll.qlCalendarAdvance(Calendar,X2706,NDays&amp;"D")</f>
        <v>58001</v>
      </c>
      <c r="Z2706" s="156">
        <v>2.5349076345833055E-2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58008</v>
      </c>
      <c r="Y2707" s="155">
        <f>_xll.qlCalendarAdvance(Calendar,X2707,NDays&amp;"D")</f>
        <v>58008</v>
      </c>
      <c r="Z2707" s="156">
        <v>2.5347096893444387E-2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58015</v>
      </c>
      <c r="Y2708" s="155">
        <f>_xll.qlCalendarAdvance(Calendar,X2708,NDays&amp;"D")</f>
        <v>58015</v>
      </c>
      <c r="Z2708" s="156">
        <v>2.5345159355900648E-2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58022</v>
      </c>
      <c r="Y2709" s="155">
        <f>_xll.qlCalendarAdvance(Calendar,X2709,NDays&amp;"D")</f>
        <v>58022</v>
      </c>
      <c r="Z2709" s="156">
        <v>2.5344022190658677E-2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58029</v>
      </c>
      <c r="Y2710" s="155">
        <f>_xll.qlCalendarAdvance(Calendar,X2710,NDays&amp;"D")</f>
        <v>58029</v>
      </c>
      <c r="Z2710" s="156">
        <v>2.5341410025321309E-2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58036</v>
      </c>
      <c r="Y2711" s="155">
        <f>_xll.qlCalendarAdvance(Calendar,X2711,NDays&amp;"D")</f>
        <v>58036</v>
      </c>
      <c r="Z2711" s="156">
        <v>2.5339598232339E-2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58043</v>
      </c>
      <c r="Y2712" s="155">
        <f>_xll.qlCalendarAdvance(Calendar,X2712,NDays&amp;"D")</f>
        <v>58043</v>
      </c>
      <c r="Z2712" s="156">
        <v>2.5337828354174974E-2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58050</v>
      </c>
      <c r="Y2713" s="155">
        <f>_xll.qlCalendarAdvance(Calendar,X2713,NDays&amp;"D")</f>
        <v>58050</v>
      </c>
      <c r="Z2713" s="156">
        <v>2.5336100390802585E-2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58057</v>
      </c>
      <c r="Y2714" s="155">
        <f>_xll.qlCalendarAdvance(Calendar,X2714,NDays&amp;"D")</f>
        <v>58057</v>
      </c>
      <c r="Z2714" s="156">
        <v>2.5334414342275124E-2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58064</v>
      </c>
      <c r="Y2715" s="155">
        <f>_xll.qlCalendarAdvance(Calendar,X2715,NDays&amp;"D")</f>
        <v>58064</v>
      </c>
      <c r="Z2715" s="156">
        <v>2.5332770208592592E-2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58071</v>
      </c>
      <c r="Y2716" s="155">
        <f>_xll.qlCalendarAdvance(Calendar,X2716,NDays&amp;"D")</f>
        <v>58071</v>
      </c>
      <c r="Z2716" s="156">
        <v>2.5331167989675052E-2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58078</v>
      </c>
      <c r="Y2717" s="155">
        <f>_xll.qlCalendarAdvance(Calendar,X2717,NDays&amp;"D")</f>
        <v>58078</v>
      </c>
      <c r="Z2717" s="156">
        <v>2.5329607685655731E-2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58085</v>
      </c>
      <c r="Y2718" s="155">
        <f>_xll.qlCalendarAdvance(Calendar,X2718,NDays&amp;"D")</f>
        <v>58085</v>
      </c>
      <c r="Z2718" s="156">
        <v>2.5328089296454692E-2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58092</v>
      </c>
      <c r="Y2719" s="155">
        <f>_xll.qlCalendarAdvance(Calendar,X2719,NDays&amp;"D")</f>
        <v>58092</v>
      </c>
      <c r="Z2719" s="156">
        <v>2.5327400049095505E-2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58099</v>
      </c>
      <c r="Y2720" s="155">
        <f>_xll.qlCalendarAdvance(Calendar,X2720,NDays&amp;"D")</f>
        <v>58099</v>
      </c>
      <c r="Z2720" s="156">
        <v>2.5325178262507464E-2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58106</v>
      </c>
      <c r="Y2721" s="155">
        <f>_xll.qlCalendarAdvance(Calendar,X2721,NDays&amp;"D")</f>
        <v>58106</v>
      </c>
      <c r="Z2721" s="156">
        <v>2.5323785617761274E-2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58113</v>
      </c>
      <c r="Y2722" s="155">
        <f>_xll.qlCalendarAdvance(Calendar,X2722,NDays&amp;"D")</f>
        <v>58113</v>
      </c>
      <c r="Z2722" s="156">
        <v>2.5322434887833367E-2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58120</v>
      </c>
      <c r="Y2723" s="155">
        <f>_xll.qlCalendarAdvance(Calendar,X2723,NDays&amp;"D")</f>
        <v>58120</v>
      </c>
      <c r="Z2723" s="156">
        <v>2.5321924890329139E-2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58127</v>
      </c>
      <c r="Y2724" s="155">
        <f>_xll.qlCalendarAdvance(Calendar,X2724,NDays&amp;"D")</f>
        <v>58127</v>
      </c>
      <c r="Z2724" s="156">
        <v>2.5319859172432402E-2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58134</v>
      </c>
      <c r="Y2725" s="155">
        <f>_xll.qlCalendarAdvance(Calendar,X2725,NDays&amp;"D")</f>
        <v>58134</v>
      </c>
      <c r="Z2725" s="156">
        <v>2.5318634186932698E-2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58141</v>
      </c>
      <c r="Y2726" s="155">
        <f>_xll.qlCalendarAdvance(Calendar,X2726,NDays&amp;"D")</f>
        <v>58141</v>
      </c>
      <c r="Z2726" s="156">
        <v>2.5317451116277923E-2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58148</v>
      </c>
      <c r="Y2727" s="155">
        <f>_xll.qlCalendarAdvance(Calendar,X2727,NDays&amp;"D")</f>
        <v>58148</v>
      </c>
      <c r="Z2727" s="156">
        <v>2.5316309960388139E-2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58155</v>
      </c>
      <c r="Y2728" s="155">
        <f>_xll.qlCalendarAdvance(Calendar,X2728,NDays&amp;"D")</f>
        <v>58155</v>
      </c>
      <c r="Z2728" s="156">
        <v>2.5315210719343284E-2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58162</v>
      </c>
      <c r="Y2729" s="155">
        <f>_xll.qlCalendarAdvance(Calendar,X2729,NDays&amp;"D")</f>
        <v>58162</v>
      </c>
      <c r="Z2729" s="156">
        <v>2.5314153393116712E-2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58169</v>
      </c>
      <c r="Y2730" s="155">
        <f>_xll.qlCalendarAdvance(Calendar,X2730,NDays&amp;"D")</f>
        <v>58169</v>
      </c>
      <c r="Z2730" s="156">
        <v>2.5313137981708422E-2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58176</v>
      </c>
      <c r="Y2731" s="155">
        <f>_xll.qlCalendarAdvance(Calendar,X2731,NDays&amp;"D")</f>
        <v>58176</v>
      </c>
      <c r="Z2731" s="156">
        <v>2.5312164485118416E-2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58183</v>
      </c>
      <c r="Y2732" s="155">
        <f>_xll.qlCalendarAdvance(Calendar,X2732,NDays&amp;"D")</f>
        <v>58183</v>
      </c>
      <c r="Z2732" s="156">
        <v>2.5311232903293401E-2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58190</v>
      </c>
      <c r="Y2733" s="155">
        <f>_xll.qlCalendarAdvance(Calendar,X2733,NDays&amp;"D")</f>
        <v>58190</v>
      </c>
      <c r="Z2733" s="156">
        <v>2.531034323628667E-2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58197</v>
      </c>
      <c r="Y2734" s="155">
        <f>_xll.qlCalendarAdvance(Calendar,X2734,NDays&amp;"D")</f>
        <v>58197</v>
      </c>
      <c r="Z2734" s="156">
        <v>2.530949548404493E-2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58204</v>
      </c>
      <c r="Y2735" s="155">
        <f>_xll.qlCalendarAdvance(Calendar,X2735,NDays&amp;"D")</f>
        <v>58204</v>
      </c>
      <c r="Z2735" s="156">
        <v>2.5308689646674765E-2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58211</v>
      </c>
      <c r="Y2736" s="155">
        <f>_xll.qlCalendarAdvance(Calendar,X2736,NDays&amp;"D")</f>
        <v>58211</v>
      </c>
      <c r="Z2736" s="156">
        <v>2.5307925724069591E-2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58218</v>
      </c>
      <c r="Y2737" s="155">
        <f>_xll.qlCalendarAdvance(Calendar,X2737,NDays&amp;"D")</f>
        <v>58218</v>
      </c>
      <c r="Z2737" s="156">
        <v>2.5308043472733743E-2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58225</v>
      </c>
      <c r="Y2738" s="155">
        <f>_xll.qlCalendarAdvance(Calendar,X2738,NDays&amp;"D")</f>
        <v>58225</v>
      </c>
      <c r="Z2738" s="156">
        <v>2.5306523623260802E-2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58232</v>
      </c>
      <c r="Y2739" s="155">
        <f>_xll.qlCalendarAdvance(Calendar,X2739,NDays&amp;"D")</f>
        <v>58232</v>
      </c>
      <c r="Z2739" s="156">
        <v>2.5305885445137122E-2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58239</v>
      </c>
      <c r="Y2740" s="155">
        <f>_xll.qlCalendarAdvance(Calendar,X2740,NDays&amp;"D")</f>
        <v>58239</v>
      </c>
      <c r="Z2740" s="156">
        <v>2.5305289181698498E-2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58246</v>
      </c>
      <c r="Y2741" s="155">
        <f>_xll.qlCalendarAdvance(Calendar,X2741,NDays&amp;"D")</f>
        <v>58246</v>
      </c>
      <c r="Z2741" s="156">
        <v>2.5304734833104803E-2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58253</v>
      </c>
      <c r="Y2742" s="155">
        <f>_xll.qlCalendarAdvance(Calendar,X2742,NDays&amp;"D")</f>
        <v>58253</v>
      </c>
      <c r="Z2742" s="156">
        <v>2.5304222399356036E-2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58263</v>
      </c>
      <c r="Y2743" s="155">
        <f>_xll.qlCalendarAdvance(Calendar,X2743,NDays&amp;"D")</f>
        <v>58263</v>
      </c>
      <c r="Z2743" s="156">
        <v>2.5301846530814132E-2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58270</v>
      </c>
      <c r="Y2744" s="155">
        <f>_xll.qlCalendarAdvance(Calendar,X2744,NDays&amp;"D")</f>
        <v>58270</v>
      </c>
      <c r="Z2744" s="156">
        <v>2.530142996083562E-2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58277</v>
      </c>
      <c r="Y2745" s="155">
        <f>_xll.qlCalendarAdvance(Calendar,X2745,NDays&amp;"D")</f>
        <v>58277</v>
      </c>
      <c r="Z2745" s="156">
        <v>2.5301055299813413E-2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58284</v>
      </c>
      <c r="Y2746" s="155">
        <f>_xll.qlCalendarAdvance(Calendar,X2746,NDays&amp;"D")</f>
        <v>58284</v>
      </c>
      <c r="Z2746" s="156">
        <v>2.5300722547667576E-2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58291</v>
      </c>
      <c r="Y2747" s="155">
        <f>_xll.qlCalendarAdvance(Calendar,X2747,NDays&amp;"D")</f>
        <v>58291</v>
      </c>
      <c r="Z2747" s="156">
        <v>2.5300431704398108E-2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58298</v>
      </c>
      <c r="Y2748" s="155">
        <f>_xll.qlCalendarAdvance(Calendar,X2748,NDays&amp;"D")</f>
        <v>58298</v>
      </c>
      <c r="Z2748" s="156">
        <v>2.5300182770084945E-2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58305</v>
      </c>
      <c r="Y2749" s="155">
        <f>_xll.qlCalendarAdvance(Calendar,X2749,NDays&amp;"D")</f>
        <v>58305</v>
      </c>
      <c r="Z2749" s="156">
        <v>2.5299975744568215E-2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58312</v>
      </c>
      <c r="Y2750" s="155">
        <f>_xll.qlCalendarAdvance(Calendar,X2750,NDays&amp;"D")</f>
        <v>58312</v>
      </c>
      <c r="Z2750" s="156">
        <v>2.5299810627847918E-2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58320</v>
      </c>
      <c r="Y2751" s="155">
        <f>_xll.qlCalendarAdvance(Calendar,X2751,NDays&amp;"D")</f>
        <v>58320</v>
      </c>
      <c r="Z2751" s="156">
        <v>2.5299673240306575E-2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58327</v>
      </c>
      <c r="Y2752" s="155">
        <f>_xll.qlCalendarAdvance(Calendar,X2752,NDays&amp;"D")</f>
        <v>58327</v>
      </c>
      <c r="Z2752" s="156">
        <v>2.529959792862968E-2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58334</v>
      </c>
      <c r="Y2753" s="155">
        <f>_xll.qlCalendarAdvance(Calendar,X2753,NDays&amp;"D")</f>
        <v>58334</v>
      </c>
      <c r="Z2753" s="156">
        <v>2.5299564525749219E-2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58341</v>
      </c>
      <c r="Y2754" s="155">
        <f>_xll.qlCalendarAdvance(Calendar,X2754,NDays&amp;"D")</f>
        <v>58341</v>
      </c>
      <c r="Z2754" s="156">
        <v>2.5299573031745126E-2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58348</v>
      </c>
      <c r="Y2755" s="155">
        <f>_xll.qlCalendarAdvance(Calendar,X2755,NDays&amp;"D")</f>
        <v>58348</v>
      </c>
      <c r="Z2755" s="156">
        <v>2.5299623446697339E-2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58355</v>
      </c>
      <c r="Y2756" s="155">
        <f>_xll.qlCalendarAdvance(Calendar,X2756,NDays&amp;"D")</f>
        <v>58355</v>
      </c>
      <c r="Z2756" s="156">
        <v>2.5299715770605857E-2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58362</v>
      </c>
      <c r="Y2757" s="155">
        <f>_xll.qlCalendarAdvance(Calendar,X2757,NDays&amp;"D")</f>
        <v>58362</v>
      </c>
      <c r="Z2757" s="156">
        <v>2.5299850003310809E-2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58369</v>
      </c>
      <c r="Y2758" s="155">
        <f>_xll.qlCalendarAdvance(Calendar,X2758,NDays&amp;"D")</f>
        <v>58369</v>
      </c>
      <c r="Z2758" s="156">
        <v>2.5300026145052001E-2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58376</v>
      </c>
      <c r="Y2759" s="155">
        <f>_xll.qlCalendarAdvance(Calendar,X2759,NDays&amp;"D")</f>
        <v>58376</v>
      </c>
      <c r="Z2759" s="156">
        <v>2.5300244195589627E-2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58383</v>
      </c>
      <c r="Y2760" s="155">
        <f>_xll.qlCalendarAdvance(Calendar,X2760,NDays&amp;"D")</f>
        <v>58383</v>
      </c>
      <c r="Z2760" s="156">
        <v>2.5300504008960445E-2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58391</v>
      </c>
      <c r="Y2761" s="155">
        <f>_xll.qlCalendarAdvance(Calendar,X2761,NDays&amp;"D")</f>
        <v>58391</v>
      </c>
      <c r="Z2761" s="156">
        <v>2.5300820850073791E-2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58398</v>
      </c>
      <c r="Y2762" s="155">
        <f>_xll.qlCalendarAdvance(Calendar,X2762,NDays&amp;"D")</f>
        <v>58398</v>
      </c>
      <c r="Z2762" s="156">
        <v>2.5301096944980728E-2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58405</v>
      </c>
      <c r="Y2763" s="155">
        <f>_xll.qlCalendarAdvance(Calendar,X2763,NDays&amp;"D")</f>
        <v>58405</v>
      </c>
      <c r="Z2763" s="156">
        <v>2.5302280688364043E-2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58412</v>
      </c>
      <c r="Y2764" s="155">
        <f>_xll.qlCalendarAdvance(Calendar,X2764,NDays&amp;"D")</f>
        <v>58412</v>
      </c>
      <c r="Z2764" s="156">
        <v>2.5301645940469797E-2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58419</v>
      </c>
      <c r="Y2765" s="155">
        <f>_xll.qlCalendarAdvance(Calendar,X2765,NDays&amp;"D")</f>
        <v>58419</v>
      </c>
      <c r="Z2765" s="156">
        <v>2.5301918841051929E-2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58426</v>
      </c>
      <c r="Y2766" s="155">
        <f>_xll.qlCalendarAdvance(Calendar,X2766,NDays&amp;"D")</f>
        <v>58426</v>
      </c>
      <c r="Z2766" s="156">
        <v>2.5302190676645964E-2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58433</v>
      </c>
      <c r="Y2767" s="155">
        <f>_xll.qlCalendarAdvance(Calendar,X2767,NDays&amp;"D")</f>
        <v>58433</v>
      </c>
      <c r="Z2767" s="156">
        <v>2.5303369933178388E-2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58440</v>
      </c>
      <c r="Y2768" s="155">
        <f>_xll.qlCalendarAdvance(Calendar,X2768,NDays&amp;"D")</f>
        <v>58440</v>
      </c>
      <c r="Z2768" s="156">
        <v>2.5303639582121562E-2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58447</v>
      </c>
      <c r="Y2769" s="155">
        <f>_xll.qlCalendarAdvance(Calendar,X2769,NDays&amp;"D")</f>
        <v>58447</v>
      </c>
      <c r="Z2769" s="156">
        <v>2.5302999794858394E-2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58454</v>
      </c>
      <c r="Y2770" s="155">
        <f>_xll.qlCalendarAdvance(Calendar,X2770,NDays&amp;"D")</f>
        <v>58454</v>
      </c>
      <c r="Z2770" s="156">
        <v>2.5303267371219462E-2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58461</v>
      </c>
      <c r="Y2771" s="155">
        <f>_xll.qlCalendarAdvance(Calendar,X2771,NDays&amp;"D")</f>
        <v>58461</v>
      </c>
      <c r="Z2771" s="156">
        <v>2.5303533882672369E-2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58468</v>
      </c>
      <c r="Y2772" s="155">
        <f>_xll.qlCalendarAdvance(Calendar,X2772,NDays&amp;"D")</f>
        <v>58468</v>
      </c>
      <c r="Z2772" s="156">
        <v>2.5303799329536858E-2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58475</v>
      </c>
      <c r="Y2773" s="155">
        <f>_xll.qlCalendarAdvance(Calendar,X2773,NDays&amp;"D")</f>
        <v>58475</v>
      </c>
      <c r="Z2773" s="156">
        <v>2.5304063711493185E-2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58482</v>
      </c>
      <c r="Y2774" s="155">
        <f>_xll.qlCalendarAdvance(Calendar,X2774,NDays&amp;"D")</f>
        <v>58482</v>
      </c>
      <c r="Z2774" s="156">
        <v>2.5304327028381479E-2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58489</v>
      </c>
      <c r="Y2775" s="155">
        <f>_xll.qlCalendarAdvance(Calendar,X2775,NDays&amp;"D")</f>
        <v>58489</v>
      </c>
      <c r="Z2775" s="156">
        <v>2.5304589280761292E-2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58496</v>
      </c>
      <c r="Y2776" s="155">
        <f>_xll.qlCalendarAdvance(Calendar,X2776,NDays&amp;"D")</f>
        <v>58496</v>
      </c>
      <c r="Z2776" s="156">
        <v>2.530485046807307E-2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58503</v>
      </c>
      <c r="Y2777" s="155">
        <f>_xll.qlCalendarAdvance(Calendar,X2777,NDays&amp;"D")</f>
        <v>58503</v>
      </c>
      <c r="Z2777" s="156">
        <v>2.5305110590716495E-2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58510</v>
      </c>
      <c r="Y2778" s="155">
        <f>_xll.qlCalendarAdvance(Calendar,X2778,NDays&amp;"D")</f>
        <v>58510</v>
      </c>
      <c r="Z2778" s="156">
        <v>2.5305369648371823E-2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58517</v>
      </c>
      <c r="Y2779" s="155">
        <f>_xll.qlCalendarAdvance(Calendar,X2779,NDays&amp;"D")</f>
        <v>58517</v>
      </c>
      <c r="Z2779" s="156">
        <v>2.5305627641358797E-2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58524</v>
      </c>
      <c r="Y2780" s="155">
        <f>_xll.qlCalendarAdvance(Calendar,X2780,NDays&amp;"D")</f>
        <v>58524</v>
      </c>
      <c r="Z2780" s="156">
        <v>2.5305884569517545E-2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58531</v>
      </c>
      <c r="Y2781" s="155">
        <f>_xll.qlCalendarAdvance(Calendar,X2781,NDays&amp;"D")</f>
        <v>58531</v>
      </c>
      <c r="Z2781" s="156">
        <v>2.5306140432768132E-2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58538</v>
      </c>
      <c r="Y2782" s="155">
        <f>_xll.qlCalendarAdvance(Calendar,X2782,NDays&amp;"D")</f>
        <v>58538</v>
      </c>
      <c r="Z2782" s="156">
        <v>2.5306395231110557E-2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58545</v>
      </c>
      <c r="Y2783" s="155">
        <f>_xll.qlCalendarAdvance(Calendar,X2783,NDays&amp;"D")</f>
        <v>58545</v>
      </c>
      <c r="Z2783" s="156">
        <v>2.5306648964864564E-2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58552</v>
      </c>
      <c r="Y2784" s="155">
        <f>_xll.qlCalendarAdvance(Calendar,X2784,NDays&amp;"D")</f>
        <v>58552</v>
      </c>
      <c r="Z2784" s="156">
        <v>2.5306901633550538E-2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58559</v>
      </c>
      <c r="Y2785" s="155">
        <f>_xll.qlCalendarAdvance(Calendar,X2785,NDays&amp;"D")</f>
        <v>58559</v>
      </c>
      <c r="Z2785" s="156">
        <v>2.5307153237408286E-2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58566</v>
      </c>
      <c r="Y2786" s="155">
        <f>_xll.qlCalendarAdvance(Calendar,X2786,NDays&amp;"D")</f>
        <v>58566</v>
      </c>
      <c r="Z2786" s="156">
        <v>2.5307403776677617E-2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58573</v>
      </c>
      <c r="Y2787" s="155">
        <f>_xll.qlCalendarAdvance(Calendar,X2787,NDays&amp;"D")</f>
        <v>58573</v>
      </c>
      <c r="Z2787" s="156">
        <v>2.5307653250878914E-2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58580</v>
      </c>
      <c r="Y2788" s="155">
        <f>_xll.qlCalendarAdvance(Calendar,X2788,NDays&amp;"D")</f>
        <v>58580</v>
      </c>
      <c r="Z2788" s="156">
        <v>2.5307901660331922E-2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58587</v>
      </c>
      <c r="Y2789" s="155">
        <f>_xll.qlCalendarAdvance(Calendar,X2789,NDays&amp;"D")</f>
        <v>58587</v>
      </c>
      <c r="Z2789" s="156">
        <v>2.5308149004876768E-2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58594</v>
      </c>
      <c r="Y2790" s="155">
        <f>_xll.qlCalendarAdvance(Calendar,X2790,NDays&amp;"D")</f>
        <v>58594</v>
      </c>
      <c r="Z2790" s="156">
        <v>2.5308395284833196E-2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58601</v>
      </c>
      <c r="Y2791" s="155">
        <f>_xll.qlCalendarAdvance(Calendar,X2791,NDays&amp;"D")</f>
        <v>58601</v>
      </c>
      <c r="Z2791" s="156">
        <v>2.5308640499801527E-2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58608</v>
      </c>
      <c r="Y2792" s="155">
        <f>_xll.qlCalendarAdvance(Calendar,X2792,NDays&amp;"D")</f>
        <v>58608</v>
      </c>
      <c r="Z2792" s="156">
        <v>2.530888464978176E-2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58615</v>
      </c>
      <c r="Y2793" s="155">
        <f>_xll.qlCalendarAdvance(Calendar,X2793,NDays&amp;"D")</f>
        <v>58615</v>
      </c>
      <c r="Z2793" s="156">
        <v>2.5309127735253512E-2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58622</v>
      </c>
      <c r="Y2794" s="155">
        <f>_xll.qlCalendarAdvance(Calendar,X2794,NDays&amp;"D")</f>
        <v>58622</v>
      </c>
      <c r="Z2794" s="156">
        <v>2.5309369755737166E-2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58629</v>
      </c>
      <c r="Y2795" s="155">
        <f>_xll.qlCalendarAdvance(Calendar,X2795,NDays&amp;"D")</f>
        <v>58629</v>
      </c>
      <c r="Z2795" s="156">
        <v>2.5309610711392594E-2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58636</v>
      </c>
      <c r="Y2796" s="155">
        <f>_xll.qlCalendarAdvance(Calendar,X2796,NDays&amp;"D")</f>
        <v>58636</v>
      </c>
      <c r="Z2796" s="156">
        <v>2.5309850602219797E-2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58643</v>
      </c>
      <c r="Y2797" s="155">
        <f>_xll.qlCalendarAdvance(Calendar,X2797,NDays&amp;"D")</f>
        <v>58643</v>
      </c>
      <c r="Z2797" s="156">
        <v>2.531008942829871E-2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58650</v>
      </c>
      <c r="Y2798" s="155">
        <f>_xll.qlCalendarAdvance(Calendar,X2798,NDays&amp;"D")</f>
        <v>58650</v>
      </c>
      <c r="Z2798" s="156">
        <v>2.5310327189389525E-2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58657</v>
      </c>
      <c r="Y2799" s="155">
        <f>_xll.qlCalendarAdvance(Calendar,X2799,NDays&amp;"D")</f>
        <v>58657</v>
      </c>
      <c r="Z2799" s="156">
        <v>2.5310563885652115E-2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58664</v>
      </c>
      <c r="Y2800" s="155">
        <f>_xll.qlCalendarAdvance(Calendar,X2800,NDays&amp;"D")</f>
        <v>58664</v>
      </c>
      <c r="Z2800" s="156">
        <v>2.5310799517166416E-2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58671</v>
      </c>
      <c r="Y2801" s="155">
        <f>_xll.qlCalendarAdvance(Calendar,X2801,NDays&amp;"D")</f>
        <v>58671</v>
      </c>
      <c r="Z2801" s="156">
        <v>2.5311034083852491E-2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58678</v>
      </c>
      <c r="Y2802" s="155">
        <f>_xll.qlCalendarAdvance(Calendar,X2802,NDays&amp;"D")</f>
        <v>58678</v>
      </c>
      <c r="Z2802" s="156">
        <v>2.5311267585790276E-2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58685</v>
      </c>
      <c r="Y2803" s="155">
        <f>_xll.qlCalendarAdvance(Calendar,X2803,NDays&amp;"D")</f>
        <v>58685</v>
      </c>
      <c r="Z2803" s="156">
        <v>2.5311500022739963E-2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58692</v>
      </c>
      <c r="Y2804" s="155">
        <f>_xll.qlCalendarAdvance(Calendar,X2804,NDays&amp;"D")</f>
        <v>58692</v>
      </c>
      <c r="Z2804" s="156">
        <v>2.5311731395021297E-2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58699</v>
      </c>
      <c r="Y2805" s="155">
        <f>_xll.qlCalendarAdvance(Calendar,X2805,NDays&amp;"D")</f>
        <v>58699</v>
      </c>
      <c r="Z2805" s="156">
        <v>2.531196170239447E-2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58706</v>
      </c>
      <c r="Y2806" s="155">
        <f>_xll.qlCalendarAdvance(Calendar,X2806,NDays&amp;"D")</f>
        <v>58706</v>
      </c>
      <c r="Z2806" s="156">
        <v>2.5312190944859481E-2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58713</v>
      </c>
      <c r="Y2807" s="155">
        <f>_xll.qlCalendarAdvance(Calendar,X2807,NDays&amp;"D")</f>
        <v>58713</v>
      </c>
      <c r="Z2807" s="156">
        <v>2.5312419122496266E-2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58720</v>
      </c>
      <c r="Y2808" s="155">
        <f>_xll.qlCalendarAdvance(Calendar,X2808,NDays&amp;"D")</f>
        <v>58720</v>
      </c>
      <c r="Z2808" s="156">
        <v>2.5312646235384761E-2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58727</v>
      </c>
      <c r="Y2809" s="155">
        <f>_xll.qlCalendarAdvance(Calendar,X2809,NDays&amp;"D")</f>
        <v>58727</v>
      </c>
      <c r="Z2809" s="156">
        <v>2.5312872283365095E-2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58734</v>
      </c>
      <c r="Y2810" s="155">
        <f>_xll.qlCalendarAdvance(Calendar,X2810,NDays&amp;"D")</f>
        <v>58734</v>
      </c>
      <c r="Z2810" s="156">
        <v>2.531309726659714E-2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58741</v>
      </c>
      <c r="Y2811" s="155">
        <f>_xll.qlCalendarAdvance(Calendar,X2811,NDays&amp;"D")</f>
        <v>58741</v>
      </c>
      <c r="Z2811" s="156">
        <v>2.5313321185080895E-2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58748</v>
      </c>
      <c r="Y2812" s="155">
        <f>_xll.qlCalendarAdvance(Calendar,X2812,NDays&amp;"D")</f>
        <v>58748</v>
      </c>
      <c r="Z2812" s="156">
        <v>2.5313544038656488E-2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58755</v>
      </c>
      <c r="Y2813" s="155">
        <f>_xll.qlCalendarAdvance(Calendar,X2813,NDays&amp;"D")</f>
        <v>58755</v>
      </c>
      <c r="Z2813" s="156">
        <v>2.5314671608693828E-2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58762</v>
      </c>
      <c r="Y2814" s="155">
        <f>_xll.qlCalendarAdvance(Calendar,X2814,NDays&amp;"D")</f>
        <v>58762</v>
      </c>
      <c r="Z2814" s="156">
        <v>2.5313986551243062E-2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58769</v>
      </c>
      <c r="Y2815" s="155">
        <f>_xll.qlCalendarAdvance(Calendar,X2815,NDays&amp;"D")</f>
        <v>58769</v>
      </c>
      <c r="Z2815" s="156">
        <v>2.5315111870440887E-2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58776</v>
      </c>
      <c r="Y2816" s="155">
        <f>_xll.qlCalendarAdvance(Calendar,X2816,NDays&amp;"D")</f>
        <v>58776</v>
      </c>
      <c r="Z2816" s="156">
        <v>2.5314424804596669E-2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58783</v>
      </c>
      <c r="Y2817" s="155">
        <f>_xll.qlCalendarAdvance(Calendar,X2817,NDays&amp;"D")</f>
        <v>58783</v>
      </c>
      <c r="Z2817" s="156">
        <v>2.5314642333951198E-2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58790</v>
      </c>
      <c r="Y2818" s="155">
        <f>_xll.qlCalendarAdvance(Calendar,X2818,NDays&amp;"D")</f>
        <v>58790</v>
      </c>
      <c r="Z2818" s="156">
        <v>2.5314858798477502E-2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58797</v>
      </c>
      <c r="Y2819" s="155">
        <f>_xll.qlCalendarAdvance(Calendar,X2819,NDays&amp;"D")</f>
        <v>58797</v>
      </c>
      <c r="Z2819" s="156">
        <v>2.5315074198415388E-2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58804</v>
      </c>
      <c r="Y2820" s="155">
        <f>_xll.qlCalendarAdvance(Calendar,X2820,NDays&amp;"D")</f>
        <v>58804</v>
      </c>
      <c r="Z2820" s="156">
        <v>2.5315288533285241E-2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58811</v>
      </c>
      <c r="Y2821" s="155">
        <f>_xll.qlCalendarAdvance(Calendar,X2821,NDays&amp;"D")</f>
        <v>58811</v>
      </c>
      <c r="Z2821" s="156">
        <v>2.5315501803406804E-2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58818</v>
      </c>
      <c r="Y2822" s="155">
        <f>_xll.qlCalendarAdvance(Calendar,X2822,NDays&amp;"D")</f>
        <v>58818</v>
      </c>
      <c r="Z2822" s="156">
        <v>2.5315714008700141E-2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58825</v>
      </c>
      <c r="Y2823" s="155">
        <f>_xll.qlCalendarAdvance(Calendar,X2823,NDays&amp;"D")</f>
        <v>58825</v>
      </c>
      <c r="Z2823" s="156">
        <v>2.5315925149165253E-2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58832</v>
      </c>
      <c r="Y2824" s="155">
        <f>_xll.qlCalendarAdvance(Calendar,X2824,NDays&amp;"D")</f>
        <v>58832</v>
      </c>
      <c r="Z2824" s="156">
        <v>2.5316135224722203E-2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58839</v>
      </c>
      <c r="Y2825" s="155">
        <f>_xll.qlCalendarAdvance(Calendar,X2825,NDays&amp;"D")</f>
        <v>58839</v>
      </c>
      <c r="Z2825" s="156">
        <v>2.5316344235450927E-2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58846</v>
      </c>
      <c r="Y2826" s="155">
        <f>_xll.qlCalendarAdvance(Calendar,X2826,NDays&amp;"D")</f>
        <v>58846</v>
      </c>
      <c r="Z2826" s="156">
        <v>2.5316552181351426E-2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58853</v>
      </c>
      <c r="Y2827" s="155">
        <f>_xll.qlCalendarAdvance(Calendar,X2827,NDays&amp;"D")</f>
        <v>58853</v>
      </c>
      <c r="Z2827" s="156">
        <v>2.5316759062663508E-2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58860</v>
      </c>
      <c r="Y2828" s="155">
        <f>_xll.qlCalendarAdvance(Calendar,X2828,NDays&amp;"D")</f>
        <v>58860</v>
      </c>
      <c r="Z2828" s="156">
        <v>2.5316964878827619E-2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58867</v>
      </c>
      <c r="Y2829" s="155">
        <f>_xll.qlCalendarAdvance(Calendar,X2829,NDays&amp;"D")</f>
        <v>58867</v>
      </c>
      <c r="Z2829" s="156">
        <v>2.5317169630243441E-2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58874</v>
      </c>
      <c r="Y2830" s="155">
        <f>_xll.qlCalendarAdvance(Calendar,X2830,NDays&amp;"D")</f>
        <v>58874</v>
      </c>
      <c r="Z2830" s="156">
        <v>2.5317373316910974E-2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58881</v>
      </c>
      <c r="Y2831" s="155">
        <f>_xll.qlCalendarAdvance(Calendar,X2831,NDays&amp;"D")</f>
        <v>58881</v>
      </c>
      <c r="Z2831" s="156">
        <v>2.5317575938830217E-2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58888</v>
      </c>
      <c r="Y2832" s="155">
        <f>_xll.qlCalendarAdvance(Calendar,X2832,NDays&amp;"D")</f>
        <v>58888</v>
      </c>
      <c r="Z2832" s="156">
        <v>2.5317777495761362E-2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58895</v>
      </c>
      <c r="Y2833" s="155">
        <f>_xll.qlCalendarAdvance(Calendar,X2833,NDays&amp;"D")</f>
        <v>58895</v>
      </c>
      <c r="Z2833" s="156">
        <v>2.5317977987944218E-2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58902</v>
      </c>
      <c r="Y2834" s="155">
        <f>_xll.qlCalendarAdvance(Calendar,X2834,NDays&amp;"D")</f>
        <v>58902</v>
      </c>
      <c r="Z2834" s="156">
        <v>2.5318177415218912E-2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58909</v>
      </c>
      <c r="Y2835" s="155">
        <f>_xll.qlCalendarAdvance(Calendar,X2835,NDays&amp;"D")</f>
        <v>58909</v>
      </c>
      <c r="Z2835" s="156">
        <v>2.5318375777665381E-2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58916</v>
      </c>
      <c r="Y2836" s="155">
        <f>_xll.qlCalendarAdvance(Calendar,X2836,NDays&amp;"D")</f>
        <v>58916</v>
      </c>
      <c r="Z2836" s="156">
        <v>2.531857307536356E-2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58923</v>
      </c>
      <c r="Y2837" s="155">
        <f>_xll.qlCalendarAdvance(Calendar,X2837,NDays&amp;"D")</f>
        <v>58923</v>
      </c>
      <c r="Z2837" s="156">
        <v>2.5318769308153577E-2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58930</v>
      </c>
      <c r="Y2838" s="155">
        <f>_xll.qlCalendarAdvance(Calendar,X2838,NDays&amp;"D")</f>
        <v>58930</v>
      </c>
      <c r="Z2838" s="156">
        <v>2.5318964476195305E-2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58937</v>
      </c>
      <c r="Y2839" s="155">
        <f>_xll.qlCalendarAdvance(Calendar,X2839,NDays&amp;"D")</f>
        <v>58937</v>
      </c>
      <c r="Z2839" s="156">
        <v>2.5319158579328871E-2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58944</v>
      </c>
      <c r="Y2840" s="155">
        <f>_xll.qlCalendarAdvance(Calendar,X2840,NDays&amp;"D")</f>
        <v>58944</v>
      </c>
      <c r="Z2840" s="156">
        <v>2.5319351617634211E-2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58951</v>
      </c>
      <c r="Y2841" s="155">
        <f>_xll.qlCalendarAdvance(Calendar,X2841,NDays&amp;"D")</f>
        <v>58951</v>
      </c>
      <c r="Z2841" s="156">
        <v>2.5319543591191263E-2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58958</v>
      </c>
      <c r="Y2842" s="155">
        <f>_xll.qlCalendarAdvance(Calendar,X2842,NDays&amp;"D")</f>
        <v>58958</v>
      </c>
      <c r="Z2842" s="156">
        <v>2.5319734500000024E-2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58965</v>
      </c>
      <c r="Y2843" s="155">
        <f>_xll.qlCalendarAdvance(Calendar,X2843,NDays&amp;"D")</f>
        <v>58965</v>
      </c>
      <c r="Z2843" s="156">
        <v>2.5319924343740752E-2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58972</v>
      </c>
      <c r="Y2844" s="155">
        <f>_xll.qlCalendarAdvance(Calendar,X2844,NDays&amp;"D")</f>
        <v>58972</v>
      </c>
      <c r="Z2844" s="156">
        <v>2.5320113122813126E-2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58979</v>
      </c>
      <c r="Y2845" s="155">
        <f>_xll.qlCalendarAdvance(Calendar,X2845,NDays&amp;"D")</f>
        <v>58979</v>
      </c>
      <c r="Z2845" s="156">
        <v>2.5320300836897403E-2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58986</v>
      </c>
      <c r="Y2846" s="155">
        <f>_xll.qlCalendarAdvance(Calendar,X2846,NDays&amp;"D")</f>
        <v>58986</v>
      </c>
      <c r="Z2846" s="156">
        <v>2.532048748623339E-2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58993</v>
      </c>
      <c r="Y2847" s="155">
        <f>_xll.qlCalendarAdvance(Calendar,X2847,NDays&amp;"D")</f>
        <v>58993</v>
      </c>
      <c r="Z2847" s="156">
        <v>2.5320673070901023E-2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59000</v>
      </c>
      <c r="Y2848" s="155">
        <f>_xll.qlCalendarAdvance(Calendar,X2848,NDays&amp;"D")</f>
        <v>59000</v>
      </c>
      <c r="Z2848" s="156">
        <v>2.5320857590580559E-2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59007</v>
      </c>
      <c r="Y2849" s="155">
        <f>_xll.qlCalendarAdvance(Calendar,X2849,NDays&amp;"D")</f>
        <v>59007</v>
      </c>
      <c r="Z2849" s="156">
        <v>2.5321041045431869E-2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59014</v>
      </c>
      <c r="Y2850" s="155">
        <f>_xll.qlCalendarAdvance(Calendar,X2850,NDays&amp;"D")</f>
        <v>59014</v>
      </c>
      <c r="Z2850" s="156">
        <v>2.5321223435454954E-2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59021</v>
      </c>
      <c r="Y2851" s="155">
        <f>_xll.qlCalendarAdvance(Calendar,X2851,NDays&amp;"D")</f>
        <v>59021</v>
      </c>
      <c r="Z2851" s="156">
        <v>2.5321404760729749E-2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59028</v>
      </c>
      <c r="Y2852" s="155">
        <f>_xll.qlCalendarAdvance(Calendar,X2852,NDays&amp;"D")</f>
        <v>59028</v>
      </c>
      <c r="Z2852" s="156">
        <v>2.5321585021176318E-2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59035</v>
      </c>
      <c r="Y2853" s="155">
        <f>_xll.qlCalendarAdvance(Calendar,X2853,NDays&amp;"D")</f>
        <v>59035</v>
      </c>
      <c r="Z2853" s="156">
        <v>2.5321764216554854E-2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59042</v>
      </c>
      <c r="Y2854" s="155">
        <f>_xll.qlCalendarAdvance(Calendar,X2854,NDays&amp;"D")</f>
        <v>59042</v>
      </c>
      <c r="Z2854" s="156">
        <v>2.5321942347424908E-2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59049</v>
      </c>
      <c r="Y2855" s="155">
        <f>_xll.qlCalendarAdvance(Calendar,X2855,NDays&amp;"D")</f>
        <v>59049</v>
      </c>
      <c r="Z2855" s="156">
        <v>2.5322119413386801E-2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59056</v>
      </c>
      <c r="Y2856" s="155">
        <f>_xll.qlCalendarAdvance(Calendar,X2856,NDays&amp;"D")</f>
        <v>59056</v>
      </c>
      <c r="Z2856" s="156">
        <v>2.5322295414360596E-2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59063</v>
      </c>
      <c r="Y2857" s="155">
        <f>_xll.qlCalendarAdvance(Calendar,X2857,NDays&amp;"D")</f>
        <v>59063</v>
      </c>
      <c r="Z2857" s="156">
        <v>2.5322470350666038E-2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59070</v>
      </c>
      <c r="Y2858" s="155">
        <f>_xll.qlCalendarAdvance(Calendar,X2858,NDays&amp;"D")</f>
        <v>59070</v>
      </c>
      <c r="Z2858" s="156">
        <v>2.5322644222063317E-2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59077</v>
      </c>
      <c r="Y2859" s="155">
        <f>_xll.qlCalendarAdvance(Calendar,X2859,NDays&amp;"D")</f>
        <v>59077</v>
      </c>
      <c r="Z2859" s="156">
        <v>2.5322817028712308E-2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59084</v>
      </c>
      <c r="Y2860" s="155">
        <f>_xll.qlCalendarAdvance(Calendar,X2860,NDays&amp;"D")</f>
        <v>59084</v>
      </c>
      <c r="Z2860" s="156">
        <v>2.5322988770453136E-2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59091</v>
      </c>
      <c r="Y2861" s="155">
        <f>_xll.qlCalendarAdvance(Calendar,X2861,NDays&amp;"D")</f>
        <v>59091</v>
      </c>
      <c r="Z2861" s="156">
        <v>2.5323159447285803E-2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59098</v>
      </c>
      <c r="Y2862" s="155">
        <f>_xll.qlCalendarAdvance(Calendar,X2862,NDays&amp;"D")</f>
        <v>59098</v>
      </c>
      <c r="Z2862" s="156">
        <v>2.5323329059450117E-2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59105</v>
      </c>
      <c r="Y2863" s="155">
        <f>_xll.qlCalendarAdvance(Calendar,X2863,NDays&amp;"D")</f>
        <v>59105</v>
      </c>
      <c r="Z2863" s="156">
        <v>2.5323497606706269E-2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59112</v>
      </c>
      <c r="Y2864" s="155">
        <f>_xll.qlCalendarAdvance(Calendar,X2864,NDays&amp;"D")</f>
        <v>59112</v>
      </c>
      <c r="Z2864" s="156">
        <v>2.5323665089134195E-2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59119</v>
      </c>
      <c r="Y2865" s="155">
        <f>_xll.qlCalendarAdvance(Calendar,X2865,NDays&amp;"D")</f>
        <v>59119</v>
      </c>
      <c r="Z2865" s="156">
        <v>2.5323831506733896E-2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59126</v>
      </c>
      <c r="Y2866" s="155">
        <f>_xll.qlCalendarAdvance(Calendar,X2866,NDays&amp;"D")</f>
        <v>59126</v>
      </c>
      <c r="Z2866" s="156">
        <v>2.5323996859505371E-2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59133</v>
      </c>
      <c r="Y2867" s="155">
        <f>_xll.qlCalendarAdvance(Calendar,X2867,NDays&amp;"D")</f>
        <v>59133</v>
      </c>
      <c r="Z2867" s="156">
        <v>2.5325063552439353E-2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59140</v>
      </c>
      <c r="Y2868" s="155">
        <f>_xll.qlCalendarAdvance(Calendar,X2868,NDays&amp;"D")</f>
        <v>59140</v>
      </c>
      <c r="Z2868" s="156">
        <v>2.5324324370643581E-2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59147</v>
      </c>
      <c r="Y2869" s="155">
        <f>_xll.qlCalendarAdvance(Calendar,X2869,NDays&amp;"D")</f>
        <v>59147</v>
      </c>
      <c r="Z2869" s="156">
        <v>2.5324486529010315E-2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59154</v>
      </c>
      <c r="Y2870" s="155">
        <f>_xll.qlCalendarAdvance(Calendar,X2870,NDays&amp;"D")</f>
        <v>59154</v>
      </c>
      <c r="Z2870" s="156">
        <v>2.5324647622388952E-2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59161</v>
      </c>
      <c r="Y2871" s="155">
        <f>_xll.qlCalendarAdvance(Calendar,X2871,NDays&amp;"D")</f>
        <v>59161</v>
      </c>
      <c r="Z2871" s="156">
        <v>2.5324807651019299E-2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59168</v>
      </c>
      <c r="Y2872" s="155">
        <f>_xll.qlCalendarAdvance(Calendar,X2872,NDays&amp;"D")</f>
        <v>59168</v>
      </c>
      <c r="Z2872" s="156">
        <v>2.532496661482142E-2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59175</v>
      </c>
      <c r="Y2873" s="155">
        <f>_xll.qlCalendarAdvance(Calendar,X2873,NDays&amp;"D")</f>
        <v>59175</v>
      </c>
      <c r="Z2873" s="156">
        <v>2.5325124513795316E-2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59182</v>
      </c>
      <c r="Y2874" s="155">
        <f>_xll.qlCalendarAdvance(Calendar,X2874,NDays&amp;"D")</f>
        <v>59182</v>
      </c>
      <c r="Z2874" s="156">
        <v>2.5325281347861051E-2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59189</v>
      </c>
      <c r="Y2875" s="155">
        <f>_xll.qlCalendarAdvance(Calendar,X2875,NDays&amp;"D")</f>
        <v>59189</v>
      </c>
      <c r="Z2875" s="156">
        <v>2.5325437117258431E-2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59196</v>
      </c>
      <c r="Y2876" s="155">
        <f>_xll.qlCalendarAdvance(Calendar,X2876,NDays&amp;"D")</f>
        <v>59196</v>
      </c>
      <c r="Z2876" s="156">
        <v>2.5325591821667714E-2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59203</v>
      </c>
      <c r="Y2877" s="155">
        <f>_xll.qlCalendarAdvance(Calendar,X2877,NDays&amp;"D")</f>
        <v>59203</v>
      </c>
      <c r="Z2877" s="156">
        <v>2.532574546148858E-2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59210</v>
      </c>
      <c r="Y2878" s="155">
        <f>_xll.qlCalendarAdvance(Calendar,X2878,NDays&amp;"D")</f>
        <v>59210</v>
      </c>
      <c r="Z2878" s="156">
        <v>2.5325898036241412E-2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59217</v>
      </c>
      <c r="Y2879" s="155">
        <f>_xll.qlCalendarAdvance(Calendar,X2879,NDays&amp;"D")</f>
        <v>59217</v>
      </c>
      <c r="Z2879" s="156">
        <v>2.5326049546166018E-2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59224</v>
      </c>
      <c r="Y2880" s="155">
        <f>_xll.qlCalendarAdvance(Calendar,X2880,NDays&amp;"D")</f>
        <v>59224</v>
      </c>
      <c r="Z2880" s="156">
        <v>2.5326199991422271E-2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59231</v>
      </c>
      <c r="Y2881" s="155">
        <f>_xll.qlCalendarAdvance(Calendar,X2881,NDays&amp;"D")</f>
        <v>59231</v>
      </c>
      <c r="Z2881" s="156">
        <v>2.5326349371770362E-2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59238</v>
      </c>
      <c r="Y2882" s="155">
        <f>_xll.qlCalendarAdvance(Calendar,X2882,NDays&amp;"D")</f>
        <v>59238</v>
      </c>
      <c r="Z2882" s="156">
        <v>2.5326497687290228E-2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59245</v>
      </c>
      <c r="Y2883" s="155">
        <f>_xll.qlCalendarAdvance(Calendar,X2883,NDays&amp;"D")</f>
        <v>59245</v>
      </c>
      <c r="Z2883" s="156">
        <v>2.5326644937901932E-2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59252</v>
      </c>
      <c r="Y2884" s="155">
        <f>_xll.qlCalendarAdvance(Calendar,X2884,NDays&amp;"D")</f>
        <v>59252</v>
      </c>
      <c r="Z2884" s="156">
        <v>2.5326791123845283E-2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59259</v>
      </c>
      <c r="Y2885" s="155">
        <f>_xll.qlCalendarAdvance(Calendar,X2885,NDays&amp;"D")</f>
        <v>59259</v>
      </c>
      <c r="Z2885" s="156">
        <v>2.5326936244880471E-2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59266</v>
      </c>
      <c r="Y2886" s="155">
        <f>_xll.qlCalendarAdvance(Calendar,X2886,NDays&amp;"D")</f>
        <v>59266</v>
      </c>
      <c r="Z2886" s="156">
        <v>2.5327080301007499E-2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59273</v>
      </c>
      <c r="Y2887" s="155">
        <f>_xll.qlCalendarAdvance(Calendar,X2887,NDays&amp;"D")</f>
        <v>59273</v>
      </c>
      <c r="Z2887" s="156">
        <v>2.5327223292386236E-2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59280</v>
      </c>
      <c r="Y2888" s="155">
        <f>_xll.qlCalendarAdvance(Calendar,X2888,NDays&amp;"D")</f>
        <v>59280</v>
      </c>
      <c r="Z2888" s="156">
        <v>2.5327365219016684E-2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59287</v>
      </c>
      <c r="Y2889" s="155">
        <f>_xll.qlCalendarAdvance(Calendar,X2889,NDays&amp;"D")</f>
        <v>59287</v>
      </c>
      <c r="Z2889" s="156">
        <v>2.5327506080659035E-2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59294</v>
      </c>
      <c r="Y2890" s="155">
        <f>_xll.qlCalendarAdvance(Calendar,X2890,NDays&amp;"D")</f>
        <v>59294</v>
      </c>
      <c r="Z2890" s="156">
        <v>2.5327645877473159E-2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59301</v>
      </c>
      <c r="Y2891" s="155">
        <f>_xll.qlCalendarAdvance(Calendar,X2891,NDays&amp;"D")</f>
        <v>59301</v>
      </c>
      <c r="Z2891" s="156">
        <v>2.5327784609698867E-2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59308</v>
      </c>
      <c r="Y2892" s="155">
        <f>_xll.qlCalendarAdvance(Calendar,X2892,NDays&amp;"D")</f>
        <v>59308</v>
      </c>
      <c r="Z2892" s="156">
        <v>2.532792227685654E-2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59315</v>
      </c>
      <c r="Y2893" s="155">
        <f>_xll.qlCalendarAdvance(Calendar,X2893,NDays&amp;"D")</f>
        <v>59315</v>
      </c>
      <c r="Z2893" s="156">
        <v>2.5328058879185988E-2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59322</v>
      </c>
      <c r="Y2894" s="155">
        <f>_xll.qlCalendarAdvance(Calendar,X2894,NDays&amp;"D")</f>
        <v>59322</v>
      </c>
      <c r="Z2894" s="156">
        <v>2.5328194416767147E-2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59329</v>
      </c>
      <c r="Y2895" s="155">
        <f>_xll.qlCalendarAdvance(Calendar,X2895,NDays&amp;"D")</f>
        <v>59329</v>
      </c>
      <c r="Z2895" s="156">
        <v>2.5328328889440144E-2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59336</v>
      </c>
      <c r="Y2896" s="155">
        <f>_xll.qlCalendarAdvance(Calendar,X2896,NDays&amp;"D")</f>
        <v>59336</v>
      </c>
      <c r="Z2896" s="156">
        <v>2.5328462297444787E-2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59343</v>
      </c>
      <c r="Y2897" s="155">
        <f>_xll.qlCalendarAdvance(Calendar,X2897,NDays&amp;"D")</f>
        <v>59343</v>
      </c>
      <c r="Z2897" s="156">
        <v>2.5328594640461333E-2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59350</v>
      </c>
      <c r="Y2898" s="155">
        <f>_xll.qlCalendarAdvance(Calendar,X2898,NDays&amp;"D")</f>
        <v>59350</v>
      </c>
      <c r="Z2898" s="156">
        <v>2.5328725918809525E-2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59357</v>
      </c>
      <c r="Y2899" s="155">
        <f>_xll.qlCalendarAdvance(Calendar,X2899,NDays&amp;"D")</f>
        <v>59357</v>
      </c>
      <c r="Z2899" s="156">
        <v>2.5328856132169619E-2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59364</v>
      </c>
      <c r="Y2900" s="155">
        <f>_xll.qlCalendarAdvance(Calendar,X2900,NDays&amp;"D")</f>
        <v>59364</v>
      </c>
      <c r="Z2900" s="156">
        <v>2.5328985280701488E-2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59371</v>
      </c>
      <c r="Y2901" s="155">
        <f>_xll.qlCalendarAdvance(Calendar,X2901,NDays&amp;"D")</f>
        <v>59371</v>
      </c>
      <c r="Z2901" s="156">
        <v>2.5329113364485067E-2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59378</v>
      </c>
      <c r="Y2902" s="155">
        <f>_xll.qlCalendarAdvance(Calendar,X2902,NDays&amp;"D")</f>
        <v>59378</v>
      </c>
      <c r="Z2902" s="156">
        <v>2.5329240383440421E-2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59385</v>
      </c>
      <c r="Y2903" s="155">
        <f>_xll.qlCalendarAdvance(Calendar,X2903,NDays&amp;"D")</f>
        <v>59385</v>
      </c>
      <c r="Z2903" s="156">
        <v>2.5329366337647485E-2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59392</v>
      </c>
      <c r="Y2904" s="155">
        <f>_xll.qlCalendarAdvance(Calendar,X2904,NDays&amp;"D")</f>
        <v>59392</v>
      </c>
      <c r="Z2904" s="156">
        <v>2.5329491226786516E-2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59399</v>
      </c>
      <c r="Y2905" s="155">
        <f>_xll.qlCalendarAdvance(Calendar,X2905,NDays&amp;"D")</f>
        <v>59399</v>
      </c>
      <c r="Z2905" s="156">
        <v>2.5329615051257193E-2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59406</v>
      </c>
      <c r="Y2906" s="155">
        <f>_xll.qlCalendarAdvance(Calendar,X2906,NDays&amp;"D")</f>
        <v>59406</v>
      </c>
      <c r="Z2906" s="156">
        <v>2.5329737810819708E-2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59413</v>
      </c>
      <c r="Y2907" s="155">
        <f>_xll.qlCalendarAdvance(Calendar,X2907,NDays&amp;"D")</f>
        <v>59413</v>
      </c>
      <c r="Z2907" s="156">
        <v>2.5329859505633934E-2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59420</v>
      </c>
      <c r="Y2908" s="155">
        <f>_xll.qlCalendarAdvance(Calendar,X2908,NDays&amp;"D")</f>
        <v>59420</v>
      </c>
      <c r="Z2908" s="156">
        <v>2.5329980135619934E-2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59427</v>
      </c>
      <c r="Y2909" s="155">
        <f>_xll.qlCalendarAdvance(Calendar,X2909,NDays&amp;"D")</f>
        <v>59427</v>
      </c>
      <c r="Z2909" s="156">
        <v>2.5330099700777708E-2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59434</v>
      </c>
      <c r="Y2910" s="155">
        <f>_xll.qlCalendarAdvance(Calendar,X2910,NDays&amp;"D")</f>
        <v>59434</v>
      </c>
      <c r="Z2910" s="156">
        <v>2.5330218201027321E-2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59441</v>
      </c>
      <c r="Y2911" s="155">
        <f>_xll.qlCalendarAdvance(Calendar,X2911,NDays&amp;"D")</f>
        <v>59441</v>
      </c>
      <c r="Z2911" s="156">
        <v>2.5330335636368773E-2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59448</v>
      </c>
      <c r="Y2912" s="155">
        <f>_xll.qlCalendarAdvance(Calendar,X2912,NDays&amp;"D")</f>
        <v>59448</v>
      </c>
      <c r="Z2912" s="156">
        <v>2.5330452007121806E-2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59455</v>
      </c>
      <c r="Y2913" s="155">
        <f>_xll.qlCalendarAdvance(Calendar,X2913,NDays&amp;"D")</f>
        <v>59455</v>
      </c>
      <c r="Z2913" s="156">
        <v>2.5330567312886743E-2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59462</v>
      </c>
      <c r="Y2914" s="155">
        <f>_xll.qlCalendarAdvance(Calendar,X2914,NDays&amp;"D")</f>
        <v>59462</v>
      </c>
      <c r="Z2914" s="156">
        <v>2.5330681553903389E-2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59469</v>
      </c>
      <c r="Y2915" s="155">
        <f>_xll.qlCalendarAdvance(Calendar,X2915,NDays&amp;"D")</f>
        <v>59469</v>
      </c>
      <c r="Z2915" s="156">
        <v>2.5330794729931938E-2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59476</v>
      </c>
      <c r="Y2916" s="155">
        <f>_xll.qlCalendarAdvance(Calendar,X2916,NDays&amp;"D")</f>
        <v>59476</v>
      </c>
      <c r="Z2916" s="156">
        <v>2.5330906841372069E-2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59483</v>
      </c>
      <c r="Y2917" s="155">
        <f>_xll.qlCalendarAdvance(Calendar,X2917,NDays&amp;"D")</f>
        <v>59483</v>
      </c>
      <c r="Z2917" s="156">
        <v>2.5331017887904039E-2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59490</v>
      </c>
      <c r="Y2918" s="155">
        <f>_xll.qlCalendarAdvance(Calendar,X2918,NDays&amp;"D")</f>
        <v>59490</v>
      </c>
      <c r="Z2918" s="156">
        <v>2.5331127869527847E-2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59497</v>
      </c>
      <c r="Y2919" s="155">
        <f>_xll.qlCalendarAdvance(Calendar,X2919,NDays&amp;"D")</f>
        <v>59497</v>
      </c>
      <c r="Z2919" s="156">
        <v>2.5332135733679984E-2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59504</v>
      </c>
      <c r="Y2920" s="155">
        <f>_xll.qlCalendarAdvance(Calendar,X2920,NDays&amp;"D")</f>
        <v>59504</v>
      </c>
      <c r="Z2920" s="156">
        <v>2.5331344638450659E-2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59511</v>
      </c>
      <c r="Y2921" s="155">
        <f>_xll.qlCalendarAdvance(Calendar,X2921,NDays&amp;"D")</f>
        <v>59511</v>
      </c>
      <c r="Z2921" s="156">
        <v>2.5331451425509854E-2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59518</v>
      </c>
      <c r="Y2922" s="155">
        <f>_xll.qlCalendarAdvance(Calendar,X2922,NDays&amp;"D")</f>
        <v>59518</v>
      </c>
      <c r="Z2922" s="156">
        <v>2.5331557147740824E-2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59525</v>
      </c>
      <c r="Y2923" s="155">
        <f>_xll.qlCalendarAdvance(Calendar,X2923,NDays&amp;"D")</f>
        <v>59525</v>
      </c>
      <c r="Z2923" s="156">
        <v>2.533166180530344E-2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59532</v>
      </c>
      <c r="Y2924" s="155">
        <f>_xll.qlCalendarAdvance(Calendar,X2924,NDays&amp;"D")</f>
        <v>59532</v>
      </c>
      <c r="Z2924" s="156">
        <v>2.5331765398117767E-2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59539</v>
      </c>
      <c r="Y2925" s="155">
        <f>_xll.qlCalendarAdvance(Calendar,X2925,NDays&amp;"D")</f>
        <v>59539</v>
      </c>
      <c r="Z2925" s="156">
        <v>2.5331867925943996E-2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59546</v>
      </c>
      <c r="Y2926" s="155">
        <f>_xll.qlCalendarAdvance(Calendar,X2926,NDays&amp;"D")</f>
        <v>59546</v>
      </c>
      <c r="Z2926" s="156">
        <v>2.5331969388862063E-2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59553</v>
      </c>
      <c r="Y2927" s="155">
        <f>_xll.qlCalendarAdvance(Calendar,X2927,NDays&amp;"D")</f>
        <v>59553</v>
      </c>
      <c r="Z2927" s="156">
        <v>2.5332069787111777E-2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59560</v>
      </c>
      <c r="Y2928" s="155">
        <f>_xll.qlCalendarAdvance(Calendar,X2928,NDays&amp;"D")</f>
        <v>59560</v>
      </c>
      <c r="Z2928" s="156">
        <v>2.5332169120453329E-2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59567</v>
      </c>
      <c r="Y2929" s="155">
        <f>_xll.qlCalendarAdvance(Calendar,X2929,NDays&amp;"D")</f>
        <v>59567</v>
      </c>
      <c r="Z2929" s="156">
        <v>2.5332267388966656E-2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59574</v>
      </c>
      <c r="Y2930" s="155">
        <f>_xll.qlCalendarAdvance(Calendar,X2930,NDays&amp;"D")</f>
        <v>59574</v>
      </c>
      <c r="Z2930" s="156">
        <v>2.5332364592651757E-2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59581</v>
      </c>
      <c r="Y2931" s="155">
        <f>_xll.qlCalendarAdvance(Calendar,X2931,NDays&amp;"D")</f>
        <v>59581</v>
      </c>
      <c r="Z2931" s="156">
        <v>2.5332460731668505E-2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59588</v>
      </c>
      <c r="Y2932" s="155">
        <f>_xll.qlCalendarAdvance(Calendar,X2932,NDays&amp;"D")</f>
        <v>59588</v>
      </c>
      <c r="Z2932" s="156">
        <v>2.5332555805697154E-2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59595</v>
      </c>
      <c r="Y2933" s="155">
        <f>_xll.qlCalendarAdvance(Calendar,X2933,NDays&amp;"D")</f>
        <v>59595</v>
      </c>
      <c r="Z2933" s="156">
        <v>2.5332649814817643E-2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59602</v>
      </c>
      <c r="Y2934" s="155">
        <f>_xll.qlCalendarAdvance(Calendar,X2934,NDays&amp;"D")</f>
        <v>59602</v>
      </c>
      <c r="Z2934" s="156">
        <v>2.5332742759349713E-2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59609</v>
      </c>
      <c r="Y2935" s="155">
        <f>_xll.qlCalendarAdvance(Calendar,X2935,NDays&amp;"D")</f>
        <v>59609</v>
      </c>
      <c r="Z2935" s="156">
        <v>2.533283463881375E-2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59616</v>
      </c>
      <c r="Y2936" s="155">
        <f>_xll.qlCalendarAdvance(Calendar,X2936,NDays&amp;"D")</f>
        <v>59616</v>
      </c>
      <c r="Z2936" s="156">
        <v>2.5332925453609434E-2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59623</v>
      </c>
      <c r="Y2937" s="155">
        <f>_xll.qlCalendarAdvance(Calendar,X2937,NDays&amp;"D")</f>
        <v>59623</v>
      </c>
      <c r="Z2937" s="156">
        <v>2.5333015203337084E-2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59630</v>
      </c>
      <c r="Y2938" s="155">
        <f>_xll.qlCalendarAdvance(Calendar,X2938,NDays&amp;"D")</f>
        <v>59630</v>
      </c>
      <c r="Z2938" s="156">
        <v>2.5333103888556252E-2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59637</v>
      </c>
      <c r="Y2939" s="155">
        <f>_xll.qlCalendarAdvance(Calendar,X2939,NDays&amp;"D")</f>
        <v>59637</v>
      </c>
      <c r="Z2939" s="156">
        <v>2.5333191508787323E-2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59644</v>
      </c>
      <c r="Y2940" s="155">
        <f>_xll.qlCalendarAdvance(Calendar,X2940,NDays&amp;"D")</f>
        <v>59644</v>
      </c>
      <c r="Z2940" s="156">
        <v>2.5333278064190168E-2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59651</v>
      </c>
      <c r="Y2941" s="155">
        <f>_xll.qlCalendarAdvance(Calendar,X2941,NDays&amp;"D")</f>
        <v>59651</v>
      </c>
      <c r="Z2941" s="156">
        <v>2.5333363554764787E-2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59658</v>
      </c>
      <c r="Y2942" s="155">
        <f>_xll.qlCalendarAdvance(Calendar,X2942,NDays&amp;"D")</f>
        <v>59658</v>
      </c>
      <c r="Z2942" s="156">
        <v>2.5333447980591117E-2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59665</v>
      </c>
      <c r="Y2943" s="155">
        <f>_xll.qlCalendarAdvance(Calendar,X2943,NDays&amp;"D")</f>
        <v>59665</v>
      </c>
      <c r="Z2943" s="156">
        <v>2.5333531341429349E-2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59672</v>
      </c>
      <c r="Y2944" s="155">
        <f>_xll.qlCalendarAdvance(Calendar,X2944,NDays&amp;"D")</f>
        <v>59672</v>
      </c>
      <c r="Z2944" s="156">
        <v>2.5333613637439356E-2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59679</v>
      </c>
      <c r="Y2945" s="155">
        <f>_xll.qlCalendarAdvance(Calendar,X2945,NDays&amp;"D")</f>
        <v>59679</v>
      </c>
      <c r="Z2945" s="156">
        <v>2.5333694868860945E-2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59686</v>
      </c>
      <c r="Y2946" s="155">
        <f>_xll.qlCalendarAdvance(Calendar,X2946,NDays&amp;"D")</f>
        <v>59686</v>
      </c>
      <c r="Z2946" s="156">
        <v>2.5333775035294437E-2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59693</v>
      </c>
      <c r="Y2947" s="155">
        <f>_xll.qlCalendarAdvance(Calendar,X2947,NDays&amp;"D")</f>
        <v>59693</v>
      </c>
      <c r="Z2947" s="156">
        <v>2.5333854136899703E-2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59700</v>
      </c>
      <c r="Y2948" s="155">
        <f>_xll.qlCalendarAdvance(Calendar,X2948,NDays&amp;"D")</f>
        <v>59700</v>
      </c>
      <c r="Z2948" s="156">
        <v>2.5333932173596807E-2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59707</v>
      </c>
      <c r="Y2949" s="155">
        <f>_xll.qlCalendarAdvance(Calendar,X2949,NDays&amp;"D")</f>
        <v>59707</v>
      </c>
      <c r="Z2949" s="156">
        <v>2.5334009145705494E-2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59714</v>
      </c>
      <c r="Y2950" s="155">
        <f>_xll.qlCalendarAdvance(Calendar,X2950,NDays&amp;"D")</f>
        <v>59714</v>
      </c>
      <c r="Z2950" s="156">
        <v>2.5334085052826083E-2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59722</v>
      </c>
      <c r="Y2951" s="155">
        <f>_xll.qlCalendarAdvance(Calendar,X2951,NDays&amp;"D")</f>
        <v>59722</v>
      </c>
      <c r="Z2951" s="156">
        <v>2.5334170499915487E-2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59729</v>
      </c>
      <c r="Y2952" s="155">
        <f>_xll.qlCalendarAdvance(Calendar,X2952,NDays&amp;"D")</f>
        <v>59729</v>
      </c>
      <c r="Z2952" s="156">
        <v>2.5334244125181371E-2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59736</v>
      </c>
      <c r="Y2953" s="155">
        <f>_xll.qlCalendarAdvance(Calendar,X2953,NDays&amp;"D")</f>
        <v>59736</v>
      </c>
      <c r="Z2953" s="156">
        <v>2.5334316685619029E-2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59743</v>
      </c>
      <c r="Y2954" s="155">
        <f>_xll.qlCalendarAdvance(Calendar,X2954,NDays&amp;"D")</f>
        <v>59743</v>
      </c>
      <c r="Z2954" s="156">
        <v>2.5334388181388334E-2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59750</v>
      </c>
      <c r="Y2955" s="155">
        <f>_xll.qlCalendarAdvance(Calendar,X2955,NDays&amp;"D")</f>
        <v>59750</v>
      </c>
      <c r="Z2955" s="156">
        <v>2.5334458612249477E-2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59757</v>
      </c>
      <c r="Y2956" s="155">
        <f>_xll.qlCalendarAdvance(Calendar,X2956,NDays&amp;"D")</f>
        <v>59757</v>
      </c>
      <c r="Z2956" s="156">
        <v>2.5334527978202459E-2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59764</v>
      </c>
      <c r="Y2957" s="155">
        <f>_xll.qlCalendarAdvance(Calendar,X2957,NDays&amp;"D")</f>
        <v>59764</v>
      </c>
      <c r="Z2957" s="156">
        <v>2.5334596279487087E-2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59771</v>
      </c>
      <c r="Y2958" s="155">
        <f>_xll.qlCalendarAdvance(Calendar,X2958,NDays&amp;"D")</f>
        <v>59771</v>
      </c>
      <c r="Z2958" s="156">
        <v>2.5334663515863554E-2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59778</v>
      </c>
      <c r="Y2959" s="155">
        <f>_xll.qlCalendarAdvance(Calendar,X2959,NDays&amp;"D")</f>
        <v>59778</v>
      </c>
      <c r="Z2959" s="156">
        <v>2.533472968749173E-2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59785</v>
      </c>
      <c r="Y2960" s="155">
        <f>_xll.qlCalendarAdvance(Calendar,X2960,NDays&amp;"D")</f>
        <v>59785</v>
      </c>
      <c r="Z2960" s="156">
        <v>2.5334794794051874E-2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59792</v>
      </c>
      <c r="Y2961" s="155">
        <f>_xll.qlCalendarAdvance(Calendar,X2961,NDays&amp;"D")</f>
        <v>59792</v>
      </c>
      <c r="Z2961" s="156">
        <v>2.5334858835943663E-2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59799</v>
      </c>
      <c r="Y2962" s="155">
        <f>_xll.qlCalendarAdvance(Calendar,X2962,NDays&amp;"D")</f>
        <v>59799</v>
      </c>
      <c r="Z2962" s="156">
        <v>2.5334921813087163E-2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59806</v>
      </c>
      <c r="Y2963" s="155">
        <f>_xll.qlCalendarAdvance(Calendar,X2963,NDays&amp;"D")</f>
        <v>59806</v>
      </c>
      <c r="Z2963" s="156">
        <v>2.5334983725242566E-2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59813</v>
      </c>
      <c r="Y2964" s="155">
        <f>_xll.qlCalendarAdvance(Calendar,X2964,NDays&amp;"D")</f>
        <v>59813</v>
      </c>
      <c r="Z2964" s="156">
        <v>2.5335044572649679E-2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59820</v>
      </c>
      <c r="Y2965" s="155">
        <f>_xll.qlCalendarAdvance(Calendar,X2965,NDays&amp;"D")</f>
        <v>59820</v>
      </c>
      <c r="Z2965" s="156">
        <v>2.5335104355228566E-2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59827</v>
      </c>
      <c r="Y2966" s="155">
        <f>_xll.qlCalendarAdvance(Calendar,X2966,NDays&amp;"D")</f>
        <v>59827</v>
      </c>
      <c r="Z2966" s="156">
        <v>2.5335163072979228E-2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59834</v>
      </c>
      <c r="Y2967" s="155">
        <f>_xll.qlCalendarAdvance(Calendar,X2967,NDays&amp;"D")</f>
        <v>59834</v>
      </c>
      <c r="Z2967" s="156">
        <v>2.5335220725741792E-2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59841</v>
      </c>
      <c r="Y2968" s="155">
        <f>_xll.qlCalendarAdvance(Calendar,X2968,NDays&amp;"D")</f>
        <v>59841</v>
      </c>
      <c r="Z2968" s="156">
        <v>2.5335277313995874E-2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59848</v>
      </c>
      <c r="Y2969" s="155">
        <f>_xll.qlCalendarAdvance(Calendar,X2969,NDays&amp;"D")</f>
        <v>59848</v>
      </c>
      <c r="Z2969" s="156">
        <v>2.5335332837181923E-2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59855</v>
      </c>
      <c r="Y2970" s="155">
        <f>_xll.qlCalendarAdvance(Calendar,X2970,NDays&amp;"D")</f>
        <v>59855</v>
      </c>
      <c r="Z2970" s="156">
        <v>2.5335387295619682E-2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59863</v>
      </c>
      <c r="Y2971" s="155">
        <f>_xll.qlCalendarAdvance(Calendar,X2971,NDays&amp;"D")</f>
        <v>59863</v>
      </c>
      <c r="Z2971" s="156">
        <v>2.5337238798250894E-2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59870</v>
      </c>
      <c r="Y2972" s="155">
        <f>_xll.qlCalendarAdvance(Calendar,X2972,NDays&amp;"D")</f>
        <v>59870</v>
      </c>
      <c r="Z2972" s="156">
        <v>2.5337290830069747E-2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59877</v>
      </c>
      <c r="Y2973" s="155">
        <f>_xll.qlCalendarAdvance(Calendar,X2973,NDays&amp;"D")</f>
        <v>59877</v>
      </c>
      <c r="Z2973" s="156">
        <v>2.5337341796953794E-2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59884</v>
      </c>
      <c r="Y2974" s="155">
        <f>_xll.qlCalendarAdvance(Calendar,X2974,NDays&amp;"D")</f>
        <v>59884</v>
      </c>
      <c r="Z2974" s="156">
        <v>2.5337391698849743E-2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59891</v>
      </c>
      <c r="Y2975" s="155">
        <f>_xll.qlCalendarAdvance(Calendar,X2975,NDays&amp;"D")</f>
        <v>59891</v>
      </c>
      <c r="Z2975" s="156">
        <v>2.5337440535757594E-2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59898</v>
      </c>
      <c r="Y2976" s="155">
        <f>_xll.qlCalendarAdvance(Calendar,X2976,NDays&amp;"D")</f>
        <v>59898</v>
      </c>
      <c r="Z2976" s="156">
        <v>2.5337488307677347E-2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59905</v>
      </c>
      <c r="Y2977" s="155">
        <f>_xll.qlCalendarAdvance(Calendar,X2977,NDays&amp;"D")</f>
        <v>59905</v>
      </c>
      <c r="Z2977" s="156">
        <v>2.5337535014635648E-2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59912</v>
      </c>
      <c r="Y2978" s="155">
        <f>_xll.qlCalendarAdvance(Calendar,X2978,NDays&amp;"D")</f>
        <v>59912</v>
      </c>
      <c r="Z2978" s="156">
        <v>2.5337580656579206E-2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59919</v>
      </c>
      <c r="Y2979" s="155">
        <f>_xll.qlCalendarAdvance(Calendar,X2979,NDays&amp;"D")</f>
        <v>59919</v>
      </c>
      <c r="Z2979" s="156">
        <v>2.5338519989004382E-2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59926</v>
      </c>
      <c r="Y2980" s="155">
        <f>_xll.qlCalendarAdvance(Calendar,X2980,NDays&amp;"D")</f>
        <v>59926</v>
      </c>
      <c r="Z2980" s="156">
        <v>2.533766874560861E-2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59933</v>
      </c>
      <c r="Y2981" s="155">
        <f>_xll.qlCalendarAdvance(Calendar,X2981,NDays&amp;"D")</f>
        <v>59933</v>
      </c>
      <c r="Z2981" s="156">
        <v>2.533771119261452E-2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59940</v>
      </c>
      <c r="Y2982" s="155">
        <f>_xll.qlCalendarAdvance(Calendar,X2982,NDays&amp;"D")</f>
        <v>59940</v>
      </c>
      <c r="Z2982" s="156">
        <v>2.5337752574658978E-2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59947</v>
      </c>
      <c r="Y2983" s="155">
        <f>_xll.qlCalendarAdvance(Calendar,X2983,NDays&amp;"D")</f>
        <v>59947</v>
      </c>
      <c r="Z2983" s="156">
        <v>2.5338687354665712E-2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59954</v>
      </c>
      <c r="Y2984" s="155">
        <f>_xll.qlCalendarAdvance(Calendar,X2984,NDays&amp;"D")</f>
        <v>59954</v>
      </c>
      <c r="Z2984" s="156">
        <v>2.5337832143810246E-2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59961</v>
      </c>
      <c r="Y2985" s="155">
        <f>_xll.qlCalendarAdvance(Calendar,X2985,NDays&amp;"D")</f>
        <v>59961</v>
      </c>
      <c r="Z2985" s="156">
        <v>2.5337870330943701E-2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59968</v>
      </c>
      <c r="Y2986" s="155">
        <f>_xll.qlCalendarAdvance(Calendar,X2986,NDays&amp;"D")</f>
        <v>59968</v>
      </c>
      <c r="Z2986" s="156">
        <v>2.5337907453062414E-2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59975</v>
      </c>
      <c r="Y2987" s="155">
        <f>_xll.qlCalendarAdvance(Calendar,X2987,NDays&amp;"D")</f>
        <v>59975</v>
      </c>
      <c r="Z2987" s="156">
        <v>2.5337943510246319E-2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59982</v>
      </c>
      <c r="Y2988" s="155">
        <f>_xll.qlCalendarAdvance(Calendar,X2988,NDays&amp;"D")</f>
        <v>59982</v>
      </c>
      <c r="Z2988" s="156">
        <v>2.5337978502415481E-2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59989</v>
      </c>
      <c r="Y2989" s="155">
        <f>_xll.qlCalendarAdvance(Calendar,X2989,NDays&amp;"D")</f>
        <v>59989</v>
      </c>
      <c r="Z2989" s="156">
        <v>2.5338012429596546E-2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59996</v>
      </c>
      <c r="Y2990" s="155">
        <f>_xll.qlCalendarAdvance(Calendar,X2990,NDays&amp;"D")</f>
        <v>59996</v>
      </c>
      <c r="Z2990" s="156">
        <v>2.5338045291789513E-2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60003</v>
      </c>
      <c r="Y2991" s="155">
        <f>_xll.qlCalendarAdvance(Calendar,X2991,NDays&amp;"D")</f>
        <v>60003</v>
      </c>
      <c r="Z2991" s="156">
        <v>2.5338077089074318E-2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60010</v>
      </c>
      <c r="Y2992" s="155">
        <f>_xll.qlCalendarAdvance(Calendar,X2992,NDays&amp;"D")</f>
        <v>60010</v>
      </c>
      <c r="Z2992" s="156">
        <v>2.5338107821317735E-2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60017</v>
      </c>
      <c r="Y2993" s="155">
        <f>_xll.qlCalendarAdvance(Calendar,X2993,NDays&amp;"D")</f>
        <v>60017</v>
      </c>
      <c r="Z2993" s="156">
        <v>2.5338137488599699E-2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60024</v>
      </c>
      <c r="Y2994" s="155">
        <f>_xll.qlCalendarAdvance(Calendar,X2994,NDays&amp;"D")</f>
        <v>60024</v>
      </c>
      <c r="Z2994" s="156">
        <v>2.5338166090893566E-2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60031</v>
      </c>
      <c r="Y2995" s="155">
        <f>_xll.qlCalendarAdvance(Calendar,X2995,NDays&amp;"D")</f>
        <v>60031</v>
      </c>
      <c r="Z2995" s="156">
        <v>2.533819362822598E-2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60038</v>
      </c>
      <c r="Y2996" s="155">
        <f>_xll.qlCalendarAdvance(Calendar,X2996,NDays&amp;"D")</f>
        <v>60038</v>
      </c>
      <c r="Z2996" s="156">
        <v>2.5338220100543651E-2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60045</v>
      </c>
      <c r="Y2997" s="155">
        <f>_xll.qlCalendarAdvance(Calendar,X2997,NDays&amp;"D")</f>
        <v>60045</v>
      </c>
      <c r="Z2997" s="156">
        <v>2.5339138937656713E-2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60052</v>
      </c>
      <c r="Y2998" s="155">
        <f>_xll.qlCalendarAdvance(Calendar,X2998,NDays&amp;"D")</f>
        <v>60052</v>
      </c>
      <c r="Z2998" s="156">
        <v>2.5338269850294637E-2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60059</v>
      </c>
      <c r="Y2999" s="155">
        <f>_xll.qlCalendarAdvance(Calendar,X2999,NDays&amp;"D")</f>
        <v>60059</v>
      </c>
      <c r="Z2999" s="156">
        <v>2.5338293127701306E-2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60066</v>
      </c>
      <c r="Y3000" s="155">
        <f>_xll.qlCalendarAdvance(Calendar,X3000,NDays&amp;"D")</f>
        <v>60066</v>
      </c>
      <c r="Z3000" s="156">
        <v>2.5338315340119877E-2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60073</v>
      </c>
      <c r="Y3001" s="155">
        <f>_xll.qlCalendarAdvance(Calendar,X3001,NDays&amp;"D")</f>
        <v>60073</v>
      </c>
      <c r="Z3001" s="156">
        <v>2.5338336487576996E-2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60080</v>
      </c>
      <c r="Y3002" s="155">
        <f>_xll.qlCalendarAdvance(Calendar,X3002,NDays&amp;"D")</f>
        <v>60080</v>
      </c>
      <c r="Z3002" s="156">
        <v>2.5338356570046017E-2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60090</v>
      </c>
      <c r="Y3003" s="155">
        <f>_xll.qlCalendarAdvance(Calendar,X3003,NDays&amp;"D")</f>
        <v>60090</v>
      </c>
      <c r="Z3003" s="156">
        <v>2.5336597615464029E-2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60097</v>
      </c>
      <c r="Y3004" s="155">
        <f>_xll.qlCalendarAdvance(Calendar,X3004,NDays&amp;"D")</f>
        <v>60097</v>
      </c>
      <c r="Z3004" s="156">
        <v>2.5336615261188911E-2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60104</v>
      </c>
      <c r="Y3005" s="155">
        <f>_xll.qlCalendarAdvance(Calendar,X3005,NDays&amp;"D")</f>
        <v>60104</v>
      </c>
      <c r="Z3005" s="156">
        <v>2.533663184200563E-2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60111</v>
      </c>
      <c r="Y3006" s="155">
        <f>_xll.qlCalendarAdvance(Calendar,X3006,NDays&amp;"D")</f>
        <v>60111</v>
      </c>
      <c r="Z3006" s="156">
        <v>2.533664735807406E-2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60118</v>
      </c>
      <c r="Y3007" s="155">
        <f>_xll.qlCalendarAdvance(Calendar,X3007,NDays&amp;"D")</f>
        <v>60118</v>
      </c>
      <c r="Z3007" s="156">
        <v>2.5336661809474137E-2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60125</v>
      </c>
      <c r="Y3008" s="155">
        <f>_xll.qlCalendarAdvance(Calendar,X3008,NDays&amp;"D")</f>
        <v>60125</v>
      </c>
      <c r="Z3008" s="156">
        <v>2.5336675195886116E-2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60132</v>
      </c>
      <c r="Y3009" s="155">
        <f>_xll.qlCalendarAdvance(Calendar,X3009,NDays&amp;"D")</f>
        <v>60132</v>
      </c>
      <c r="Z3009" s="156">
        <v>2.5336687517389933E-2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60139</v>
      </c>
      <c r="Y3010" s="155">
        <f>_xll.qlCalendarAdvance(Calendar,X3010,NDays&amp;"D")</f>
        <v>60139</v>
      </c>
      <c r="Z3010" s="156">
        <v>2.5336698774145461E-2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60147</v>
      </c>
      <c r="Y3011" s="155">
        <f>_xll.qlCalendarAdvance(Calendar,X3011,NDays&amp;"D")</f>
        <v>60147</v>
      </c>
      <c r="Z3011" s="156">
        <v>2.5336710335297496E-2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60154</v>
      </c>
      <c r="Y3012" s="155">
        <f>_xll.qlCalendarAdvance(Calendar,X3012,NDays&amp;"D")</f>
        <v>60154</v>
      </c>
      <c r="Z3012" s="156">
        <v>2.5336719310278255E-2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60161</v>
      </c>
      <c r="Y3013" s="155">
        <f>_xll.qlCalendarAdvance(Calendar,X3013,NDays&amp;"D")</f>
        <v>60161</v>
      </c>
      <c r="Z3013" s="156">
        <v>2.5336727220270916E-2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60168</v>
      </c>
      <c r="Y3014" s="155">
        <f>_xll.qlCalendarAdvance(Calendar,X3014,NDays&amp;"D")</f>
        <v>60168</v>
      </c>
      <c r="Z3014" s="156">
        <v>2.5336734065675159E-2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60175</v>
      </c>
      <c r="Y3015" s="155">
        <f>_xll.qlCalendarAdvance(Calendar,X3015,NDays&amp;"D")</f>
        <v>60175</v>
      </c>
      <c r="Z3015" s="156">
        <v>2.5336739846171241E-2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60182</v>
      </c>
      <c r="Y3016" s="155">
        <f>_xll.qlCalendarAdvance(Calendar,X3016,NDays&amp;"D")</f>
        <v>60182</v>
      </c>
      <c r="Z3016" s="156">
        <v>2.5336744561919033E-2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60189</v>
      </c>
      <c r="Y3017" s="155">
        <f>_xll.qlCalendarAdvance(Calendar,X3017,NDays&amp;"D")</f>
        <v>60189</v>
      </c>
      <c r="Z3017" s="156">
        <v>2.5336748212678728E-2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60196</v>
      </c>
      <c r="Y3018" s="155">
        <f>_xll.qlCalendarAdvance(Calendar,X3018,NDays&amp;"D")</f>
        <v>60196</v>
      </c>
      <c r="Z3018" s="156">
        <v>2.5336750798610197E-2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60203</v>
      </c>
      <c r="Y3019" s="155">
        <f>_xll.qlCalendarAdvance(Calendar,X3019,NDays&amp;"D")</f>
        <v>60203</v>
      </c>
      <c r="Z3019" s="156">
        <v>2.5336752319873312E-2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60210</v>
      </c>
      <c r="Y3020" s="155">
        <f>_xll.qlCalendarAdvance(Calendar,X3020,NDays&amp;"D")</f>
        <v>60210</v>
      </c>
      <c r="Z3020" s="156">
        <v>2.5336752779905325E-2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60218</v>
      </c>
      <c r="Y3021" s="155">
        <f>_xll.qlCalendarAdvance(Calendar,X3021,NDays&amp;"D")</f>
        <v>60218</v>
      </c>
      <c r="Z3021" s="156">
        <v>2.5336752779905325E-2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60225</v>
      </c>
      <c r="Y3022" s="155">
        <f>_xll.qlCalendarAdvance(Calendar,X3022,NDays&amp;"D")</f>
        <v>60225</v>
      </c>
      <c r="Z3022" s="156">
        <v>2.5336752779825389E-2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60232</v>
      </c>
      <c r="Y3023" s="155">
        <f>_xll.qlCalendarAdvance(Calendar,X3023,NDays&amp;"D")</f>
        <v>60232</v>
      </c>
      <c r="Z3023" s="156">
        <v>2.5337644378540247E-2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60239</v>
      </c>
      <c r="Y3024" s="155">
        <f>_xll.qlCalendarAdvance(Calendar,X3024,NDays&amp;"D")</f>
        <v>60239</v>
      </c>
      <c r="Z3024" s="156">
        <v>2.5336752779905325E-2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60246</v>
      </c>
      <c r="Y3025" s="155">
        <f>_xll.qlCalendarAdvance(Calendar,X3025,NDays&amp;"D")</f>
        <v>60246</v>
      </c>
      <c r="Z3025" s="156">
        <v>2.5336752779905325E-2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60253</v>
      </c>
      <c r="Y3026" s="155">
        <f>_xll.qlCalendarAdvance(Calendar,X3026,NDays&amp;"D")</f>
        <v>60253</v>
      </c>
      <c r="Z3026" s="156">
        <v>2.5336752779825389E-2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60260</v>
      </c>
      <c r="Y3027" s="155">
        <f>_xll.qlCalendarAdvance(Calendar,X3027,NDays&amp;"D")</f>
        <v>60260</v>
      </c>
      <c r="Z3027" s="156">
        <v>2.5337644378540247E-2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60267</v>
      </c>
      <c r="Y3028" s="155">
        <f>_xll.qlCalendarAdvance(Calendar,X3028,NDays&amp;"D")</f>
        <v>60267</v>
      </c>
      <c r="Z3028" s="156">
        <v>2.5337644378540247E-2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60274</v>
      </c>
      <c r="Y3029" s="155">
        <f>_xll.qlCalendarAdvance(Calendar,X3029,NDays&amp;"D")</f>
        <v>60274</v>
      </c>
      <c r="Z3029" s="156">
        <v>2.5336752779905325E-2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60281</v>
      </c>
      <c r="Y3030" s="155">
        <f>_xll.qlCalendarAdvance(Calendar,X3030,NDays&amp;"D")</f>
        <v>60281</v>
      </c>
      <c r="Z3030" s="156">
        <v>2.5336752779825389E-2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60288</v>
      </c>
      <c r="Y3031" s="155">
        <f>_xll.qlCalendarAdvance(Calendar,X3031,NDays&amp;"D")</f>
        <v>60288</v>
      </c>
      <c r="Z3031" s="156">
        <v>2.5336752779905325E-2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60295</v>
      </c>
      <c r="Y3032" s="155">
        <f>_xll.qlCalendarAdvance(Calendar,X3032,NDays&amp;"D")</f>
        <v>60295</v>
      </c>
      <c r="Z3032" s="156">
        <v>2.5336752779905325E-2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60302</v>
      </c>
      <c r="Y3033" s="155">
        <f>_xll.qlCalendarAdvance(Calendar,X3033,NDays&amp;"D")</f>
        <v>60302</v>
      </c>
      <c r="Z3033" s="156">
        <v>2.5336752779825389E-2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60309</v>
      </c>
      <c r="Y3034" s="155">
        <f>_xll.qlCalendarAdvance(Calendar,X3034,NDays&amp;"D")</f>
        <v>60309</v>
      </c>
      <c r="Z3034" s="156">
        <v>2.5336752779905325E-2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60316</v>
      </c>
      <c r="Y3035" s="155">
        <f>_xll.qlCalendarAdvance(Calendar,X3035,NDays&amp;"D")</f>
        <v>60316</v>
      </c>
      <c r="Z3035" s="156">
        <v>2.5336752779905325E-2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60323</v>
      </c>
      <c r="Y3036" s="155">
        <f>_xll.qlCalendarAdvance(Calendar,X3036,NDays&amp;"D")</f>
        <v>60323</v>
      </c>
      <c r="Z3036" s="156">
        <v>2.5336752779905325E-2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60330</v>
      </c>
      <c r="Y3037" s="155">
        <f>_xll.qlCalendarAdvance(Calendar,X3037,NDays&amp;"D")</f>
        <v>60330</v>
      </c>
      <c r="Z3037" s="156">
        <v>2.5336752779825389E-2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60337</v>
      </c>
      <c r="Y3038" s="155">
        <f>_xll.qlCalendarAdvance(Calendar,X3038,NDays&amp;"D")</f>
        <v>60337</v>
      </c>
      <c r="Z3038" s="156">
        <v>2.5336752779825389E-2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60344</v>
      </c>
      <c r="Y3039" s="155">
        <f>_xll.qlCalendarAdvance(Calendar,X3039,NDays&amp;"D")</f>
        <v>60344</v>
      </c>
      <c r="Z3039" s="156">
        <v>2.5336752779905325E-2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60351</v>
      </c>
      <c r="Y3040" s="155">
        <f>_xll.qlCalendarAdvance(Calendar,X3040,NDays&amp;"D")</f>
        <v>60351</v>
      </c>
      <c r="Z3040" s="156">
        <v>2.5336752779825389E-2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60358</v>
      </c>
      <c r="Y3041" s="155">
        <f>_xll.qlCalendarAdvance(Calendar,X3041,NDays&amp;"D")</f>
        <v>60358</v>
      </c>
      <c r="Z3041" s="156">
        <v>2.5336752779825389E-2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60365</v>
      </c>
      <c r="Y3042" s="155">
        <f>_xll.qlCalendarAdvance(Calendar,X3042,NDays&amp;"D")</f>
        <v>60365</v>
      </c>
      <c r="Z3042" s="156">
        <v>2.5336752779825389E-2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60372</v>
      </c>
      <c r="Y3043" s="155">
        <f>_xll.qlCalendarAdvance(Calendar,X3043,NDays&amp;"D")</f>
        <v>60372</v>
      </c>
      <c r="Z3043" s="156">
        <v>2.5336752779905325E-2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60379</v>
      </c>
      <c r="Y3044" s="155">
        <f>_xll.qlCalendarAdvance(Calendar,X3044,NDays&amp;"D")</f>
        <v>60379</v>
      </c>
      <c r="Z3044" s="156">
        <v>2.5336752779825389E-2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60386</v>
      </c>
      <c r="Y3045" s="155">
        <f>_xll.qlCalendarAdvance(Calendar,X3045,NDays&amp;"D")</f>
        <v>60386</v>
      </c>
      <c r="Z3045" s="156">
        <v>2.5336752779905325E-2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60393</v>
      </c>
      <c r="Y3046" s="155">
        <f>_xll.qlCalendarAdvance(Calendar,X3046,NDays&amp;"D")</f>
        <v>60393</v>
      </c>
      <c r="Z3046" s="156">
        <v>2.5336752779905325E-2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60400</v>
      </c>
      <c r="Y3047" s="155">
        <f>_xll.qlCalendarAdvance(Calendar,X3047,NDays&amp;"D")</f>
        <v>60400</v>
      </c>
      <c r="Z3047" s="156">
        <v>2.5336752779905325E-2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60407</v>
      </c>
      <c r="Y3048" s="155">
        <f>_xll.qlCalendarAdvance(Calendar,X3048,NDays&amp;"D")</f>
        <v>60407</v>
      </c>
      <c r="Z3048" s="156">
        <v>2.5336752779825389E-2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60414</v>
      </c>
      <c r="Y3049" s="155">
        <f>_xll.qlCalendarAdvance(Calendar,X3049,NDays&amp;"D")</f>
        <v>60414</v>
      </c>
      <c r="Z3049" s="156">
        <v>2.5336752779905325E-2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60421</v>
      </c>
      <c r="Y3050" s="155">
        <f>_xll.qlCalendarAdvance(Calendar,X3050,NDays&amp;"D")</f>
        <v>60421</v>
      </c>
      <c r="Z3050" s="156">
        <v>2.5336752779905325E-2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60428</v>
      </c>
      <c r="Y3051" s="155">
        <f>_xll.qlCalendarAdvance(Calendar,X3051,NDays&amp;"D")</f>
        <v>60428</v>
      </c>
      <c r="Z3051" s="156">
        <v>2.5336752779825389E-2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60435</v>
      </c>
      <c r="Y3052" s="155">
        <f>_xll.qlCalendarAdvance(Calendar,X3052,NDays&amp;"D")</f>
        <v>60435</v>
      </c>
      <c r="Z3052" s="156">
        <v>2.5336752779825389E-2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60442</v>
      </c>
      <c r="Y3053" s="155">
        <f>_xll.qlCalendarAdvance(Calendar,X3053,NDays&amp;"D")</f>
        <v>60442</v>
      </c>
      <c r="Z3053" s="156">
        <v>2.5336752779905325E-2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60449</v>
      </c>
      <c r="Y3054" s="155">
        <f>_xll.qlCalendarAdvance(Calendar,X3054,NDays&amp;"D")</f>
        <v>60449</v>
      </c>
      <c r="Z3054" s="156">
        <v>2.5336752779905325E-2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60456</v>
      </c>
      <c r="Y3055" s="155">
        <f>_xll.qlCalendarAdvance(Calendar,X3055,NDays&amp;"D")</f>
        <v>60456</v>
      </c>
      <c r="Z3055" s="156">
        <v>2.5336752779825389E-2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60463</v>
      </c>
      <c r="Y3056" s="155">
        <f>_xll.qlCalendarAdvance(Calendar,X3056,NDays&amp;"D")</f>
        <v>60463</v>
      </c>
      <c r="Z3056" s="156">
        <v>2.5336752779905325E-2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60470</v>
      </c>
      <c r="Y3057" s="155">
        <f>_xll.qlCalendarAdvance(Calendar,X3057,NDays&amp;"D")</f>
        <v>60470</v>
      </c>
      <c r="Z3057" s="156">
        <v>2.5336752779905325E-2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60477</v>
      </c>
      <c r="Y3058" s="155">
        <f>_xll.qlCalendarAdvance(Calendar,X3058,NDays&amp;"D")</f>
        <v>60477</v>
      </c>
      <c r="Z3058" s="156">
        <v>2.5336752779905325E-2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60484</v>
      </c>
      <c r="Y3059" s="155">
        <f>_xll.qlCalendarAdvance(Calendar,X3059,NDays&amp;"D")</f>
        <v>60484</v>
      </c>
      <c r="Z3059" s="156">
        <v>2.5336752779825389E-2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60491</v>
      </c>
      <c r="Y3060" s="155">
        <f>_xll.qlCalendarAdvance(Calendar,X3060,NDays&amp;"D")</f>
        <v>60491</v>
      </c>
      <c r="Z3060" s="156">
        <v>2.5336752779905325E-2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60498</v>
      </c>
      <c r="Y3061" s="155">
        <f>_xll.qlCalendarAdvance(Calendar,X3061,NDays&amp;"D")</f>
        <v>60498</v>
      </c>
      <c r="Z3061" s="156">
        <v>2.5336752779825389E-2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60505</v>
      </c>
      <c r="Y3062" s="155">
        <f>_xll.qlCalendarAdvance(Calendar,X3062,NDays&amp;"D")</f>
        <v>60505</v>
      </c>
      <c r="Z3062" s="156">
        <v>2.5336752779825389E-2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60512</v>
      </c>
      <c r="Y3063" s="155">
        <f>_xll.qlCalendarAdvance(Calendar,X3063,NDays&amp;"D")</f>
        <v>60512</v>
      </c>
      <c r="Z3063" s="156">
        <v>2.5336752779905325E-2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60519</v>
      </c>
      <c r="Y3064" s="155">
        <f>_xll.qlCalendarAdvance(Calendar,X3064,NDays&amp;"D")</f>
        <v>60519</v>
      </c>
      <c r="Z3064" s="156">
        <v>2.5336752779905325E-2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60526</v>
      </c>
      <c r="Y3065" s="155">
        <f>_xll.qlCalendarAdvance(Calendar,X3065,NDays&amp;"D")</f>
        <v>60526</v>
      </c>
      <c r="Z3065" s="156">
        <v>2.5336752779825389E-2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60533</v>
      </c>
      <c r="Y3066" s="155">
        <f>_xll.qlCalendarAdvance(Calendar,X3066,NDays&amp;"D")</f>
        <v>60533</v>
      </c>
      <c r="Z3066" s="156">
        <v>2.5336752779825389E-2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60540</v>
      </c>
      <c r="Y3067" s="155">
        <f>_xll.qlCalendarAdvance(Calendar,X3067,NDays&amp;"D")</f>
        <v>60540</v>
      </c>
      <c r="Z3067" s="156">
        <v>2.5336752779905325E-2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60547</v>
      </c>
      <c r="Y3068" s="155">
        <f>_xll.qlCalendarAdvance(Calendar,X3068,NDays&amp;"D")</f>
        <v>60547</v>
      </c>
      <c r="Z3068" s="156">
        <v>2.5336752779905325E-2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60554</v>
      </c>
      <c r="Y3069" s="155">
        <f>_xll.qlCalendarAdvance(Calendar,X3069,NDays&amp;"D")</f>
        <v>60554</v>
      </c>
      <c r="Z3069" s="156">
        <v>2.5336752779825389E-2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60561</v>
      </c>
      <c r="Y3070" s="155">
        <f>_xll.qlCalendarAdvance(Calendar,X3070,NDays&amp;"D")</f>
        <v>60561</v>
      </c>
      <c r="Z3070" s="156">
        <v>2.5336752779825389E-2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60568</v>
      </c>
      <c r="Y3071" s="155">
        <f>_xll.qlCalendarAdvance(Calendar,X3071,NDays&amp;"D")</f>
        <v>60568</v>
      </c>
      <c r="Z3071" s="156">
        <v>2.5336752779905325E-2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60575</v>
      </c>
      <c r="Y3072" s="155">
        <f>_xll.qlCalendarAdvance(Calendar,X3072,NDays&amp;"D")</f>
        <v>60575</v>
      </c>
      <c r="Z3072" s="156">
        <v>2.5336752779905325E-2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60583</v>
      </c>
      <c r="Y3073" s="155">
        <f>_xll.qlCalendarAdvance(Calendar,X3073,NDays&amp;"D")</f>
        <v>60583</v>
      </c>
      <c r="Z3073" s="156">
        <v>2.5336752779825389E-2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60590</v>
      </c>
      <c r="Y3074" s="155">
        <f>_xll.qlCalendarAdvance(Calendar,X3074,NDays&amp;"D")</f>
        <v>60590</v>
      </c>
      <c r="Z3074" s="156">
        <v>2.5336752779825389E-2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60598</v>
      </c>
      <c r="Y3075" s="155">
        <f>_xll.qlCalendarAdvance(Calendar,X3075,NDays&amp;"D")</f>
        <v>60598</v>
      </c>
      <c r="Z3075" s="156">
        <v>2.5338536019035018E-2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60605</v>
      </c>
      <c r="Y3076" s="155">
        <f>_xll.qlCalendarAdvance(Calendar,X3076,NDays&amp;"D")</f>
        <v>60605</v>
      </c>
      <c r="Z3076" s="156">
        <v>2.5338536019035018E-2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60612</v>
      </c>
      <c r="Y3077" s="155">
        <f>_xll.qlCalendarAdvance(Calendar,X3077,NDays&amp;"D")</f>
        <v>60612</v>
      </c>
      <c r="Z3077" s="156">
        <v>2.5338536019061664E-2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60619</v>
      </c>
      <c r="Y3078" s="155">
        <f>_xll.qlCalendarAdvance(Calendar,X3078,NDays&amp;"D")</f>
        <v>60619</v>
      </c>
      <c r="Z3078" s="156">
        <v>2.5338536019035018E-2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60629</v>
      </c>
      <c r="Y3079" s="155">
        <f>_xll.qlCalendarAdvance(Calendar,X3079,NDays&amp;"D")</f>
        <v>60629</v>
      </c>
      <c r="Z3079" s="156">
        <v>2.5336752779905325E-2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60636</v>
      </c>
      <c r="Y3080" s="155">
        <f>_xll.qlCalendarAdvance(Calendar,X3080,NDays&amp;"D")</f>
        <v>60636</v>
      </c>
      <c r="Z3080" s="156">
        <v>2.5336752779905325E-2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60643</v>
      </c>
      <c r="Y3081" s="155">
        <f>_xll.qlCalendarAdvance(Calendar,X3081,NDays&amp;"D")</f>
        <v>60643</v>
      </c>
      <c r="Z3081" s="156">
        <v>2.5336752779905325E-2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60651</v>
      </c>
      <c r="Y3082" s="155">
        <f>_xll.qlCalendarAdvance(Calendar,X3082,NDays&amp;"D")</f>
        <v>60651</v>
      </c>
      <c r="Z3082" s="156">
        <v>2.5336752779825389E-2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60658</v>
      </c>
      <c r="Y3083" s="155">
        <f>_xll.qlCalendarAdvance(Calendar,X3083,NDays&amp;"D")</f>
        <v>60658</v>
      </c>
      <c r="Z3083" s="156">
        <v>2.5336752779905325E-2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60665</v>
      </c>
      <c r="Y3084" s="155">
        <f>_xll.qlCalendarAdvance(Calendar,X3084,NDays&amp;"D")</f>
        <v>60665</v>
      </c>
      <c r="Z3084" s="156">
        <v>2.5336752779905325E-2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60672</v>
      </c>
      <c r="Y3085" s="155">
        <f>_xll.qlCalendarAdvance(Calendar,X3085,NDays&amp;"D")</f>
        <v>60672</v>
      </c>
      <c r="Z3085" s="156">
        <v>2.5336752779825389E-2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60679</v>
      </c>
      <c r="Y3086" s="155">
        <f>_xll.qlCalendarAdvance(Calendar,X3086,NDays&amp;"D")</f>
        <v>60679</v>
      </c>
      <c r="Z3086" s="156">
        <v>2.5336752779905325E-2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60686</v>
      </c>
      <c r="Y3087" s="155">
        <f>_xll.qlCalendarAdvance(Calendar,X3087,NDays&amp;"D")</f>
        <v>60686</v>
      </c>
      <c r="Z3087" s="156">
        <v>2.5336752779905325E-2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60693</v>
      </c>
      <c r="Y3088" s="155">
        <f>_xll.qlCalendarAdvance(Calendar,X3088,NDays&amp;"D")</f>
        <v>60693</v>
      </c>
      <c r="Z3088" s="156">
        <v>2.5336752779905325E-2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60700</v>
      </c>
      <c r="Y3089" s="155">
        <f>_xll.qlCalendarAdvance(Calendar,X3089,NDays&amp;"D")</f>
        <v>60700</v>
      </c>
      <c r="Z3089" s="156">
        <v>2.5336752779825389E-2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60707</v>
      </c>
      <c r="Y3090" s="155">
        <f>_xll.qlCalendarAdvance(Calendar,X3090,NDays&amp;"D")</f>
        <v>60707</v>
      </c>
      <c r="Z3090" s="156">
        <v>2.5336752779905325E-2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60714</v>
      </c>
      <c r="Y3091" s="155">
        <f>_xll.qlCalendarAdvance(Calendar,X3091,NDays&amp;"D")</f>
        <v>60714</v>
      </c>
      <c r="Z3091" s="156">
        <v>2.5336752779905325E-2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60721</v>
      </c>
      <c r="Y3092" s="155">
        <f>_xll.qlCalendarAdvance(Calendar,X3092,NDays&amp;"D")</f>
        <v>60721</v>
      </c>
      <c r="Z3092" s="156">
        <v>2.5336752779825389E-2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60728</v>
      </c>
      <c r="Y3093" s="155">
        <f>_xll.qlCalendarAdvance(Calendar,X3093,NDays&amp;"D")</f>
        <v>60728</v>
      </c>
      <c r="Z3093" s="156">
        <v>2.5336752779825389E-2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60735</v>
      </c>
      <c r="Y3094" s="155">
        <f>_xll.qlCalendarAdvance(Calendar,X3094,NDays&amp;"D")</f>
        <v>60735</v>
      </c>
      <c r="Z3094" s="156">
        <v>2.5336752779905325E-2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60742</v>
      </c>
      <c r="Y3095" s="155">
        <f>_xll.qlCalendarAdvance(Calendar,X3095,NDays&amp;"D")</f>
        <v>60742</v>
      </c>
      <c r="Z3095" s="156">
        <v>2.5336752779905325E-2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60749</v>
      </c>
      <c r="Y3096" s="155">
        <f>_xll.qlCalendarAdvance(Calendar,X3096,NDays&amp;"D")</f>
        <v>60749</v>
      </c>
      <c r="Z3096" s="156">
        <v>2.5336752779825389E-2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60756</v>
      </c>
      <c r="Y3097" s="155">
        <f>_xll.qlCalendarAdvance(Calendar,X3097,NDays&amp;"D")</f>
        <v>60756</v>
      </c>
      <c r="Z3097" s="156">
        <v>2.5336752779905325E-2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60763</v>
      </c>
      <c r="Y3098" s="155">
        <f>_xll.qlCalendarAdvance(Calendar,X3098,NDays&amp;"D")</f>
        <v>60763</v>
      </c>
      <c r="Z3098" s="156">
        <v>2.5336752779825389E-2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60770</v>
      </c>
      <c r="Y3099" s="155">
        <f>_xll.qlCalendarAdvance(Calendar,X3099,NDays&amp;"D")</f>
        <v>60770</v>
      </c>
      <c r="Z3099" s="156">
        <v>2.5336752779825389E-2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60777</v>
      </c>
      <c r="Y3100" s="155">
        <f>_xll.qlCalendarAdvance(Calendar,X3100,NDays&amp;"D")</f>
        <v>60777</v>
      </c>
      <c r="Z3100" s="156">
        <v>2.5336752779825389E-2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60784</v>
      </c>
      <c r="Y3101" s="155">
        <f>_xll.qlCalendarAdvance(Calendar,X3101,NDays&amp;"D")</f>
        <v>60784</v>
      </c>
      <c r="Z3101" s="156">
        <v>2.5336752779985261E-2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60791</v>
      </c>
      <c r="Y3102" s="155">
        <f>_xll.qlCalendarAdvance(Calendar,X3102,NDays&amp;"D")</f>
        <v>60791</v>
      </c>
      <c r="Z3102" s="156">
        <v>2.5336752779905325E-2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60798</v>
      </c>
      <c r="Y3103" s="155">
        <f>_xll.qlCalendarAdvance(Calendar,X3103,NDays&amp;"D")</f>
        <v>60798</v>
      </c>
      <c r="Z3103" s="156">
        <v>2.5336752779825389E-2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60805</v>
      </c>
      <c r="Y3104" s="155">
        <f>_xll.qlCalendarAdvance(Calendar,X3104,NDays&amp;"D")</f>
        <v>60805</v>
      </c>
      <c r="Z3104" s="156">
        <v>2.5336752779905325E-2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60812</v>
      </c>
      <c r="Y3105" s="155">
        <f>_xll.qlCalendarAdvance(Calendar,X3105,NDays&amp;"D")</f>
        <v>60812</v>
      </c>
      <c r="Z3105" s="156">
        <v>2.5336752779825389E-2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60819</v>
      </c>
      <c r="Y3106" s="155">
        <f>_xll.qlCalendarAdvance(Calendar,X3106,NDays&amp;"D")</f>
        <v>60819</v>
      </c>
      <c r="Z3106" s="156">
        <v>2.5336752779905325E-2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60826</v>
      </c>
      <c r="Y3107" s="155">
        <f>_xll.qlCalendarAdvance(Calendar,X3107,NDays&amp;"D")</f>
        <v>60826</v>
      </c>
      <c r="Z3107" s="156">
        <v>2.5336752779825389E-2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60833</v>
      </c>
      <c r="Y3108" s="155">
        <f>_xll.qlCalendarAdvance(Calendar,X3108,NDays&amp;"D")</f>
        <v>60833</v>
      </c>
      <c r="Z3108" s="156">
        <v>2.5336752779905325E-2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60840</v>
      </c>
      <c r="Y3109" s="155">
        <f>_xll.qlCalendarAdvance(Calendar,X3109,NDays&amp;"D")</f>
        <v>60840</v>
      </c>
      <c r="Z3109" s="156">
        <v>2.5336752779905325E-2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60847</v>
      </c>
      <c r="Y3110" s="155">
        <f>_xll.qlCalendarAdvance(Calendar,X3110,NDays&amp;"D")</f>
        <v>60847</v>
      </c>
      <c r="Z3110" s="156">
        <v>2.5336752779825389E-2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60854</v>
      </c>
      <c r="Y3111" s="155">
        <f>_xll.qlCalendarAdvance(Calendar,X3111,NDays&amp;"D")</f>
        <v>60854</v>
      </c>
      <c r="Z3111" s="156">
        <v>2.5336752779825389E-2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60861</v>
      </c>
      <c r="Y3112" s="155">
        <f>_xll.qlCalendarAdvance(Calendar,X3112,NDays&amp;"D")</f>
        <v>60861</v>
      </c>
      <c r="Z3112" s="156">
        <v>2.5336752779985261E-2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60868</v>
      </c>
      <c r="Y3113" s="155">
        <f>_xll.qlCalendarAdvance(Calendar,X3113,NDays&amp;"D")</f>
        <v>60868</v>
      </c>
      <c r="Z3113" s="156">
        <v>2.5336752779905325E-2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60875</v>
      </c>
      <c r="Y3114" s="155">
        <f>_xll.qlCalendarAdvance(Calendar,X3114,NDays&amp;"D")</f>
        <v>60875</v>
      </c>
      <c r="Z3114" s="156">
        <v>2.5336752779825389E-2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60882</v>
      </c>
      <c r="Y3115" s="155">
        <f>_xll.qlCalendarAdvance(Calendar,X3115,NDays&amp;"D")</f>
        <v>60882</v>
      </c>
      <c r="Z3115" s="156">
        <v>2.5336752779905325E-2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60889</v>
      </c>
      <c r="Y3116" s="155">
        <f>_xll.qlCalendarAdvance(Calendar,X3116,NDays&amp;"D")</f>
        <v>60889</v>
      </c>
      <c r="Z3116" s="156">
        <v>2.5336752779905325E-2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60896</v>
      </c>
      <c r="Y3117" s="155">
        <f>_xll.qlCalendarAdvance(Calendar,X3117,NDays&amp;"D")</f>
        <v>60896</v>
      </c>
      <c r="Z3117" s="156">
        <v>2.5336752779825389E-2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60903</v>
      </c>
      <c r="Y3118" s="155">
        <f>_xll.qlCalendarAdvance(Calendar,X3118,NDays&amp;"D")</f>
        <v>60903</v>
      </c>
      <c r="Z3118" s="156">
        <v>2.5336752779825389E-2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60910</v>
      </c>
      <c r="Y3119" s="155">
        <f>_xll.qlCalendarAdvance(Calendar,X3119,NDays&amp;"D")</f>
        <v>60910</v>
      </c>
      <c r="Z3119" s="156">
        <v>2.5336752779905325E-2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60917</v>
      </c>
      <c r="Y3120" s="155">
        <f>_xll.qlCalendarAdvance(Calendar,X3120,NDays&amp;"D")</f>
        <v>60917</v>
      </c>
      <c r="Z3120" s="156">
        <v>2.5336752779905325E-2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60924</v>
      </c>
      <c r="Y3121" s="155">
        <f>_xll.qlCalendarAdvance(Calendar,X3121,NDays&amp;"D")</f>
        <v>60924</v>
      </c>
      <c r="Z3121" s="156">
        <v>2.5336752779825389E-2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60931</v>
      </c>
      <c r="Y3122" s="155">
        <f>_xll.qlCalendarAdvance(Calendar,X3122,NDays&amp;"D")</f>
        <v>60931</v>
      </c>
      <c r="Z3122" s="156">
        <v>2.5336752779825389E-2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60938</v>
      </c>
      <c r="Y3123" s="155">
        <f>_xll.qlCalendarAdvance(Calendar,X3123,NDays&amp;"D")</f>
        <v>60938</v>
      </c>
      <c r="Z3123" s="156">
        <v>2.5336752779905325E-2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60945</v>
      </c>
      <c r="Y3124" s="155">
        <f>_xll.qlCalendarAdvance(Calendar,X3124,NDays&amp;"D")</f>
        <v>60945</v>
      </c>
      <c r="Z3124" s="156">
        <v>2.5336752779825389E-2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60952</v>
      </c>
      <c r="Y3125" s="155">
        <f>_xll.qlCalendarAdvance(Calendar,X3125,NDays&amp;"D")</f>
        <v>60952</v>
      </c>
      <c r="Z3125" s="156">
        <v>2.5336752779905325E-2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60959</v>
      </c>
      <c r="Y3126" s="155">
        <f>_xll.qlCalendarAdvance(Calendar,X3126,NDays&amp;"D")</f>
        <v>60959</v>
      </c>
      <c r="Z3126" s="156">
        <v>2.5336752779905325E-2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60966</v>
      </c>
      <c r="Y3127" s="155">
        <f>_xll.qlCalendarAdvance(Calendar,X3127,NDays&amp;"D")</f>
        <v>60966</v>
      </c>
      <c r="Z3127" s="156">
        <v>2.5336752779905325E-2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60973</v>
      </c>
      <c r="Y3128" s="155">
        <f>_xll.qlCalendarAdvance(Calendar,X3128,NDays&amp;"D")</f>
        <v>60973</v>
      </c>
      <c r="Z3128" s="156">
        <v>2.5336752779825389E-2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60980</v>
      </c>
      <c r="Y3129" s="155">
        <f>_xll.qlCalendarAdvance(Calendar,X3129,NDays&amp;"D")</f>
        <v>60980</v>
      </c>
      <c r="Z3129" s="156">
        <v>2.5336752779825389E-2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60987</v>
      </c>
      <c r="Y3130" s="155">
        <f>_xll.qlCalendarAdvance(Calendar,X3130,NDays&amp;"D")</f>
        <v>60987</v>
      </c>
      <c r="Z3130" s="156">
        <v>2.5336752779905325E-2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60994</v>
      </c>
      <c r="Y3131" s="155">
        <f>_xll.qlCalendarAdvance(Calendar,X3131,NDays&amp;"D")</f>
        <v>60994</v>
      </c>
      <c r="Z3131" s="156">
        <v>2.5336752779905325E-2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61001</v>
      </c>
      <c r="Y3132" s="155">
        <f>_xll.qlCalendarAdvance(Calendar,X3132,NDays&amp;"D")</f>
        <v>61001</v>
      </c>
      <c r="Z3132" s="156">
        <v>2.5336752779825389E-2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61008</v>
      </c>
      <c r="Y3133" s="155">
        <f>_xll.qlCalendarAdvance(Calendar,X3133,NDays&amp;"D")</f>
        <v>61008</v>
      </c>
      <c r="Z3133" s="156">
        <v>2.5336752779905325E-2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61015</v>
      </c>
      <c r="Y3134" s="155">
        <f>_xll.qlCalendarAdvance(Calendar,X3134,NDays&amp;"D")</f>
        <v>61015</v>
      </c>
      <c r="Z3134" s="156">
        <v>2.5336752779905325E-2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61022</v>
      </c>
      <c r="Y3135" s="155">
        <f>_xll.qlCalendarAdvance(Calendar,X3135,NDays&amp;"D")</f>
        <v>61022</v>
      </c>
      <c r="Z3135" s="156">
        <v>2.5336752779905325E-2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61029</v>
      </c>
      <c r="Y3136" s="155">
        <f>_xll.qlCalendarAdvance(Calendar,X3136,NDays&amp;"D")</f>
        <v>61029</v>
      </c>
      <c r="Z3136" s="156">
        <v>2.5336752779825389E-2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61036</v>
      </c>
      <c r="Y3137" s="155">
        <f>_xll.qlCalendarAdvance(Calendar,X3137,NDays&amp;"D")</f>
        <v>61036</v>
      </c>
      <c r="Z3137" s="156">
        <v>2.5336752779905325E-2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61043</v>
      </c>
      <c r="Y3138" s="155">
        <f>_xll.qlCalendarAdvance(Calendar,X3138,NDays&amp;"D")</f>
        <v>61043</v>
      </c>
      <c r="Z3138" s="156">
        <v>2.5336752779905325E-2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61050</v>
      </c>
      <c r="Y3139" s="155">
        <f>_xll.qlCalendarAdvance(Calendar,X3139,NDays&amp;"D")</f>
        <v>61050</v>
      </c>
      <c r="Z3139" s="156">
        <v>2.5336752779825389E-2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61057</v>
      </c>
      <c r="Y3140" s="155">
        <f>_xll.qlCalendarAdvance(Calendar,X3140,NDays&amp;"D")</f>
        <v>61057</v>
      </c>
      <c r="Z3140" s="156">
        <v>2.5336752779825389E-2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61064</v>
      </c>
      <c r="Y3141" s="155">
        <f>_xll.qlCalendarAdvance(Calendar,X3141,NDays&amp;"D")</f>
        <v>61064</v>
      </c>
      <c r="Z3141" s="156">
        <v>2.5336752779905325E-2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61071</v>
      </c>
      <c r="Y3142" s="155">
        <f>_xll.qlCalendarAdvance(Calendar,X3142,NDays&amp;"D")</f>
        <v>61071</v>
      </c>
      <c r="Z3142" s="156">
        <v>2.5336752779905325E-2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61078</v>
      </c>
      <c r="Y3143" s="155">
        <f>_xll.qlCalendarAdvance(Calendar,X3143,NDays&amp;"D")</f>
        <v>61078</v>
      </c>
      <c r="Z3143" s="156">
        <v>2.5336752779825389E-2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61085</v>
      </c>
      <c r="Y3144" s="155">
        <f>_xll.qlCalendarAdvance(Calendar,X3144,NDays&amp;"D")</f>
        <v>61085</v>
      </c>
      <c r="Z3144" s="156">
        <v>2.5336752779905325E-2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61092</v>
      </c>
      <c r="Y3145" s="155">
        <f>_xll.qlCalendarAdvance(Calendar,X3145,NDays&amp;"D")</f>
        <v>61092</v>
      </c>
      <c r="Z3145" s="156">
        <v>2.5336752779905325E-2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61099</v>
      </c>
      <c r="Y3146" s="155">
        <f>_xll.qlCalendarAdvance(Calendar,X3146,NDays&amp;"D")</f>
        <v>61099</v>
      </c>
      <c r="Z3146" s="156">
        <v>2.5336752779825389E-2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61106</v>
      </c>
      <c r="Y3147" s="155">
        <f>_xll.qlCalendarAdvance(Calendar,X3147,NDays&amp;"D")</f>
        <v>61106</v>
      </c>
      <c r="Z3147" s="156">
        <v>2.5336752779825389E-2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61113</v>
      </c>
      <c r="Y3148" s="155">
        <f>_xll.qlCalendarAdvance(Calendar,X3148,NDays&amp;"D")</f>
        <v>61113</v>
      </c>
      <c r="Z3148" s="156">
        <v>2.5336752779905325E-2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61120</v>
      </c>
      <c r="Y3149" s="155">
        <f>_xll.qlCalendarAdvance(Calendar,X3149,NDays&amp;"D")</f>
        <v>61120</v>
      </c>
      <c r="Z3149" s="156">
        <v>2.5336752779905325E-2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61127</v>
      </c>
      <c r="Y3150" s="155">
        <f>_xll.qlCalendarAdvance(Calendar,X3150,NDays&amp;"D")</f>
        <v>61127</v>
      </c>
      <c r="Z3150" s="156">
        <v>2.5336752779825389E-2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61134</v>
      </c>
      <c r="Y3151" s="155">
        <f>_xll.qlCalendarAdvance(Calendar,X3151,NDays&amp;"D")</f>
        <v>61134</v>
      </c>
      <c r="Z3151" s="156">
        <v>2.5336752779905325E-2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61141</v>
      </c>
      <c r="Y3152" s="155">
        <f>_xll.qlCalendarAdvance(Calendar,X3152,NDays&amp;"D")</f>
        <v>61141</v>
      </c>
      <c r="Z3152" s="156">
        <v>2.5336752779905325E-2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61148</v>
      </c>
      <c r="Y3153" s="155">
        <f>_xll.qlCalendarAdvance(Calendar,X3153,NDays&amp;"D")</f>
        <v>61148</v>
      </c>
      <c r="Z3153" s="156">
        <v>2.5336752779905325E-2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61155</v>
      </c>
      <c r="Y3154" s="155">
        <f>_xll.qlCalendarAdvance(Calendar,X3154,NDays&amp;"D")</f>
        <v>61155</v>
      </c>
      <c r="Z3154" s="156">
        <v>2.5336752779825389E-2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61162</v>
      </c>
      <c r="Y3155" s="155">
        <f>_xll.qlCalendarAdvance(Calendar,X3155,NDays&amp;"D")</f>
        <v>61162</v>
      </c>
      <c r="Z3155" s="156">
        <v>2.5336752779905325E-2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61169</v>
      </c>
      <c r="Y3156" s="155">
        <f>_xll.qlCalendarAdvance(Calendar,X3156,NDays&amp;"D")</f>
        <v>61169</v>
      </c>
      <c r="Z3156" s="156">
        <v>2.5336752779905325E-2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61176</v>
      </c>
      <c r="Y3157" s="155">
        <f>_xll.qlCalendarAdvance(Calendar,X3157,NDays&amp;"D")</f>
        <v>61176</v>
      </c>
      <c r="Z3157" s="156">
        <v>2.5336752779825389E-2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61183</v>
      </c>
      <c r="Y3158" s="155">
        <f>_xll.qlCalendarAdvance(Calendar,X3158,NDays&amp;"D")</f>
        <v>61183</v>
      </c>
      <c r="Z3158" s="156">
        <v>2.5336752779825389E-2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61190</v>
      </c>
      <c r="Y3159" s="155">
        <f>_xll.qlCalendarAdvance(Calendar,X3159,NDays&amp;"D")</f>
        <v>61190</v>
      </c>
      <c r="Z3159" s="156">
        <v>2.5336752779905325E-2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61197</v>
      </c>
      <c r="Y3160" s="155">
        <f>_xll.qlCalendarAdvance(Calendar,X3160,NDays&amp;"D")</f>
        <v>61197</v>
      </c>
      <c r="Z3160" s="156">
        <v>2.5336752779905325E-2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61204</v>
      </c>
      <c r="Y3161" s="155">
        <f>_xll.qlCalendarAdvance(Calendar,X3161,NDays&amp;"D")</f>
        <v>61204</v>
      </c>
      <c r="Z3161" s="156">
        <v>2.5336752779825389E-2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61211</v>
      </c>
      <c r="Y3162" s="155">
        <f>_xll.qlCalendarAdvance(Calendar,X3162,NDays&amp;"D")</f>
        <v>61211</v>
      </c>
      <c r="Z3162" s="156">
        <v>2.5336752779905325E-2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61218</v>
      </c>
      <c r="Y3163" s="155">
        <f>_xll.qlCalendarAdvance(Calendar,X3163,NDays&amp;"D")</f>
        <v>61218</v>
      </c>
      <c r="Z3163" s="156">
        <v>2.5336752779905325E-2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61225</v>
      </c>
      <c r="Y3164" s="155">
        <f>_xll.qlCalendarAdvance(Calendar,X3164,NDays&amp;"D")</f>
        <v>61225</v>
      </c>
      <c r="Z3164" s="156">
        <v>2.5336752779825389E-2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61232</v>
      </c>
      <c r="Y3165" s="155">
        <f>_xll.qlCalendarAdvance(Calendar,X3165,NDays&amp;"D")</f>
        <v>61232</v>
      </c>
      <c r="Z3165" s="156">
        <v>2.5336752779825389E-2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61239</v>
      </c>
      <c r="Y3166" s="155">
        <f>_xll.qlCalendarAdvance(Calendar,X3166,NDays&amp;"D")</f>
        <v>61239</v>
      </c>
      <c r="Z3166" s="156">
        <v>2.5336752779905325E-2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61246</v>
      </c>
      <c r="Y3167" s="155">
        <f>_xll.qlCalendarAdvance(Calendar,X3167,NDays&amp;"D")</f>
        <v>61246</v>
      </c>
      <c r="Z3167" s="156">
        <v>2.5336752779905325E-2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61253</v>
      </c>
      <c r="Y3168" s="155">
        <f>_xll.qlCalendarAdvance(Calendar,X3168,NDays&amp;"D")</f>
        <v>61253</v>
      </c>
      <c r="Z3168" s="156">
        <v>2.5336752779825389E-2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61260</v>
      </c>
      <c r="Y3169" s="155">
        <f>_xll.qlCalendarAdvance(Calendar,X3169,NDays&amp;"D")</f>
        <v>61260</v>
      </c>
      <c r="Z3169" s="156">
        <v>2.5336752779905325E-2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61267</v>
      </c>
      <c r="Y3170" s="155">
        <f>_xll.qlCalendarAdvance(Calendar,X3170,NDays&amp;"D")</f>
        <v>61267</v>
      </c>
      <c r="Z3170" s="156">
        <v>2.5336752779905325E-2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61274</v>
      </c>
      <c r="Y3171" s="155">
        <f>_xll.qlCalendarAdvance(Calendar,X3171,NDays&amp;"D")</f>
        <v>61274</v>
      </c>
      <c r="Z3171" s="156">
        <v>2.5336752779905325E-2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61281</v>
      </c>
      <c r="Y3172" s="155">
        <f>_xll.qlCalendarAdvance(Calendar,X3172,NDays&amp;"D")</f>
        <v>61281</v>
      </c>
      <c r="Z3172" s="156">
        <v>2.5336752779905325E-2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61288</v>
      </c>
      <c r="Y3173" s="155">
        <f>_xll.qlCalendarAdvance(Calendar,X3173,NDays&amp;"D")</f>
        <v>61288</v>
      </c>
      <c r="Z3173" s="156">
        <v>2.5336752779905325E-2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61295</v>
      </c>
      <c r="Y3174" s="155">
        <f>_xll.qlCalendarAdvance(Calendar,X3174,NDays&amp;"D")</f>
        <v>61295</v>
      </c>
      <c r="Z3174" s="156">
        <v>2.5336752779985261E-2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61302</v>
      </c>
      <c r="Y3175" s="155">
        <f>_xll.qlCalendarAdvance(Calendar,X3175,NDays&amp;"D")</f>
        <v>61302</v>
      </c>
      <c r="Z3175" s="156">
        <v>2.5336752779825389E-2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61309</v>
      </c>
      <c r="Y3176" s="155">
        <f>_xll.qlCalendarAdvance(Calendar,X3176,NDays&amp;"D")</f>
        <v>61309</v>
      </c>
      <c r="Z3176" s="156">
        <v>2.5336752779825389E-2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61316</v>
      </c>
      <c r="Y3177" s="155">
        <f>_xll.qlCalendarAdvance(Calendar,X3177,NDays&amp;"D")</f>
        <v>61316</v>
      </c>
      <c r="Z3177" s="156">
        <v>2.5336752779905325E-2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61323</v>
      </c>
      <c r="Y3178" s="155">
        <f>_xll.qlCalendarAdvance(Calendar,X3178,NDays&amp;"D")</f>
        <v>61323</v>
      </c>
      <c r="Z3178" s="156">
        <v>2.5336752779905325E-2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61330</v>
      </c>
      <c r="Y3179" s="155">
        <f>_xll.qlCalendarAdvance(Calendar,X3179,NDays&amp;"D")</f>
        <v>61330</v>
      </c>
      <c r="Z3179" s="156">
        <v>2.5336752779825389E-2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61337</v>
      </c>
      <c r="Y3180" s="155">
        <f>_xll.qlCalendarAdvance(Calendar,X3180,NDays&amp;"D")</f>
        <v>61337</v>
      </c>
      <c r="Z3180" s="156">
        <v>2.5336752779905325E-2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61344</v>
      </c>
      <c r="Y3181" s="155">
        <f>_xll.qlCalendarAdvance(Calendar,X3181,NDays&amp;"D")</f>
        <v>61344</v>
      </c>
      <c r="Z3181" s="156">
        <v>2.5336752779905325E-2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61351</v>
      </c>
      <c r="Y3182" s="155">
        <f>_xll.qlCalendarAdvance(Calendar,X3182,NDays&amp;"D")</f>
        <v>61351</v>
      </c>
      <c r="Z3182" s="156">
        <v>2.5336752779905325E-2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61358</v>
      </c>
      <c r="Y3183" s="155">
        <f>_xll.qlCalendarAdvance(Calendar,X3183,NDays&amp;"D")</f>
        <v>61358</v>
      </c>
      <c r="Z3183" s="156">
        <v>2.5336752779825389E-2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61365</v>
      </c>
      <c r="Y3184" s="155">
        <f>_xll.qlCalendarAdvance(Calendar,X3184,NDays&amp;"D")</f>
        <v>61365</v>
      </c>
      <c r="Z3184" s="156">
        <v>2.5336752779905325E-2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61372</v>
      </c>
      <c r="Y3185" s="155">
        <f>_xll.qlCalendarAdvance(Calendar,X3185,NDays&amp;"D")</f>
        <v>61372</v>
      </c>
      <c r="Z3185" s="156">
        <v>2.5336752779825389E-2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61379</v>
      </c>
      <c r="Y3186" s="155">
        <f>_xll.qlCalendarAdvance(Calendar,X3186,NDays&amp;"D")</f>
        <v>61379</v>
      </c>
      <c r="Z3186" s="156">
        <v>2.5336752779905325E-2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61386</v>
      </c>
      <c r="Y3187" s="155">
        <f>_xll.qlCalendarAdvance(Calendar,X3187,NDays&amp;"D")</f>
        <v>61386</v>
      </c>
      <c r="Z3187" s="156">
        <v>2.5336752779825389E-2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61393</v>
      </c>
      <c r="Y3188" s="155">
        <f>_xll.qlCalendarAdvance(Calendar,X3188,NDays&amp;"D")</f>
        <v>61393</v>
      </c>
      <c r="Z3188" s="156">
        <v>2.5336752779905325E-2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61400</v>
      </c>
      <c r="Y3189" s="155">
        <f>_xll.qlCalendarAdvance(Calendar,X3189,NDays&amp;"D")</f>
        <v>61400</v>
      </c>
      <c r="Z3189" s="156">
        <v>2.5336752779905325E-2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61407</v>
      </c>
      <c r="Y3190" s="155">
        <f>_xll.qlCalendarAdvance(Calendar,X3190,NDays&amp;"D")</f>
        <v>61407</v>
      </c>
      <c r="Z3190" s="156">
        <v>2.5336752779825389E-2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61414</v>
      </c>
      <c r="Y3191" s="155">
        <f>_xll.qlCalendarAdvance(Calendar,X3191,NDays&amp;"D")</f>
        <v>61414</v>
      </c>
      <c r="Z3191" s="156">
        <v>2.5336752779905325E-2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61421</v>
      </c>
      <c r="Y3192" s="155">
        <f>_xll.qlCalendarAdvance(Calendar,X3192,NDays&amp;"D")</f>
        <v>61421</v>
      </c>
      <c r="Z3192" s="156">
        <v>2.5336752779905325E-2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61428</v>
      </c>
      <c r="Y3193" s="155">
        <f>_xll.qlCalendarAdvance(Calendar,X3193,NDays&amp;"D")</f>
        <v>61428</v>
      </c>
      <c r="Z3193" s="156">
        <v>2.5336752779825389E-2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61435</v>
      </c>
      <c r="Y3194" s="155">
        <f>_xll.qlCalendarAdvance(Calendar,X3194,NDays&amp;"D")</f>
        <v>61435</v>
      </c>
      <c r="Z3194" s="156">
        <v>2.5336752779825389E-2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61442</v>
      </c>
      <c r="Y3195" s="155">
        <f>_xll.qlCalendarAdvance(Calendar,X3195,NDays&amp;"D")</f>
        <v>61442</v>
      </c>
      <c r="Z3195" s="156">
        <v>2.5336752779905325E-2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61449</v>
      </c>
      <c r="Y3196" s="155">
        <f>_xll.qlCalendarAdvance(Calendar,X3196,NDays&amp;"D")</f>
        <v>61449</v>
      </c>
      <c r="Z3196" s="156">
        <v>2.5336752779905325E-2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61456</v>
      </c>
      <c r="Y3197" s="155">
        <f>_xll.qlCalendarAdvance(Calendar,X3197,NDays&amp;"D")</f>
        <v>61456</v>
      </c>
      <c r="Z3197" s="156">
        <v>2.5336752779825389E-2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61463</v>
      </c>
      <c r="Y3198" s="155">
        <f>_xll.qlCalendarAdvance(Calendar,X3198,NDays&amp;"D")</f>
        <v>61463</v>
      </c>
      <c r="Z3198" s="156">
        <v>2.5336752779905325E-2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61470</v>
      </c>
      <c r="Y3199" s="155">
        <f>_xll.qlCalendarAdvance(Calendar,X3199,NDays&amp;"D")</f>
        <v>61470</v>
      </c>
      <c r="Z3199" s="156">
        <v>2.5336752779905325E-2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61477</v>
      </c>
      <c r="Y3200" s="155">
        <f>_xll.qlCalendarAdvance(Calendar,X3200,NDays&amp;"D")</f>
        <v>61477</v>
      </c>
      <c r="Z3200" s="156">
        <v>2.5336752779905325E-2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61484</v>
      </c>
      <c r="Y3201" s="155">
        <f>_xll.qlCalendarAdvance(Calendar,X3201,NDays&amp;"D")</f>
        <v>61484</v>
      </c>
      <c r="Z3201" s="156">
        <v>2.5336752779825389E-2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61491</v>
      </c>
      <c r="Y3202" s="155">
        <f>_xll.qlCalendarAdvance(Calendar,X3202,NDays&amp;"D")</f>
        <v>61491</v>
      </c>
      <c r="Z3202" s="156">
        <v>2.5336752779905325E-2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61498</v>
      </c>
      <c r="Y3203" s="155">
        <f>_xll.qlCalendarAdvance(Calendar,X3203,NDays&amp;"D")</f>
        <v>61498</v>
      </c>
      <c r="Z3203" s="156">
        <v>2.5336752779905325E-2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61505</v>
      </c>
      <c r="Y3204" s="155">
        <f>_xll.qlCalendarAdvance(Calendar,X3204,NDays&amp;"D")</f>
        <v>61505</v>
      </c>
      <c r="Z3204" s="156">
        <v>2.5336752779825389E-2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61512</v>
      </c>
      <c r="Y3205" s="155">
        <f>_xll.qlCalendarAdvance(Calendar,X3205,NDays&amp;"D")</f>
        <v>61512</v>
      </c>
      <c r="Z3205" s="156">
        <v>2.5336752779825389E-2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61519</v>
      </c>
      <c r="Y3206" s="155">
        <f>_xll.qlCalendarAdvance(Calendar,X3206,NDays&amp;"D")</f>
        <v>61519</v>
      </c>
      <c r="Z3206" s="156">
        <v>2.5336752779825389E-2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61526</v>
      </c>
      <c r="Y3207" s="155">
        <f>_xll.qlCalendarAdvance(Calendar,X3207,NDays&amp;"D")</f>
        <v>61526</v>
      </c>
      <c r="Z3207" s="156">
        <v>2.5336752779905325E-2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61533</v>
      </c>
      <c r="Y3208" s="155">
        <f>_xll.qlCalendarAdvance(Calendar,X3208,NDays&amp;"D")</f>
        <v>61533</v>
      </c>
      <c r="Z3208" s="156">
        <v>2.5336752779905325E-2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61540</v>
      </c>
      <c r="Y3209" s="155">
        <f>_xll.qlCalendarAdvance(Calendar,X3209,NDays&amp;"D")</f>
        <v>61540</v>
      </c>
      <c r="Z3209" s="156">
        <v>2.5336752779905325E-2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61547</v>
      </c>
      <c r="Y3210" s="155">
        <f>_xll.qlCalendarAdvance(Calendar,X3210,NDays&amp;"D")</f>
        <v>61547</v>
      </c>
      <c r="Z3210" s="156">
        <v>2.5337644378540247E-2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61554</v>
      </c>
      <c r="Y3211" s="155">
        <f>_xll.qlCalendarAdvance(Calendar,X3211,NDays&amp;"D")</f>
        <v>61554</v>
      </c>
      <c r="Z3211" s="156">
        <v>2.5336752779905325E-2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61561</v>
      </c>
      <c r="Y3212" s="155">
        <f>_xll.qlCalendarAdvance(Calendar,X3212,NDays&amp;"D")</f>
        <v>61561</v>
      </c>
      <c r="Z3212" s="156">
        <v>2.5336752779825389E-2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61568</v>
      </c>
      <c r="Y3213" s="155">
        <f>_xll.qlCalendarAdvance(Calendar,X3213,NDays&amp;"D")</f>
        <v>61568</v>
      </c>
      <c r="Z3213" s="156">
        <v>2.5336752779905325E-2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61575</v>
      </c>
      <c r="Y3214" s="155">
        <f>_xll.qlCalendarAdvance(Calendar,X3214,NDays&amp;"D")</f>
        <v>61575</v>
      </c>
      <c r="Z3214" s="156">
        <v>2.5336752779905325E-2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61582</v>
      </c>
      <c r="Y3215" s="155">
        <f>_xll.qlCalendarAdvance(Calendar,X3215,NDays&amp;"D")</f>
        <v>61582</v>
      </c>
      <c r="Z3215" s="156">
        <v>2.5336752779825389E-2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61589</v>
      </c>
      <c r="Y3216" s="155">
        <f>_xll.qlCalendarAdvance(Calendar,X3216,NDays&amp;"D")</f>
        <v>61589</v>
      </c>
      <c r="Z3216" s="156">
        <v>2.5336752779825389E-2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61596</v>
      </c>
      <c r="Y3217" s="155">
        <f>_xll.qlCalendarAdvance(Calendar,X3217,NDays&amp;"D")</f>
        <v>61596</v>
      </c>
      <c r="Z3217" s="156">
        <v>2.5336752779905325E-2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61603</v>
      </c>
      <c r="Y3218" s="155">
        <f>_xll.qlCalendarAdvance(Calendar,X3218,NDays&amp;"D")</f>
        <v>61603</v>
      </c>
      <c r="Z3218" s="156">
        <v>2.5336752779985261E-2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61610</v>
      </c>
      <c r="Y3219" s="155">
        <f>_xll.qlCalendarAdvance(Calendar,X3219,NDays&amp;"D")</f>
        <v>61610</v>
      </c>
      <c r="Z3219" s="156">
        <v>2.5336752779825389E-2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61617</v>
      </c>
      <c r="Y3220" s="155">
        <f>_xll.qlCalendarAdvance(Calendar,X3220,NDays&amp;"D")</f>
        <v>61617</v>
      </c>
      <c r="Z3220" s="156">
        <v>2.5336752779905325E-2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61624</v>
      </c>
      <c r="Y3221" s="155">
        <f>_xll.qlCalendarAdvance(Calendar,X3221,NDays&amp;"D")</f>
        <v>61624</v>
      </c>
      <c r="Z3221" s="156">
        <v>2.5336752779905325E-2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61631</v>
      </c>
      <c r="Y3222" s="155">
        <f>_xll.qlCalendarAdvance(Calendar,X3222,NDays&amp;"D")</f>
        <v>61631</v>
      </c>
      <c r="Z3222" s="156">
        <v>2.5336752779825389E-2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61638</v>
      </c>
      <c r="Y3223" s="155">
        <f>_xll.qlCalendarAdvance(Calendar,X3223,NDays&amp;"D")</f>
        <v>61638</v>
      </c>
      <c r="Z3223" s="156">
        <v>2.5336752779825389E-2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61645</v>
      </c>
      <c r="Y3224" s="155">
        <f>_xll.qlCalendarAdvance(Calendar,X3224,NDays&amp;"D")</f>
        <v>61645</v>
      </c>
      <c r="Z3224" s="156">
        <v>2.5336752779905325E-2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61652</v>
      </c>
      <c r="Y3225" s="155">
        <f>_xll.qlCalendarAdvance(Calendar,X3225,NDays&amp;"D")</f>
        <v>61652</v>
      </c>
      <c r="Z3225" s="156">
        <v>2.5336752779825389E-2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61659</v>
      </c>
      <c r="Y3226" s="155">
        <f>_xll.qlCalendarAdvance(Calendar,X3226,NDays&amp;"D")</f>
        <v>61659</v>
      </c>
      <c r="Z3226" s="156">
        <v>2.5336752779825389E-2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61666</v>
      </c>
      <c r="Y3227" s="155">
        <f>_xll.qlCalendarAdvance(Calendar,X3227,NDays&amp;"D")</f>
        <v>61666</v>
      </c>
      <c r="Z3227" s="156">
        <v>2.5336752779905325E-2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61673</v>
      </c>
      <c r="Y3228" s="155">
        <f>_xll.qlCalendarAdvance(Calendar,X3228,NDays&amp;"D")</f>
        <v>61673</v>
      </c>
      <c r="Z3228" s="156">
        <v>2.5336752779905325E-2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61680</v>
      </c>
      <c r="Y3229" s="155">
        <f>_xll.qlCalendarAdvance(Calendar,X3229,NDays&amp;"D")</f>
        <v>61680</v>
      </c>
      <c r="Z3229" s="156">
        <v>2.5336752779905325E-2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61687</v>
      </c>
      <c r="Y3230" s="155">
        <f>_xll.qlCalendarAdvance(Calendar,X3230,NDays&amp;"D")</f>
        <v>61687</v>
      </c>
      <c r="Z3230" s="156">
        <v>2.5336752779825389E-2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61694</v>
      </c>
      <c r="Y3231" s="155">
        <f>_xll.qlCalendarAdvance(Calendar,X3231,NDays&amp;"D")</f>
        <v>61694</v>
      </c>
      <c r="Z3231" s="156">
        <v>2.5336752779905325E-2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61701</v>
      </c>
      <c r="Y3232" s="155">
        <f>_xll.qlCalendarAdvance(Calendar,X3232,NDays&amp;"D")</f>
        <v>61701</v>
      </c>
      <c r="Z3232" s="156">
        <v>2.5336752779905325E-2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61708</v>
      </c>
      <c r="Y3233" s="155">
        <f>_xll.qlCalendarAdvance(Calendar,X3233,NDays&amp;"D")</f>
        <v>61708</v>
      </c>
      <c r="Z3233" s="156">
        <v>2.5336752779825389E-2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61715</v>
      </c>
      <c r="Y3234" s="155">
        <f>_xll.qlCalendarAdvance(Calendar,X3234,NDays&amp;"D")</f>
        <v>61715</v>
      </c>
      <c r="Z3234" s="156">
        <v>2.5336752779825389E-2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61723</v>
      </c>
      <c r="Y3235" s="155">
        <f>_xll.qlCalendarAdvance(Calendar,X3235,NDays&amp;"D")</f>
        <v>61723</v>
      </c>
      <c r="Z3235" s="156">
        <v>2.5336752779825389E-2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61730</v>
      </c>
      <c r="Y3236" s="155">
        <f>_xll.qlCalendarAdvance(Calendar,X3236,NDays&amp;"D")</f>
        <v>61730</v>
      </c>
      <c r="Z3236" s="156">
        <v>2.5336752779905325E-2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61737</v>
      </c>
      <c r="Y3237" s="155">
        <f>_xll.qlCalendarAdvance(Calendar,X3237,NDays&amp;"D")</f>
        <v>61737</v>
      </c>
      <c r="Z3237" s="156">
        <v>2.5336752779905325E-2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61744</v>
      </c>
      <c r="Y3238" s="155">
        <f>_xll.qlCalendarAdvance(Calendar,X3238,NDays&amp;"D")</f>
        <v>61744</v>
      </c>
      <c r="Z3238" s="156">
        <v>2.5336752779825389E-2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61751</v>
      </c>
      <c r="Y3239" s="155">
        <f>_xll.qlCalendarAdvance(Calendar,X3239,NDays&amp;"D")</f>
        <v>61751</v>
      </c>
      <c r="Z3239" s="156">
        <v>2.5336752779825389E-2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61758</v>
      </c>
      <c r="Y3240" s="155">
        <f>_xll.qlCalendarAdvance(Calendar,X3240,NDays&amp;"D")</f>
        <v>61758</v>
      </c>
      <c r="Z3240" s="156">
        <v>2.5336752779905325E-2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61765</v>
      </c>
      <c r="Y3241" s="155">
        <f>_xll.qlCalendarAdvance(Calendar,X3241,NDays&amp;"D")</f>
        <v>61765</v>
      </c>
      <c r="Z3241" s="156">
        <v>2.5336752779905325E-2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61772</v>
      </c>
      <c r="Y3242" s="155">
        <f>_xll.qlCalendarAdvance(Calendar,X3242,NDays&amp;"D")</f>
        <v>61772</v>
      </c>
      <c r="Z3242" s="156">
        <v>2.5336752779825389E-2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61779</v>
      </c>
      <c r="Y3243" s="155">
        <f>_xll.qlCalendarAdvance(Calendar,X3243,NDays&amp;"D")</f>
        <v>61779</v>
      </c>
      <c r="Z3243" s="156">
        <v>2.5336752779825389E-2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61786</v>
      </c>
      <c r="Y3244" s="155">
        <f>_xll.qlCalendarAdvance(Calendar,X3244,NDays&amp;"D")</f>
        <v>61786</v>
      </c>
      <c r="Z3244" s="156">
        <v>2.5336752779905325E-2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61793</v>
      </c>
      <c r="Y3245" s="155">
        <f>_xll.qlCalendarAdvance(Calendar,X3245,NDays&amp;"D")</f>
        <v>61793</v>
      </c>
      <c r="Z3245" s="156">
        <v>2.5336752779825389E-2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61800</v>
      </c>
      <c r="Y3246" s="155">
        <f>_xll.qlCalendarAdvance(Calendar,X3246,NDays&amp;"D")</f>
        <v>61800</v>
      </c>
      <c r="Z3246" s="156">
        <v>2.5336752779905325E-2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61807</v>
      </c>
      <c r="Y3247" s="155">
        <f>_xll.qlCalendarAdvance(Calendar,X3247,NDays&amp;"D")</f>
        <v>61807</v>
      </c>
      <c r="Z3247" s="156">
        <v>2.5336752779905325E-2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61814</v>
      </c>
      <c r="Y3248" s="155">
        <f>_xll.qlCalendarAdvance(Calendar,X3248,NDays&amp;"D")</f>
        <v>61814</v>
      </c>
      <c r="Z3248" s="156">
        <v>2.5336752779905325E-2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61821</v>
      </c>
      <c r="Y3249" s="155">
        <f>_xll.qlCalendarAdvance(Calendar,X3249,NDays&amp;"D")</f>
        <v>61821</v>
      </c>
      <c r="Z3249" s="156">
        <v>2.5336752779905325E-2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61828</v>
      </c>
      <c r="Y3250" s="155">
        <f>_xll.qlCalendarAdvance(Calendar,X3250,NDays&amp;"D")</f>
        <v>61828</v>
      </c>
      <c r="Z3250" s="156">
        <v>2.5336752779905325E-2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61835</v>
      </c>
      <c r="Y3251" s="155">
        <f>_xll.qlCalendarAdvance(Calendar,X3251,NDays&amp;"D")</f>
        <v>61835</v>
      </c>
      <c r="Z3251" s="156">
        <v>2.5336752779905325E-2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61842</v>
      </c>
      <c r="Y3252" s="155">
        <f>_xll.qlCalendarAdvance(Calendar,X3252,NDays&amp;"D")</f>
        <v>61842</v>
      </c>
      <c r="Z3252" s="156">
        <v>2.5336752779905325E-2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61849</v>
      </c>
      <c r="Y3253" s="155">
        <f>_xll.qlCalendarAdvance(Calendar,X3253,NDays&amp;"D")</f>
        <v>61849</v>
      </c>
      <c r="Z3253" s="156">
        <v>2.5336752779825389E-2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61856</v>
      </c>
      <c r="Y3254" s="155">
        <f>_xll.qlCalendarAdvance(Calendar,X3254,NDays&amp;"D")</f>
        <v>61856</v>
      </c>
      <c r="Z3254" s="156">
        <v>2.5336752779825389E-2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61863</v>
      </c>
      <c r="Y3255" s="155">
        <f>_xll.qlCalendarAdvance(Calendar,X3255,NDays&amp;"D")</f>
        <v>61863</v>
      </c>
      <c r="Z3255" s="156">
        <v>2.5336752779905325E-2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61870</v>
      </c>
      <c r="Y3256" s="155">
        <f>_xll.qlCalendarAdvance(Calendar,X3256,NDays&amp;"D")</f>
        <v>61870</v>
      </c>
      <c r="Z3256" s="156">
        <v>2.5336752779905325E-2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61877</v>
      </c>
      <c r="Y3257" s="155">
        <f>_xll.qlCalendarAdvance(Calendar,X3257,NDays&amp;"D")</f>
        <v>61877</v>
      </c>
      <c r="Z3257" s="156">
        <v>2.5336752779825389E-2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61884</v>
      </c>
      <c r="Y3258" s="155">
        <f>_xll.qlCalendarAdvance(Calendar,X3258,NDays&amp;"D")</f>
        <v>61884</v>
      </c>
      <c r="Z3258" s="156">
        <v>2.5336752779905325E-2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61891</v>
      </c>
      <c r="Y3259" s="155">
        <f>_xll.qlCalendarAdvance(Calendar,X3259,NDays&amp;"D")</f>
        <v>61891</v>
      </c>
      <c r="Z3259" s="156">
        <v>2.5336752779905325E-2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61898</v>
      </c>
      <c r="Y3260" s="155">
        <f>_xll.qlCalendarAdvance(Calendar,X3260,NDays&amp;"D")</f>
        <v>61898</v>
      </c>
      <c r="Z3260" s="156">
        <v>2.5336752779825389E-2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61905</v>
      </c>
      <c r="Y3261" s="155">
        <f>_xll.qlCalendarAdvance(Calendar,X3261,NDays&amp;"D")</f>
        <v>61905</v>
      </c>
      <c r="Z3261" s="156">
        <v>2.5336752779905325E-2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61912</v>
      </c>
      <c r="Y3262" s="155">
        <f>_xll.qlCalendarAdvance(Calendar,X3262,NDays&amp;"D")</f>
        <v>61912</v>
      </c>
      <c r="Z3262" s="156">
        <v>2.5337644378540247E-2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61919</v>
      </c>
      <c r="Y3263" s="155">
        <f>_xll.qlCalendarAdvance(Calendar,X3263,NDays&amp;"D")</f>
        <v>61919</v>
      </c>
      <c r="Z3263" s="156">
        <v>2.5336752779825389E-2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61926</v>
      </c>
      <c r="Y3264" s="155">
        <f>_xll.qlCalendarAdvance(Calendar,X3264,NDays&amp;"D")</f>
        <v>61926</v>
      </c>
      <c r="Z3264" s="156">
        <v>2.5336752779905325E-2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61933</v>
      </c>
      <c r="Y3265" s="155">
        <f>_xll.qlCalendarAdvance(Calendar,X3265,NDays&amp;"D")</f>
        <v>61933</v>
      </c>
      <c r="Z3265" s="156">
        <v>2.5336752779905325E-2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61940</v>
      </c>
      <c r="Y3266" s="155">
        <f>_xll.qlCalendarAdvance(Calendar,X3266,NDays&amp;"D")</f>
        <v>61940</v>
      </c>
      <c r="Z3266" s="156">
        <v>2.5336752779905325E-2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61947</v>
      </c>
      <c r="Y3267" s="155">
        <f>_xll.qlCalendarAdvance(Calendar,X3267,NDays&amp;"D")</f>
        <v>61947</v>
      </c>
      <c r="Z3267" s="156">
        <v>2.5336752779825389E-2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61954</v>
      </c>
      <c r="Y3268" s="155">
        <f>_xll.qlCalendarAdvance(Calendar,X3268,NDays&amp;"D")</f>
        <v>61954</v>
      </c>
      <c r="Z3268" s="156">
        <v>2.5336752779985261E-2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61961</v>
      </c>
      <c r="Y3269" s="155">
        <f>_xll.qlCalendarAdvance(Calendar,X3269,NDays&amp;"D")</f>
        <v>61961</v>
      </c>
      <c r="Z3269" s="156">
        <v>2.5336752779905325E-2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61968</v>
      </c>
      <c r="Y3270" s="155">
        <f>_xll.qlCalendarAdvance(Calendar,X3270,NDays&amp;"D")</f>
        <v>61968</v>
      </c>
      <c r="Z3270" s="156">
        <v>2.5336752779905325E-2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61975</v>
      </c>
      <c r="Y3271" s="155">
        <f>_xll.qlCalendarAdvance(Calendar,X3271,NDays&amp;"D")</f>
        <v>61975</v>
      </c>
      <c r="Z3271" s="156">
        <v>2.5336752779825389E-2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61982</v>
      </c>
      <c r="Y3272" s="155">
        <f>_xll.qlCalendarAdvance(Calendar,X3272,NDays&amp;"D")</f>
        <v>61982</v>
      </c>
      <c r="Z3272" s="156">
        <v>2.5336752779825389E-2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61989</v>
      </c>
      <c r="Y3273" s="155">
        <f>_xll.qlCalendarAdvance(Calendar,X3273,NDays&amp;"D")</f>
        <v>61989</v>
      </c>
      <c r="Z3273" s="156">
        <v>2.5336752779905325E-2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61996</v>
      </c>
      <c r="Y3274" s="155">
        <f>_xll.qlCalendarAdvance(Calendar,X3274,NDays&amp;"D")</f>
        <v>61996</v>
      </c>
      <c r="Z3274" s="156">
        <v>2.5336752779825389E-2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62003</v>
      </c>
      <c r="Y3275" s="155">
        <f>_xll.qlCalendarAdvance(Calendar,X3275,NDays&amp;"D")</f>
        <v>62003</v>
      </c>
      <c r="Z3275" s="156">
        <v>2.5336752779825389E-2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62010</v>
      </c>
      <c r="Y3276" s="155">
        <f>_xll.qlCalendarAdvance(Calendar,X3276,NDays&amp;"D")</f>
        <v>62010</v>
      </c>
      <c r="Z3276" s="156">
        <v>2.5336752779905325E-2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62017</v>
      </c>
      <c r="Y3277" s="155">
        <f>_xll.qlCalendarAdvance(Calendar,X3277,NDays&amp;"D")</f>
        <v>62017</v>
      </c>
      <c r="Z3277" s="156">
        <v>2.5336752779905325E-2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62024</v>
      </c>
      <c r="Y3278" s="155">
        <f>_xll.qlCalendarAdvance(Calendar,X3278,NDays&amp;"D")</f>
        <v>62024</v>
      </c>
      <c r="Z3278" s="156">
        <v>2.5336752779825389E-2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62031</v>
      </c>
      <c r="Y3279" s="155">
        <f>_xll.qlCalendarAdvance(Calendar,X3279,NDays&amp;"D")</f>
        <v>62031</v>
      </c>
      <c r="Z3279" s="156">
        <v>2.5336752779905325E-2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62038</v>
      </c>
      <c r="Y3280" s="155">
        <f>_xll.qlCalendarAdvance(Calendar,X3280,NDays&amp;"D")</f>
        <v>62038</v>
      </c>
      <c r="Z3280" s="156">
        <v>2.5336752779905325E-2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62045</v>
      </c>
      <c r="Y3281" s="155">
        <f>_xll.qlCalendarAdvance(Calendar,X3281,NDays&amp;"D")</f>
        <v>62045</v>
      </c>
      <c r="Z3281" s="156">
        <v>2.5336752779905325E-2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62052</v>
      </c>
      <c r="Y3282" s="155">
        <f>_xll.qlCalendarAdvance(Calendar,X3282,NDays&amp;"D")</f>
        <v>62052</v>
      </c>
      <c r="Z3282" s="156">
        <v>2.5336752779825389E-2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62059</v>
      </c>
      <c r="Y3283" s="155">
        <f>_xll.qlCalendarAdvance(Calendar,X3283,NDays&amp;"D")</f>
        <v>62059</v>
      </c>
      <c r="Z3283" s="156">
        <v>2.5337644378540247E-2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62066</v>
      </c>
      <c r="Y3284" s="155">
        <f>_xll.qlCalendarAdvance(Calendar,X3284,NDays&amp;"D")</f>
        <v>62066</v>
      </c>
      <c r="Z3284" s="156">
        <v>2.5336752779905325E-2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62073</v>
      </c>
      <c r="Y3285" s="155">
        <f>_xll.qlCalendarAdvance(Calendar,X3285,NDays&amp;"D")</f>
        <v>62073</v>
      </c>
      <c r="Z3285" s="156">
        <v>2.5336752779825389E-2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62080</v>
      </c>
      <c r="Y3286" s="155">
        <f>_xll.qlCalendarAdvance(Calendar,X3286,NDays&amp;"D")</f>
        <v>62080</v>
      </c>
      <c r="Z3286" s="156">
        <v>2.5336752779825389E-2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62088</v>
      </c>
      <c r="Y3287" s="155">
        <f>_xll.qlCalendarAdvance(Calendar,X3287,NDays&amp;"D")</f>
        <v>62088</v>
      </c>
      <c r="Z3287" s="156">
        <v>2.5336752779905325E-2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62095</v>
      </c>
      <c r="Y3288" s="155">
        <f>_xll.qlCalendarAdvance(Calendar,X3288,NDays&amp;"D")</f>
        <v>62095</v>
      </c>
      <c r="Z3288" s="156">
        <v>2.5336752779825389E-2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62102</v>
      </c>
      <c r="Y3289" s="155">
        <f>_xll.qlCalendarAdvance(Calendar,X3289,NDays&amp;"D")</f>
        <v>62102</v>
      </c>
      <c r="Z3289" s="156">
        <v>2.5336752779905325E-2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62109</v>
      </c>
      <c r="Y3290" s="155">
        <f>_xll.qlCalendarAdvance(Calendar,X3290,NDays&amp;"D")</f>
        <v>62109</v>
      </c>
      <c r="Z3290" s="156">
        <v>2.5336752779825389E-2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62116</v>
      </c>
      <c r="Y3291" s="155">
        <f>_xll.qlCalendarAdvance(Calendar,X3291,NDays&amp;"D")</f>
        <v>62116</v>
      </c>
      <c r="Z3291" s="156">
        <v>2.5336752779825389E-2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62123</v>
      </c>
      <c r="Y3292" s="155">
        <f>_xll.qlCalendarAdvance(Calendar,X3292,NDays&amp;"D")</f>
        <v>62123</v>
      </c>
      <c r="Z3292" s="156">
        <v>2.5336752779905325E-2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62130</v>
      </c>
      <c r="Y3293" s="155">
        <f>_xll.qlCalendarAdvance(Calendar,X3293,NDays&amp;"D")</f>
        <v>62130</v>
      </c>
      <c r="Z3293" s="156">
        <v>2.5336752779985261E-2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62137</v>
      </c>
      <c r="Y3294" s="155">
        <f>_xll.qlCalendarAdvance(Calendar,X3294,NDays&amp;"D")</f>
        <v>62137</v>
      </c>
      <c r="Z3294" s="156">
        <v>2.5336752779825389E-2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62144</v>
      </c>
      <c r="Y3295" s="155">
        <f>_xll.qlCalendarAdvance(Calendar,X3295,NDays&amp;"D")</f>
        <v>62144</v>
      </c>
      <c r="Z3295" s="156">
        <v>2.5336752779905325E-2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62151</v>
      </c>
      <c r="Y3296" s="155">
        <f>_xll.qlCalendarAdvance(Calendar,X3296,NDays&amp;"D")</f>
        <v>62151</v>
      </c>
      <c r="Z3296" s="156">
        <v>2.5336752779905325E-2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62158</v>
      </c>
      <c r="Y3297" s="155">
        <f>_xll.qlCalendarAdvance(Calendar,X3297,NDays&amp;"D")</f>
        <v>62158</v>
      </c>
      <c r="Z3297" s="156">
        <v>2.5336752779825389E-2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62165</v>
      </c>
      <c r="Y3298" s="155">
        <f>_xll.qlCalendarAdvance(Calendar,X3298,NDays&amp;"D")</f>
        <v>62165</v>
      </c>
      <c r="Z3298" s="156">
        <v>2.5336752779825389E-2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62172</v>
      </c>
      <c r="Y3299" s="155">
        <f>_xll.qlCalendarAdvance(Calendar,X3299,NDays&amp;"D")</f>
        <v>62172</v>
      </c>
      <c r="Z3299" s="156">
        <v>2.5336752779905325E-2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62179</v>
      </c>
      <c r="Y3300" s="155">
        <f>_xll.qlCalendarAdvance(Calendar,X3300,NDays&amp;"D")</f>
        <v>62179</v>
      </c>
      <c r="Z3300" s="156">
        <v>2.5336752779825389E-2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62186</v>
      </c>
      <c r="Y3301" s="155">
        <f>_xll.qlCalendarAdvance(Calendar,X3301,NDays&amp;"D")</f>
        <v>62186</v>
      </c>
      <c r="Z3301" s="156">
        <v>2.5336752779825389E-2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62193</v>
      </c>
      <c r="Y3302" s="155">
        <f>_xll.qlCalendarAdvance(Calendar,X3302,NDays&amp;"D")</f>
        <v>62193</v>
      </c>
      <c r="Z3302" s="156">
        <v>2.5336752779985261E-2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62200</v>
      </c>
      <c r="Y3303" s="155">
        <f>_xll.qlCalendarAdvance(Calendar,X3303,NDays&amp;"D")</f>
        <v>62200</v>
      </c>
      <c r="Z3303" s="156">
        <v>2.5336752779905325E-2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62207</v>
      </c>
      <c r="Y3304" s="155">
        <f>_xll.qlCalendarAdvance(Calendar,X3304,NDays&amp;"D")</f>
        <v>62207</v>
      </c>
      <c r="Z3304" s="156">
        <v>2.5336752779905325E-2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62214</v>
      </c>
      <c r="Y3305" s="155">
        <f>_xll.qlCalendarAdvance(Calendar,X3305,NDays&amp;"D")</f>
        <v>62214</v>
      </c>
      <c r="Z3305" s="156">
        <v>2.5336752779825389E-2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62221</v>
      </c>
      <c r="Y3306" s="155">
        <f>_xll.qlCalendarAdvance(Calendar,X3306,NDays&amp;"D")</f>
        <v>62221</v>
      </c>
      <c r="Z3306" s="156">
        <v>2.5336752779905325E-2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62228</v>
      </c>
      <c r="Y3307" s="155">
        <f>_xll.qlCalendarAdvance(Calendar,X3307,NDays&amp;"D")</f>
        <v>62228</v>
      </c>
      <c r="Z3307" s="156">
        <v>2.5336752779985261E-2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62235</v>
      </c>
      <c r="Y3308" s="155">
        <f>_xll.qlCalendarAdvance(Calendar,X3308,NDays&amp;"D")</f>
        <v>62235</v>
      </c>
      <c r="Z3308" s="156">
        <v>2.5336752779825389E-2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62242</v>
      </c>
      <c r="Y3309" s="155">
        <f>_xll.qlCalendarAdvance(Calendar,X3309,NDays&amp;"D")</f>
        <v>62242</v>
      </c>
      <c r="Z3309" s="156">
        <v>2.5336752779825389E-2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62249</v>
      </c>
      <c r="Y3310" s="155">
        <f>_xll.qlCalendarAdvance(Calendar,X3310,NDays&amp;"D")</f>
        <v>62249</v>
      </c>
      <c r="Z3310" s="156">
        <v>2.5336752779905325E-2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62256</v>
      </c>
      <c r="Y3311" s="155">
        <f>_xll.qlCalendarAdvance(Calendar,X3311,NDays&amp;"D")</f>
        <v>62256</v>
      </c>
      <c r="Z3311" s="156">
        <v>2.5336752779905325E-2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62263</v>
      </c>
      <c r="Y3312" s="155">
        <f>_xll.qlCalendarAdvance(Calendar,X3312,NDays&amp;"D")</f>
        <v>62263</v>
      </c>
      <c r="Z3312" s="156">
        <v>2.5336752779825389E-2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62270</v>
      </c>
      <c r="Y3313" s="155">
        <f>_xll.qlCalendarAdvance(Calendar,X3313,NDays&amp;"D")</f>
        <v>62270</v>
      </c>
      <c r="Z3313" s="156">
        <v>2.5336752779905325E-2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62277</v>
      </c>
      <c r="Y3314" s="155">
        <f>_xll.qlCalendarAdvance(Calendar,X3314,NDays&amp;"D")</f>
        <v>62277</v>
      </c>
      <c r="Z3314" s="156">
        <v>2.5339427701389639E-2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62284</v>
      </c>
      <c r="Y3315" s="155">
        <f>_xll.qlCalendarAdvance(Calendar,X3315,NDays&amp;"D")</f>
        <v>62284</v>
      </c>
      <c r="Z3315" s="156">
        <v>2.5336752779825389E-2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62291</v>
      </c>
      <c r="Y3316" s="155">
        <f>_xll.qlCalendarAdvance(Calendar,X3316,NDays&amp;"D")</f>
        <v>62291</v>
      </c>
      <c r="Z3316" s="156">
        <v>2.5336752779825389E-2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62298</v>
      </c>
      <c r="Y3317" s="155">
        <f>_xll.qlCalendarAdvance(Calendar,X3317,NDays&amp;"D")</f>
        <v>62298</v>
      </c>
      <c r="Z3317" s="156">
        <v>2.5336752779905325E-2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62305</v>
      </c>
      <c r="Y3318" s="155">
        <f>_xll.qlCalendarAdvance(Calendar,X3318,NDays&amp;"D")</f>
        <v>62305</v>
      </c>
      <c r="Z3318" s="156">
        <v>2.5336752779905325E-2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62312</v>
      </c>
      <c r="Y3319" s="155">
        <f>_xll.qlCalendarAdvance(Calendar,X3319,NDays&amp;"D")</f>
        <v>62312</v>
      </c>
      <c r="Z3319" s="156">
        <v>2.5336752779825389E-2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62319</v>
      </c>
      <c r="Y3320" s="155">
        <f>_xll.qlCalendarAdvance(Calendar,X3320,NDays&amp;"D")</f>
        <v>62319</v>
      </c>
      <c r="Z3320" s="156">
        <v>2.5336752779825389E-2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62326</v>
      </c>
      <c r="Y3321" s="155">
        <f>_xll.qlCalendarAdvance(Calendar,X3321,NDays&amp;"D")</f>
        <v>62326</v>
      </c>
      <c r="Z3321" s="156">
        <v>2.5336752779905325E-2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62333</v>
      </c>
      <c r="Y3322" s="155">
        <f>_xll.qlCalendarAdvance(Calendar,X3322,NDays&amp;"D")</f>
        <v>62333</v>
      </c>
      <c r="Z3322" s="156">
        <v>2.5336752779905325E-2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62340</v>
      </c>
      <c r="Y3323" s="155">
        <f>_xll.qlCalendarAdvance(Calendar,X3323,NDays&amp;"D")</f>
        <v>62340</v>
      </c>
      <c r="Z3323" s="156">
        <v>2.5336752779745453E-2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62347</v>
      </c>
      <c r="Y3324" s="155">
        <f>_xll.qlCalendarAdvance(Calendar,X3324,NDays&amp;"D")</f>
        <v>62347</v>
      </c>
      <c r="Z3324" s="156">
        <v>2.5336752779905325E-2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62354</v>
      </c>
      <c r="Y3325" s="155">
        <f>_xll.qlCalendarAdvance(Calendar,X3325,NDays&amp;"D")</f>
        <v>62354</v>
      </c>
      <c r="Z3325" s="156">
        <v>2.5336752779985261E-2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62361</v>
      </c>
      <c r="Y3326" s="155">
        <f>_xll.qlCalendarAdvance(Calendar,X3326,NDays&amp;"D")</f>
        <v>62361</v>
      </c>
      <c r="Z3326" s="156">
        <v>2.5336752779825389E-2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62368</v>
      </c>
      <c r="Y3327" s="155">
        <f>_xll.qlCalendarAdvance(Calendar,X3327,NDays&amp;"D")</f>
        <v>62368</v>
      </c>
      <c r="Z3327" s="156">
        <v>2.5336752779825389E-2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62375</v>
      </c>
      <c r="Y3328" s="155">
        <f>_xll.qlCalendarAdvance(Calendar,X3328,NDays&amp;"D")</f>
        <v>62375</v>
      </c>
      <c r="Z3328" s="156">
        <v>2.5336752779905325E-2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62382</v>
      </c>
      <c r="Y3329" s="155">
        <f>_xll.qlCalendarAdvance(Calendar,X3329,NDays&amp;"D")</f>
        <v>62382</v>
      </c>
      <c r="Z3329" s="156">
        <v>2.5336752779905325E-2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62389</v>
      </c>
      <c r="Y3330" s="155">
        <f>_xll.qlCalendarAdvance(Calendar,X3330,NDays&amp;"D")</f>
        <v>62389</v>
      </c>
      <c r="Z3330" s="156">
        <v>2.5336752779825389E-2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62396</v>
      </c>
      <c r="Y3331" s="155">
        <f>_xll.qlCalendarAdvance(Calendar,X3331,NDays&amp;"D")</f>
        <v>62396</v>
      </c>
      <c r="Z3331" s="156">
        <v>2.5336752779905325E-2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62403</v>
      </c>
      <c r="Y3332" s="155">
        <f>_xll.qlCalendarAdvance(Calendar,X3332,NDays&amp;"D")</f>
        <v>62403</v>
      </c>
      <c r="Z3332" s="156">
        <v>2.5336752779825389E-2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62410</v>
      </c>
      <c r="Y3333" s="155">
        <f>_xll.qlCalendarAdvance(Calendar,X3333,NDays&amp;"D")</f>
        <v>62410</v>
      </c>
      <c r="Z3333" s="156">
        <v>2.5336752779905325E-2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62417</v>
      </c>
      <c r="Y3334" s="155">
        <f>_xll.qlCalendarAdvance(Calendar,X3334,NDays&amp;"D")</f>
        <v>62417</v>
      </c>
      <c r="Z3334" s="156">
        <v>2.5336752779825389E-2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62425</v>
      </c>
      <c r="Y3335" s="155">
        <f>_xll.qlCalendarAdvance(Calendar,X3335,NDays&amp;"D")</f>
        <v>62425</v>
      </c>
      <c r="Z3335" s="156">
        <v>2.5338536019035018E-2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62432</v>
      </c>
      <c r="Y3336" s="155">
        <f>_xll.qlCalendarAdvance(Calendar,X3336,NDays&amp;"D")</f>
        <v>62432</v>
      </c>
      <c r="Z3336" s="156">
        <v>2.5338536019061664E-2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62439</v>
      </c>
      <c r="Y3337" s="155">
        <f>_xll.qlCalendarAdvance(Calendar,X3337,NDays&amp;"D")</f>
        <v>62439</v>
      </c>
      <c r="Z3337" s="156">
        <v>2.5338536019035018E-2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62446</v>
      </c>
      <c r="Y3338" s="155">
        <f>_xll.qlCalendarAdvance(Calendar,X3338,NDays&amp;"D")</f>
        <v>62446</v>
      </c>
      <c r="Z3338" s="156">
        <v>2.5338536019035018E-2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62453</v>
      </c>
      <c r="Y3339" s="155">
        <f>_xll.qlCalendarAdvance(Calendar,X3339,NDays&amp;"D")</f>
        <v>62453</v>
      </c>
      <c r="Z3339" s="156">
        <v>2.5338536019035018E-2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62460</v>
      </c>
      <c r="Y3340" s="155">
        <f>_xll.qlCalendarAdvance(Calendar,X3340,NDays&amp;"D")</f>
        <v>62460</v>
      </c>
      <c r="Z3340" s="156">
        <v>2.5338536019061664E-2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62467</v>
      </c>
      <c r="Y3341" s="155">
        <f>_xll.qlCalendarAdvance(Calendar,X3341,NDays&amp;"D")</f>
        <v>62467</v>
      </c>
      <c r="Z3341" s="156">
        <v>2.5338536019035018E-2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62474</v>
      </c>
      <c r="Y3342" s="155">
        <f>_xll.qlCalendarAdvance(Calendar,X3342,NDays&amp;"D")</f>
        <v>62474</v>
      </c>
      <c r="Z3342" s="156">
        <v>2.5339427701369654E-2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62481</v>
      </c>
      <c r="Y3343" s="155">
        <f>_xll.qlCalendarAdvance(Calendar,X3343,NDays&amp;"D")</f>
        <v>62481</v>
      </c>
      <c r="Z3343" s="156">
        <v>2.5338536019061664E-2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62488</v>
      </c>
      <c r="Y3344" s="155">
        <f>_xll.qlCalendarAdvance(Calendar,X3344,NDays&amp;"D")</f>
        <v>62488</v>
      </c>
      <c r="Z3344" s="156">
        <v>2.5338536019061664E-2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62495</v>
      </c>
      <c r="Y3345" s="155">
        <f>_xll.qlCalendarAdvance(Calendar,X3345,NDays&amp;"D")</f>
        <v>62495</v>
      </c>
      <c r="Z3345" s="156">
        <v>2.5338536019035018E-2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62502</v>
      </c>
      <c r="Y3346" s="155">
        <f>_xll.qlCalendarAdvance(Calendar,X3346,NDays&amp;"D")</f>
        <v>62502</v>
      </c>
      <c r="Z3346" s="156">
        <v>2.5339427701389639E-2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62509</v>
      </c>
      <c r="Y3347" s="155">
        <f>_xll.qlCalendarAdvance(Calendar,X3347,NDays&amp;"D")</f>
        <v>62509</v>
      </c>
      <c r="Z3347" s="156">
        <v>2.5338536019061664E-2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62516</v>
      </c>
      <c r="Y3348" s="155">
        <f>_xll.qlCalendarAdvance(Calendar,X3348,NDays&amp;"D")</f>
        <v>62516</v>
      </c>
      <c r="Z3348" s="156">
        <v>2.5338536019061664E-2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62523</v>
      </c>
      <c r="Y3349" s="155">
        <f>_xll.qlCalendarAdvance(Calendar,X3349,NDays&amp;"D")</f>
        <v>62523</v>
      </c>
      <c r="Z3349" s="156">
        <v>2.5338536019008373E-2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62530</v>
      </c>
      <c r="Y3350" s="155">
        <f>_xll.qlCalendarAdvance(Calendar,X3350,NDays&amp;"D")</f>
        <v>62530</v>
      </c>
      <c r="Z3350" s="156">
        <v>2.5338536019061664E-2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62537</v>
      </c>
      <c r="Y3351" s="155">
        <f>_xll.qlCalendarAdvance(Calendar,X3351,NDays&amp;"D")</f>
        <v>62537</v>
      </c>
      <c r="Z3351" s="156">
        <v>2.5338536019061664E-2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62544</v>
      </c>
      <c r="Y3352" s="155">
        <f>_xll.qlCalendarAdvance(Calendar,X3352,NDays&amp;"D")</f>
        <v>62544</v>
      </c>
      <c r="Z3352" s="156">
        <v>2.5338536019061664E-2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62551</v>
      </c>
      <c r="Y3353" s="155">
        <f>_xll.qlCalendarAdvance(Calendar,X3353,NDays&amp;"D")</f>
        <v>62551</v>
      </c>
      <c r="Z3353" s="156">
        <v>2.5338536019035018E-2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62558</v>
      </c>
      <c r="Y3354" s="155">
        <f>_xll.qlCalendarAdvance(Calendar,X3354,NDays&amp;"D")</f>
        <v>62558</v>
      </c>
      <c r="Z3354" s="156">
        <v>2.5338536019061664E-2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62565</v>
      </c>
      <c r="Y3355" s="155">
        <f>_xll.qlCalendarAdvance(Calendar,X3355,NDays&amp;"D")</f>
        <v>62565</v>
      </c>
      <c r="Z3355" s="156">
        <v>2.5338536019035018E-2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62572</v>
      </c>
      <c r="Y3356" s="155">
        <f>_xll.qlCalendarAdvance(Calendar,X3356,NDays&amp;"D")</f>
        <v>62572</v>
      </c>
      <c r="Z3356" s="156">
        <v>2.5338536019061664E-2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62579</v>
      </c>
      <c r="Y3357" s="155">
        <f>_xll.qlCalendarAdvance(Calendar,X3357,NDays&amp;"D")</f>
        <v>62579</v>
      </c>
      <c r="Z3357" s="156">
        <v>2.5338536019061664E-2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62586</v>
      </c>
      <c r="Y3358" s="155">
        <f>_xll.qlCalendarAdvance(Calendar,X3358,NDays&amp;"D")</f>
        <v>62586</v>
      </c>
      <c r="Z3358" s="156">
        <v>2.5338536019035018E-2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62593</v>
      </c>
      <c r="Y3359" s="155">
        <f>_xll.qlCalendarAdvance(Calendar,X3359,NDays&amp;"D")</f>
        <v>62593</v>
      </c>
      <c r="Z3359" s="156">
        <v>2.5338536019061664E-2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62600</v>
      </c>
      <c r="Y3360" s="155">
        <f>_xll.qlCalendarAdvance(Calendar,X3360,NDays&amp;"D")</f>
        <v>62600</v>
      </c>
      <c r="Z3360" s="156">
        <v>2.5339427701369654E-2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62607</v>
      </c>
      <c r="Y3361" s="155">
        <f>_xll.qlCalendarAdvance(Calendar,X3361,NDays&amp;"D")</f>
        <v>62607</v>
      </c>
      <c r="Z3361" s="156">
        <v>2.5338536019035018E-2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62614</v>
      </c>
      <c r="Y3362" s="155">
        <f>_xll.qlCalendarAdvance(Calendar,X3362,NDays&amp;"D")</f>
        <v>62614</v>
      </c>
      <c r="Z3362" s="156">
        <v>2.5338536019061664E-2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62621</v>
      </c>
      <c r="Y3363" s="155">
        <f>_xll.qlCalendarAdvance(Calendar,X3363,NDays&amp;"D")</f>
        <v>62621</v>
      </c>
      <c r="Z3363" s="156">
        <v>2.5338536019061664E-2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62628</v>
      </c>
      <c r="Y3364" s="155">
        <f>_xll.qlCalendarAdvance(Calendar,X3364,NDays&amp;"D")</f>
        <v>62628</v>
      </c>
      <c r="Z3364" s="156">
        <v>2.5338536019061664E-2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62635</v>
      </c>
      <c r="Y3365" s="155">
        <f>_xll.qlCalendarAdvance(Calendar,X3365,NDays&amp;"D")</f>
        <v>62635</v>
      </c>
      <c r="Z3365" s="156">
        <v>2.5338536019061664E-2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62645</v>
      </c>
      <c r="Y3366" s="155">
        <f>_xll.qlCalendarAdvance(Calendar,X3366,NDays&amp;"D")</f>
        <v>62645</v>
      </c>
      <c r="Z3366" s="156">
        <v>2.5336752779905325E-2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62652</v>
      </c>
      <c r="Y3367" s="155">
        <f>_xll.qlCalendarAdvance(Calendar,X3367,NDays&amp;"D")</f>
        <v>62652</v>
      </c>
      <c r="Z3367" s="156">
        <v>2.5336752779825389E-2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62659</v>
      </c>
      <c r="Y3368" s="155">
        <f>_xll.qlCalendarAdvance(Calendar,X3368,NDays&amp;"D")</f>
        <v>62659</v>
      </c>
      <c r="Z3368" s="156">
        <v>2.5336752779825389E-2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62666</v>
      </c>
      <c r="Y3369" s="155">
        <f>_xll.qlCalendarAdvance(Calendar,X3369,NDays&amp;"D")</f>
        <v>62666</v>
      </c>
      <c r="Z3369" s="156">
        <v>2.5336752779905325E-2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62673</v>
      </c>
      <c r="Y3370" s="155">
        <f>_xll.qlCalendarAdvance(Calendar,X3370,NDays&amp;"D")</f>
        <v>62673</v>
      </c>
      <c r="Z3370" s="156">
        <v>2.5336752779905325E-2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62680</v>
      </c>
      <c r="Y3371" s="155">
        <f>_xll.qlCalendarAdvance(Calendar,X3371,NDays&amp;"D")</f>
        <v>62680</v>
      </c>
      <c r="Z3371" s="156">
        <v>2.5336752779905325E-2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62687</v>
      </c>
      <c r="Y3372" s="155">
        <f>_xll.qlCalendarAdvance(Calendar,X3372,NDays&amp;"D")</f>
        <v>62687</v>
      </c>
      <c r="Z3372" s="156">
        <v>2.5336752779825389E-2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62694</v>
      </c>
      <c r="Y3373" s="155">
        <f>_xll.qlCalendarAdvance(Calendar,X3373,NDays&amp;"D")</f>
        <v>62694</v>
      </c>
      <c r="Z3373" s="156">
        <v>2.5336752779905325E-2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62701</v>
      </c>
      <c r="Y3374" s="155">
        <f>_xll.qlCalendarAdvance(Calendar,X3374,NDays&amp;"D")</f>
        <v>62701</v>
      </c>
      <c r="Z3374" s="156">
        <v>2.5336752779905325E-2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62709</v>
      </c>
      <c r="Y3375" s="155">
        <f>_xll.qlCalendarAdvance(Calendar,X3375,NDays&amp;"D")</f>
        <v>62709</v>
      </c>
      <c r="Z3375" s="156">
        <v>2.5336752779905325E-2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62716</v>
      </c>
      <c r="Y3376" s="155">
        <f>_xll.qlCalendarAdvance(Calendar,X3376,NDays&amp;"D")</f>
        <v>62716</v>
      </c>
      <c r="Z3376" s="156">
        <v>2.5336752779905325E-2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62723</v>
      </c>
      <c r="Y3377" s="155">
        <f>_xll.qlCalendarAdvance(Calendar,X3377,NDays&amp;"D")</f>
        <v>62723</v>
      </c>
      <c r="Z3377" s="156">
        <v>2.5336752779825389E-2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62730</v>
      </c>
      <c r="Y3378" s="155">
        <f>_xll.qlCalendarAdvance(Calendar,X3378,NDays&amp;"D")</f>
        <v>62730</v>
      </c>
      <c r="Z3378" s="156">
        <v>2.5336752779905325E-2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62737</v>
      </c>
      <c r="Y3379" s="155">
        <f>_xll.qlCalendarAdvance(Calendar,X3379,NDays&amp;"D")</f>
        <v>62737</v>
      </c>
      <c r="Z3379" s="156">
        <v>2.5336752779825389E-2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62744</v>
      </c>
      <c r="Y3380" s="155">
        <f>_xll.qlCalendarAdvance(Calendar,X3380,NDays&amp;"D")</f>
        <v>62744</v>
      </c>
      <c r="Z3380" s="156">
        <v>2.5336752779905325E-2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62751</v>
      </c>
      <c r="Y3381" s="155">
        <f>_xll.qlCalendarAdvance(Calendar,X3381,NDays&amp;"D")</f>
        <v>62751</v>
      </c>
      <c r="Z3381" s="156">
        <v>2.5336752779825389E-2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62758</v>
      </c>
      <c r="Y3382" s="155">
        <f>_xll.qlCalendarAdvance(Calendar,X3382,NDays&amp;"D")</f>
        <v>62758</v>
      </c>
      <c r="Z3382" s="156">
        <v>2.5336752779905325E-2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62765</v>
      </c>
      <c r="Y3383" s="155">
        <f>_xll.qlCalendarAdvance(Calendar,X3383,NDays&amp;"D")</f>
        <v>62765</v>
      </c>
      <c r="Z3383" s="156">
        <v>2.5336752779905325E-2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62772</v>
      </c>
      <c r="Y3384" s="155">
        <f>_xll.qlCalendarAdvance(Calendar,X3384,NDays&amp;"D")</f>
        <v>62772</v>
      </c>
      <c r="Z3384" s="156">
        <v>2.5337644378540247E-2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62779</v>
      </c>
      <c r="Y3385" s="155">
        <f>_xll.qlCalendarAdvance(Calendar,X3385,NDays&amp;"D")</f>
        <v>62779</v>
      </c>
      <c r="Z3385" s="156">
        <v>2.5336752779905325E-2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62786</v>
      </c>
      <c r="Y3386" s="155">
        <f>_xll.qlCalendarAdvance(Calendar,X3386,NDays&amp;"D")</f>
        <v>62786</v>
      </c>
      <c r="Z3386" s="156">
        <v>2.5336752779905325E-2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62793</v>
      </c>
      <c r="Y3387" s="155">
        <f>_xll.qlCalendarAdvance(Calendar,X3387,NDays&amp;"D")</f>
        <v>62793</v>
      </c>
      <c r="Z3387" s="156">
        <v>2.5336752779905325E-2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62800</v>
      </c>
      <c r="Y3388" s="155">
        <f>_xll.qlCalendarAdvance(Calendar,X3388,NDays&amp;"D")</f>
        <v>62800</v>
      </c>
      <c r="Z3388" s="156">
        <v>2.5336752779745453E-2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62807</v>
      </c>
      <c r="Y3389" s="155">
        <f>_xll.qlCalendarAdvance(Calendar,X3389,NDays&amp;"D")</f>
        <v>62807</v>
      </c>
      <c r="Z3389" s="156">
        <v>2.5336752779905325E-2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62814</v>
      </c>
      <c r="Y3390" s="155">
        <f>_xll.qlCalendarAdvance(Calendar,X3390,NDays&amp;"D")</f>
        <v>62814</v>
      </c>
      <c r="Z3390" s="156">
        <v>2.5336752779905325E-2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62821</v>
      </c>
      <c r="Y3391" s="155">
        <f>_xll.qlCalendarAdvance(Calendar,X3391,NDays&amp;"D")</f>
        <v>62821</v>
      </c>
      <c r="Z3391" s="156">
        <v>2.5336752779825389E-2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62828</v>
      </c>
      <c r="Y3392" s="155">
        <f>_xll.qlCalendarAdvance(Calendar,X3392,NDays&amp;"D")</f>
        <v>62828</v>
      </c>
      <c r="Z3392" s="156">
        <v>2.5336752779825389E-2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62835</v>
      </c>
      <c r="Y3393" s="155">
        <f>_xll.qlCalendarAdvance(Calendar,X3393,NDays&amp;"D")</f>
        <v>62835</v>
      </c>
      <c r="Z3393" s="156">
        <v>2.5336752779905325E-2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62842</v>
      </c>
      <c r="Y3394" s="155">
        <f>_xll.qlCalendarAdvance(Calendar,X3394,NDays&amp;"D")</f>
        <v>62842</v>
      </c>
      <c r="Z3394" s="156">
        <v>2.5336752779825389E-2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62849</v>
      </c>
      <c r="Y3395" s="155">
        <f>_xll.qlCalendarAdvance(Calendar,X3395,NDays&amp;"D")</f>
        <v>62849</v>
      </c>
      <c r="Z3395" s="156">
        <v>2.5336752779825389E-2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62856</v>
      </c>
      <c r="Y3396" s="155">
        <f>_xll.qlCalendarAdvance(Calendar,X3396,NDays&amp;"D")</f>
        <v>62856</v>
      </c>
      <c r="Z3396" s="156">
        <v>2.5336752779905325E-2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62863</v>
      </c>
      <c r="Y3397" s="155">
        <f>_xll.qlCalendarAdvance(Calendar,X3397,NDays&amp;"D")</f>
        <v>62863</v>
      </c>
      <c r="Z3397" s="156">
        <v>2.5336752779905325E-2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62870</v>
      </c>
      <c r="Y3398" s="155">
        <f>_xll.qlCalendarAdvance(Calendar,X3398,NDays&amp;"D")</f>
        <v>62870</v>
      </c>
      <c r="Z3398" s="156">
        <v>2.5336752779905325E-2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62877</v>
      </c>
      <c r="Y3399" s="155">
        <f>_xll.qlCalendarAdvance(Calendar,X3399,NDays&amp;"D")</f>
        <v>62877</v>
      </c>
      <c r="Z3399" s="156">
        <v>2.5336752779825389E-2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62884</v>
      </c>
      <c r="Y3400" s="155">
        <f>_xll.qlCalendarAdvance(Calendar,X3400,NDays&amp;"D")</f>
        <v>62884</v>
      </c>
      <c r="Z3400" s="156">
        <v>2.5336752779985261E-2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62891</v>
      </c>
      <c r="Y3401" s="155">
        <f>_xll.qlCalendarAdvance(Calendar,X3401,NDays&amp;"D")</f>
        <v>62891</v>
      </c>
      <c r="Z3401" s="156">
        <v>2.5336752779905325E-2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62898</v>
      </c>
      <c r="Y3402" s="155">
        <f>_xll.qlCalendarAdvance(Calendar,X3402,NDays&amp;"D")</f>
        <v>62898</v>
      </c>
      <c r="Z3402" s="156">
        <v>2.5336752779825389E-2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62905</v>
      </c>
      <c r="Y3403" s="155">
        <f>_xll.qlCalendarAdvance(Calendar,X3403,NDays&amp;"D")</f>
        <v>62905</v>
      </c>
      <c r="Z3403" s="156">
        <v>2.5336752779905325E-2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62912</v>
      </c>
      <c r="Y3404" s="155">
        <f>_xll.qlCalendarAdvance(Calendar,X3404,NDays&amp;"D")</f>
        <v>62912</v>
      </c>
      <c r="Z3404" s="156">
        <v>2.5336752779905325E-2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62919</v>
      </c>
      <c r="Y3405" s="155">
        <f>_xll.qlCalendarAdvance(Calendar,X3405,NDays&amp;"D")</f>
        <v>62919</v>
      </c>
      <c r="Z3405" s="156">
        <v>2.5336752779825389E-2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62926</v>
      </c>
      <c r="Y3406" s="155">
        <f>_xll.qlCalendarAdvance(Calendar,X3406,NDays&amp;"D")</f>
        <v>62926</v>
      </c>
      <c r="Z3406" s="156">
        <v>2.5336752779825389E-2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62933</v>
      </c>
      <c r="Y3407" s="155">
        <f>_xll.qlCalendarAdvance(Calendar,X3407,NDays&amp;"D")</f>
        <v>62933</v>
      </c>
      <c r="Z3407" s="156">
        <v>2.5336752779985261E-2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62940</v>
      </c>
      <c r="Y3408" s="155">
        <f>_xll.qlCalendarAdvance(Calendar,X3408,NDays&amp;"D")</f>
        <v>62940</v>
      </c>
      <c r="Z3408" s="156">
        <v>2.5336752779905325E-2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62947</v>
      </c>
      <c r="Y3409" s="155">
        <f>_xll.qlCalendarAdvance(Calendar,X3409,NDays&amp;"D")</f>
        <v>62947</v>
      </c>
      <c r="Z3409" s="156">
        <v>2.5336752779825389E-2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62954</v>
      </c>
      <c r="Y3410" s="155">
        <f>_xll.qlCalendarAdvance(Calendar,X3410,NDays&amp;"D")</f>
        <v>62954</v>
      </c>
      <c r="Z3410" s="156">
        <v>2.5336752779825389E-2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62961</v>
      </c>
      <c r="Y3411" s="155">
        <f>_xll.qlCalendarAdvance(Calendar,X3411,NDays&amp;"D")</f>
        <v>62961</v>
      </c>
      <c r="Z3411" s="156">
        <v>2.5336752779905325E-2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62968</v>
      </c>
      <c r="Y3412" s="155">
        <f>_xll.qlCalendarAdvance(Calendar,X3412,NDays&amp;"D")</f>
        <v>62968</v>
      </c>
      <c r="Z3412" s="156">
        <v>2.5336752779905325E-2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62975</v>
      </c>
      <c r="Y3413" s="155">
        <f>_xll.qlCalendarAdvance(Calendar,X3413,NDays&amp;"D")</f>
        <v>62975</v>
      </c>
      <c r="Z3413" s="156">
        <v>2.5336752779745453E-2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62982</v>
      </c>
      <c r="Y3414" s="155">
        <f>_xll.qlCalendarAdvance(Calendar,X3414,NDays&amp;"D")</f>
        <v>62982</v>
      </c>
      <c r="Z3414" s="156">
        <v>2.5336752779825389E-2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62989</v>
      </c>
      <c r="Y3415" s="155">
        <f>_xll.qlCalendarAdvance(Calendar,X3415,NDays&amp;"D")</f>
        <v>62989</v>
      </c>
      <c r="Z3415" s="156">
        <v>2.5336752779905325E-2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62996</v>
      </c>
      <c r="Y3416" s="155">
        <f>_xll.qlCalendarAdvance(Calendar,X3416,NDays&amp;"D")</f>
        <v>62996</v>
      </c>
      <c r="Z3416" s="156">
        <v>2.5336752779825389E-2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63003</v>
      </c>
      <c r="Y3417" s="155">
        <f>_xll.qlCalendarAdvance(Calendar,X3417,NDays&amp;"D")</f>
        <v>63003</v>
      </c>
      <c r="Z3417" s="156">
        <v>2.5336752779825389E-2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63010</v>
      </c>
      <c r="Y3418" s="155">
        <f>_xll.qlCalendarAdvance(Calendar,X3418,NDays&amp;"D")</f>
        <v>63010</v>
      </c>
      <c r="Z3418" s="156">
        <v>2.5336752779825389E-2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63017</v>
      </c>
      <c r="Y3419" s="155">
        <f>_xll.qlCalendarAdvance(Calendar,X3419,NDays&amp;"D")</f>
        <v>63017</v>
      </c>
      <c r="Z3419" s="156">
        <v>2.5336752779905325E-2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63024</v>
      </c>
      <c r="Y3420" s="155">
        <f>_xll.qlCalendarAdvance(Calendar,X3420,NDays&amp;"D")</f>
        <v>63024</v>
      </c>
      <c r="Z3420" s="156">
        <v>2.5336752779825389E-2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63031</v>
      </c>
      <c r="Y3421" s="155">
        <f>_xll.qlCalendarAdvance(Calendar,X3421,NDays&amp;"D")</f>
        <v>63031</v>
      </c>
      <c r="Z3421" s="156">
        <v>2.5336752779905325E-2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63038</v>
      </c>
      <c r="Y3422" s="155">
        <f>_xll.qlCalendarAdvance(Calendar,X3422,NDays&amp;"D")</f>
        <v>63038</v>
      </c>
      <c r="Z3422" s="156">
        <v>2.5336752779905325E-2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63045</v>
      </c>
      <c r="Y3423" s="155">
        <f>_xll.qlCalendarAdvance(Calendar,X3423,NDays&amp;"D")</f>
        <v>63045</v>
      </c>
      <c r="Z3423" s="156">
        <v>2.5336752779905325E-2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63052</v>
      </c>
      <c r="Y3424" s="155">
        <f>_xll.qlCalendarAdvance(Calendar,X3424,NDays&amp;"D")</f>
        <v>63052</v>
      </c>
      <c r="Z3424" s="156">
        <v>2.5336752779905325E-2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63059</v>
      </c>
      <c r="Y3425" s="155">
        <f>_xll.qlCalendarAdvance(Calendar,X3425,NDays&amp;"D")</f>
        <v>63059</v>
      </c>
      <c r="Z3425" s="156">
        <v>2.5336752779905325E-2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63066</v>
      </c>
      <c r="Y3426" s="155">
        <f>_xll.qlCalendarAdvance(Calendar,X3426,NDays&amp;"D")</f>
        <v>63066</v>
      </c>
      <c r="Z3426" s="156">
        <v>2.5336752779905325E-2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63073</v>
      </c>
      <c r="Y3427" s="155">
        <f>_xll.qlCalendarAdvance(Calendar,X3427,NDays&amp;"D")</f>
        <v>63073</v>
      </c>
      <c r="Z3427" s="156">
        <v>2.5336752779825389E-2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63080</v>
      </c>
      <c r="Y3428" s="155">
        <f>_xll.qlCalendarAdvance(Calendar,X3428,NDays&amp;"D")</f>
        <v>63080</v>
      </c>
      <c r="Z3428" s="156">
        <v>2.5336752779825389E-2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63087</v>
      </c>
      <c r="Y3429" s="155">
        <f>_xll.qlCalendarAdvance(Calendar,X3429,NDays&amp;"D")</f>
        <v>63087</v>
      </c>
      <c r="Z3429" s="156">
        <v>2.5336752779905325E-2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63094</v>
      </c>
      <c r="Y3430" s="155">
        <f>_xll.qlCalendarAdvance(Calendar,X3430,NDays&amp;"D")</f>
        <v>63094</v>
      </c>
      <c r="Z3430" s="156">
        <v>2.5336752779905325E-2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63101</v>
      </c>
      <c r="Y3431" s="155">
        <f>_xll.qlCalendarAdvance(Calendar,X3431,NDays&amp;"D")</f>
        <v>63101</v>
      </c>
      <c r="Z3431" s="156">
        <v>2.5336752779825389E-2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63108</v>
      </c>
      <c r="Y3432" s="155">
        <f>_xll.qlCalendarAdvance(Calendar,X3432,NDays&amp;"D")</f>
        <v>63108</v>
      </c>
      <c r="Z3432" s="156">
        <v>2.5336752779905325E-2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63115</v>
      </c>
      <c r="Y3433" s="155">
        <f>_xll.qlCalendarAdvance(Calendar,X3433,NDays&amp;"D")</f>
        <v>63115</v>
      </c>
      <c r="Z3433" s="156">
        <v>2.5336752779905325E-2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63122</v>
      </c>
      <c r="Y3434" s="155">
        <f>_xll.qlCalendarAdvance(Calendar,X3434,NDays&amp;"D")</f>
        <v>63122</v>
      </c>
      <c r="Z3434" s="156">
        <v>2.5336752779905325E-2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63129</v>
      </c>
      <c r="Y3435" s="155">
        <f>_xll.qlCalendarAdvance(Calendar,X3435,NDays&amp;"D")</f>
        <v>63129</v>
      </c>
      <c r="Z3435" s="156">
        <v>2.5336752779905325E-2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63136</v>
      </c>
      <c r="Y3436" s="155">
        <f>_xll.qlCalendarAdvance(Calendar,X3436,NDays&amp;"D")</f>
        <v>63136</v>
      </c>
      <c r="Z3436" s="156">
        <v>2.5336752779905325E-2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63143</v>
      </c>
      <c r="Y3437" s="155">
        <f>_xll.qlCalendarAdvance(Calendar,X3437,NDays&amp;"D")</f>
        <v>63143</v>
      </c>
      <c r="Z3437" s="156">
        <v>2.5336752779825389E-2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63150</v>
      </c>
      <c r="Y3438" s="155">
        <f>_xll.qlCalendarAdvance(Calendar,X3438,NDays&amp;"D")</f>
        <v>63150</v>
      </c>
      <c r="Z3438" s="156">
        <v>2.5336752779825389E-2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63157</v>
      </c>
      <c r="Y3439" s="155">
        <f>_xll.qlCalendarAdvance(Calendar,X3439,NDays&amp;"D")</f>
        <v>63157</v>
      </c>
      <c r="Z3439" s="156">
        <v>2.5336752779825389E-2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63164</v>
      </c>
      <c r="Y3440" s="155">
        <f>_xll.qlCalendarAdvance(Calendar,X3440,NDays&amp;"D")</f>
        <v>63164</v>
      </c>
      <c r="Z3440" s="156">
        <v>2.5336752779985261E-2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63171</v>
      </c>
      <c r="Y3441" s="155">
        <f>_xll.qlCalendarAdvance(Calendar,X3441,NDays&amp;"D")</f>
        <v>63171</v>
      </c>
      <c r="Z3441" s="156">
        <v>2.5336752779905325E-2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63178</v>
      </c>
      <c r="Y3442" s="155">
        <f>_xll.qlCalendarAdvance(Calendar,X3442,NDays&amp;"D")</f>
        <v>63178</v>
      </c>
      <c r="Z3442" s="156">
        <v>2.5336752779825389E-2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63185</v>
      </c>
      <c r="Y3443" s="155">
        <f>_xll.qlCalendarAdvance(Calendar,X3443,NDays&amp;"D")</f>
        <v>63185</v>
      </c>
      <c r="Z3443" s="156">
        <v>2.5336752779905325E-2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63192</v>
      </c>
      <c r="Y3444" s="155">
        <f>_xll.qlCalendarAdvance(Calendar,X3444,NDays&amp;"D")</f>
        <v>63192</v>
      </c>
      <c r="Z3444" s="156">
        <v>2.5336752779905325E-2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63199</v>
      </c>
      <c r="Y3445" s="155">
        <f>_xll.qlCalendarAdvance(Calendar,X3445,NDays&amp;"D")</f>
        <v>63199</v>
      </c>
      <c r="Z3445" s="156">
        <v>2.5336752779905325E-2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63206</v>
      </c>
      <c r="Y3446" s="155">
        <f>_xll.qlCalendarAdvance(Calendar,X3446,NDays&amp;"D")</f>
        <v>63206</v>
      </c>
      <c r="Z3446" s="156">
        <v>2.5336752779825389E-2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63213</v>
      </c>
      <c r="Y3447" s="155">
        <f>_xll.qlCalendarAdvance(Calendar,X3447,NDays&amp;"D")</f>
        <v>63213</v>
      </c>
      <c r="Z3447" s="156">
        <v>2.5336752779905325E-2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63220</v>
      </c>
      <c r="Y3448" s="155">
        <f>_xll.qlCalendarAdvance(Calendar,X3448,NDays&amp;"D")</f>
        <v>63220</v>
      </c>
      <c r="Z3448" s="156">
        <v>2.5336752779905325E-2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63227</v>
      </c>
      <c r="Y3449" s="155">
        <f>_xll.qlCalendarAdvance(Calendar,X3449,NDays&amp;"D")</f>
        <v>63227</v>
      </c>
      <c r="Z3449" s="156">
        <v>2.5336752779825389E-2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63234</v>
      </c>
      <c r="Y3450" s="155">
        <f>_xll.qlCalendarAdvance(Calendar,X3450,NDays&amp;"D")</f>
        <v>63234</v>
      </c>
      <c r="Z3450" s="156">
        <v>2.5336752779905325E-2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63241</v>
      </c>
      <c r="Y3451" s="155">
        <f>_xll.qlCalendarAdvance(Calendar,X3451,NDays&amp;"D")</f>
        <v>63241</v>
      </c>
      <c r="Z3451" s="156">
        <v>2.5336752779905325E-2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63248</v>
      </c>
      <c r="Y3452" s="155">
        <f>_xll.qlCalendarAdvance(Calendar,X3452,NDays&amp;"D")</f>
        <v>63248</v>
      </c>
      <c r="Z3452" s="156">
        <v>2.5336752779905325E-2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63255</v>
      </c>
      <c r="Y3453" s="155">
        <f>_xll.qlCalendarAdvance(Calendar,X3453,NDays&amp;"D")</f>
        <v>63255</v>
      </c>
      <c r="Z3453" s="156">
        <v>2.5336752779905325E-2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63262</v>
      </c>
      <c r="Y3454" s="155">
        <f>_xll.qlCalendarAdvance(Calendar,X3454,NDays&amp;"D")</f>
        <v>63262</v>
      </c>
      <c r="Z3454" s="156">
        <v>2.5336752779905325E-2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63269</v>
      </c>
      <c r="Y3455" s="155">
        <f>_xll.qlCalendarAdvance(Calendar,X3455,NDays&amp;"D")</f>
        <v>63269</v>
      </c>
      <c r="Z3455" s="156">
        <v>2.5336752779905325E-2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63276</v>
      </c>
      <c r="Y3456" s="155">
        <f>_xll.qlCalendarAdvance(Calendar,X3456,NDays&amp;"D")</f>
        <v>63276</v>
      </c>
      <c r="Z3456" s="156">
        <v>2.5336752779825389E-2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63283</v>
      </c>
      <c r="Y3457" s="155">
        <f>_xll.qlCalendarAdvance(Calendar,X3457,NDays&amp;"D")</f>
        <v>63283</v>
      </c>
      <c r="Z3457" s="156">
        <v>2.5336752779825389E-2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63290</v>
      </c>
      <c r="Y3458" s="155">
        <f>_xll.qlCalendarAdvance(Calendar,X3458,NDays&amp;"D")</f>
        <v>63290</v>
      </c>
      <c r="Z3458" s="156">
        <v>2.5336752779825389E-2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63297</v>
      </c>
      <c r="Y3459" s="155">
        <f>_xll.qlCalendarAdvance(Calendar,X3459,NDays&amp;"D")</f>
        <v>63297</v>
      </c>
      <c r="Z3459" s="156">
        <v>2.5336752779905325E-2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63304</v>
      </c>
      <c r="Y3460" s="155">
        <f>_xll.qlCalendarAdvance(Calendar,X3460,NDays&amp;"D")</f>
        <v>63304</v>
      </c>
      <c r="Z3460" s="156">
        <v>2.5336752779825389E-2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63311</v>
      </c>
      <c r="Y3461" s="155">
        <f>_xll.qlCalendarAdvance(Calendar,X3461,NDays&amp;"D")</f>
        <v>63311</v>
      </c>
      <c r="Z3461" s="156">
        <v>2.5336752779905325E-2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63318</v>
      </c>
      <c r="Y3462" s="155">
        <f>_xll.qlCalendarAdvance(Calendar,X3462,NDays&amp;"D")</f>
        <v>63318</v>
      </c>
      <c r="Z3462" s="156">
        <v>2.5336752779825389E-2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63325</v>
      </c>
      <c r="Y3463" s="155">
        <f>_xll.qlCalendarAdvance(Calendar,X3463,NDays&amp;"D")</f>
        <v>63325</v>
      </c>
      <c r="Z3463" s="156">
        <v>2.5336752779825389E-2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63332</v>
      </c>
      <c r="Y3464" s="155">
        <f>_xll.qlCalendarAdvance(Calendar,X3464,NDays&amp;"D")</f>
        <v>63332</v>
      </c>
      <c r="Z3464" s="156">
        <v>2.5336752779825389E-2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63339</v>
      </c>
      <c r="Y3465" s="155">
        <f>_xll.qlCalendarAdvance(Calendar,X3465,NDays&amp;"D")</f>
        <v>63339</v>
      </c>
      <c r="Z3465" s="156">
        <v>2.5336752779905325E-2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63346</v>
      </c>
      <c r="Y3466" s="155">
        <f>_xll.qlCalendarAdvance(Calendar,X3466,NDays&amp;"D")</f>
        <v>63346</v>
      </c>
      <c r="Z3466" s="156">
        <v>2.5336752779825389E-2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63353</v>
      </c>
      <c r="Y3467" s="155">
        <f>_xll.qlCalendarAdvance(Calendar,X3467,NDays&amp;"D")</f>
        <v>63353</v>
      </c>
      <c r="Z3467" s="156">
        <v>2.5336752779825389E-2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63360</v>
      </c>
      <c r="Y3468" s="155">
        <f>_xll.qlCalendarAdvance(Calendar,X3468,NDays&amp;"D")</f>
        <v>63360</v>
      </c>
      <c r="Z3468" s="156">
        <v>2.5336752779905325E-2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63367</v>
      </c>
      <c r="Y3469" s="155">
        <f>_xll.qlCalendarAdvance(Calendar,X3469,NDays&amp;"D")</f>
        <v>63367</v>
      </c>
      <c r="Z3469" s="156">
        <v>2.5336752779905325E-2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63375</v>
      </c>
      <c r="Y3470" s="155">
        <f>_xll.qlCalendarAdvance(Calendar,X3470,NDays&amp;"D")</f>
        <v>63375</v>
      </c>
      <c r="Z3470" s="156">
        <v>2.5336752779905325E-2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63382</v>
      </c>
      <c r="Y3471" s="155">
        <f>_xll.qlCalendarAdvance(Calendar,X3471,NDays&amp;"D")</f>
        <v>63382</v>
      </c>
      <c r="Z3471" s="156">
        <v>2.5336752779825389E-2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63389</v>
      </c>
      <c r="Y3472" s="155">
        <f>_xll.qlCalendarAdvance(Calendar,X3472,NDays&amp;"D")</f>
        <v>63389</v>
      </c>
      <c r="Z3472" s="156">
        <v>2.5336752779825389E-2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63396</v>
      </c>
      <c r="Y3473" s="155">
        <f>_xll.qlCalendarAdvance(Calendar,X3473,NDays&amp;"D")</f>
        <v>63396</v>
      </c>
      <c r="Z3473" s="156">
        <v>2.5336752779985261E-2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63403</v>
      </c>
      <c r="Y3474" s="155">
        <f>_xll.qlCalendarAdvance(Calendar,X3474,NDays&amp;"D")</f>
        <v>63403</v>
      </c>
      <c r="Z3474" s="156">
        <v>2.5336752779905325E-2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63410</v>
      </c>
      <c r="Y3475" s="155">
        <f>_xll.qlCalendarAdvance(Calendar,X3475,NDays&amp;"D")</f>
        <v>63410</v>
      </c>
      <c r="Z3475" s="156">
        <v>2.5336752779825389E-2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63417</v>
      </c>
      <c r="Y3476" s="155">
        <f>_xll.qlCalendarAdvance(Calendar,X3476,NDays&amp;"D")</f>
        <v>63417</v>
      </c>
      <c r="Z3476" s="156">
        <v>2.5336752779825389E-2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63424</v>
      </c>
      <c r="Y3477" s="155">
        <f>_xll.qlCalendarAdvance(Calendar,X3477,NDays&amp;"D")</f>
        <v>63424</v>
      </c>
      <c r="Z3477" s="156">
        <v>2.5336752779905325E-2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63431</v>
      </c>
      <c r="Y3478" s="155">
        <f>_xll.qlCalendarAdvance(Calendar,X3478,NDays&amp;"D")</f>
        <v>63431</v>
      </c>
      <c r="Z3478" s="156">
        <v>2.5336752779905325E-2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63438</v>
      </c>
      <c r="Y3479" s="155">
        <f>_xll.qlCalendarAdvance(Calendar,X3479,NDays&amp;"D")</f>
        <v>63438</v>
      </c>
      <c r="Z3479" s="156">
        <v>2.5336752779825389E-2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63445</v>
      </c>
      <c r="Y3480" s="155">
        <f>_xll.qlCalendarAdvance(Calendar,X3480,NDays&amp;"D")</f>
        <v>63445</v>
      </c>
      <c r="Z3480" s="156">
        <v>2.5336752779825389E-2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63452</v>
      </c>
      <c r="Y3481" s="155">
        <f>_xll.qlCalendarAdvance(Calendar,X3481,NDays&amp;"D")</f>
        <v>63452</v>
      </c>
      <c r="Z3481" s="156">
        <v>2.5336752779905325E-2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63459</v>
      </c>
      <c r="Y3482" s="155">
        <f>_xll.qlCalendarAdvance(Calendar,X3482,NDays&amp;"D")</f>
        <v>63459</v>
      </c>
      <c r="Z3482" s="156">
        <v>2.5336752779905325E-2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63466</v>
      </c>
      <c r="Y3483" s="155">
        <f>_xll.qlCalendarAdvance(Calendar,X3483,NDays&amp;"D")</f>
        <v>63466</v>
      </c>
      <c r="Z3483" s="156">
        <v>2.5336752779825389E-2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63473</v>
      </c>
      <c r="Y3484" s="155">
        <f>_xll.qlCalendarAdvance(Calendar,X3484,NDays&amp;"D")</f>
        <v>63473</v>
      </c>
      <c r="Z3484" s="156">
        <v>2.5336752779905325E-2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63480</v>
      </c>
      <c r="Y3485" s="155">
        <f>_xll.qlCalendarAdvance(Calendar,X3485,NDays&amp;"D")</f>
        <v>63480</v>
      </c>
      <c r="Z3485" s="156">
        <v>2.5336752779905325E-2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63487</v>
      </c>
      <c r="Y3486" s="155">
        <f>_xll.qlCalendarAdvance(Calendar,X3486,NDays&amp;"D")</f>
        <v>63487</v>
      </c>
      <c r="Z3486" s="156">
        <v>2.5336752779905325E-2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63494</v>
      </c>
      <c r="Y3487" s="155">
        <f>_xll.qlCalendarAdvance(Calendar,X3487,NDays&amp;"D")</f>
        <v>63494</v>
      </c>
      <c r="Z3487" s="156">
        <v>2.5336752779825389E-2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63501</v>
      </c>
      <c r="Y3488" s="155">
        <f>_xll.qlCalendarAdvance(Calendar,X3488,NDays&amp;"D")</f>
        <v>63501</v>
      </c>
      <c r="Z3488" s="156">
        <v>2.5336752779905325E-2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63508</v>
      </c>
      <c r="Y3489" s="155">
        <f>_xll.qlCalendarAdvance(Calendar,X3489,NDays&amp;"D")</f>
        <v>63508</v>
      </c>
      <c r="Z3489" s="156">
        <v>2.5336752779825389E-2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63515</v>
      </c>
      <c r="Y3490" s="155">
        <f>_xll.qlCalendarAdvance(Calendar,X3490,NDays&amp;"D")</f>
        <v>63515</v>
      </c>
      <c r="Z3490" s="156">
        <v>2.5337644378580215E-2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63522</v>
      </c>
      <c r="Y3491" s="155">
        <f>_xll.qlCalendarAdvance(Calendar,X3491,NDays&amp;"D")</f>
        <v>63522</v>
      </c>
      <c r="Z3491" s="156">
        <v>2.5336752779825389E-2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63529</v>
      </c>
      <c r="Y3492" s="155">
        <f>_xll.qlCalendarAdvance(Calendar,X3492,NDays&amp;"D")</f>
        <v>63529</v>
      </c>
      <c r="Z3492" s="156">
        <v>2.5336752779905325E-2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63536</v>
      </c>
      <c r="Y3493" s="155">
        <f>_xll.qlCalendarAdvance(Calendar,X3493,NDays&amp;"D")</f>
        <v>63536</v>
      </c>
      <c r="Z3493" s="156">
        <v>2.5336752779905325E-2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63543</v>
      </c>
      <c r="Y3494" s="155">
        <f>_xll.qlCalendarAdvance(Calendar,X3494,NDays&amp;"D")</f>
        <v>63543</v>
      </c>
      <c r="Z3494" s="156">
        <v>2.5336752779825389E-2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63550</v>
      </c>
      <c r="Y3495" s="155">
        <f>_xll.qlCalendarAdvance(Calendar,X3495,NDays&amp;"D")</f>
        <v>63550</v>
      </c>
      <c r="Z3495" s="156">
        <v>2.5336752779905325E-2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63557</v>
      </c>
      <c r="Y3496" s="155">
        <f>_xll.qlCalendarAdvance(Calendar,X3496,NDays&amp;"D")</f>
        <v>63557</v>
      </c>
      <c r="Z3496" s="156">
        <v>2.5336752779905325E-2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63564</v>
      </c>
      <c r="Y3497" s="155">
        <f>_xll.qlCalendarAdvance(Calendar,X3497,NDays&amp;"D")</f>
        <v>63564</v>
      </c>
      <c r="Z3497" s="156">
        <v>2.5336752779825389E-2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63571</v>
      </c>
      <c r="Y3498" s="155">
        <f>_xll.qlCalendarAdvance(Calendar,X3498,NDays&amp;"D")</f>
        <v>63571</v>
      </c>
      <c r="Z3498" s="156">
        <v>2.5336752779825389E-2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63578</v>
      </c>
      <c r="Y3499" s="155">
        <f>_xll.qlCalendarAdvance(Calendar,X3499,NDays&amp;"D")</f>
        <v>63578</v>
      </c>
      <c r="Z3499" s="156">
        <v>2.5336752779905325E-2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63585</v>
      </c>
      <c r="Y3500" s="155">
        <f>_xll.qlCalendarAdvance(Calendar,X3500,NDays&amp;"D")</f>
        <v>63585</v>
      </c>
      <c r="Z3500" s="156">
        <v>2.5336752779905325E-2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63592</v>
      </c>
      <c r="Y3501" s="155">
        <f>_xll.qlCalendarAdvance(Calendar,X3501,NDays&amp;"D")</f>
        <v>63592</v>
      </c>
      <c r="Z3501" s="156">
        <v>2.5336752779825389E-2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63599</v>
      </c>
      <c r="Y3502" s="155">
        <f>_xll.qlCalendarAdvance(Calendar,X3502,NDays&amp;"D")</f>
        <v>63599</v>
      </c>
      <c r="Z3502" s="156">
        <v>2.5336752779905325E-2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63606</v>
      </c>
      <c r="Y3503" s="155">
        <f>_xll.qlCalendarAdvance(Calendar,X3503,NDays&amp;"D")</f>
        <v>63606</v>
      </c>
      <c r="Z3503" s="156">
        <v>2.5336752779905325E-2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63613</v>
      </c>
      <c r="Y3504" s="155">
        <f>_xll.qlCalendarAdvance(Calendar,X3504,NDays&amp;"D")</f>
        <v>63613</v>
      </c>
      <c r="Z3504" s="156">
        <v>2.5336752779825389E-2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63620</v>
      </c>
      <c r="Y3505" s="155">
        <f>_xll.qlCalendarAdvance(Calendar,X3505,NDays&amp;"D")</f>
        <v>63620</v>
      </c>
      <c r="Z3505" s="156">
        <v>2.5336752779825389E-2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63627</v>
      </c>
      <c r="Y3506" s="155">
        <f>_xll.qlCalendarAdvance(Calendar,X3506,NDays&amp;"D")</f>
        <v>63627</v>
      </c>
      <c r="Z3506" s="156">
        <v>2.5336752779905325E-2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63634</v>
      </c>
      <c r="Y3507" s="155">
        <f>_xll.qlCalendarAdvance(Calendar,X3507,NDays&amp;"D")</f>
        <v>63634</v>
      </c>
      <c r="Z3507" s="156">
        <v>2.5336752779905325E-2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63641</v>
      </c>
      <c r="Y3508" s="155">
        <f>_xll.qlCalendarAdvance(Calendar,X3508,NDays&amp;"D")</f>
        <v>63641</v>
      </c>
      <c r="Z3508" s="156">
        <v>2.5336752779825389E-2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63648</v>
      </c>
      <c r="Y3509" s="155">
        <f>_xll.qlCalendarAdvance(Calendar,X3509,NDays&amp;"D")</f>
        <v>63648</v>
      </c>
      <c r="Z3509" s="156">
        <v>2.5336752779745453E-2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63655</v>
      </c>
      <c r="Y3510" s="155">
        <f>_xll.qlCalendarAdvance(Calendar,X3510,NDays&amp;"D")</f>
        <v>63655</v>
      </c>
      <c r="Z3510" s="156">
        <v>2.5336752779905325E-2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63662</v>
      </c>
      <c r="Y3511" s="155">
        <f>_xll.qlCalendarAdvance(Calendar,X3511,NDays&amp;"D")</f>
        <v>63662</v>
      </c>
      <c r="Z3511" s="156">
        <v>2.5336752779905325E-2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63669</v>
      </c>
      <c r="Y3512" s="155">
        <f>_xll.qlCalendarAdvance(Calendar,X3512,NDays&amp;"D")</f>
        <v>63669</v>
      </c>
      <c r="Z3512" s="156">
        <v>2.5336752779825389E-2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63676</v>
      </c>
      <c r="Y3513" s="155">
        <f>_xll.qlCalendarAdvance(Calendar,X3513,NDays&amp;"D")</f>
        <v>63676</v>
      </c>
      <c r="Z3513" s="156">
        <v>2.5336752779905325E-2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63683</v>
      </c>
      <c r="Y3514" s="155">
        <f>_xll.qlCalendarAdvance(Calendar,X3514,NDays&amp;"D")</f>
        <v>63683</v>
      </c>
      <c r="Z3514" s="156">
        <v>2.5336752779985261E-2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63690</v>
      </c>
      <c r="Y3515" s="155">
        <f>_xll.qlCalendarAdvance(Calendar,X3515,NDays&amp;"D")</f>
        <v>63690</v>
      </c>
      <c r="Z3515" s="156">
        <v>2.5336752779905325E-2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63697</v>
      </c>
      <c r="Y3516" s="155">
        <f>_xll.qlCalendarAdvance(Calendar,X3516,NDays&amp;"D")</f>
        <v>63697</v>
      </c>
      <c r="Z3516" s="156">
        <v>2.5336752779825389E-2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63704</v>
      </c>
      <c r="Y3517" s="155">
        <f>_xll.qlCalendarAdvance(Calendar,X3517,NDays&amp;"D")</f>
        <v>63704</v>
      </c>
      <c r="Z3517" s="156">
        <v>2.5336752779905325E-2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63711</v>
      </c>
      <c r="Y3518" s="155">
        <f>_xll.qlCalendarAdvance(Calendar,X3518,NDays&amp;"D")</f>
        <v>63711</v>
      </c>
      <c r="Z3518" s="156">
        <v>2.5336752779905325E-2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63718</v>
      </c>
      <c r="Y3519" s="155">
        <f>_xll.qlCalendarAdvance(Calendar,X3519,NDays&amp;"D")</f>
        <v>63718</v>
      </c>
      <c r="Z3519" s="156">
        <v>2.5336752779905325E-2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63725</v>
      </c>
      <c r="Y3520" s="155">
        <f>_xll.qlCalendarAdvance(Calendar,X3520,NDays&amp;"D")</f>
        <v>63725</v>
      </c>
      <c r="Z3520" s="156">
        <v>2.5336752779905325E-2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63732</v>
      </c>
      <c r="Y3521" s="155">
        <f>_xll.qlCalendarAdvance(Calendar,X3521,NDays&amp;"D")</f>
        <v>63732</v>
      </c>
      <c r="Z3521" s="156">
        <v>2.5336752779905325E-2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63740</v>
      </c>
      <c r="Y3522" s="155">
        <f>_xll.qlCalendarAdvance(Calendar,X3522,NDays&amp;"D")</f>
        <v>63740</v>
      </c>
      <c r="Z3522" s="156">
        <v>2.5336752779905325E-2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63747</v>
      </c>
      <c r="Y3523" s="155">
        <f>_xll.qlCalendarAdvance(Calendar,X3523,NDays&amp;"D")</f>
        <v>63747</v>
      </c>
      <c r="Z3523" s="156">
        <v>2.5336752779905325E-2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63754</v>
      </c>
      <c r="Y3524" s="155">
        <f>_xll.qlCalendarAdvance(Calendar,X3524,NDays&amp;"D")</f>
        <v>63754</v>
      </c>
      <c r="Z3524" s="156">
        <v>2.5336752779905325E-2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63761</v>
      </c>
      <c r="Y3525" s="155">
        <f>_xll.qlCalendarAdvance(Calendar,X3525,NDays&amp;"D")</f>
        <v>63761</v>
      </c>
      <c r="Z3525" s="156">
        <v>2.5336752779905325E-2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63768</v>
      </c>
      <c r="Y3526" s="155">
        <f>_xll.qlCalendarAdvance(Calendar,X3526,NDays&amp;"D")</f>
        <v>63768</v>
      </c>
      <c r="Z3526" s="156">
        <v>2.5336752779825389E-2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63775</v>
      </c>
      <c r="Y3527" s="155">
        <f>_xll.qlCalendarAdvance(Calendar,X3527,NDays&amp;"D")</f>
        <v>63775</v>
      </c>
      <c r="Z3527" s="156">
        <v>2.5336752779905325E-2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63782</v>
      </c>
      <c r="Y3528" s="155">
        <f>_xll.qlCalendarAdvance(Calendar,X3528,NDays&amp;"D")</f>
        <v>63782</v>
      </c>
      <c r="Z3528" s="156">
        <v>2.5336752779825389E-2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63789</v>
      </c>
      <c r="Y3529" s="155">
        <f>_xll.qlCalendarAdvance(Calendar,X3529,NDays&amp;"D")</f>
        <v>63789</v>
      </c>
      <c r="Z3529" s="156">
        <v>2.5336752779905325E-2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63796</v>
      </c>
      <c r="Y3530" s="155">
        <f>_xll.qlCalendarAdvance(Calendar,X3530,NDays&amp;"D")</f>
        <v>63796</v>
      </c>
      <c r="Z3530" s="156">
        <v>2.5336752779905325E-2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63803</v>
      </c>
      <c r="Y3531" s="155">
        <f>_xll.qlCalendarAdvance(Calendar,X3531,NDays&amp;"D")</f>
        <v>63803</v>
      </c>
      <c r="Z3531" s="156">
        <v>2.5336752779825389E-2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63810</v>
      </c>
      <c r="Y3532" s="155">
        <f>_xll.qlCalendarAdvance(Calendar,X3532,NDays&amp;"D")</f>
        <v>63810</v>
      </c>
      <c r="Z3532" s="156">
        <v>2.5336752779905325E-2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63817</v>
      </c>
      <c r="Y3533" s="155">
        <f>_xll.qlCalendarAdvance(Calendar,X3533,NDays&amp;"D")</f>
        <v>63817</v>
      </c>
      <c r="Z3533" s="156">
        <v>2.5336752779905325E-2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63824</v>
      </c>
      <c r="Y3534" s="155">
        <f>_xll.qlCalendarAdvance(Calendar,X3534,NDays&amp;"D")</f>
        <v>63824</v>
      </c>
      <c r="Z3534" s="156">
        <v>2.5336752779905325E-2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63831</v>
      </c>
      <c r="Y3535" s="155">
        <f>_xll.qlCalendarAdvance(Calendar,X3535,NDays&amp;"D")</f>
        <v>63831</v>
      </c>
      <c r="Z3535" s="156">
        <v>2.5336752779825389E-2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63838</v>
      </c>
      <c r="Y3536" s="155">
        <f>_xll.qlCalendarAdvance(Calendar,X3536,NDays&amp;"D")</f>
        <v>63838</v>
      </c>
      <c r="Z3536" s="156">
        <v>2.5336752779905325E-2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63845</v>
      </c>
      <c r="Y3537" s="155">
        <f>_xll.qlCalendarAdvance(Calendar,X3537,NDays&amp;"D")</f>
        <v>63845</v>
      </c>
      <c r="Z3537" s="156">
        <v>2.5336752779985261E-2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63852</v>
      </c>
      <c r="Y3538" s="155">
        <f>_xll.qlCalendarAdvance(Calendar,X3538,NDays&amp;"D")</f>
        <v>63852</v>
      </c>
      <c r="Z3538" s="156">
        <v>2.5336752779905325E-2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63859</v>
      </c>
      <c r="Y3539" s="155">
        <f>_xll.qlCalendarAdvance(Calendar,X3539,NDays&amp;"D")</f>
        <v>63859</v>
      </c>
      <c r="Z3539" s="156">
        <v>2.5336752779825389E-2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63866</v>
      </c>
      <c r="Y3540" s="155">
        <f>_xll.qlCalendarAdvance(Calendar,X3540,NDays&amp;"D")</f>
        <v>63866</v>
      </c>
      <c r="Z3540" s="156">
        <v>2.5336752779905325E-2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63873</v>
      </c>
      <c r="Y3541" s="155">
        <f>_xll.qlCalendarAdvance(Calendar,X3541,NDays&amp;"D")</f>
        <v>63873</v>
      </c>
      <c r="Z3541" s="156">
        <v>2.5336752779905325E-2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63881</v>
      </c>
      <c r="Y3542" s="155">
        <f>_xll.qlCalendarAdvance(Calendar,X3542,NDays&amp;"D")</f>
        <v>63881</v>
      </c>
      <c r="Z3542" s="156">
        <v>2.5338536019035018E-2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63888</v>
      </c>
      <c r="Y3543" s="155">
        <f>_xll.qlCalendarAdvance(Calendar,X3543,NDays&amp;"D")</f>
        <v>63888</v>
      </c>
      <c r="Z3543" s="156">
        <v>2.5338536019061664E-2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63895</v>
      </c>
      <c r="Y3544" s="167">
        <f>_xll.qlCalendarAdvance(Calendar,X3544,NDays&amp;"D")</f>
        <v>63895</v>
      </c>
      <c r="Z3544" s="157">
        <v>2.5338536019035018E-2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2013-12-12T22:20:44Z</dcterms:created>
  <dcterms:modified xsi:type="dcterms:W3CDTF">2014-10-31T09:35:08Z</dcterms:modified>
</cp:coreProperties>
</file>
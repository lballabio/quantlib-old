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minimized="1" xWindow="28515" yWindow="-15" windowWidth="9540" windowHeight="11445"/>
  </bookViews>
  <sheets>
    <sheet name="MainChecks" sheetId="2" r:id="rId1"/>
  </sheets>
  <definedNames>
    <definedName name="AllTriggers">MainChecks!$L$5:$L$5</definedName>
    <definedName name="Currency">MainChecks!$B$1</definedName>
    <definedName name="EvaluationDate">MainChecks!$F$3</definedName>
    <definedName name="FirstIndex">MainChecks!$B$10</definedName>
    <definedName name="InterestRatesTrigger">MainChecks!$L$5</definedName>
    <definedName name="SecondIMMDate">MainChecks!$F$11</definedName>
    <definedName name="Trigger">MainChecks!$L$2</definedName>
    <definedName name="Yesterday">MainChecks!$F$8</definedName>
  </definedNames>
  <calcPr calcId="145621"/>
</workbook>
</file>

<file path=xl/calcChain.xml><?xml version="1.0" encoding="utf-8"?>
<calcChain xmlns="http://schemas.openxmlformats.org/spreadsheetml/2006/main">
  <c r="C7" i="2" l="1"/>
  <c r="C6" i="2"/>
  <c r="C5" i="2"/>
  <c r="C4" i="2"/>
  <c r="C3" i="2"/>
  <c r="E7" i="2"/>
  <c r="E4" i="2"/>
  <c r="E3" i="2"/>
  <c r="E6" i="2"/>
  <c r="E5" i="2"/>
  <c r="B7" i="2" l="1"/>
  <c r="B6" i="2"/>
  <c r="B5" i="2"/>
  <c r="B4" i="2"/>
  <c r="B3" i="2"/>
  <c r="D4" i="2"/>
  <c r="D6" i="2"/>
  <c r="D7" i="2"/>
  <c r="D3" i="2"/>
  <c r="D5" i="2"/>
  <c r="B10" i="2" l="1"/>
  <c r="L10" i="2"/>
  <c r="L6" i="2"/>
  <c r="F3" i="2"/>
  <c r="L11" i="2"/>
  <c r="L9" i="2"/>
  <c r="L8" i="2"/>
  <c r="F8" i="2"/>
  <c r="F1" i="2"/>
  <c r="L3" i="2"/>
  <c r="F7" i="2" l="1"/>
  <c r="F6" i="2"/>
  <c r="F5" i="2"/>
  <c r="F10" i="2"/>
  <c r="F4" i="2"/>
  <c r="H7" i="2"/>
  <c r="H5" i="2"/>
  <c r="I5" i="2" s="1"/>
  <c r="H3" i="2"/>
  <c r="I3" i="2" s="1"/>
  <c r="H4" i="2"/>
  <c r="F9" i="2"/>
  <c r="H6" i="2"/>
  <c r="I6" i="2" s="1"/>
  <c r="F11" i="2"/>
  <c r="H11" i="2" s="1"/>
  <c r="H9" i="2"/>
  <c r="I4" i="2"/>
  <c r="H10" i="2"/>
  <c r="I10" i="2" s="1"/>
  <c r="H8" i="2"/>
  <c r="I8" i="2" s="1"/>
  <c r="I7" i="2"/>
  <c r="I11" i="2"/>
  <c r="I9" i="2"/>
</calcChain>
</file>

<file path=xl/sharedStrings.xml><?xml version="1.0" encoding="utf-8"?>
<sst xmlns="http://schemas.openxmlformats.org/spreadsheetml/2006/main" count="17" uniqueCount="17">
  <si>
    <t>ObjectID</t>
  </si>
  <si>
    <t>Check</t>
  </si>
  <si>
    <t>Error message</t>
  </si>
  <si>
    <t>Trigger</t>
  </si>
  <si>
    <t>Object Count:</t>
  </si>
  <si>
    <t>Date</t>
  </si>
  <si>
    <t>-</t>
  </si>
  <si>
    <t>Memory Usage</t>
  </si>
  <si>
    <t>OH+QL Functions:</t>
  </si>
  <si>
    <t>Boost</t>
  </si>
  <si>
    <t>QuantLib</t>
  </si>
  <si>
    <t>ObjectHandler</t>
  </si>
  <si>
    <t>TYcm1t</t>
  </si>
  <si>
    <t>HKD</t>
  </si>
  <si>
    <t>MarketUpdates</t>
  </si>
  <si>
    <t>Eikon</t>
  </si>
  <si>
    <t>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</si>
</sst>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£&quot;#,##0;[Red]\-&quot;£&quot;#,##0"/>
    <numFmt numFmtId="165" formatCode="0.0000"/>
    <numFmt numFmtId="166" formatCode="0.0000%"/>
    <numFmt numFmtId="167" formatCode="ddd\,\ dd\-mmm\-yyyy"/>
    <numFmt numFmtId="168" formatCode="#,##0.0;#,##0.0"/>
    <numFmt numFmtId="169" formatCode="General_)"/>
    <numFmt numFmtId="170" formatCode="ddd\,\ dd\-mmm\-yyyy\,\ hh:mm:ss"/>
    <numFmt numFmtId="171" formatCode="ddd\,\ d\-mmm\-yyyy"/>
    <numFmt numFmtId="172" formatCode="yyyy\-mmm\-dd\-hh:mm:ss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9" fontId="5" fillId="0" borderId="0"/>
    <xf numFmtId="9" fontId="1" fillId="0" borderId="0" applyFont="0" applyFill="0" applyBorder="0" applyAlignment="0" applyProtection="0"/>
    <xf numFmtId="168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55">
    <xf numFmtId="0" fontId="0" fillId="0" borderId="0" xfId="0"/>
    <xf numFmtId="0" fontId="6" fillId="3" borderId="1" xfId="0" applyFont="1" applyFill="1" applyBorder="1"/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6" fillId="3" borderId="3" xfId="0" applyFont="1" applyFill="1" applyBorder="1"/>
    <xf numFmtId="0" fontId="6" fillId="4" borderId="0" xfId="0" applyFont="1" applyFill="1"/>
    <xf numFmtId="0" fontId="6" fillId="0" borderId="0" xfId="0" applyFont="1"/>
    <xf numFmtId="15" fontId="6" fillId="3" borderId="4" xfId="0" applyNumberFormat="1" applyFont="1" applyFill="1" applyBorder="1"/>
    <xf numFmtId="0" fontId="7" fillId="3" borderId="5" xfId="0" applyFont="1" applyFill="1" applyBorder="1" applyAlignment="1">
      <alignment horizontal="center"/>
    </xf>
    <xf numFmtId="170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15" fontId="6" fillId="3" borderId="0" xfId="0" applyNumberFormat="1" applyFont="1" applyFill="1" applyBorder="1"/>
    <xf numFmtId="0" fontId="6" fillId="4" borderId="8" xfId="0" applyNumberFormat="1" applyFont="1" applyFill="1" applyBorder="1" applyAlignment="1">
      <alignment horizontal="center"/>
    </xf>
    <xf numFmtId="0" fontId="6" fillId="3" borderId="9" xfId="0" applyFont="1" applyFill="1" applyBorder="1"/>
    <xf numFmtId="0" fontId="9" fillId="5" borderId="12" xfId="4" applyNumberFormat="1" applyFont="1" applyFill="1" applyBorder="1" applyAlignment="1" applyProtection="1"/>
    <xf numFmtId="0" fontId="6" fillId="4" borderId="13" xfId="0" applyFont="1" applyFill="1" applyBorder="1"/>
    <xf numFmtId="171" fontId="8" fillId="5" borderId="14" xfId="0" applyNumberFormat="1" applyFont="1" applyFill="1" applyBorder="1" applyAlignment="1" applyProtection="1">
      <alignment horizontal="center"/>
    </xf>
    <xf numFmtId="165" fontId="6" fillId="5" borderId="14" xfId="0" applyNumberFormat="1" applyFont="1" applyFill="1" applyBorder="1" applyAlignment="1" applyProtection="1">
      <alignment horizontal="center"/>
    </xf>
    <xf numFmtId="0" fontId="9" fillId="5" borderId="15" xfId="4" applyNumberFormat="1" applyFont="1" applyFill="1" applyBorder="1" applyAlignment="1" applyProtection="1"/>
    <xf numFmtId="0" fontId="6" fillId="4" borderId="10" xfId="0" applyNumberFormat="1" applyFont="1" applyFill="1" applyBorder="1" applyAlignment="1">
      <alignment horizontal="center"/>
    </xf>
    <xf numFmtId="0" fontId="6" fillId="5" borderId="16" xfId="0" applyNumberFormat="1" applyFont="1" applyFill="1" applyBorder="1" applyAlignment="1" applyProtection="1">
      <alignment horizontal="center"/>
    </xf>
    <xf numFmtId="0" fontId="6" fillId="4" borderId="13" xfId="0" applyNumberFormat="1" applyFont="1" applyFill="1" applyBorder="1" applyAlignment="1">
      <alignment horizontal="center"/>
    </xf>
    <xf numFmtId="0" fontId="6" fillId="5" borderId="15" xfId="0" applyNumberFormat="1" applyFont="1" applyFill="1" applyBorder="1" applyAlignment="1" applyProtection="1">
      <alignment horizontal="center"/>
    </xf>
    <xf numFmtId="0" fontId="6" fillId="4" borderId="1" xfId="0" applyFont="1" applyFill="1" applyBorder="1"/>
    <xf numFmtId="171" fontId="6" fillId="5" borderId="11" xfId="0" applyNumberFormat="1" applyFont="1" applyFill="1" applyBorder="1" applyAlignment="1" applyProtection="1">
      <alignment horizontal="center"/>
    </xf>
    <xf numFmtId="166" fontId="6" fillId="5" borderId="11" xfId="4" applyNumberFormat="1" applyFont="1" applyFill="1" applyBorder="1" applyAlignment="1" applyProtection="1">
      <alignment horizontal="center"/>
    </xf>
    <xf numFmtId="0" fontId="6" fillId="4" borderId="4" xfId="0" applyFont="1" applyFill="1" applyBorder="1"/>
    <xf numFmtId="171" fontId="6" fillId="5" borderId="14" xfId="0" applyNumberFormat="1" applyFont="1" applyFill="1" applyBorder="1" applyAlignment="1" applyProtection="1">
      <alignment horizontal="center"/>
    </xf>
    <xf numFmtId="166" fontId="6" fillId="5" borderId="14" xfId="4" applyNumberFormat="1" applyFont="1" applyFill="1" applyBorder="1" applyAlignment="1" applyProtection="1">
      <alignment horizontal="center"/>
    </xf>
    <xf numFmtId="0" fontId="6" fillId="4" borderId="17" xfId="0" applyFont="1" applyFill="1" applyBorder="1"/>
    <xf numFmtId="171" fontId="6" fillId="5" borderId="18" xfId="0" applyNumberFormat="1" applyFont="1" applyFill="1" applyBorder="1" applyAlignment="1" applyProtection="1">
      <alignment horizontal="center"/>
    </xf>
    <xf numFmtId="166" fontId="6" fillId="5" borderId="18" xfId="4" applyNumberFormat="1" applyFont="1" applyFill="1" applyBorder="1" applyAlignment="1" applyProtection="1">
      <alignment horizontal="center"/>
    </xf>
    <xf numFmtId="0" fontId="9" fillId="5" borderId="19" xfId="4" applyNumberFormat="1" applyFont="1" applyFill="1" applyBorder="1" applyAlignment="1" applyProtection="1"/>
    <xf numFmtId="0" fontId="6" fillId="4" borderId="20" xfId="0" applyNumberFormat="1" applyFont="1" applyFill="1" applyBorder="1" applyAlignment="1">
      <alignment horizontal="center"/>
    </xf>
    <xf numFmtId="0" fontId="6" fillId="5" borderId="19" xfId="0" applyNumberFormat="1" applyFont="1" applyFill="1" applyBorder="1" applyAlignment="1" applyProtection="1">
      <alignment horizontal="center"/>
    </xf>
    <xf numFmtId="171" fontId="6" fillId="5" borderId="21" xfId="0" applyNumberFormat="1" applyFont="1" applyFill="1" applyBorder="1" applyAlignment="1" applyProtection="1">
      <alignment horizontal="center"/>
    </xf>
    <xf numFmtId="0" fontId="6" fillId="3" borderId="17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172" fontId="6" fillId="5" borderId="24" xfId="0" applyNumberFormat="1" applyFont="1" applyFill="1" applyBorder="1" applyAlignment="1" applyProtection="1">
      <alignment horizontal="center"/>
    </xf>
    <xf numFmtId="167" fontId="8" fillId="5" borderId="11" xfId="0" applyNumberFormat="1" applyFont="1" applyFill="1" applyBorder="1" applyAlignment="1" applyProtection="1">
      <alignment horizontal="right"/>
    </xf>
    <xf numFmtId="167" fontId="8" fillId="5" borderId="14" xfId="0" applyNumberFormat="1" applyFont="1" applyFill="1" applyBorder="1" applyAlignment="1" applyProtection="1">
      <alignment horizontal="right"/>
    </xf>
    <xf numFmtId="167" fontId="6" fillId="5" borderId="25" xfId="0" applyNumberFormat="1" applyFont="1" applyFill="1" applyBorder="1" applyAlignment="1" applyProtection="1">
      <alignment horizontal="right"/>
    </xf>
    <xf numFmtId="167" fontId="6" fillId="5" borderId="26" xfId="0" applyNumberFormat="1" applyFont="1" applyFill="1" applyBorder="1" applyAlignment="1" applyProtection="1">
      <alignment horizontal="right"/>
    </xf>
    <xf numFmtId="167" fontId="6" fillId="5" borderId="27" xfId="0" applyNumberFormat="1" applyFont="1" applyFill="1" applyBorder="1" applyAlignment="1" applyProtection="1">
      <alignment horizontal="right"/>
    </xf>
    <xf numFmtId="2" fontId="10" fillId="3" borderId="23" xfId="0" applyNumberFormat="1" applyFont="1" applyFill="1" applyBorder="1" applyAlignment="1">
      <alignment horizontal="center"/>
    </xf>
    <xf numFmtId="0" fontId="6" fillId="3" borderId="28" xfId="0" applyFont="1" applyFill="1" applyBorder="1" applyAlignment="1">
      <alignment horizontal="center"/>
    </xf>
    <xf numFmtId="15" fontId="7" fillId="3" borderId="13" xfId="0" applyNumberFormat="1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6" fillId="4" borderId="21" xfId="0" applyFont="1" applyFill="1" applyBorder="1"/>
    <xf numFmtId="0" fontId="6" fillId="4" borderId="2" xfId="0" applyFont="1" applyFill="1" applyBorder="1"/>
    <xf numFmtId="0" fontId="6" fillId="4" borderId="0" xfId="0" applyFont="1" applyFill="1" applyBorder="1"/>
    <xf numFmtId="0" fontId="6" fillId="4" borderId="22" xfId="0" applyFont="1" applyFill="1" applyBorder="1"/>
  </cellXfs>
  <cellStyles count="8">
    <cellStyle name="Migliaia (0)_AZIONI" xfId="1"/>
    <cellStyle name="Migliaia_AZIONI" xfId="2"/>
    <cellStyle name="Normal" xfId="0" builtinId="0"/>
    <cellStyle name="Normale_AZIONI" xfId="3"/>
    <cellStyle name="Percent" xfId="4" builtinId="5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18:57:23</v>
        <stp/>
        <stp>{5C202EF4-35FD-43DD-A88A-410417511C9B}</stp>
        <tr r="L3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59"/>
  <sheetViews>
    <sheetView tabSelected="1" workbookViewId="0">
      <selection activeCell="L2" sqref="L2"/>
    </sheetView>
  </sheetViews>
  <sheetFormatPr defaultRowHeight="11.25" outlineLevelCol="1" x14ac:dyDescent="0.2"/>
  <cols>
    <col min="1" max="1" width="4" style="6" bestFit="1" customWidth="1"/>
    <col min="2" max="2" width="11" style="6" bestFit="1" customWidth="1"/>
    <col min="3" max="5" width="11" style="6" hidden="1" customWidth="1" outlineLevel="1"/>
    <col min="6" max="6" width="17.140625" style="6" customWidth="1" collapsed="1"/>
    <col min="7" max="7" width="17.140625" style="6" hidden="1" customWidth="1"/>
    <col min="8" max="8" width="8" style="6" bestFit="1" customWidth="1"/>
    <col min="9" max="9" width="57.5703125" style="6" bestFit="1" customWidth="1"/>
    <col min="10" max="10" width="2.28515625" style="6" customWidth="1"/>
    <col min="11" max="11" width="17.28515625" style="6" bestFit="1" customWidth="1"/>
    <col min="12" max="12" width="21.42578125" style="6" bestFit="1" customWidth="1"/>
    <col min="13" max="13" width="2.85546875" style="6" customWidth="1"/>
    <col min="14" max="16384" width="9.140625" style="6"/>
  </cols>
  <sheetData>
    <row r="1" spans="1:26" ht="12" thickBot="1" x14ac:dyDescent="0.25">
      <c r="A1" s="1"/>
      <c r="B1" s="2" t="s">
        <v>13</v>
      </c>
      <c r="C1" s="2"/>
      <c r="D1" s="2"/>
      <c r="E1" s="2"/>
      <c r="F1" s="3" t="str">
        <f>_xll.qlxlVersion(TRUE,Trigger)</f>
        <v>QuantLibXL 1.3.0 - MS VC++ 9.0 - Multithreaded Dynamic Runtime library - Release Configuration - Nov  4 2013 11:55:45</v>
      </c>
      <c r="G1" s="3"/>
      <c r="H1" s="3"/>
      <c r="I1" s="3"/>
      <c r="J1" s="3"/>
      <c r="K1" s="3"/>
      <c r="L1" s="3"/>
      <c r="M1" s="4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2" thickBot="1" x14ac:dyDescent="0.25">
      <c r="A2" s="7"/>
      <c r="B2" s="8" t="s">
        <v>0</v>
      </c>
      <c r="C2" s="50"/>
      <c r="D2" s="50"/>
      <c r="E2" s="50"/>
      <c r="F2" s="9" t="s">
        <v>5</v>
      </c>
      <c r="G2" s="9"/>
      <c r="H2" s="10" t="s">
        <v>1</v>
      </c>
      <c r="I2" s="11" t="s">
        <v>2</v>
      </c>
      <c r="J2" s="12"/>
      <c r="K2" s="13" t="s">
        <v>3</v>
      </c>
      <c r="L2" s="40"/>
      <c r="M2" s="1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">
      <c r="A3" s="7"/>
      <c r="B3" s="16" t="str">
        <f>UPPER(Currency)&amp;"STD"</f>
        <v>HKDSTD</v>
      </c>
      <c r="C3" s="16" t="str">
        <f>UPPER(Currency)&amp;"YCSTD"</f>
        <v>HKDYCSTD</v>
      </c>
      <c r="D3" s="51" t="b">
        <f>_xll.qlRelinkableHandleLinkTo(B3,C3,Trigger)</f>
        <v>1</v>
      </c>
      <c r="E3" s="51" t="b">
        <f>_xll.qlExtrapolatorEnableExtrapolation(C3,TRUE,Trigger)</f>
        <v>1</v>
      </c>
      <c r="F3" s="41">
        <f>_xll.qlSettingsEvaluationDate(ISERROR(Trigger))</f>
        <v>41607</v>
      </c>
      <c r="G3" s="17"/>
      <c r="H3" s="18">
        <f>_xll.qlYieldTSDiscount(B3,F3,,Trigger)</f>
        <v>1</v>
      </c>
      <c r="I3" s="19" t="str">
        <f>IF(ISERROR(F3),_xll.ohRangeRetrieveError(F3),_xll.ohRangeRetrieveError(H3))</f>
        <v/>
      </c>
      <c r="J3" s="12"/>
      <c r="K3" s="48" t="s">
        <v>15</v>
      </c>
      <c r="L3" s="47" t="str">
        <f>_xll.RData(K4,"LAST",,"FRQ:1S",,L4)</f>
        <v>Updated at 18:57:23</v>
      </c>
      <c r="M3" s="1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2" thickBot="1" x14ac:dyDescent="0.25">
      <c r="A4" s="7"/>
      <c r="B4" s="16" t="str">
        <f>UPPER(Currency)&amp;"ON"</f>
        <v>HKDON</v>
      </c>
      <c r="C4" s="16" t="str">
        <f>UPPER(Currency)&amp;"YCON"</f>
        <v>HKDYCON</v>
      </c>
      <c r="D4" s="51" t="b">
        <f>_xll.qlRelinkableHandleLinkTo(B4,C4,Trigger)</f>
        <v>1</v>
      </c>
      <c r="E4" s="51" t="b">
        <f>_xll.qlExtrapolatorEnableExtrapolation(C4,TRUE,Trigger)</f>
        <v>1</v>
      </c>
      <c r="F4" s="42">
        <f>EvaluationDate</f>
        <v>41607</v>
      </c>
      <c r="G4" s="17"/>
      <c r="H4" s="18">
        <f>_xll.qlYieldTSDiscount(B4,F4,,Trigger)</f>
        <v>1</v>
      </c>
      <c r="I4" s="19" t="str">
        <f>IF(ISERROR(F4),_xll.ohRangeRetrieveError(F4),_xll.ohRangeRetrieveError(H4))</f>
        <v/>
      </c>
      <c r="J4" s="12"/>
      <c r="K4" s="49" t="s">
        <v>12</v>
      </c>
      <c r="L4" s="46">
        <v>126.6875</v>
      </c>
      <c r="M4" s="1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2" thickBot="1" x14ac:dyDescent="0.25">
      <c r="A5" s="7"/>
      <c r="B5" s="16" t="str">
        <f>UPPER(Currency)&amp;"1M"</f>
        <v>HKD1M</v>
      </c>
      <c r="C5" s="16" t="str">
        <f>UPPER(Currency)&amp;"YC1M"</f>
        <v>HKDYC1M</v>
      </c>
      <c r="D5" s="51" t="b">
        <f>_xll.qlRelinkableHandleLinkTo(B5,C5,Trigger)</f>
        <v>1</v>
      </c>
      <c r="E5" s="51" t="b">
        <f>_xll.qlExtrapolatorEnableExtrapolation(C5,TRUE,Trigger)</f>
        <v>1</v>
      </c>
      <c r="F5" s="42">
        <f>EvaluationDate</f>
        <v>41607</v>
      </c>
      <c r="G5" s="17"/>
      <c r="H5" s="18">
        <f>_xll.qlYieldTSDiscount(B5,F5,,Trigger)</f>
        <v>1</v>
      </c>
      <c r="I5" s="19" t="str">
        <f>IF(ISERROR(F5),_xll.ohRangeRetrieveError(F5),_xll.ohRangeRetrieveError(H5))</f>
        <v/>
      </c>
      <c r="J5" s="12"/>
      <c r="K5" s="20" t="s">
        <v>14</v>
      </c>
      <c r="L5" s="21" t="s">
        <v>16</v>
      </c>
      <c r="M5" s="1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x14ac:dyDescent="0.2">
      <c r="A6" s="7"/>
      <c r="B6" s="16" t="str">
        <f>UPPER(Currency)&amp;"3M"</f>
        <v>HKD3M</v>
      </c>
      <c r="C6" s="16" t="str">
        <f>UPPER(Currency)&amp;"YC3M"</f>
        <v>HKDYC3M</v>
      </c>
      <c r="D6" s="51" t="b">
        <f>_xll.qlRelinkableHandleLinkTo(B6,C6,Trigger)</f>
        <v>1</v>
      </c>
      <c r="E6" s="51" t="b">
        <f>_xll.qlExtrapolatorEnableExtrapolation(C6,TRUE,Trigger)</f>
        <v>1</v>
      </c>
      <c r="F6" s="42">
        <f>EvaluationDate</f>
        <v>41607</v>
      </c>
      <c r="G6" s="17"/>
      <c r="H6" s="18">
        <f>_xll.qlYieldTSDiscount(B6,F6,,Trigger)</f>
        <v>1</v>
      </c>
      <c r="I6" s="19" t="str">
        <f>IF(ISERROR(F6),_xll.ohRangeRetrieveError(F6),_xll.ohRangeRetrieveError(H6))</f>
        <v/>
      </c>
      <c r="J6" s="12"/>
      <c r="K6" s="20" t="s">
        <v>4</v>
      </c>
      <c r="L6" s="21">
        <f>_xll.ohRepositoryObjectCount(Trigger)</f>
        <v>415</v>
      </c>
      <c r="M6" s="1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2" thickBot="1" x14ac:dyDescent="0.25">
      <c r="A7" s="7"/>
      <c r="B7" s="16" t="str">
        <f>UPPER(Currency)&amp;"6M"</f>
        <v>HKD6M</v>
      </c>
      <c r="C7" s="16" t="str">
        <f>UPPER(Currency)&amp;"YC6M"</f>
        <v>HKDYC6M</v>
      </c>
      <c r="D7" s="51" t="b">
        <f>_xll.qlRelinkableHandleLinkTo(B7,C7,Trigger)</f>
        <v>1</v>
      </c>
      <c r="E7" s="51" t="b">
        <f>_xll.qlExtrapolatorEnableExtrapolation(C7,TRUE,Trigger)</f>
        <v>1</v>
      </c>
      <c r="F7" s="42">
        <f>EvaluationDate</f>
        <v>41607</v>
      </c>
      <c r="G7" s="17"/>
      <c r="H7" s="18">
        <f>_xll.qlYieldTSDiscount(B7,F7,,Trigger)</f>
        <v>1</v>
      </c>
      <c r="I7" s="19" t="str">
        <f>IF(ISERROR(F7),_xll.ohRangeRetrieveError(F7),_xll.ohRangeRetrieveError(H7))</f>
        <v/>
      </c>
      <c r="J7" s="12"/>
      <c r="K7" s="34" t="s">
        <v>7</v>
      </c>
      <c r="L7" s="35" t="s">
        <v>6</v>
      </c>
      <c r="M7" s="1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x14ac:dyDescent="0.2">
      <c r="A8" s="7"/>
      <c r="B8" s="24"/>
      <c r="C8" s="52"/>
      <c r="D8" s="52"/>
      <c r="E8" s="52"/>
      <c r="F8" s="43">
        <f>_xll.qlCalendarAdvance(_xll.qlIndexFixingCalendar(FirstIndex),EvaluationDate,"-2D","Preceding")</f>
        <v>41605</v>
      </c>
      <c r="G8" s="25"/>
      <c r="H8" s="26">
        <f>_xll.qlIndexFixing(FirstIndex,F8)</f>
        <v>3.7785999999999996E-3</v>
      </c>
      <c r="I8" s="15" t="str">
        <f>IF(ISERROR(F8),_xll.ohRangeRetrieveError(F8),_xll.ohRangeRetrieveError(H8))</f>
        <v/>
      </c>
      <c r="J8" s="12"/>
      <c r="K8" s="20" t="s">
        <v>8</v>
      </c>
      <c r="L8" s="21">
        <f>_xll.qlFunctionCount(Trigger)+_xll.ohFunctionCount(Trigger)</f>
        <v>1015</v>
      </c>
      <c r="M8" s="1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x14ac:dyDescent="0.2">
      <c r="A9" s="7"/>
      <c r="B9" s="27"/>
      <c r="C9" s="53"/>
      <c r="D9" s="53"/>
      <c r="E9" s="53"/>
      <c r="F9" s="44">
        <f>_xll.qlCalendarAdvance(_xll.qlIndexFixingCalendar(FirstIndex),EvaluationDate,"-1D","Preceding")</f>
        <v>41606</v>
      </c>
      <c r="G9" s="36"/>
      <c r="H9" s="29">
        <f>_xll.qlIndexFixing(FirstIndex,F9)</f>
        <v>3.7857000000000003E-3</v>
      </c>
      <c r="I9" s="19" t="str">
        <f>IF(ISERROR(F9),_xll.ohRangeRetrieveError(F9),_xll.ohRangeRetrieveError(H9))</f>
        <v/>
      </c>
      <c r="J9" s="12"/>
      <c r="K9" s="22" t="s">
        <v>9</v>
      </c>
      <c r="L9" s="23" t="str">
        <f>_xll.ohBoostVersion(Trigger)</f>
        <v>1_52</v>
      </c>
      <c r="M9" s="1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">
      <c r="A10" s="7"/>
      <c r="B10" s="27" t="str">
        <f>PROPER(Currency)&amp;IF(UPPER(Currency)="EUR","",IF(UPPER(Currency)="HKD","H","L"))&amp;"ibor3M"</f>
        <v>HkdHibor3M</v>
      </c>
      <c r="C10" s="53"/>
      <c r="D10" s="53"/>
      <c r="E10" s="53"/>
      <c r="F10" s="44">
        <f>EvaluationDate</f>
        <v>41607</v>
      </c>
      <c r="G10" s="28"/>
      <c r="H10" s="29">
        <f>_xll.qlIndexFixing(FirstIndex,F10)</f>
        <v>3.7857000005851772E-3</v>
      </c>
      <c r="I10" s="19" t="str">
        <f>IF(ISERROR(F10),_xll.ohRangeRetrieveError(F10),_xll.ohRangeRetrieveError(H10))</f>
        <v/>
      </c>
      <c r="J10" s="12"/>
      <c r="K10" s="22" t="s">
        <v>10</v>
      </c>
      <c r="L10" s="23" t="str">
        <f>_xll.qlVersion(Trigger)</f>
        <v>1.4</v>
      </c>
      <c r="M10" s="1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2" thickBot="1" x14ac:dyDescent="0.25">
      <c r="A11" s="7"/>
      <c r="B11" s="30"/>
      <c r="C11" s="54"/>
      <c r="D11" s="54"/>
      <c r="E11" s="54"/>
      <c r="F11" s="45">
        <f>_xll.qlCalendarAdvance(_xll.qlIndexFixingCalendar(FirstIndex),_xll.qlIMMNextDate(_xll.qlIMMNextDate(EvaluationDate+1)+1),-_xll.qlInterestRateIndexFixingDays(FirstIndex)&amp;"D")</f>
        <v>41715</v>
      </c>
      <c r="G11" s="31"/>
      <c r="H11" s="32">
        <f>_xll.qlIndexFixing(FirstIndex,F11,TRUE)</f>
        <v>4.139322253202537E-3</v>
      </c>
      <c r="I11" s="33" t="str">
        <f>IF(ISERROR(F11),_xll.ohRangeRetrieveError(F11),_xll.ohRangeRetrieveError(H11))</f>
        <v/>
      </c>
      <c r="J11" s="12"/>
      <c r="K11" s="34" t="s">
        <v>11</v>
      </c>
      <c r="L11" s="35" t="str">
        <f>_xll.ohVersion(Trigger)</f>
        <v>1.3.0</v>
      </c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2" thickBot="1" x14ac:dyDescent="0.25">
      <c r="A12" s="37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x14ac:dyDescent="0.2">
      <c r="A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x14ac:dyDescent="0.2"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x14ac:dyDescent="0.2"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x14ac:dyDescent="0.2"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x14ac:dyDescent="0.2"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x14ac:dyDescent="0.2"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</sheetData>
  <phoneticPr fontId="2" type="noConversion"/>
  <dataValidations disablePrompts="1" count="1">
    <dataValidation type="list" allowBlank="1" showInputMessage="1" showErrorMessage="1" sqref="B1:E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MainChecks</vt:lpstr>
      <vt:lpstr>AllTriggers</vt:lpstr>
      <vt:lpstr>Currency</vt:lpstr>
      <vt:lpstr>EvaluationDate</vt:lpstr>
      <vt:lpstr>FirstIndex</vt:lpstr>
      <vt:lpstr>InterestRatesTrigger</vt:lpstr>
      <vt:lpstr>SecondIMMDate</vt:lpstr>
      <vt:lpstr>Trigger</vt:lpstr>
      <vt:lpstr>Yesterday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2013-11-28T18:57:19Z</dcterms:modified>
</cp:coreProperties>
</file>
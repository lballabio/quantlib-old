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10" windowHeight="7875"/>
  </bookViews>
  <sheets>
    <sheet name="MainChecks" sheetId="2" r:id="rId1"/>
  </sheets>
  <definedNames>
    <definedName name="AllTriggers">MainChecks!$I$5:$I$5</definedName>
    <definedName name="Currency">MainChecks!$B$1</definedName>
    <definedName name="EvaluationDate">MainChecks!$C$3</definedName>
    <definedName name="FirstIndex">MainChecks!$B$10</definedName>
    <definedName name="InterestRatesTrigger">MainChecks!$I$5</definedName>
    <definedName name="SecondIMMDate">MainChecks!$C$11</definedName>
    <definedName name="Trigger">MainChecks!$I$2</definedName>
    <definedName name="Yesterday">MainChecks!$C$8</definedName>
  </definedNames>
  <calcPr calcId="145621"/>
</workbook>
</file>

<file path=xl/calcChain.xml><?xml version="1.0" encoding="utf-8"?>
<calcChain xmlns="http://schemas.openxmlformats.org/spreadsheetml/2006/main">
  <c r="B7" i="2" l="1"/>
  <c r="B6" i="2"/>
  <c r="B5" i="2"/>
  <c r="B4" i="2"/>
  <c r="B3" i="2"/>
  <c r="B10" i="2" l="1"/>
  <c r="I10" i="2"/>
  <c r="C1" i="2"/>
  <c r="I8" i="2"/>
  <c r="I9" i="2"/>
  <c r="C3" i="2"/>
  <c r="I11" i="2"/>
  <c r="I6" i="2"/>
  <c r="C8" i="2"/>
  <c r="I3" i="2"/>
  <c r="E3" i="2"/>
  <c r="C5" i="2"/>
  <c r="C6" i="2" l="1"/>
  <c r="C10" i="2"/>
  <c r="C4" i="2"/>
  <c r="E5" i="2"/>
  <c r="E10" i="2"/>
  <c r="C11" i="2"/>
  <c r="E4" i="2"/>
  <c r="E8" i="2"/>
  <c r="E6" i="2"/>
  <c r="C9" i="2"/>
  <c r="F3" i="2"/>
  <c r="F8" i="2"/>
  <c r="C7" i="2" l="1"/>
  <c r="E11" i="2"/>
  <c r="E9" i="2"/>
  <c r="E7" i="2"/>
  <c r="F10" i="2"/>
  <c r="F7" i="2"/>
  <c r="F6" i="2"/>
  <c r="F4" i="2"/>
  <c r="F5" i="2"/>
  <c r="F11" i="2"/>
  <c r="F9" i="2" l="1"/>
</calcChain>
</file>

<file path=xl/sharedStrings.xml><?xml version="1.0" encoding="utf-8"?>
<sst xmlns="http://schemas.openxmlformats.org/spreadsheetml/2006/main" count="17" uniqueCount="17">
  <si>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</si>
  <si>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</si>
  <si>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</si>
  <si>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</si>
  <si>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</si>
  <si>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</si>
  <si>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</si>
  <si>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</si>
  <si>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</si>
  <si>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</si>
  <si>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</si>
  <si>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</si>
  <si>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TYcm1t</t>
  </si>
  <si>
    <t>HKD</t>
  </si>
  <si>
    <t>MarketUpdates</t>
  </si>
  <si>
    <t>Eikon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</si>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</sst>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0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12:14:08</v>
        <stp/>
        <stp>{F486D88B-DFB3-47BE-8B07-2D43BF032591}</stp>
        <tr r="I3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59"/>
  <sheetViews>
    <sheetView tabSelected="1" workbookViewId="0">
      <selection activeCell="I2" sqref="I2"/>
    </sheetView>
  </sheetViews>
  <sheetFormatPr defaultRowHeight="11.25" x14ac:dyDescent="0.2"/>
  <cols>
    <col min="1" max="1" width="4" style="6" bestFit="1" customWidth="1"/>
    <col min="2" max="2" width="11" style="6" bestFit="1" customWidth="1"/>
    <col min="3" max="3" width="17.140625" style="6" customWidth="1"/>
    <col min="4" max="4" width="17.140625" style="6" hidden="1" customWidth="1"/>
    <col min="5" max="5" width="8" style="6" bestFit="1" customWidth="1"/>
    <col min="6" max="6" width="46.28515625" style="6" customWidth="1"/>
    <col min="7" max="7" width="2.28515625" style="6" customWidth="1"/>
    <col min="8" max="8" width="17.28515625" style="6" bestFit="1" customWidth="1"/>
    <col min="9" max="9" width="21.42578125" style="6" bestFit="1" customWidth="1"/>
    <col min="10" max="10" width="2.85546875" style="6" customWidth="1"/>
    <col min="11" max="16384" width="9.140625" style="6"/>
  </cols>
  <sheetData>
    <row r="1" spans="1:23" ht="12" thickBot="1" x14ac:dyDescent="0.25">
      <c r="A1" s="1"/>
      <c r="B1" s="2" t="s">
        <v>13</v>
      </c>
      <c r="C1" s="3" t="str">
        <f>_xll.qlxlVersion(TRUE,Trigger)</f>
        <v>QuantLibXL 1.3.0 - MS VC++ 9.0 - Multithreaded Static Runtime library - Release Configuration - Nov 12 2013 12:02:30</v>
      </c>
      <c r="D1" s="3"/>
      <c r="E1" s="3"/>
      <c r="F1" s="3"/>
      <c r="G1" s="3"/>
      <c r="H1" s="3"/>
      <c r="I1" s="3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2" thickBot="1" x14ac:dyDescent="0.25">
      <c r="A2" s="7"/>
      <c r="B2" s="8" t="s">
        <v>0</v>
      </c>
      <c r="C2" s="9" t="s">
        <v>5</v>
      </c>
      <c r="D2" s="9"/>
      <c r="E2" s="10" t="s">
        <v>1</v>
      </c>
      <c r="F2" s="11" t="s">
        <v>2</v>
      </c>
      <c r="G2" s="12"/>
      <c r="H2" s="13" t="s">
        <v>3</v>
      </c>
      <c r="I2" s="40"/>
      <c r="J2" s="1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7"/>
      <c r="B3" s="16" t="str">
        <f>UPPER(Currency)&amp;"STD"</f>
        <v>HKDSTD</v>
      </c>
      <c r="C3" s="41">
        <f>_xll.qlSettingsEvaluationDate(ISERROR(Trigger))</f>
        <v>41600</v>
      </c>
      <c r="D3" s="17"/>
      <c r="E3" s="18" t="e">
        <f>_xll.qlYieldTSDiscount(B3,C3)</f>
        <v>#NUM!</v>
      </c>
      <c r="F3" s="19" t="str">
        <f ca="1">IF(ISERROR(C3),_xll.ohRangeRetrieveError(C3),_xll.ohRangeRetrieveError(E3))</f>
        <v>qlYieldTSDiscount - empty Handle cannot be dereferenced</v>
      </c>
      <c r="G3" s="12"/>
      <c r="H3" s="48" t="s">
        <v>15</v>
      </c>
      <c r="I3" s="47" t="str">
        <f>_xll.RData(H4,"LAST",,"FRQ:1S",,I4)</f>
        <v>Updated at 12:14:08</v>
      </c>
      <c r="J3" s="1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ht="12" thickBot="1" x14ac:dyDescent="0.25">
      <c r="A4" s="7"/>
      <c r="B4" s="16" t="str">
        <f>UPPER(Currency)&amp;"ON"</f>
        <v>HKDON</v>
      </c>
      <c r="C4" s="42">
        <f>EvaluationDate</f>
        <v>41600</v>
      </c>
      <c r="D4" s="17"/>
      <c r="E4" s="18" t="e">
        <f>_xll.qlYieldTSDiscount(B4,C4)</f>
        <v>#NUM!</v>
      </c>
      <c r="F4" s="19" t="str">
        <f ca="1">IF(ISERROR(C4),_xll.ohRangeRetrieveError(C4),_xll.ohRangeRetrieveError(E4))</f>
        <v>qlYieldTSDiscount - empty Handle cannot be dereferenced</v>
      </c>
      <c r="G4" s="12"/>
      <c r="H4" s="49" t="s">
        <v>12</v>
      </c>
      <c r="I4" s="46">
        <v>126.390625</v>
      </c>
      <c r="J4" s="14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ht="12" thickBot="1" x14ac:dyDescent="0.25">
      <c r="A5" s="7"/>
      <c r="B5" s="16" t="str">
        <f>UPPER(Currency)&amp;"1M"</f>
        <v>HKD1M</v>
      </c>
      <c r="C5" s="42">
        <f>_xll.qlCalendarAdvance(_xll.qlIndexFixingCalendar(FirstIndex),EvaluationDate,_xll.qlInterestRateIndexFixingDays(FirstIndex)&amp;"D","Following")</f>
        <v>41600</v>
      </c>
      <c r="D5" s="17"/>
      <c r="E5" s="18" t="e">
        <f>_xll.qlYieldTSDiscount(B5,C5)</f>
        <v>#NUM!</v>
      </c>
      <c r="F5" s="19" t="str">
        <f ca="1">IF(ISERROR(C5),_xll.ohRangeRetrieveError(C5),_xll.ohRangeRetrieveError(E5))</f>
        <v>qlYieldTSDiscount - empty Handle cannot be dereferenced</v>
      </c>
      <c r="G5" s="12"/>
      <c r="H5" s="20" t="s">
        <v>14</v>
      </c>
      <c r="I5" s="21" t="s">
        <v>16</v>
      </c>
      <c r="J5" s="14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x14ac:dyDescent="0.2">
      <c r="A6" s="7"/>
      <c r="B6" s="16" t="str">
        <f>UPPER(Currency)&amp;"3M"</f>
        <v>HKD3M</v>
      </c>
      <c r="C6" s="42">
        <f>C5</f>
        <v>41600</v>
      </c>
      <c r="D6" s="17"/>
      <c r="E6" s="18" t="e">
        <f>_xll.qlYieldTSDiscount(B6,C6)</f>
        <v>#NUM!</v>
      </c>
      <c r="F6" s="19" t="str">
        <f ca="1">IF(ISERROR(C6),_xll.ohRangeRetrieveError(C6),_xll.ohRangeRetrieveError(E6))</f>
        <v>qlYieldTSDiscount - empty Handle cannot be dereferenced</v>
      </c>
      <c r="G6" s="12"/>
      <c r="H6" s="20" t="s">
        <v>4</v>
      </c>
      <c r="I6" s="21">
        <f>_xll.ohRepositoryObjectCount(Trigger)</f>
        <v>437</v>
      </c>
      <c r="J6" s="1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ht="12" thickBot="1" x14ac:dyDescent="0.25">
      <c r="A7" s="7"/>
      <c r="B7" s="16" t="str">
        <f>UPPER(Currency)&amp;"6M"</f>
        <v>HKD6M</v>
      </c>
      <c r="C7" s="42">
        <f>C6</f>
        <v>41600</v>
      </c>
      <c r="D7" s="17"/>
      <c r="E7" s="18" t="e">
        <f>_xll.qlYieldTSDiscount(B7,C7)</f>
        <v>#NUM!</v>
      </c>
      <c r="F7" s="19" t="str">
        <f ca="1">IF(ISERROR(C7),_xll.ohRangeRetrieveError(C7),_xll.ohRangeRetrieveError(E7))</f>
        <v>qlYieldTSDiscount - empty Handle cannot be dereferenced</v>
      </c>
      <c r="G7" s="12"/>
      <c r="H7" s="34" t="s">
        <v>7</v>
      </c>
      <c r="I7" s="35" t="s">
        <v>6</v>
      </c>
      <c r="J7" s="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">
      <c r="A8" s="7"/>
      <c r="B8" s="24"/>
      <c r="C8" s="43">
        <f>_xll.qlCalendarAdvance(_xll.qlIndexFixingCalendar(FirstIndex),EvaluationDate,"-2D","Preceding")</f>
        <v>41598</v>
      </c>
      <c r="D8" s="25"/>
      <c r="E8" s="26" t="e">
        <f>_xll.qlIndexFixing(FirstIndex,C8)</f>
        <v>#NUM!</v>
      </c>
      <c r="F8" s="15" t="str">
        <f ca="1">IF(ISERROR(C8),_xll.ohRangeRetrieveError(C8),_xll.ohRangeRetrieveError(E8))</f>
        <v>qlIndexFixing - Missing HiborON Actual/365 (Fixed) fixing for November 20th, 2013</v>
      </c>
      <c r="G8" s="12"/>
      <c r="H8" s="20" t="s">
        <v>8</v>
      </c>
      <c r="I8" s="21">
        <f>_xll.qlFunctionCount(Trigger)+_xll.ohFunctionCount(Trigger)</f>
        <v>1015</v>
      </c>
      <c r="J8" s="1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x14ac:dyDescent="0.2">
      <c r="A9" s="7"/>
      <c r="B9" s="27"/>
      <c r="C9" s="44">
        <f>_xll.qlCalendarAdvance(_xll.qlIndexFixingCalendar(FirstIndex),EvaluationDate,"-1D","Preceding")</f>
        <v>41599</v>
      </c>
      <c r="D9" s="36"/>
      <c r="E9" s="29">
        <f>_xll.qlIndexFixing(FirstIndex,C9)</f>
        <v>7.0549999999999996E-4</v>
      </c>
      <c r="F9" s="19" t="str">
        <f>IF(ISERROR(C9),_xll.ohRangeRetrieveError(C9),_xll.ohRangeRetrieveError(E9))</f>
        <v/>
      </c>
      <c r="G9" s="12"/>
      <c r="H9" s="22" t="s">
        <v>9</v>
      </c>
      <c r="I9" s="23" t="str">
        <f>_xll.ohBoostVersion(Trigger)</f>
        <v>1_52</v>
      </c>
      <c r="J9" s="1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">
      <c r="A10" s="7"/>
      <c r="B10" s="27" t="str">
        <f>PROPER(Currency)&amp;IF(UPPER(Currency)="EUR","",IF(UPPER(Currency)="HKD","H","L"))&amp;"ibor3M"</f>
        <v>HkdHibor3M</v>
      </c>
      <c r="C10" s="44">
        <f>EvaluationDate</f>
        <v>41600</v>
      </c>
      <c r="D10" s="28"/>
      <c r="E10" s="29">
        <f>_xll.qlIndexFixing(FirstIndex,C10)</f>
        <v>8.6678999999999992E-3</v>
      </c>
      <c r="F10" s="19" t="str">
        <f>IF(ISERROR(C10),_xll.ohRangeRetrieveError(C10),_xll.ohRangeRetrieveError(E10))</f>
        <v/>
      </c>
      <c r="G10" s="12"/>
      <c r="H10" s="22" t="s">
        <v>10</v>
      </c>
      <c r="I10" s="23" t="str">
        <f>_xll.qlVersion(Trigger)</f>
        <v>1.4</v>
      </c>
      <c r="J10" s="14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ht="12" thickBot="1" x14ac:dyDescent="0.25">
      <c r="A11" s="7"/>
      <c r="B11" s="30"/>
      <c r="C11" s="45">
        <f>_xll.qlCalendarAdvance(_xll.qlIndexFixingCalendar(FirstIndex),_xll.qlIMMNextDate(_xll.qlIMMNextDate(EvaluationDate+1)+1),-_xll.qlInterestRateIndexFixingDays(FirstIndex)&amp;"D")</f>
        <v>41717</v>
      </c>
      <c r="D11" s="31"/>
      <c r="E11" s="32" t="e">
        <f>_xll.qlIndexFixing(FirstIndex,C11,TRUE)</f>
        <v>#NUM!</v>
      </c>
      <c r="F11" s="33" t="str">
        <f ca="1">IF(ISERROR(C11),_xll.ohRangeRetrieveError(C11),_xll.ohRangeRetrieveError(E11))</f>
        <v>qlIndexFixing - null term structure set to this instance of HiborON Actual/365 (Fixed)</v>
      </c>
      <c r="G11" s="12"/>
      <c r="H11" s="34" t="s">
        <v>11</v>
      </c>
      <c r="I11" s="35" t="str">
        <f>_xll.ohVersion(Trigger)</f>
        <v>1.3.0</v>
      </c>
      <c r="J11" s="14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ht="12" thickBot="1" x14ac:dyDescent="0.25">
      <c r="A12" s="37"/>
      <c r="B12" s="38"/>
      <c r="C12" s="38"/>
      <c r="D12" s="38"/>
      <c r="E12" s="38"/>
      <c r="F12" s="38"/>
      <c r="G12" s="38"/>
      <c r="H12" s="38"/>
      <c r="I12" s="38"/>
      <c r="J12" s="3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</sheetData>
  <phoneticPr fontId="2" type="noConversion"/>
  <dataValidations disablePrompts="1" count="1">
    <dataValidation type="list" allowBlank="1" showInputMessage="1" showErrorMessage="1" sqref="B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MainChecks</vt:lpstr>
      <vt:lpstr>AllTriggers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2013-11-22T11:14:19Z</dcterms:modified>
</cp:coreProperties>
</file>